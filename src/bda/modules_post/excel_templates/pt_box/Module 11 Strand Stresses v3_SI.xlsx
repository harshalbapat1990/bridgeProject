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404" documentId="8_{6CE9429D-74CF-42BE-A63D-EC931396195D}" xr6:coauthVersionLast="47" xr6:coauthVersionMax="47" xr10:uidLastSave="{88EFBBE0-3F76-4970-A776-F01642516284}"/>
  <bookViews>
    <workbookView xWindow="-120" yWindow="-120" windowWidth="29040" windowHeight="17520" tabRatio="771" activeTab="1" xr2:uid="{E7D07648-CE90-4923-BA5E-0E2E5FD3C650}"/>
  </bookViews>
  <sheets>
    <sheet name="Guidance and Scope" sheetId="11" r:id="rId1"/>
    <sheet name="Inputs" sheetId="9" r:id="rId2"/>
    <sheet name="Calculation" sheetId="1" r:id="rId3"/>
    <sheet name="Outputs" sheetId="10" r:id="rId4"/>
    <sheet name="Template Notes" sheetId="8" r:id="rId5"/>
  </sheets>
  <externalReferences>
    <externalReference r:id="rId6"/>
  </externalReferences>
  <definedNames>
    <definedName name="f.b">Calculation!$W$260</definedName>
    <definedName name="M.b">Calculation!$W$253</definedName>
    <definedName name="M.d">Calculation!#REF!</definedName>
    <definedName name="M.g">Calculation!#REF!</definedName>
    <definedName name="M.LL">Calculation!$W$259</definedName>
    <definedName name="M.LT">Calculation!#REF!</definedName>
    <definedName name="M.ws">Calculation!$W$254</definedName>
    <definedName name="_xlnm.Print_Titles" localSheetId="2">Calculation!$1:$7</definedName>
    <definedName name="S.b">Calculation!#REF!</definedName>
    <definedName name="Table_f.pe.service.L" localSheetId="2">INDEX(Calculation!$R$380:$R$434,1):INDEX(Calculation!$R$380:$R$434,COUNT(Calculation!$R$380:$R$434))</definedName>
    <definedName name="Table_f.pu.service.lim" localSheetId="2">INDEX(Calculation!$V$380:$V$434,1):INDEX(Calculation!$V$380:$V$434,COUNT(Calculation!$V$380:$V$434))</definedName>
    <definedName name="Table_L" localSheetId="2">INDEX(Calculation!$F$380:$F$434,1):INDEX(Calculation!$F$380:$F$434,COUNT(Calculation!$F$380:$F$434))</definedName>
    <definedName name="Table_Location">Calculation!$F$380:INDEX(Calculation!$I$382:$I$434,   MATCH(TRUE, Calculation!$I$382:$I$434="", 0) - 1)</definedName>
    <definedName name="Table_SLS">Calculation!$R$380:INDEX(Calculation!$N$382:$N$434,   MATCH(TRUE, Calculation!$N$382:$N$434="", 0) - 1)</definedName>
    <definedName name="Table_SLS_D_C">Calculation!$Z$380:INDEX(Calculation!$X$382:$X$434,   MATCH(TRUE, Calculation!$X$382:$X$434="", 0) - 1)</definedName>
    <definedName name="TEMPLATE_VERSION">Inputs!$D$22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0" i="1" l="1"/>
  <c r="A24" i="10" l="1"/>
  <c r="A25" i="10"/>
  <c r="A27" i="10"/>
  <c r="A28" i="10"/>
  <c r="A29" i="10"/>
  <c r="A31" i="10"/>
  <c r="A32" i="10"/>
  <c r="A33" i="10"/>
  <c r="A23" i="10"/>
  <c r="A19" i="10"/>
  <c r="A20" i="10"/>
  <c r="A18" i="10"/>
  <c r="A17" i="10"/>
  <c r="A14" i="10"/>
  <c r="A15" i="10"/>
  <c r="A13" i="10"/>
  <c r="A10" i="10"/>
  <c r="A11" i="10"/>
  <c r="A9" i="10"/>
  <c r="A5" i="10"/>
  <c r="A6" i="10"/>
  <c r="A4" i="10"/>
  <c r="A3" i="10"/>
  <c r="A22" i="10"/>
  <c r="A8" i="10"/>
  <c r="N426" i="1"/>
  <c r="N427" i="1"/>
  <c r="N428" i="1"/>
  <c r="N429" i="1"/>
  <c r="N430" i="1"/>
  <c r="N431" i="1"/>
  <c r="N432" i="1"/>
  <c r="N433" i="1"/>
  <c r="N434" i="1"/>
  <c r="N413" i="1"/>
  <c r="N414" i="1"/>
  <c r="N415" i="1"/>
  <c r="N416" i="1"/>
  <c r="N417" i="1"/>
  <c r="N418" i="1"/>
  <c r="N419" i="1"/>
  <c r="N420" i="1"/>
  <c r="N421" i="1"/>
  <c r="N422" i="1"/>
  <c r="N423" i="1"/>
  <c r="N424" i="1"/>
  <c r="N425" i="1"/>
  <c r="L37" i="9" l="1"/>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L8" i="9"/>
  <c r="L7" i="9"/>
  <c r="L6" i="9"/>
  <c r="L5" i="9"/>
  <c r="I14" i="9"/>
  <c r="I25" i="9"/>
  <c r="I37" i="9"/>
  <c r="I36" i="9"/>
  <c r="I35" i="9"/>
  <c r="I34" i="9"/>
  <c r="I33" i="9"/>
  <c r="I32" i="9"/>
  <c r="I31" i="9"/>
  <c r="I30" i="9"/>
  <c r="I29" i="9"/>
  <c r="I28" i="9"/>
  <c r="I27" i="9"/>
  <c r="I26" i="9"/>
  <c r="I24" i="9"/>
  <c r="I23" i="9"/>
  <c r="I22" i="9"/>
  <c r="I21" i="9"/>
  <c r="I20" i="9"/>
  <c r="I19" i="9"/>
  <c r="I18" i="9"/>
  <c r="I17" i="9"/>
  <c r="I16" i="9"/>
  <c r="I15" i="9"/>
  <c r="I13" i="9"/>
  <c r="I12" i="9"/>
  <c r="I11" i="9"/>
  <c r="I10" i="9"/>
  <c r="I9" i="9"/>
  <c r="I8" i="9"/>
  <c r="I7" i="9"/>
  <c r="I6" i="9"/>
  <c r="U37" i="9"/>
  <c r="U5" i="9"/>
  <c r="R5" i="9"/>
  <c r="R11" i="9"/>
  <c r="R9" i="9"/>
  <c r="R8" i="9"/>
  <c r="R7" i="9"/>
  <c r="O21" i="9"/>
  <c r="O37" i="9"/>
  <c r="O36" i="9"/>
  <c r="O35" i="9"/>
  <c r="O34" i="9"/>
  <c r="O33" i="9"/>
  <c r="O32" i="9"/>
  <c r="O31" i="9"/>
  <c r="O30" i="9"/>
  <c r="O29" i="9"/>
  <c r="O28" i="9"/>
  <c r="O27" i="9"/>
  <c r="O26" i="9"/>
  <c r="O25" i="9"/>
  <c r="O24" i="9"/>
  <c r="O23" i="9"/>
  <c r="O22" i="9"/>
  <c r="O20" i="9"/>
  <c r="O19" i="9"/>
  <c r="O18" i="9"/>
  <c r="O17" i="9"/>
  <c r="O16" i="9"/>
  <c r="O15" i="9"/>
  <c r="O14" i="9"/>
  <c r="O13" i="9"/>
  <c r="O12" i="9"/>
  <c r="O11" i="9"/>
  <c r="O10" i="9"/>
  <c r="O9" i="9"/>
  <c r="O8" i="9"/>
  <c r="O7" i="9"/>
  <c r="O6" i="9"/>
  <c r="O5" i="9"/>
  <c r="B12" i="9"/>
  <c r="B19" i="9"/>
  <c r="B18" i="9"/>
  <c r="B17" i="9"/>
  <c r="B16" i="9"/>
  <c r="B15" i="9"/>
  <c r="B14" i="9"/>
  <c r="B13" i="9"/>
  <c r="B11" i="9"/>
  <c r="B10" i="9"/>
  <c r="W150" i="1" s="1"/>
  <c r="W344" i="1" s="1"/>
  <c r="B32" i="10" s="1"/>
  <c r="W155" i="1" l="1"/>
  <c r="R17" i="9"/>
  <c r="U17" i="9"/>
  <c r="U323" i="1" a="1"/>
  <c r="U323" i="1" s="1"/>
  <c r="Q323" i="1"/>
  <c r="U319" i="1" a="1"/>
  <c r="U319" i="1" s="1"/>
  <c r="Q319" i="1"/>
  <c r="Y323" i="1" a="1"/>
  <c r="Y323" i="1" s="1"/>
  <c r="Y319" i="1" a="1"/>
  <c r="Y319" i="1" s="1"/>
  <c r="Q321" i="1"/>
  <c r="Q320" i="1"/>
  <c r="W175" i="1" l="1"/>
  <c r="W326" i="1" s="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26" i="1"/>
  <c r="J427" i="1"/>
  <c r="J428" i="1"/>
  <c r="J429" i="1"/>
  <c r="J430" i="1"/>
  <c r="J431" i="1"/>
  <c r="J432" i="1"/>
  <c r="J433" i="1"/>
  <c r="J434" i="1"/>
  <c r="J419" i="1"/>
  <c r="J420" i="1"/>
  <c r="J421" i="1"/>
  <c r="J422" i="1"/>
  <c r="J423" i="1"/>
  <c r="J424" i="1"/>
  <c r="J425" i="1"/>
  <c r="J381" i="1"/>
  <c r="J380" i="1"/>
  <c r="U7" i="9"/>
  <c r="U8" i="9"/>
  <c r="U9" i="9"/>
  <c r="U10" i="9"/>
  <c r="U11" i="9"/>
  <c r="U12" i="9"/>
  <c r="U13" i="9"/>
  <c r="U14" i="9"/>
  <c r="U15" i="9"/>
  <c r="U16" i="9"/>
  <c r="U18" i="9"/>
  <c r="U19" i="9"/>
  <c r="U20" i="9"/>
  <c r="U21" i="9"/>
  <c r="U6" i="9"/>
  <c r="R19" i="9"/>
  <c r="R20" i="9"/>
  <c r="R21" i="9"/>
  <c r="R23" i="9" s="1"/>
  <c r="R10" i="9"/>
  <c r="R12" i="9"/>
  <c r="R13" i="9"/>
  <c r="R14" i="9"/>
  <c r="R15" i="9"/>
  <c r="R16" i="9"/>
  <c r="R18" i="9"/>
  <c r="R6" i="9"/>
  <c r="F422" i="1"/>
  <c r="F423" i="1"/>
  <c r="F424" i="1"/>
  <c r="F425" i="1"/>
  <c r="F426" i="1"/>
  <c r="F427" i="1"/>
  <c r="F428" i="1"/>
  <c r="F429" i="1"/>
  <c r="F430" i="1"/>
  <c r="F431" i="1"/>
  <c r="F432" i="1"/>
  <c r="F433" i="1"/>
  <c r="F434" i="1"/>
  <c r="F409" i="1"/>
  <c r="F410" i="1"/>
  <c r="F411" i="1"/>
  <c r="F412" i="1"/>
  <c r="F413" i="1"/>
  <c r="F414" i="1"/>
  <c r="F415" i="1"/>
  <c r="F416" i="1"/>
  <c r="F417" i="1"/>
  <c r="F418" i="1"/>
  <c r="F419" i="1"/>
  <c r="F420" i="1"/>
  <c r="F42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375" i="1"/>
  <c r="U24" i="9" l="1"/>
  <c r="R434" i="1"/>
  <c r="V434" i="1"/>
  <c r="Z425" i="1"/>
  <c r="V425" i="1"/>
  <c r="R425" i="1"/>
  <c r="Z424" i="1"/>
  <c r="V424" i="1"/>
  <c r="R424" i="1"/>
  <c r="Z419" i="1"/>
  <c r="V419" i="1"/>
  <c r="R419" i="1"/>
  <c r="Z413" i="1"/>
  <c r="V413" i="1"/>
  <c r="R413" i="1"/>
  <c r="R433" i="1"/>
  <c r="V433" i="1"/>
  <c r="Z429" i="1"/>
  <c r="R429" i="1"/>
  <c r="V429" i="1"/>
  <c r="Z427" i="1"/>
  <c r="V427" i="1"/>
  <c r="R427" i="1"/>
  <c r="Z417" i="1"/>
  <c r="R417" i="1"/>
  <c r="V417" i="1"/>
  <c r="Z414" i="1"/>
  <c r="R414" i="1"/>
  <c r="V414" i="1"/>
  <c r="R431" i="1"/>
  <c r="V431" i="1"/>
  <c r="R430" i="1"/>
  <c r="V430" i="1"/>
  <c r="Z428" i="1"/>
  <c r="R428" i="1"/>
  <c r="V428" i="1"/>
  <c r="Z422" i="1"/>
  <c r="V422" i="1"/>
  <c r="R422" i="1"/>
  <c r="Z418" i="1"/>
  <c r="R418" i="1"/>
  <c r="V418" i="1"/>
  <c r="Z416" i="1"/>
  <c r="R416" i="1"/>
  <c r="V416" i="1"/>
  <c r="V432" i="1"/>
  <c r="R432" i="1"/>
  <c r="Z426" i="1"/>
  <c r="V426" i="1"/>
  <c r="R426" i="1"/>
  <c r="Z423" i="1"/>
  <c r="R423" i="1"/>
  <c r="V423" i="1"/>
  <c r="Z421" i="1"/>
  <c r="V421" i="1"/>
  <c r="R421" i="1"/>
  <c r="Z420" i="1"/>
  <c r="V420" i="1"/>
  <c r="R420" i="1"/>
  <c r="Z415" i="1"/>
  <c r="R415" i="1"/>
  <c r="V415" i="1"/>
  <c r="U23" i="9"/>
  <c r="R22" i="9"/>
  <c r="U35" i="9"/>
  <c r="U29" i="9"/>
  <c r="U33" i="9"/>
  <c r="R37" i="9"/>
  <c r="R34" i="9"/>
  <c r="U34" i="9"/>
  <c r="R31" i="9"/>
  <c r="R29" i="9"/>
  <c r="U28" i="9"/>
  <c r="R26" i="9"/>
  <c r="U27" i="9"/>
  <c r="R35" i="9"/>
  <c r="U36" i="9"/>
  <c r="U31" i="9"/>
  <c r="U30" i="9"/>
  <c r="R28" i="9"/>
  <c r="R27" i="9"/>
  <c r="R25" i="9"/>
  <c r="U26" i="9"/>
  <c r="U22" i="9"/>
  <c r="R36" i="9"/>
  <c r="R33" i="9"/>
  <c r="R32" i="9"/>
  <c r="U32" i="9"/>
  <c r="R30" i="9"/>
  <c r="R24" i="9"/>
  <c r="U25" i="9"/>
  <c r="Z432" i="1"/>
  <c r="Z433" i="1"/>
  <c r="Z430" i="1"/>
  <c r="Z434" i="1"/>
  <c r="Z431" i="1"/>
  <c r="W153" i="1"/>
  <c r="W154" i="1"/>
  <c r="W152" i="1"/>
  <c r="N411" i="1" l="1"/>
  <c r="R411" i="1" s="1"/>
  <c r="N403" i="1"/>
  <c r="R403" i="1" s="1"/>
  <c r="N404" i="1"/>
  <c r="R404" i="1" s="1"/>
  <c r="N406" i="1"/>
  <c r="R406" i="1" s="1"/>
  <c r="N381" i="1"/>
  <c r="N405" i="1"/>
  <c r="R405" i="1" s="1"/>
  <c r="N407" i="1"/>
  <c r="R407" i="1" s="1"/>
  <c r="N408" i="1"/>
  <c r="R408" i="1" s="1"/>
  <c r="N380" i="1"/>
  <c r="N409" i="1"/>
  <c r="R409" i="1" s="1"/>
  <c r="N410" i="1"/>
  <c r="R410" i="1" s="1"/>
  <c r="N412" i="1"/>
  <c r="R412" i="1" s="1"/>
  <c r="N382" i="1"/>
  <c r="R382" i="1" s="1"/>
  <c r="N384" i="1"/>
  <c r="R384" i="1" s="1"/>
  <c r="N392" i="1"/>
  <c r="R392" i="1" s="1"/>
  <c r="N383" i="1"/>
  <c r="R383" i="1" s="1"/>
  <c r="N394" i="1"/>
  <c r="R394" i="1" s="1"/>
  <c r="N393" i="1"/>
  <c r="R393" i="1" s="1"/>
  <c r="N395" i="1"/>
  <c r="R395" i="1" s="1"/>
  <c r="N385" i="1"/>
  <c r="R385" i="1" s="1"/>
  <c r="N386" i="1"/>
  <c r="R386" i="1" s="1"/>
  <c r="N387" i="1"/>
  <c r="R387" i="1" s="1"/>
  <c r="N388" i="1"/>
  <c r="R388" i="1" s="1"/>
  <c r="N389" i="1"/>
  <c r="R389" i="1" s="1"/>
  <c r="N390" i="1"/>
  <c r="R390" i="1" s="1"/>
  <c r="N391" i="1"/>
  <c r="R391" i="1" s="1"/>
  <c r="N396" i="1"/>
  <c r="R396" i="1" s="1"/>
  <c r="N397" i="1"/>
  <c r="R397" i="1" s="1"/>
  <c r="N398" i="1"/>
  <c r="R398" i="1" s="1"/>
  <c r="N399" i="1"/>
  <c r="R399" i="1" s="1"/>
  <c r="N400" i="1"/>
  <c r="R400" i="1" s="1"/>
  <c r="N401" i="1"/>
  <c r="R401" i="1" s="1"/>
  <c r="N402" i="1"/>
  <c r="R402" i="1" s="1"/>
  <c r="U320" i="1" a="1"/>
  <c r="U320" i="1" s="1"/>
  <c r="U321" i="1" a="1"/>
  <c r="U321" i="1" s="1"/>
  <c r="Y321" i="1" a="1"/>
  <c r="Y321" i="1" s="1"/>
  <c r="Y320" i="1" a="1"/>
  <c r="Y320" i="1" s="1"/>
  <c r="J317" i="1"/>
  <c r="W151" i="1" l="1"/>
  <c r="A8" i="1"/>
  <c r="V396" i="1" l="1"/>
  <c r="V394" i="1"/>
  <c r="V409" i="1"/>
  <c r="V390" i="1"/>
  <c r="V397" i="1"/>
  <c r="V385" i="1"/>
  <c r="V393" i="1"/>
  <c r="V383" i="1"/>
  <c r="V407" i="1"/>
  <c r="V403" i="1"/>
  <c r="V410" i="1"/>
  <c r="V399" i="1"/>
  <c r="V382" i="1"/>
  <c r="V392" i="1"/>
  <c r="V384" i="1"/>
  <c r="V408" i="1"/>
  <c r="V405" i="1"/>
  <c r="V400" i="1"/>
  <c r="V402" i="1"/>
  <c r="V391" i="1"/>
  <c r="V389" i="1"/>
  <c r="V395" i="1"/>
  <c r="V387" i="1"/>
  <c r="V388" i="1"/>
  <c r="V411" i="1"/>
  <c r="V406" i="1"/>
  <c r="V401" i="1"/>
  <c r="V412" i="1"/>
  <c r="V398" i="1"/>
  <c r="V386" i="1"/>
  <c r="V404" i="1"/>
  <c r="W239" i="1"/>
  <c r="B5" i="10" s="1"/>
  <c r="W174" i="1" l="1"/>
  <c r="W259" i="1" s="1"/>
  <c r="B13" i="10" s="1"/>
  <c r="W173" i="1"/>
  <c r="W172" i="1"/>
  <c r="W171" i="1"/>
  <c r="W238" i="1" s="1"/>
  <c r="F381" i="1"/>
  <c r="W240" i="1" l="1"/>
  <c r="B6" i="10" s="1"/>
  <c r="B4" i="10"/>
  <c r="V381" i="1"/>
  <c r="R381" i="1"/>
  <c r="W288" i="1"/>
  <c r="B18" i="10" s="1"/>
  <c r="F380" i="1"/>
  <c r="R380" i="1" s="1"/>
  <c r="V380" i="1" l="1"/>
  <c r="W255" i="1"/>
  <c r="B9" i="10" s="1"/>
  <c r="AH5" i="1"/>
  <c r="AH6" i="1"/>
  <c r="AH4" i="1"/>
  <c r="AH3" i="1"/>
  <c r="AH2" i="1"/>
  <c r="Z380" i="1" l="1"/>
  <c r="Z410" i="1"/>
  <c r="Z408" i="1"/>
  <c r="Z409" i="1"/>
  <c r="Z402" i="1"/>
  <c r="Z400" i="1"/>
  <c r="Z406" i="1"/>
  <c r="Z399" i="1"/>
  <c r="Z397" i="1"/>
  <c r="Z404" i="1"/>
  <c r="Z392" i="1"/>
  <c r="Z412" i="1"/>
  <c r="Y322" i="1"/>
  <c r="Y324" i="1" s="1"/>
  <c r="W343" i="1" s="1"/>
  <c r="B31" i="10" s="1"/>
  <c r="Q322" i="1"/>
  <c r="Q324" i="1" s="1"/>
  <c r="W289" i="1"/>
  <c r="W340" i="1"/>
  <c r="B28" i="10" s="1"/>
  <c r="U322" i="1"/>
  <c r="U324" i="1" s="1"/>
  <c r="W336" i="1"/>
  <c r="B24" i="10" s="1"/>
  <c r="W260" i="1"/>
  <c r="W256" i="1"/>
  <c r="B10" i="10" s="1"/>
  <c r="E6" i="1"/>
  <c r="E5" i="1"/>
  <c r="E4" i="1"/>
  <c r="W290" i="1" l="1"/>
  <c r="B20" i="10" s="1"/>
  <c r="B19" i="10"/>
  <c r="W261" i="1"/>
  <c r="B15" i="10" s="1"/>
  <c r="B14" i="10"/>
  <c r="Z383" i="1"/>
  <c r="Z388" i="1"/>
  <c r="Z391" i="1"/>
  <c r="Z411" i="1"/>
  <c r="Z385" i="1"/>
  <c r="Z393" i="1"/>
  <c r="Z387" i="1"/>
  <c r="Z396" i="1"/>
  <c r="Z394" i="1"/>
  <c r="Z390" i="1"/>
  <c r="Z398" i="1"/>
  <c r="Z381" i="1"/>
  <c r="Z382" i="1"/>
  <c r="Z403" i="1"/>
  <c r="Z405" i="1"/>
  <c r="Z389" i="1"/>
  <c r="Z407" i="1"/>
  <c r="Z395" i="1"/>
  <c r="Z386" i="1"/>
  <c r="Z401" i="1"/>
  <c r="Z384" i="1"/>
  <c r="W257" i="1"/>
  <c r="B11" i="10" s="1"/>
  <c r="W345" i="1" l="1"/>
  <c r="B33" i="10" s="1"/>
  <c r="W339" i="1"/>
  <c r="W341" i="1" l="1"/>
  <c r="B29" i="10" s="1"/>
  <c r="B27" i="10"/>
  <c r="W335" i="1"/>
  <c r="W337" i="1" l="1"/>
  <c r="B23" i="10"/>
  <c r="E347" i="1" l="1"/>
  <c r="B2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<sst xmlns="http://schemas.openxmlformats.org/spreadsheetml/2006/main" count="217" uniqueCount="176">
  <si>
    <t>COMPUTATION SHEET</t>
  </si>
  <si>
    <t>Page:</t>
  </si>
  <si>
    <t>Originator:</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</si>
  <si>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</si>
  <si>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</si>
  <si>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</si>
  <si>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</si>
  <si>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</si>
  <si>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</si>
  <si>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</si>
  <si>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</si>
  <si>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</si>
  <si>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</si>
  <si>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</si>
  <si>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</si>
  <si>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</si>
  <si>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</si>
  <si>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Project Name</t>
  </si>
  <si>
    <t>North Connector Bridge</t>
  </si>
  <si>
    <t>Jacobs Project Number</t>
  </si>
  <si>
    <t>Section</t>
  </si>
  <si>
    <t>Originator</t>
  </si>
  <si>
    <t>TG</t>
  </si>
  <si>
    <t>Date</t>
  </si>
  <si>
    <t>Checker</t>
  </si>
  <si>
    <t>SB</t>
  </si>
  <si>
    <t>Revision No.</t>
  </si>
  <si>
    <t>At service limit state added dead load and live load plus dynamic allowance stresses are added to the strand stress since the strands are bonded through the grouting process.</t>
  </si>
  <si>
    <t>AASHTO Table 5.9.2.2-1</t>
  </si>
  <si>
    <t>DW</t>
  </si>
  <si>
    <t>Section Properties</t>
  </si>
  <si>
    <t>D/C SLS</t>
  </si>
  <si>
    <t>Midspan</t>
  </si>
  <si>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</si>
  <si>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t>C.1</t>
  </si>
  <si>
    <t>Introduction</t>
  </si>
  <si>
    <t xml:space="preserve">
This section evaluates prestressing strand stresses at applicable construction and service stages in accordance with AASHTO LRFD requirements. Strand stresses are checked at critical locations along the member using the section properties, strand geometry, and prestress force assumptions defined herein to verify compliance with allowable stress limits.</t>
  </si>
  <si>
    <t>Design Equations and Nomenclature</t>
  </si>
  <si>
    <t xml:space="preserve">
The nomenclature and equations used throughout this calculation tool are described in this section.</t>
  </si>
  <si>
    <t>2.1.</t>
  </si>
  <si>
    <t>Description of Variables</t>
  </si>
  <si>
    <t xml:space="preserve">
This subsection summarizes the geometric, material, and prestressing parameters used in the strand stress limit calculations. The properties listed below define the section configuration, reinforcing layout, duct geometry, and material characteristics required to evaluate strand stresses in accordance with AASHTO LRFD provisions. </t>
  </si>
  <si>
    <r>
      <rPr>
        <sz val="9"/>
        <color theme="1"/>
        <rFont val="Jacobs Chronos"/>
        <family val="2"/>
      </rPr>
      <t>Post-Tensioning Tensile Strength,</t>
    </r>
    <r>
      <rPr>
        <i/>
        <sz val="9"/>
        <color theme="1"/>
        <rFont val="Jacobs Chronos"/>
        <family val="2"/>
      </rPr>
      <t xml:space="preserve"> f</t>
    </r>
    <r>
      <rPr>
        <i/>
        <vertAlign val="subscript"/>
        <sz val="9"/>
        <color theme="1"/>
        <rFont val="Jacobs Chronos"/>
        <family val="2"/>
      </rPr>
      <t>pu</t>
    </r>
    <r>
      <rPr>
        <sz val="9"/>
        <color theme="1"/>
        <rFont val="Jacobs Chronos"/>
        <family val="2"/>
      </rPr>
      <t xml:space="preserve"> =</t>
    </r>
  </si>
  <si>
    <t>3.1.</t>
  </si>
  <si>
    <t>Geometry and Materials</t>
  </si>
  <si>
    <t>Post-Tensioning Stress Demands</t>
  </si>
  <si>
    <t>Post-Tensioning Stress Checks</t>
  </si>
  <si>
    <t>5.1.</t>
  </si>
  <si>
    <t>Strand Stress Limits</t>
  </si>
  <si>
    <t>Strand Stress Checks Along Beam</t>
  </si>
  <si>
    <t>5.2.</t>
  </si>
  <si>
    <t xml:space="preserve">
This section evaluates prestressing strand stresses at key construction and service stages to verify compliance with AASHTO LRFD allowable stress limits. Strand stresses vary along the tendon length and over time due to jacking operations, friction effects, anchorage seating, time‑dependent losses, and applied service loads. Accordingly, multiple stress limit states must be checked to ensure that strand stresses remain within acceptable bounds throughout the life of the structure.
The stress limits evaluated herein are based on the applicable AASHTO LRFD provisions for prestressing steel and are intended to prevent strand yielding, excessive relaxation, anchorage distress, and long‑term performance issues.</t>
  </si>
  <si>
    <r>
      <rPr>
        <b/>
        <sz val="9"/>
        <color theme="1"/>
        <rFont val="Jacobs Chronos"/>
        <family val="2"/>
      </rPr>
      <t>Stress prior to anchorage seating</t>
    </r>
    <r>
      <rPr>
        <sz val="9"/>
        <color theme="1"/>
        <rFont val="Jacobs Chronos"/>
        <family val="2"/>
      </rPr>
      <t>, representing the maximum strand stress during jacking before seating losses occur.</t>
    </r>
  </si>
  <si>
    <r>
      <rPr>
        <b/>
        <sz val="9"/>
        <color theme="1"/>
        <rFont val="Jacobs Chronos"/>
        <family val="2"/>
      </rPr>
      <t>Stress immediately after anchor set</t>
    </r>
    <r>
      <rPr>
        <sz val="9"/>
        <color theme="1"/>
        <rFont val="Jacobs Chronos"/>
        <family val="2"/>
      </rPr>
      <t>, accounting for friction and anchorage seating losses at both the jacking and non‑jacking ends.</t>
    </r>
  </si>
  <si>
    <r>
      <rPr>
        <b/>
        <sz val="9"/>
        <color theme="1"/>
        <rFont val="Jacobs Chronos"/>
        <family val="2"/>
      </rPr>
      <t>Stress at the end of the seating loss zone</t>
    </r>
    <r>
      <rPr>
        <sz val="9"/>
        <color theme="1"/>
        <rFont val="Jacobs Chronos"/>
        <family val="2"/>
      </rPr>
      <t>, where maximum effective prestress typically occurs immediately after anchor seating.</t>
    </r>
  </si>
  <si>
    <r>
      <rPr>
        <b/>
        <sz val="9"/>
        <color theme="1"/>
        <rFont val="Jacobs Chronos"/>
        <family val="2"/>
      </rPr>
      <t>Service limit state stress after all losses</t>
    </r>
    <r>
      <rPr>
        <sz val="9"/>
        <color theme="1"/>
        <rFont val="Jacobs Chronos"/>
        <family val="2"/>
      </rPr>
      <t>, including time‑dependent losses and stresses induced by unfactored permanent and transient service loads after tendon grouting.</t>
    </r>
  </si>
  <si>
    <t>Each stress limit is evaluated independently in the subsections that follow to confirm compliance with the applicable AASHTO LRFD provision.</t>
  </si>
  <si>
    <t>Stress Prior to Anchorage Seating</t>
  </si>
  <si>
    <t>5.1.1.</t>
  </si>
  <si>
    <t>5.1.2.</t>
  </si>
  <si>
    <t>5.1.3.</t>
  </si>
  <si>
    <t>5.1.4.</t>
  </si>
  <si>
    <t>Stress Immediately After Anchorage Set</t>
  </si>
  <si>
    <t xml:space="preserve">
AASHTO LRFD specifies different allowable prestressing strand stress limits corresponding to distinct stages of construction and service. Each stage represents a condition where high strand stresses may occur due to combinations of prestressing force, losses, and structural demand.
The following strand stress checks are evaluated in this section:</t>
  </si>
  <si>
    <t xml:space="preserve">
At this stage, strand force is highest and no seating losses have yet occurred. The strand is unbonded and the stress is governed directly by the jacking force applied at the anchorage.  AASHTO LRFD limits the maximum temporary stress in prestressing steel during jacking to prevent strand damage, wire over‑stressing, or excessive relaxation. </t>
  </si>
  <si>
    <t xml:space="preserve">
Immediately after anchor set, prestressing strand stresses are reduced due to anchorage seating losses and friction losses developed along the tendon profile. At this stage, the strand remains unbonded, and stress levels differ between the jacking end and the non‑jacking end.  This check evaluates strand stresses at both ends of the tendon immediately following anchor seating to verify compliance with AASHTO LRFD allowable limits for post‑seating conditions. These limits are typically more restrictive than those prior to seating and often govern the maximum permissible jacking force.</t>
  </si>
  <si>
    <t xml:space="preserve">
The maximum effective prestressing strand stress following anchor set typically occurs at the end of the anchorage seating loss zone, where the influence of local seating losses diminishes and friction effects are minimal. This location often governs the maximum post‑seating strand stress.  This check evaluates the effective strand stress at the end of the seating loss zone immediately after anchor set and prior to the development of time‑dependent losses. The calculated strand stress is compared to the applicable AASHTO LRFD allowable limit based on strand type.</t>
  </si>
  <si>
    <r>
      <rPr>
        <sz val="9"/>
        <color theme="1"/>
        <rFont val="Jacobs Chronos"/>
        <family val="2"/>
      </rPr>
      <t>Post-Tensioning Yield Strength,</t>
    </r>
    <r>
      <rPr>
        <i/>
        <sz val="9"/>
        <color theme="1"/>
        <rFont val="Jacobs Chronos"/>
        <family val="2"/>
      </rPr>
      <t xml:space="preserve"> f</t>
    </r>
    <r>
      <rPr>
        <i/>
        <vertAlign val="subscript"/>
        <sz val="9"/>
        <color theme="1"/>
        <rFont val="Jacobs Chronos"/>
        <family val="2"/>
      </rPr>
      <t>py</t>
    </r>
    <r>
      <rPr>
        <sz val="9"/>
        <color theme="1"/>
        <rFont val="Jacobs Chronos"/>
        <family val="2"/>
      </rPr>
      <t xml:space="preserve"> =</t>
    </r>
  </si>
  <si>
    <t>Section 4</t>
  </si>
  <si>
    <r>
      <t xml:space="preserve">Stress Limit Prior to Seating DC Ratio, </t>
    </r>
    <r>
      <rPr>
        <i/>
        <sz val="9"/>
        <color theme="1"/>
        <rFont val="Jacobs Chronos"/>
        <family val="2"/>
      </rPr>
      <t>DC</t>
    </r>
    <r>
      <rPr>
        <sz val="9"/>
        <color theme="1"/>
        <rFont val="Jacobs Chronos"/>
        <family val="2"/>
      </rPr>
      <t xml:space="preserve"> =</t>
    </r>
  </si>
  <si>
    <r>
      <t xml:space="preserve">Sum of Moments, </t>
    </r>
    <r>
      <rPr>
        <i/>
        <sz val="9"/>
        <color theme="1"/>
        <rFont val="Jacobs Chronos"/>
        <family val="2"/>
      </rPr>
      <t>M</t>
    </r>
    <r>
      <rPr>
        <i/>
        <vertAlign val="subscript"/>
        <sz val="9"/>
        <color theme="1"/>
        <rFont val="Jacobs Chronos"/>
        <family val="2"/>
      </rPr>
      <t>U</t>
    </r>
  </si>
  <si>
    <r>
      <t xml:space="preserve">PT Eccentricity, </t>
    </r>
    <r>
      <rPr>
        <i/>
        <sz val="9"/>
        <color theme="1"/>
        <rFont val="Jacobs Chronos"/>
        <family val="2"/>
      </rPr>
      <t>e</t>
    </r>
  </si>
  <si>
    <t>Design Philosophy for Post‑Tensioning Strand Stress Checks</t>
  </si>
  <si>
    <t>Staged Nature of Prestressing Strand Stress Limits</t>
  </si>
  <si>
    <t xml:space="preserve">
Prestressing strand stress limits prescribed by AASHTO LRFD are stage‑dependent, reflecting both the physical behavior of prestressing systems and observed performance of tendons in service. Maximum allowable stresses vary based on whether the strand is unbonded or bonded, whether anchorage seating has occurred, and whether time‑dependent losses and superimposed loads have developed.
It is important to recognize that the maximum strand stress does not necessarily occur under service loading, nor does it necessarily occur at the jacking end. In many cases, the governing stress occurs immediately after anchorage seating at or near the end of the seating loss zone. The design approach implemented in this tool reflects this behavior by explicitly checking all applicable stages rather than relying on a single controlling condition.</t>
  </si>
  <si>
    <t>Stress–Strain Characteristics of Prestressing Strand</t>
  </si>
  <si>
    <t xml:space="preserve">
Following grouting, post‑tensioning tendons are assumed to be fully bonded to the surrounding concrete. Under bonded conditions, changes in tendon stress due to applied loads are calculated using strain compatibility, whereby the tendon strain is assumed equal to the concrete strain at the tendon elevation.
Accordingly, stresses in the prestressing strand due to dead load, wearing surface, and live load with dynamic allowance are calculated based on elastic section behavior. These stress increments are then combined algebraically with the effective prestress after losses to obtain the total strand stress for service‑level evaluations.  This assumption is valid for service stress checks where the section remains uncracked and prestressing forces dominate section behavior.</t>
  </si>
  <si>
    <t>Bonded Behavior and Strain Compatibility Assumptions</t>
  </si>
  <si>
    <t>Intended Use and Limitations</t>
  </si>
  <si>
    <t xml:space="preserve">
This tool is intended for use in the design and verification of bonded post‑tensioned concrete bridge members designed in accordance with AASHTO LRFD.  It assumes elastic section behavior for stress‑limit evaluations and relies on prestress loss values obtained from analytical software.
The tool is not intended to replace detailed nonlinear analysis, tendon stressing procedures, or construction‑stage modeling where such analyses is warranted. Engineering judgment remains essential in the selection of jacking force, interpretation of stress results, and evaluation of unusual geometries or construction sequences.</t>
  </si>
  <si>
    <r>
      <t xml:space="preserve">Effective Post-Tensioning Stress at Service Limit State, </t>
    </r>
    <r>
      <rPr>
        <i/>
        <sz val="9"/>
        <color theme="1"/>
        <rFont val="Jacobs Chronos"/>
        <family val="2"/>
      </rPr>
      <t>f</t>
    </r>
    <r>
      <rPr>
        <i/>
        <vertAlign val="subscript"/>
        <sz val="9"/>
        <color theme="1"/>
        <rFont val="Jacobs Chronos"/>
        <family val="2"/>
      </rPr>
      <t>pe.service</t>
    </r>
    <r>
      <rPr>
        <sz val="9"/>
        <color theme="1"/>
        <rFont val="Jacobs Chronos"/>
        <family val="2"/>
      </rPr>
      <t xml:space="preserve"> =</t>
    </r>
  </si>
  <si>
    <r>
      <t xml:space="preserve">Effective Post-Tensioning Stress at Non-Jacking End, </t>
    </r>
    <r>
      <rPr>
        <i/>
        <sz val="9"/>
        <color theme="1"/>
        <rFont val="Jacobs Chronos"/>
        <family val="2"/>
      </rPr>
      <t>f</t>
    </r>
    <r>
      <rPr>
        <i/>
        <vertAlign val="subscript"/>
        <sz val="9"/>
        <color theme="1"/>
        <rFont val="Jacobs Chronos"/>
        <family val="2"/>
      </rPr>
      <t>pe.njack</t>
    </r>
    <r>
      <rPr>
        <sz val="9"/>
        <color theme="1"/>
        <rFont val="Jacobs Chronos"/>
        <family val="2"/>
      </rPr>
      <t xml:space="preserve"> =</t>
    </r>
  </si>
  <si>
    <r>
      <t xml:space="preserve">Effective Post-Tensioning Stress at End of Seating Zone, </t>
    </r>
    <r>
      <rPr>
        <i/>
        <sz val="9"/>
        <color theme="1"/>
        <rFont val="Jacobs Chronos"/>
        <family val="2"/>
      </rPr>
      <t>f</t>
    </r>
    <r>
      <rPr>
        <i/>
        <vertAlign val="subscript"/>
        <sz val="9"/>
        <color theme="1"/>
        <rFont val="Jacobs Chronos"/>
        <family val="2"/>
      </rPr>
      <t>pe.seat</t>
    </r>
    <r>
      <rPr>
        <sz val="9"/>
        <color theme="1"/>
        <rFont val="Jacobs Chronos"/>
        <family val="2"/>
      </rPr>
      <t xml:space="preserve"> =</t>
    </r>
  </si>
  <si>
    <r>
      <t xml:space="preserve">Effective Post-Tensioning Stress at Midspan, </t>
    </r>
    <r>
      <rPr>
        <i/>
        <sz val="9"/>
        <color theme="1"/>
        <rFont val="Jacobs Chronos"/>
        <family val="2"/>
      </rPr>
      <t>f</t>
    </r>
    <r>
      <rPr>
        <i/>
        <vertAlign val="subscript"/>
        <sz val="9"/>
        <color theme="1"/>
        <rFont val="Jacobs Chronos"/>
        <family val="2"/>
      </rPr>
      <t>pe.mid</t>
    </r>
    <r>
      <rPr>
        <sz val="9"/>
        <color theme="1"/>
        <rFont val="Jacobs Chronos"/>
        <family val="2"/>
      </rPr>
      <t xml:space="preserve"> =</t>
    </r>
  </si>
  <si>
    <r>
      <t xml:space="preserve">Effective Post-Tensioning Stress at Jacking End, </t>
    </r>
    <r>
      <rPr>
        <i/>
        <sz val="9"/>
        <color theme="1"/>
        <rFont val="Jacobs Chronos"/>
        <family val="2"/>
      </rPr>
      <t>f</t>
    </r>
    <r>
      <rPr>
        <i/>
        <vertAlign val="subscript"/>
        <sz val="9"/>
        <color theme="1"/>
        <rFont val="Jacobs Chronos"/>
        <family val="2"/>
      </rPr>
      <t>pe.jack</t>
    </r>
    <r>
      <rPr>
        <sz val="9"/>
        <color theme="1"/>
        <rFont val="Jacobs Chronos"/>
        <family val="2"/>
      </rPr>
      <t xml:space="preserve"> =</t>
    </r>
  </si>
  <si>
    <t>The effective PT at the service limit state is defined as the stress in the post-tensioning steel after accounting for all prestress losses applicable at the service limit state. This stress excludes any additional stress in the post-tensioning steel resulting from external loads, including DC, DW, and LL+IM.</t>
  </si>
  <si>
    <r>
      <t xml:space="preserve">Eff. Post-Tensioning Stress at Jacking End, </t>
    </r>
    <r>
      <rPr>
        <i/>
        <sz val="9"/>
        <color theme="1"/>
        <rFont val="Jacobs Chronos"/>
        <family val="2"/>
      </rPr>
      <t>f</t>
    </r>
    <r>
      <rPr>
        <i/>
        <vertAlign val="subscript"/>
        <sz val="9"/>
        <color theme="1"/>
        <rFont val="Jacobs Chronos"/>
        <family val="2"/>
      </rPr>
      <t>pe.jack</t>
    </r>
    <r>
      <rPr>
        <sz val="9"/>
        <color theme="1"/>
        <rFont val="Jacobs Chronos"/>
        <family val="2"/>
      </rPr>
      <t xml:space="preserve"> =</t>
    </r>
  </si>
  <si>
    <r>
      <t xml:space="preserve">Stress Limit Immediately After Anchorage Set DC Ratio, </t>
    </r>
    <r>
      <rPr>
        <i/>
        <sz val="9"/>
        <color theme="1"/>
        <rFont val="Jacobs Chronos"/>
        <family val="2"/>
      </rPr>
      <t>DC</t>
    </r>
    <r>
      <rPr>
        <sz val="9"/>
        <color theme="1"/>
        <rFont val="Jacobs Chronos"/>
        <family val="2"/>
      </rPr>
      <t xml:space="preserve"> =</t>
    </r>
  </si>
  <si>
    <r>
      <t xml:space="preserve">Eff. Post-Tensioning Stress at Non-Jacking End, </t>
    </r>
    <r>
      <rPr>
        <i/>
        <sz val="9"/>
        <color theme="1"/>
        <rFont val="Jacobs Chronos"/>
        <family val="2"/>
      </rPr>
      <t>f</t>
    </r>
    <r>
      <rPr>
        <i/>
        <vertAlign val="subscript"/>
        <sz val="9"/>
        <color theme="1"/>
        <rFont val="Jacobs Chronos"/>
        <family val="2"/>
      </rPr>
      <t>pe.njack</t>
    </r>
    <r>
      <rPr>
        <sz val="9"/>
        <color theme="1"/>
        <rFont val="Jacobs Chronos"/>
        <family val="2"/>
      </rPr>
      <t xml:space="preserve"> =</t>
    </r>
  </si>
  <si>
    <r>
      <t>f</t>
    </r>
    <r>
      <rPr>
        <i/>
        <vertAlign val="subscript"/>
        <sz val="7"/>
        <color theme="1"/>
        <rFont val="Jacobs Chronos"/>
        <family val="2"/>
      </rPr>
      <t>pe.njack</t>
    </r>
    <r>
      <rPr>
        <sz val="7"/>
        <color theme="1"/>
        <rFont val="Jacobs Chronos"/>
        <family val="2"/>
      </rPr>
      <t xml:space="preserve"> / </t>
    </r>
    <r>
      <rPr>
        <i/>
        <sz val="7"/>
        <color theme="1"/>
        <rFont val="Jacobs Chronos"/>
        <family val="2"/>
      </rPr>
      <t>f</t>
    </r>
    <r>
      <rPr>
        <i/>
        <vertAlign val="subscript"/>
        <sz val="7"/>
        <color theme="1"/>
        <rFont val="Jacobs Chronos"/>
        <family val="2"/>
      </rPr>
      <t>pu.jack.lim</t>
    </r>
  </si>
  <si>
    <r>
      <t>f</t>
    </r>
    <r>
      <rPr>
        <i/>
        <vertAlign val="subscript"/>
        <sz val="7"/>
        <color theme="1"/>
        <rFont val="Jacobs Chronos"/>
        <family val="2"/>
      </rPr>
      <t>pe.jack</t>
    </r>
    <r>
      <rPr>
        <sz val="7"/>
        <color theme="1"/>
        <rFont val="Jacobs Chronos"/>
        <family val="2"/>
      </rPr>
      <t xml:space="preserve"> / </t>
    </r>
    <r>
      <rPr>
        <i/>
        <sz val="7"/>
        <color theme="1"/>
        <rFont val="Jacobs Chronos"/>
        <family val="2"/>
      </rPr>
      <t>f</t>
    </r>
    <r>
      <rPr>
        <i/>
        <vertAlign val="subscript"/>
        <sz val="7"/>
        <color theme="1"/>
        <rFont val="Jacobs Chronos"/>
        <family val="2"/>
      </rPr>
      <t>pu.jack.lim</t>
    </r>
  </si>
  <si>
    <r>
      <t xml:space="preserve">Stress Limit Immediately After Anchorage Set, </t>
    </r>
    <r>
      <rPr>
        <i/>
        <sz val="9"/>
        <color theme="1"/>
        <rFont val="Jacobs Chronos"/>
        <family val="2"/>
      </rPr>
      <t>f</t>
    </r>
    <r>
      <rPr>
        <i/>
        <vertAlign val="subscript"/>
        <sz val="9"/>
        <color theme="1"/>
        <rFont val="Jacobs Chronos"/>
        <family val="2"/>
      </rPr>
      <t>pu.jack.lim</t>
    </r>
    <r>
      <rPr>
        <sz val="9"/>
        <color theme="1"/>
        <rFont val="Jacobs Chronos"/>
        <family val="2"/>
      </rPr>
      <t xml:space="preserve"> =</t>
    </r>
  </si>
  <si>
    <r>
      <t xml:space="preserve">Stress Limit Prior to Anchorage Seating, </t>
    </r>
    <r>
      <rPr>
        <i/>
        <sz val="9"/>
        <color theme="1"/>
        <rFont val="Jacobs Chronos"/>
        <family val="2"/>
      </rPr>
      <t>f</t>
    </r>
    <r>
      <rPr>
        <i/>
        <vertAlign val="subscript"/>
        <sz val="9"/>
        <color theme="1"/>
        <rFont val="Jacobs Chronos"/>
        <family val="2"/>
      </rPr>
      <t>ps.jack.lim</t>
    </r>
    <r>
      <rPr>
        <sz val="9"/>
        <color theme="1"/>
        <rFont val="Jacobs Chronos"/>
        <family val="2"/>
      </rPr>
      <t xml:space="preserve"> =</t>
    </r>
  </si>
  <si>
    <r>
      <t>f</t>
    </r>
    <r>
      <rPr>
        <i/>
        <vertAlign val="subscript"/>
        <sz val="7"/>
        <color theme="1"/>
        <rFont val="Jacobs Chronos"/>
        <family val="2"/>
      </rPr>
      <t>pe.jack</t>
    </r>
    <r>
      <rPr>
        <sz val="7"/>
        <color theme="1"/>
        <rFont val="Jacobs Chronos"/>
        <family val="2"/>
      </rPr>
      <t xml:space="preserve"> / </t>
    </r>
    <r>
      <rPr>
        <i/>
        <sz val="7"/>
        <color theme="1"/>
        <rFont val="Jacobs Chronos"/>
        <family val="2"/>
      </rPr>
      <t>f</t>
    </r>
    <r>
      <rPr>
        <i/>
        <vertAlign val="subscript"/>
        <sz val="7"/>
        <color theme="1"/>
        <rFont val="Jacobs Chronos"/>
        <family val="2"/>
      </rPr>
      <t>ps.jack.lim</t>
    </r>
  </si>
  <si>
    <t>Low Relaxation Strand</t>
  </si>
  <si>
    <t>Tendon Type =</t>
  </si>
  <si>
    <r>
      <t xml:space="preserve">Eff. Post-Tensioning Stress at End Seating, </t>
    </r>
    <r>
      <rPr>
        <i/>
        <sz val="9"/>
        <color theme="1"/>
        <rFont val="Jacobs Chronos"/>
        <family val="2"/>
      </rPr>
      <t>f</t>
    </r>
    <r>
      <rPr>
        <i/>
        <vertAlign val="subscript"/>
        <sz val="9"/>
        <color theme="1"/>
        <rFont val="Jacobs Chronos"/>
        <family val="2"/>
      </rPr>
      <t>pe.seat</t>
    </r>
    <r>
      <rPr>
        <sz val="9"/>
        <color theme="1"/>
        <rFont val="Jacobs Chronos"/>
        <family val="2"/>
      </rPr>
      <t xml:space="preserve"> =</t>
    </r>
  </si>
  <si>
    <r>
      <t xml:space="preserve">Stress Limit Prior to Anchorage Seating DC Ratio, </t>
    </r>
    <r>
      <rPr>
        <i/>
        <sz val="9"/>
        <color theme="1"/>
        <rFont val="Jacobs Chronos"/>
        <family val="2"/>
      </rPr>
      <t>DC</t>
    </r>
    <r>
      <rPr>
        <sz val="9"/>
        <color theme="1"/>
        <rFont val="Jacobs Chronos"/>
        <family val="2"/>
      </rPr>
      <t xml:space="preserve"> =</t>
    </r>
  </si>
  <si>
    <t>DC</t>
  </si>
  <si>
    <t>LL + IM</t>
  </si>
  <si>
    <t>5.1.5.</t>
  </si>
  <si>
    <t>Sumary Stresses Prior to Anchorage Seating</t>
  </si>
  <si>
    <t>Stress Prior to Anchorage Seating at Service Limit State</t>
  </si>
  <si>
    <r>
      <t xml:space="preserve">Stress Limit Prior to Anchorage Seating, </t>
    </r>
    <r>
      <rPr>
        <i/>
        <sz val="9"/>
        <color theme="1"/>
        <rFont val="Jacobs Chronos"/>
        <family val="2"/>
      </rPr>
      <t>f</t>
    </r>
    <r>
      <rPr>
        <i/>
        <vertAlign val="subscript"/>
        <sz val="9"/>
        <color theme="1"/>
        <rFont val="Jacobs Chronos"/>
        <family val="2"/>
      </rPr>
      <t>pu.seat.lim</t>
    </r>
    <r>
      <rPr>
        <sz val="9"/>
        <color theme="1"/>
        <rFont val="Jacobs Chronos"/>
        <family val="2"/>
      </rPr>
      <t xml:space="preserve"> =</t>
    </r>
  </si>
  <si>
    <r>
      <t xml:space="preserve">Stress Limit Prior to Anchorage Seating in Service, </t>
    </r>
    <r>
      <rPr>
        <i/>
        <sz val="9"/>
        <color theme="1"/>
        <rFont val="Jacobs Chronos"/>
        <family val="2"/>
      </rPr>
      <t>f</t>
    </r>
    <r>
      <rPr>
        <i/>
        <vertAlign val="subscript"/>
        <sz val="9"/>
        <color theme="1"/>
        <rFont val="Jacobs Chronos"/>
        <family val="2"/>
      </rPr>
      <t>pu.service.lim</t>
    </r>
    <r>
      <rPr>
        <sz val="9"/>
        <color theme="1"/>
        <rFont val="Jacobs Chronos"/>
        <family val="2"/>
      </rPr>
      <t xml:space="preserve"> =</t>
    </r>
  </si>
  <si>
    <r>
      <t xml:space="preserve">Stress Limit Prior to Anchorage Seating in Service DC Ratio, </t>
    </r>
    <r>
      <rPr>
        <i/>
        <sz val="9"/>
        <color theme="1"/>
        <rFont val="Jacobs Chronos"/>
        <family val="2"/>
      </rPr>
      <t>DC</t>
    </r>
    <r>
      <rPr>
        <sz val="9"/>
        <color theme="1"/>
        <rFont val="Jacobs Chronos"/>
        <family val="2"/>
      </rPr>
      <t xml:space="preserve"> =</t>
    </r>
  </si>
  <si>
    <t>Girder Start</t>
  </si>
  <si>
    <t>Girder End</t>
  </si>
  <si>
    <r>
      <t>Moment of Interia of the entire superstructure section,</t>
    </r>
    <r>
      <rPr>
        <i/>
        <sz val="9"/>
        <color theme="1"/>
        <rFont val="Jacobs Chronos"/>
        <family val="2"/>
      </rPr>
      <t xml:space="preserve"> I</t>
    </r>
    <r>
      <rPr>
        <sz val="9"/>
        <color theme="1"/>
        <rFont val="Jacobs Chronos"/>
        <family val="2"/>
      </rPr>
      <t xml:space="preserve"> =</t>
    </r>
  </si>
  <si>
    <r>
      <t xml:space="preserve">Stress Due to MU, </t>
    </r>
    <r>
      <rPr>
        <i/>
        <sz val="9"/>
        <color theme="1"/>
        <rFont val="Jacobs Chronos"/>
        <family val="2"/>
      </rPr>
      <t>f</t>
    </r>
    <r>
      <rPr>
        <i/>
        <vertAlign val="subscript"/>
        <sz val="9"/>
        <color theme="1"/>
        <rFont val="Jacobs Chronos"/>
        <family val="2"/>
      </rPr>
      <t>pt.loads</t>
    </r>
  </si>
  <si>
    <r>
      <t>f</t>
    </r>
    <r>
      <rPr>
        <i/>
        <vertAlign val="subscript"/>
        <sz val="7"/>
        <color theme="1"/>
        <rFont val="Jacobs Chronos"/>
        <family val="2"/>
      </rPr>
      <t>pu.service.L1</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</si>
  <si>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f</t>
    </r>
    <r>
      <rPr>
        <i/>
        <vertAlign val="subscript"/>
        <sz val="7"/>
        <color theme="1"/>
        <rFont val="Jacobs Chronos"/>
        <family val="2"/>
      </rPr>
      <t>pu.service.L2</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</si>
  <si>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f</t>
    </r>
    <r>
      <rPr>
        <i/>
        <vertAlign val="subscript"/>
        <sz val="7"/>
        <color theme="1"/>
        <rFont val="Jacobs Chronos"/>
        <family val="2"/>
      </rPr>
      <t>pu.service.L3</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</si>
  <si>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 xml:space="preserve">Modulus of Elasticity of concrete, </t>
    </r>
    <r>
      <rPr>
        <i/>
        <sz val="9"/>
        <color theme="1"/>
        <rFont val="Jacobs Chronos"/>
        <family val="2"/>
      </rPr>
      <t>E</t>
    </r>
    <r>
      <rPr>
        <i/>
        <vertAlign val="subscript"/>
        <sz val="9"/>
        <color theme="1"/>
        <rFont val="Jacobs Chronos"/>
        <family val="2"/>
      </rPr>
      <t>c</t>
    </r>
    <r>
      <rPr>
        <sz val="9"/>
        <color theme="1"/>
        <rFont val="Jacobs Chronos"/>
        <family val="2"/>
      </rPr>
      <t xml:space="preserve"> =</t>
    </r>
  </si>
  <si>
    <r>
      <t>f</t>
    </r>
    <r>
      <rPr>
        <i/>
        <vertAlign val="subscript"/>
        <sz val="9"/>
        <color theme="1"/>
        <rFont val="Jacobs Chronos"/>
        <family val="2"/>
      </rPr>
      <t>pu</t>
    </r>
    <r>
      <rPr>
        <sz val="9"/>
        <color theme="1"/>
        <rFont val="Jacobs Chronos"/>
        <family val="2"/>
      </rPr>
      <t xml:space="preserve"> =</t>
    </r>
  </si>
  <si>
    <r>
      <t>f</t>
    </r>
    <r>
      <rPr>
        <i/>
        <vertAlign val="subscript"/>
        <sz val="9"/>
        <color theme="1"/>
        <rFont val="Jacobs Chronos"/>
        <family val="2"/>
      </rPr>
      <t>py</t>
    </r>
    <r>
      <rPr>
        <sz val="9"/>
        <color theme="1"/>
        <rFont val="Jacobs Chronos"/>
        <family val="2"/>
      </rPr>
      <t xml:space="preserve"> =</t>
    </r>
  </si>
  <si>
    <r>
      <t>E</t>
    </r>
    <r>
      <rPr>
        <i/>
        <vertAlign val="subscript"/>
        <sz val="9"/>
        <color theme="1"/>
        <rFont val="Jacobs Chronos"/>
        <family val="2"/>
      </rPr>
      <t>ps</t>
    </r>
    <r>
      <rPr>
        <i/>
        <sz val="9"/>
        <color theme="1"/>
        <rFont val="Jacobs Chronos"/>
        <family val="2"/>
      </rPr>
      <t xml:space="preserve"> </t>
    </r>
    <r>
      <rPr>
        <sz val="9"/>
        <color theme="1"/>
        <rFont val="Jacobs Chronos"/>
        <family val="2"/>
      </rPr>
      <t>=</t>
    </r>
  </si>
  <si>
    <r>
      <t xml:space="preserve">Post-Tensioning Steel Modulus of Elasticity, </t>
    </r>
    <r>
      <rPr>
        <i/>
        <sz val="9"/>
        <color theme="1"/>
        <rFont val="Jacobs Chronos"/>
        <family val="2"/>
      </rPr>
      <t>E</t>
    </r>
    <r>
      <rPr>
        <i/>
        <vertAlign val="subscript"/>
        <sz val="9"/>
        <color theme="1"/>
        <rFont val="Jacobs Chronos"/>
        <family val="2"/>
      </rPr>
      <t>ps</t>
    </r>
    <r>
      <rPr>
        <sz val="9"/>
        <color theme="1"/>
        <rFont val="Jacobs Chronos"/>
        <family val="2"/>
      </rPr>
      <t xml:space="preserve"> =</t>
    </r>
  </si>
  <si>
    <r>
      <t>E</t>
    </r>
    <r>
      <rPr>
        <i/>
        <vertAlign val="subscript"/>
        <sz val="9"/>
        <color theme="1"/>
        <rFont val="Jacobs Chronos"/>
        <family val="2"/>
      </rPr>
      <t>c</t>
    </r>
    <r>
      <rPr>
        <i/>
        <sz val="9"/>
        <color theme="1"/>
        <rFont val="Jacobs Chronos"/>
        <family val="2"/>
      </rPr>
      <t xml:space="preserve"> </t>
    </r>
    <r>
      <rPr>
        <sz val="9"/>
        <color theme="1"/>
        <rFont val="Jacobs Chronos"/>
        <family val="2"/>
      </rPr>
      <t>=</t>
    </r>
  </si>
  <si>
    <r>
      <rPr>
        <i/>
        <sz val="9"/>
        <color theme="1"/>
        <rFont val="Jacobs Chronos"/>
        <family val="2"/>
      </rPr>
      <t xml:space="preserve"> I</t>
    </r>
    <r>
      <rPr>
        <sz val="9"/>
        <color theme="1"/>
        <rFont val="Jacobs Chronos"/>
        <family val="2"/>
      </rPr>
      <t xml:space="preserve"> =</t>
    </r>
  </si>
  <si>
    <r>
      <rPr>
        <i/>
        <sz val="9"/>
        <color theme="1"/>
        <rFont val="Jacobs Chronos"/>
        <family val="2"/>
      </rPr>
      <t>f</t>
    </r>
    <r>
      <rPr>
        <i/>
        <vertAlign val="subscript"/>
        <sz val="9"/>
        <color theme="1"/>
        <rFont val="Jacobs Chronos"/>
        <family val="2"/>
      </rPr>
      <t>pe.jack</t>
    </r>
    <r>
      <rPr>
        <sz val="9"/>
        <color theme="1"/>
        <rFont val="Jacobs Chronos"/>
        <family val="2"/>
      </rPr>
      <t xml:space="preserve"> =</t>
    </r>
  </si>
  <si>
    <r>
      <rPr>
        <i/>
        <sz val="9"/>
        <color theme="1"/>
        <rFont val="Jacobs Chronos"/>
        <family val="2"/>
      </rPr>
      <t>f</t>
    </r>
    <r>
      <rPr>
        <i/>
        <vertAlign val="subscript"/>
        <sz val="9"/>
        <color theme="1"/>
        <rFont val="Jacobs Chronos"/>
        <family val="2"/>
      </rPr>
      <t>pe.mid</t>
    </r>
    <r>
      <rPr>
        <sz val="9"/>
        <color theme="1"/>
        <rFont val="Jacobs Chronos"/>
        <family val="2"/>
      </rPr>
      <t xml:space="preserve"> =</t>
    </r>
  </si>
  <si>
    <r>
      <rPr>
        <i/>
        <sz val="9"/>
        <color theme="1"/>
        <rFont val="Jacobs Chronos"/>
        <family val="2"/>
      </rPr>
      <t>f</t>
    </r>
    <r>
      <rPr>
        <i/>
        <vertAlign val="subscript"/>
        <sz val="9"/>
        <color theme="1"/>
        <rFont val="Jacobs Chronos"/>
        <family val="2"/>
      </rPr>
      <t>pe.seat</t>
    </r>
    <r>
      <rPr>
        <sz val="9"/>
        <color theme="1"/>
        <rFont val="Jacobs Chronos"/>
        <family val="2"/>
      </rPr>
      <t xml:space="preserve"> =</t>
    </r>
  </si>
  <si>
    <r>
      <rPr>
        <i/>
        <sz val="9"/>
        <color theme="1"/>
        <rFont val="Jacobs Chronos"/>
        <family val="2"/>
      </rPr>
      <t>f</t>
    </r>
    <r>
      <rPr>
        <i/>
        <vertAlign val="subscript"/>
        <sz val="9"/>
        <color theme="1"/>
        <rFont val="Jacobs Chronos"/>
        <family val="2"/>
      </rPr>
      <t>pe.njack</t>
    </r>
    <r>
      <rPr>
        <sz val="9"/>
        <color theme="1"/>
        <rFont val="Jacobs Chronos"/>
        <family val="2"/>
      </rPr>
      <t xml:space="preserve"> =</t>
    </r>
  </si>
  <si>
    <r>
      <rPr>
        <i/>
        <sz val="9"/>
        <color theme="1"/>
        <rFont val="Jacobs Chronos"/>
        <family val="2"/>
      </rPr>
      <t>f</t>
    </r>
    <r>
      <rPr>
        <i/>
        <vertAlign val="subscript"/>
        <sz val="9"/>
        <color theme="1"/>
        <rFont val="Jacobs Chronos"/>
        <family val="2"/>
      </rPr>
      <t>pe.service</t>
    </r>
    <r>
      <rPr>
        <sz val="9"/>
        <color theme="1"/>
        <rFont val="Jacobs Chronos"/>
        <family val="2"/>
      </rPr>
      <t xml:space="preserve"> =</t>
    </r>
  </si>
  <si>
    <r>
      <rPr>
        <i/>
        <sz val="9"/>
        <color theme="1"/>
        <rFont val="Jacobs Chronos"/>
        <family val="2"/>
      </rPr>
      <t>f</t>
    </r>
    <r>
      <rPr>
        <i/>
        <vertAlign val="subscript"/>
        <sz val="9"/>
        <color theme="1"/>
        <rFont val="Jacobs Chronos"/>
        <family val="2"/>
      </rPr>
      <t>ps.jack.lim</t>
    </r>
    <r>
      <rPr>
        <sz val="9"/>
        <color theme="1"/>
        <rFont val="Jacobs Chronos"/>
        <family val="2"/>
      </rPr>
      <t xml:space="preserve"> =</t>
    </r>
  </si>
  <si>
    <r>
      <rPr>
        <i/>
        <sz val="9"/>
        <color theme="1"/>
        <rFont val="Jacobs Chronos"/>
        <family val="2"/>
      </rPr>
      <t>f</t>
    </r>
    <r>
      <rPr>
        <i/>
        <vertAlign val="subscript"/>
        <sz val="9"/>
        <color theme="1"/>
        <rFont val="Jacobs Chronos"/>
        <family val="2"/>
      </rPr>
      <t>pu.jack.lim</t>
    </r>
    <r>
      <rPr>
        <sz val="9"/>
        <color theme="1"/>
        <rFont val="Jacobs Chronos"/>
        <family val="2"/>
      </rPr>
      <t xml:space="preserve"> =</t>
    </r>
  </si>
  <si>
    <r>
      <rPr>
        <i/>
        <sz val="9"/>
        <color theme="1"/>
        <rFont val="Jacobs Chronos"/>
        <family val="2"/>
      </rPr>
      <t>f</t>
    </r>
    <r>
      <rPr>
        <i/>
        <vertAlign val="subscript"/>
        <sz val="9"/>
        <color theme="1"/>
        <rFont val="Jacobs Chronos"/>
        <family val="2"/>
      </rPr>
      <t>pu.seat.lim</t>
    </r>
    <r>
      <rPr>
        <sz val="9"/>
        <color theme="1"/>
        <rFont val="Jacobs Chronos"/>
        <family val="2"/>
      </rPr>
      <t xml:space="preserve"> =</t>
    </r>
  </si>
  <si>
    <r>
      <rPr>
        <i/>
        <sz val="9"/>
        <color theme="1"/>
        <rFont val="Jacobs Chronos"/>
        <family val="2"/>
      </rPr>
      <t>f</t>
    </r>
    <r>
      <rPr>
        <i/>
        <vertAlign val="subscript"/>
        <sz val="9"/>
        <color theme="1"/>
        <rFont val="Jacobs Chronos"/>
        <family val="2"/>
      </rPr>
      <t>pe.service.L1</t>
    </r>
    <r>
      <rPr>
        <sz val="9"/>
        <color theme="1"/>
        <rFont val="Jacobs Chronos"/>
        <family val="2"/>
      </rPr>
      <t xml:space="preserve"> =</t>
    </r>
  </si>
  <si>
    <r>
      <t xml:space="preserve">Eff. Post-Tensioning Stress at End of Span in Service, </t>
    </r>
    <r>
      <rPr>
        <i/>
        <sz val="9"/>
        <color theme="1"/>
        <rFont val="Jacobs Chronos"/>
        <family val="2"/>
      </rPr>
      <t>f</t>
    </r>
    <r>
      <rPr>
        <i/>
        <vertAlign val="subscript"/>
        <sz val="9"/>
        <color theme="1"/>
        <rFont val="Jacobs Chronos"/>
        <family val="2"/>
      </rPr>
      <t>pe.service.L1</t>
    </r>
    <r>
      <rPr>
        <sz val="9"/>
        <color theme="1"/>
        <rFont val="Jacobs Chronos"/>
        <family val="2"/>
      </rPr>
      <t xml:space="preserve"> =</t>
    </r>
  </si>
  <si>
    <r>
      <t xml:space="preserve">Eff. Post-Tensioning Stress at Start of Span in Service, </t>
    </r>
    <r>
      <rPr>
        <i/>
        <sz val="9"/>
        <color theme="1"/>
        <rFont val="Jacobs Chronos"/>
        <family val="2"/>
      </rPr>
      <t>f</t>
    </r>
    <r>
      <rPr>
        <i/>
        <vertAlign val="subscript"/>
        <sz val="9"/>
        <color theme="1"/>
        <rFont val="Jacobs Chronos"/>
        <family val="2"/>
      </rPr>
      <t>pe.service.L2</t>
    </r>
    <r>
      <rPr>
        <sz val="9"/>
        <color theme="1"/>
        <rFont val="Jacobs Chronos"/>
        <family val="2"/>
      </rPr>
      <t xml:space="preserve"> =</t>
    </r>
  </si>
  <si>
    <r>
      <t xml:space="preserve">Eff. Post-Tensioning Stress at Midspan in Service, </t>
    </r>
    <r>
      <rPr>
        <i/>
        <sz val="9"/>
        <color theme="1"/>
        <rFont val="Jacobs Chronos"/>
        <family val="2"/>
      </rPr>
      <t>f</t>
    </r>
    <r>
      <rPr>
        <i/>
        <vertAlign val="subscript"/>
        <sz val="9"/>
        <color theme="1"/>
        <rFont val="Jacobs Chronos"/>
        <family val="2"/>
      </rPr>
      <t>pe.service.L3</t>
    </r>
    <r>
      <rPr>
        <sz val="9"/>
        <color theme="1"/>
        <rFont val="Jacobs Chronos"/>
        <family val="2"/>
      </rPr>
      <t>=</t>
    </r>
  </si>
  <si>
    <r>
      <rPr>
        <i/>
        <sz val="9"/>
        <color theme="1"/>
        <rFont val="Jacobs Chronos"/>
        <family val="2"/>
      </rPr>
      <t>f</t>
    </r>
    <r>
      <rPr>
        <i/>
        <vertAlign val="subscript"/>
        <sz val="9"/>
        <color theme="1"/>
        <rFont val="Jacobs Chronos"/>
        <family val="2"/>
      </rPr>
      <t>pe.service.L3</t>
    </r>
    <r>
      <rPr>
        <sz val="9"/>
        <color theme="1"/>
        <rFont val="Jacobs Chronos"/>
        <family val="2"/>
      </rPr>
      <t>=</t>
    </r>
  </si>
  <si>
    <r>
      <rPr>
        <i/>
        <sz val="9"/>
        <color theme="1"/>
        <rFont val="Jacobs Chronos"/>
        <family val="2"/>
      </rPr>
      <t>f</t>
    </r>
    <r>
      <rPr>
        <i/>
        <vertAlign val="subscript"/>
        <sz val="9"/>
        <color theme="1"/>
        <rFont val="Jacobs Chronos"/>
        <family val="2"/>
      </rPr>
      <t>pe.service.L2</t>
    </r>
    <r>
      <rPr>
        <sz val="9"/>
        <color theme="1"/>
        <rFont val="Jacobs Chronos"/>
        <family val="2"/>
      </rPr>
      <t xml:space="preserve"> =</t>
    </r>
  </si>
  <si>
    <r>
      <t>e</t>
    </r>
    <r>
      <rPr>
        <sz val="9"/>
        <color theme="1"/>
        <rFont val="Jacobs Chronos"/>
        <family val="2"/>
      </rPr>
      <t xml:space="preserve"> =</t>
    </r>
  </si>
  <si>
    <r>
      <rPr>
        <i/>
        <sz val="9"/>
        <color theme="1"/>
        <rFont val="Jacobs Chronos"/>
        <family val="2"/>
      </rPr>
      <t>f</t>
    </r>
    <r>
      <rPr>
        <i/>
        <vertAlign val="subscript"/>
        <sz val="9"/>
        <color theme="1"/>
        <rFont val="Jacobs Chronos"/>
        <family val="2"/>
      </rPr>
      <t>pt.loads =</t>
    </r>
  </si>
  <si>
    <r>
      <t>M</t>
    </r>
    <r>
      <rPr>
        <i/>
        <vertAlign val="subscript"/>
        <sz val="9"/>
        <color theme="1"/>
        <rFont val="Jacobs Chronos"/>
        <family val="2"/>
      </rPr>
      <t>u</t>
    </r>
    <r>
      <rPr>
        <sz val="9"/>
        <color theme="1"/>
        <rFont val="Jacobs Chronos"/>
        <family val="2"/>
      </rPr>
      <t xml:space="preserve"> =</t>
    </r>
  </si>
  <si>
    <r>
      <rPr>
        <i/>
        <sz val="9"/>
        <color theme="1"/>
        <rFont val="Jacobs Chronos"/>
        <family val="2"/>
      </rPr>
      <t>f</t>
    </r>
    <r>
      <rPr>
        <i/>
        <vertAlign val="subscript"/>
        <sz val="9"/>
        <color theme="1"/>
        <rFont val="Jacobs Chronos"/>
        <family val="2"/>
      </rPr>
      <t>pe.service.L</t>
    </r>
    <r>
      <rPr>
        <sz val="9"/>
        <color theme="1"/>
        <rFont val="Jacobs Chronos"/>
        <family val="2"/>
      </rPr>
      <t xml:space="preserve"> =</t>
    </r>
  </si>
  <si>
    <t>The design of post‑tensioned concrete members requires explicit verification that prestressing strand stresses remain within allowable limits at all critical stages of construction and service. Unlike conventional reinforcing steel, prestressing strand is intentionally stressed to a high fraction of its tensile strength, making strand stress limits a controlling design consideration.
AASHTO LRFD adopts a staged design philosophy in which allowable prestressing strand stresses vary depending on construction sequence, loss mechanisms, and bonded behavior. Accordingly, strand stresses must be evaluated at multiple discrete stages—including jacking, anchorage seating, post‑seating, and long‑term service—each of which is subject to different governing limits. The calculations presented herein follow this philosophy and explicitly evaluate strand stresses at each required stage.</t>
  </si>
  <si>
    <t>This section summarizes the post‑tensioning strand stress demands at key locations along the tendon profile. The stress demands presented herein are effective post‑tensioning strand stresses after losses extracted directly from the analytical software used for superstructure analysis and tendon force evaluation. Losses are calculated internally by the analytical software based on the defined tendon geometry, friction and wobble parameters, anchorage characteristics, material properties, and the specified construction sequence. The reported stresses therefore represent the residual tendon stresses corresponding to the modeled post‑tensioning operations.
The strand stress demands are reported at locations along the tendon where variations in force due to friction and anchorage behavior are most pronounced, including the jacking end, the non‑jacking end, and regions influenced by anchor seating effects.</t>
  </si>
  <si>
    <t>At the service limit state, prestressing strand stresses reflect the combined effects of all prestress losses, including elastic shortening, creep, shrinkage, relaxation, friction, and anchorage seating, as well as stresses induced by unfactored permanent loads and transient service loads. Following grouting, the strands are bonded to the concrete section and therefore participate in resisting flexural demands.  
This section calculates the stress in the post-tensioning by superimposing the effective prestressing stress under service conditions (see Section 4) with service‑level stresses induced by dead load, superimposed dead load, live load, and dynamic load allowance.  Stresses in the post-tensioning from these loads are calculated as follows:</t>
  </si>
  <si>
    <r>
      <t xml:space="preserve">In addition to evaluating post-tensioning strand stresses at discrete critical locations, strand stresses are checked along the full length of the beam to confirm compliance with allowable stress limits along the tendon profile. Variations in tendon force due to friction losses, combined with changes in strand eccentricity and applied flexural demands, can produce localized stress maxima that may not coincide with jacking ends or other traditionally governing locations.
This section evaluates total prestressing strand stresses along the span by </t>
    </r>
    <r>
      <rPr>
        <sz val="9"/>
        <rFont val="Jacobs Chronos"/>
        <family val="2"/>
      </rPr>
      <t>combining the effective prestress after losses with stress increments induced by applied loads, including dead load, wearing surface, and live load with dynamic allowance. The resulting strand stresses are compared to the applicable AASHTO LRFD allowable stress limits to verify that strand stresses remain within acceptable bounds throughout the member.</t>
    </r>
  </si>
  <si>
    <t xml:space="preserve">variation of strand eccentricity along the girder (m)
</t>
  </si>
  <si>
    <t>modulus of elasticity of concrete (MPa)</t>
  </si>
  <si>
    <t>modulus of elasticity of post-tensioning steel (MPa)</t>
  </si>
  <si>
    <t>effective post-tensioning stress at jacking end (MPa)</t>
  </si>
  <si>
    <t>effective post-tensioning stress at midspan (MPa)</t>
  </si>
  <si>
    <t>effective post-tensioning stress at non-jacking end (MPa)</t>
  </si>
  <si>
    <t>effective post-tensioning stress at end of seating zone (MPa)</t>
  </si>
  <si>
    <t>effective post-tensioning stress at servicel Limit state (MPa)</t>
  </si>
  <si>
    <t>variation of effective post-tensioning stress in service limit state along the girder (MPa)</t>
  </si>
  <si>
    <t>effective post-tensioning stress at end of span in service limit state (MPa)</t>
  </si>
  <si>
    <t>effective post-tensioning stress at start of span in service limit state (MPa)</t>
  </si>
  <si>
    <t>effective post-tensioning stress at midspan in service limit state (MPa)</t>
  </si>
  <si>
    <t>stress limit prior to anchorage seating (MPa)</t>
  </si>
  <si>
    <t>effective post‑tensioning stress due to the combined moment effects (MPa)</t>
  </si>
  <si>
    <t>specified tensile strength of prestressing steel (MPa)</t>
  </si>
  <si>
    <t>stress limit immediately after anchorage set (MPa)</t>
  </si>
  <si>
    <t>yield strength of prestressing steel (MPa)</t>
  </si>
  <si>
    <r>
      <t>moment of interia of the entire superstrucutre section (m</t>
    </r>
    <r>
      <rPr>
        <vertAlign val="superscript"/>
        <sz val="9"/>
        <color theme="1"/>
        <rFont val="Jacobs Chronos"/>
        <family val="2"/>
      </rPr>
      <t>4</t>
    </r>
    <r>
      <rPr>
        <sz val="9"/>
        <color theme="1"/>
        <rFont val="Jacobs Chronos"/>
        <family val="2"/>
      </rPr>
      <t>)</t>
    </r>
  </si>
  <si>
    <t xml:space="preserve">sum of moments due to DC, DW, and LL + IM (kN m)
</t>
  </si>
  <si>
    <r>
      <t>PT Eccentricity,</t>
    </r>
    <r>
      <rPr>
        <i/>
        <sz val="9"/>
        <color theme="1"/>
        <rFont val="Jacobs Chronos"/>
        <family val="2"/>
      </rPr>
      <t xml:space="preserve"> e</t>
    </r>
    <r>
      <rPr>
        <sz val="9"/>
        <color theme="1"/>
        <rFont val="Jacobs Chronos"/>
        <family val="2"/>
      </rPr>
      <t xml:space="preserve"> (m)</t>
    </r>
  </si>
  <si>
    <t>Location Along Span (m)</t>
  </si>
  <si>
    <t>PT Eccentricity, e (m)</t>
  </si>
  <si>
    <t>DC (kN m)</t>
  </si>
  <si>
    <t>DW (kN m)</t>
  </si>
  <si>
    <t>LL+IM (kN m)</t>
  </si>
  <si>
    <r>
      <t xml:space="preserve">Strand Stresses Limit, </t>
    </r>
    <r>
      <rPr>
        <i/>
        <sz val="9"/>
        <color theme="1"/>
        <rFont val="Jacobs Chronos"/>
        <family val="2"/>
      </rPr>
      <t>f</t>
    </r>
    <r>
      <rPr>
        <i/>
        <vertAlign val="subscript"/>
        <sz val="9"/>
        <color theme="1"/>
        <rFont val="Jacobs Chronos"/>
        <family val="2"/>
      </rPr>
      <t>pu.service.lim</t>
    </r>
    <r>
      <rPr>
        <sz val="9"/>
        <color theme="1"/>
        <rFont val="Jacobs Chronos"/>
        <family val="2"/>
      </rPr>
      <t xml:space="preserve"> (MPa)</t>
    </r>
  </si>
  <si>
    <r>
      <t>f</t>
    </r>
    <r>
      <rPr>
        <i/>
        <vertAlign val="subscript"/>
        <sz val="9"/>
        <color theme="1"/>
        <rFont val="Jacobs Chronos"/>
        <family val="2"/>
      </rPr>
      <t>pe.service.L</t>
    </r>
    <r>
      <rPr>
        <i/>
        <sz val="9"/>
        <color theme="1"/>
        <rFont val="Jacobs Chronos"/>
        <family val="2"/>
      </rPr>
      <t xml:space="preserve">   </t>
    </r>
    <r>
      <rPr>
        <sz val="9"/>
        <color theme="1"/>
        <rFont val="Jacobs Chronos"/>
        <family val="2"/>
      </rPr>
      <t xml:space="preserve"> (MPa)</t>
    </r>
  </si>
  <si>
    <r>
      <t xml:space="preserve">Stress Due to MU, </t>
    </r>
    <r>
      <rPr>
        <i/>
        <sz val="9"/>
        <color theme="1"/>
        <rFont val="Jacobs Chronos"/>
        <family val="2"/>
      </rPr>
      <t>f</t>
    </r>
    <r>
      <rPr>
        <i/>
        <vertAlign val="subscript"/>
        <sz val="9"/>
        <color theme="1"/>
        <rFont val="Jacobs Chronos"/>
        <family val="2"/>
      </rPr>
      <t>pt.loads</t>
    </r>
    <r>
      <rPr>
        <sz val="9"/>
        <color theme="1"/>
        <rFont val="Jacobs Chronos"/>
        <family val="2"/>
      </rPr>
      <t xml:space="preserve"> (MPa)</t>
    </r>
  </si>
  <si>
    <t>Allowable Stresses in strands at critical locations:</t>
  </si>
  <si>
    <r>
      <t xml:space="preserve">
The AASHTO LRFD Commentary emphasizes caution in the selection of jacking stresses due to the sensitivity of prestressing steel to overstress, especially prior to long‑term loss development. While the Specification provides upper bounds on allowable stresses, the Commentary notes that practical limits are often governed by anchorage behavior, friction variability, and field tolerances.
Additionally, it should be noted that prestressing strand does not exhibit a distinct yield point in the same manner of mild reinforcing steel. For design purposes, AASHTO therefore defines a nominal yield strength, </t>
    </r>
    <r>
      <rPr>
        <i/>
        <sz val="9"/>
        <color theme="1"/>
        <rFont val="Jacobs Chronos"/>
        <family val="2"/>
      </rPr>
      <t>f</t>
    </r>
    <r>
      <rPr>
        <i/>
        <vertAlign val="subscript"/>
        <sz val="9"/>
        <color theme="1"/>
        <rFont val="Jacobs Chronos"/>
        <family val="2"/>
      </rPr>
      <t>y</t>
    </r>
    <r>
      <rPr>
        <sz val="9"/>
        <color theme="1"/>
        <rFont val="Jacobs Chronos"/>
        <family val="2"/>
      </rPr>
      <t xml:space="preserve">, for prestressing steel as a specified fraction of the ultimate tensile strength, </t>
    </r>
    <r>
      <rPr>
        <i/>
        <sz val="9"/>
        <color theme="1"/>
        <rFont val="Jacobs Chronos"/>
        <family val="2"/>
      </rPr>
      <t>f</t>
    </r>
    <r>
      <rPr>
        <i/>
        <vertAlign val="subscript"/>
        <sz val="9"/>
        <color theme="1"/>
        <rFont val="Jacobs Chronos"/>
        <family val="2"/>
      </rPr>
      <t>u</t>
    </r>
    <r>
      <rPr>
        <sz val="9"/>
        <color theme="1"/>
        <rFont val="Jacobs Chronos"/>
        <family val="2"/>
      </rPr>
      <t xml:space="preserve">.  Allowable prestressing stresses are then expressed either directly as fractions of </t>
    </r>
    <r>
      <rPr>
        <i/>
        <sz val="9"/>
        <color theme="1"/>
        <rFont val="Jacobs Chronos"/>
        <family val="2"/>
      </rPr>
      <t>f</t>
    </r>
    <r>
      <rPr>
        <i/>
        <vertAlign val="subscript"/>
        <sz val="9"/>
        <color theme="1"/>
        <rFont val="Jacobs Chronos"/>
        <family val="2"/>
      </rPr>
      <t>u</t>
    </r>
    <r>
      <rPr>
        <sz val="9"/>
        <color theme="1"/>
        <rFont val="Jacobs Chronos"/>
        <family val="2"/>
      </rPr>
      <t xml:space="preserve">​ or indirectly as fractions of </t>
    </r>
    <r>
      <rPr>
        <i/>
        <sz val="9"/>
        <color theme="1"/>
        <rFont val="Jacobs Chronos"/>
        <family val="2"/>
      </rPr>
      <t>f</t>
    </r>
    <r>
      <rPr>
        <i/>
        <vertAlign val="subscript"/>
        <sz val="9"/>
        <color theme="1"/>
        <rFont val="Jacobs Chronos"/>
        <family val="2"/>
      </rPr>
      <t>y</t>
    </r>
    <r>
      <rPr>
        <sz val="9"/>
        <color theme="1"/>
        <rFont val="Jacobs Chronos"/>
        <family val="2"/>
      </rPr>
      <t>​, depending on the construction stage being evaluated. This convention provides a consistent basis for establishing stress limits despite the absence of a true material yield plateau.</t>
    </r>
  </si>
  <si>
    <t>•</t>
  </si>
  <si>
    <r>
      <rPr>
        <b/>
        <sz val="9"/>
        <color theme="1"/>
        <rFont val="Jacobs Chronos"/>
        <family val="2"/>
      </rPr>
      <t xml:space="preserve">Designer Note: </t>
    </r>
    <r>
      <rPr>
        <sz val="9"/>
        <color theme="1"/>
        <rFont val="Jacobs Chronos"/>
        <family val="2"/>
      </rPr>
      <t>Depending on the strand type, the allowable limit may differ between 0.74</t>
    </r>
    <r>
      <rPr>
        <i/>
        <sz val="9"/>
        <color theme="1"/>
        <rFont val="Jacobs Chronos"/>
        <family val="2"/>
      </rPr>
      <t>f</t>
    </r>
    <r>
      <rPr>
        <i/>
        <vertAlign val="subscript"/>
        <sz val="9"/>
        <color theme="1"/>
        <rFont val="Jacobs Chronos"/>
        <family val="2"/>
      </rPr>
      <t>pu</t>
    </r>
    <r>
      <rPr>
        <sz val="9"/>
        <color theme="1"/>
        <rFont val="Jacobs Chronos"/>
        <family val="2"/>
      </rPr>
      <t xml:space="preserve"> or 0.70</t>
    </r>
    <r>
      <rPr>
        <i/>
        <sz val="9"/>
        <color theme="1"/>
        <rFont val="Jacobs Chronos"/>
        <family val="2"/>
      </rPr>
      <t>f</t>
    </r>
    <r>
      <rPr>
        <i/>
        <vertAlign val="subscript"/>
        <sz val="9"/>
        <color theme="1"/>
        <rFont val="Jacobs Chronos"/>
        <family val="2"/>
      </rPr>
      <t>pu</t>
    </r>
    <r>
      <rPr>
        <sz val="9"/>
        <color theme="1"/>
        <rFont val="Jacobs Chronos"/>
        <family val="2"/>
      </rPr>
      <t>.</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</si>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</sst>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
    <numFmt numFmtId="165" formatCode="[$-409]d\-mmm\-yyyy;@"/>
    <numFmt numFmtId="166" formatCode="0."/>
    <numFmt numFmtId="167" formatCode="0.0000"/>
    <numFmt numFmtId="168" formatCode="0.0."/>
    <numFmt numFmtId="169" formatCode="0.0&quot; ksi&quot;"/>
    <numFmt numFmtId="170" formatCode="0&quot; MPa&quot;"/>
    <numFmt numFmtId="171" formatCode="0.00&quot; m⁴&quot;"/>
    <numFmt numFmtId="172" formatCode="0.00&quot; m&quot;"/>
    <numFmt numFmtId="173" formatCode="General&quot; kN m&quot;"/>
    <numFmt numFmtId="174" formatCode="0.0"/>
  </numFmts>
  <fonts count="31"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i/>
      <vertAlign val="subscript"/>
      <sz val="9"/>
      <color theme="1"/>
      <name val="Jacobs Chronos"/>
      <family val="2"/>
    </font>
    <font>
      <sz val="7"/>
      <color theme="1"/>
      <name val="Jacobs Chronos"/>
      <family val="2"/>
    </font>
    <font>
      <b/>
      <i/>
      <sz val="7"/>
      <color theme="1"/>
      <name val="Jacobs Chronos"/>
      <family val="2"/>
    </font>
    <font>
      <sz val="11"/>
      <color theme="1"/>
      <name val="Jacobs Chronos"/>
      <family val="2"/>
    </font>
    <font>
      <b/>
      <i/>
      <sz val="16"/>
      <name val="Jacobs Chronos"/>
      <family val="2"/>
    </font>
    <font>
      <sz val="9"/>
      <name val="Jacobs Chronos"/>
      <family val="2"/>
    </font>
    <font>
      <i/>
      <sz val="9"/>
      <name val="Jacobs Chronos"/>
      <family val="2"/>
    </font>
    <font>
      <vertAlign val="superscript"/>
      <sz val="9"/>
      <color theme="1"/>
      <name val="Jacobs Chronos"/>
      <family val="2"/>
    </font>
    <font>
      <u/>
      <sz val="9"/>
      <color theme="1"/>
      <name val="Jacobs Chronos"/>
      <family val="2"/>
    </font>
    <font>
      <sz val="8"/>
      <color theme="1"/>
      <name val="Jacobs Chronos"/>
      <family val="2"/>
    </font>
    <font>
      <b/>
      <sz val="12"/>
      <color theme="1"/>
      <name val="Jacobs Chronos"/>
      <family val="2"/>
    </font>
    <font>
      <b/>
      <sz val="15"/>
      <color theme="1"/>
      <name val="Jacobs Chronos"/>
      <family val="2"/>
    </font>
    <font>
      <sz val="15"/>
      <color theme="1"/>
      <name val="Jacobs Chronos"/>
      <family val="2"/>
    </font>
    <font>
      <sz val="9"/>
      <color rgb="FFFF0000"/>
      <name val="Jacobs Chronos"/>
      <family val="2"/>
    </font>
    <font>
      <b/>
      <sz val="12"/>
      <name val="Jacobs Chronos"/>
      <family val="2"/>
    </font>
    <font>
      <i/>
      <sz val="10"/>
      <name val="Jacobs Chronos"/>
      <family val="2"/>
    </font>
    <font>
      <i/>
      <sz val="10"/>
      <color theme="1"/>
      <name val="Jacobs Chronos"/>
      <family val="2"/>
    </font>
    <font>
      <i/>
      <sz val="7"/>
      <color theme="1"/>
      <name val="Jacobs Chronos"/>
      <family val="2"/>
    </font>
    <font>
      <i/>
      <vertAlign val="subscript"/>
      <sz val="7"/>
      <color theme="1"/>
      <name val="Jacobs Chronos"/>
      <family val="2"/>
    </font>
    <font>
      <i/>
      <sz val="9"/>
      <color theme="1"/>
      <name val="Jacobs Chronos"/>
      <family val="2"/>
    </font>
    <font>
      <sz val="9"/>
      <color theme="1"/>
      <name val="Jacobs Chronos"/>
      <family val="2"/>
    </font>
    <font>
      <b/>
      <sz val="7"/>
      <color theme="1"/>
      <name val="Jacobs Chronos"/>
      <family val="2"/>
    </font>
    <font>
      <sz val="9"/>
      <color theme="1"/>
      <name val="Calibri"/>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40">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top/>
      <bottom style="thin">
        <color auto="1"/>
      </bottom>
      <diagonal/>
    </border>
    <border>
      <left/>
      <right style="thin">
        <color indexed="64"/>
      </right>
      <top style="thin">
        <color auto="1"/>
      </top>
      <bottom/>
      <diagonal/>
    </border>
    <border>
      <left style="thin">
        <color indexed="64"/>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theme="0" tint="-4.9989318521683403E-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indexed="64"/>
      </bottom>
      <diagonal/>
    </border>
    <border>
      <left style="thin">
        <color rgb="FF000000"/>
      </left>
      <right style="thin">
        <color rgb="FF000000"/>
      </right>
      <top/>
      <bottom style="thin">
        <color rgb="FF000000"/>
      </bottom>
      <diagonal/>
    </border>
    <border>
      <left/>
      <right/>
      <top style="thin">
        <color theme="0" tint="-0.14996795556505021"/>
      </top>
      <bottom/>
      <diagonal/>
    </border>
    <border>
      <left style="thin">
        <color rgb="FF000000"/>
      </left>
      <right/>
      <top/>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rgb="FF000000"/>
      </right>
      <top style="thin">
        <color rgb="FF000000"/>
      </top>
      <bottom style="double">
        <color indexed="64"/>
      </bottom>
      <diagonal/>
    </border>
    <border>
      <left style="thin">
        <color rgb="FF000000"/>
      </left>
      <right style="thin">
        <color auto="1"/>
      </right>
      <top style="thin">
        <color rgb="FF000000"/>
      </top>
      <bottom style="double">
        <color indexed="64"/>
      </bottom>
      <diagonal/>
    </border>
    <border>
      <left style="thin">
        <color auto="1"/>
      </left>
      <right style="thin">
        <color rgb="FF000000"/>
      </right>
      <top/>
      <bottom style="thin">
        <color rgb="FF000000"/>
      </bottom>
      <diagonal/>
    </border>
    <border>
      <left style="thin">
        <color rgb="FF000000"/>
      </left>
      <right style="thin">
        <color auto="1"/>
      </right>
      <top/>
      <bottom style="thin">
        <color rgb="FF000000"/>
      </bottom>
      <diagonal/>
    </border>
    <border>
      <left style="thin">
        <color auto="1"/>
      </left>
      <right/>
      <top/>
      <bottom style="thin">
        <color auto="1"/>
      </bottom>
      <diagonal/>
    </border>
    <border>
      <left/>
      <right style="thin">
        <color auto="1"/>
      </right>
      <top/>
      <bottom style="thin">
        <color auto="1"/>
      </bottom>
      <diagonal/>
    </border>
  </borders>
  <cellStyleXfs count="7">
    <xf numFmtId="0" fontId="0" fillId="0" borderId="0"/>
    <xf numFmtId="0" fontId="1" fillId="0" borderId="0"/>
    <xf numFmtId="0" fontId="1" fillId="0" borderId="0"/>
    <xf numFmtId="0" fontId="1" fillId="3" borderId="12" applyNumberFormat="0" applyFont="0" applyAlignment="0" applyProtection="0"/>
    <xf numFmtId="0" fontId="1" fillId="0" borderId="0"/>
    <xf numFmtId="0" fontId="2" fillId="0" borderId="0"/>
    <xf numFmtId="0" fontId="3" fillId="0" borderId="0"/>
  </cellStyleXfs>
  <cellXfs count="198">
    <xf numFmtId="0" fontId="0" fillId="0" borderId="0" xfId="0"/>
    <xf numFmtId="0" fontId="5" fillId="0" borderId="0" xfId="0" applyFont="1"/>
    <xf numFmtId="0" fontId="5" fillId="0" borderId="1" xfId="0" applyFont="1" applyBorder="1"/>
    <xf numFmtId="0" fontId="8" fillId="4" borderId="0" xfId="0" applyFont="1" applyFill="1"/>
    <xf numFmtId="164" fontId="5" fillId="0" borderId="0" xfId="0" applyNumberFormat="1" applyFont="1"/>
    <xf numFmtId="0" fontId="5" fillId="0" borderId="17" xfId="0" applyFont="1" applyBorder="1"/>
    <xf numFmtId="0" fontId="10" fillId="0" borderId="0" xfId="0" applyFont="1"/>
    <xf numFmtId="0" fontId="5" fillId="0" borderId="4" xfId="0" applyFont="1" applyBorder="1"/>
    <xf numFmtId="0" fontId="5" fillId="0" borderId="0" xfId="0" applyFont="1" applyAlignment="1">
      <alignment horizontal="right"/>
    </xf>
    <xf numFmtId="0" fontId="5" fillId="0" borderId="0" xfId="0" applyFont="1" applyAlignment="1">
      <alignment horizontal="right" wrapText="1"/>
    </xf>
    <xf numFmtId="0" fontId="15" fillId="0" borderId="0" xfId="0" applyFont="1" applyAlignment="1">
      <alignment horizontal="right" vertical="top"/>
    </xf>
    <xf numFmtId="0" fontId="15" fillId="0" borderId="0" xfId="0" applyFont="1" applyAlignment="1">
      <alignment horizontal="right"/>
    </xf>
    <xf numFmtId="0" fontId="5" fillId="0" borderId="0" xfId="0" applyFont="1" applyAlignment="1">
      <alignment wrapText="1"/>
    </xf>
    <xf numFmtId="0" fontId="6" fillId="0" borderId="0" xfId="0" applyFont="1" applyAlignment="1">
      <alignment horizontal="right"/>
    </xf>
    <xf numFmtId="0" fontId="4" fillId="0" borderId="0" xfId="6" applyFont="1"/>
    <xf numFmtId="0" fontId="9" fillId="4" borderId="0" xfId="6" applyFont="1" applyFill="1" applyAlignment="1">
      <alignment horizontal="center"/>
    </xf>
    <xf numFmtId="0" fontId="4" fillId="0" borderId="0" xfId="6" applyFont="1" applyAlignment="1">
      <alignment horizontal="left"/>
    </xf>
    <xf numFmtId="0" fontId="4" fillId="0" borderId="1" xfId="6" applyFont="1" applyBorder="1"/>
    <xf numFmtId="0" fontId="5" fillId="0" borderId="0" xfId="0" applyFont="1" applyAlignment="1">
      <alignment horizontal="left"/>
    </xf>
    <xf numFmtId="0" fontId="8" fillId="4" borderId="0" xfId="0" applyFont="1" applyFill="1" applyAlignment="1">
      <alignment horizontal="right"/>
    </xf>
    <xf numFmtId="0" fontId="15" fillId="0" borderId="0" xfId="0" applyFont="1" applyAlignment="1">
      <alignment horizontal="left"/>
    </xf>
    <xf numFmtId="2" fontId="5" fillId="0" borderId="0" xfId="0" applyNumberFormat="1" applyFont="1"/>
    <xf numFmtId="0" fontId="5" fillId="0" borderId="0" xfId="0" applyFont="1" applyAlignment="1">
      <alignment vertical="top" wrapText="1"/>
    </xf>
    <xf numFmtId="2" fontId="5" fillId="0" borderId="0" xfId="0" applyNumberFormat="1" applyFont="1" applyAlignment="1">
      <alignment horizontal="right"/>
    </xf>
    <xf numFmtId="0" fontId="6" fillId="0" borderId="0" xfId="0" applyFont="1" applyAlignment="1">
      <alignment horizontal="left"/>
    </xf>
    <xf numFmtId="166" fontId="4" fillId="0" borderId="1" xfId="0" applyNumberFormat="1" applyFont="1" applyBorder="1" applyAlignment="1">
      <alignment horizontal="left"/>
    </xf>
    <xf numFmtId="166" fontId="4" fillId="0" borderId="0" xfId="0" applyNumberFormat="1" applyFont="1" applyAlignment="1">
      <alignment horizontal="left"/>
    </xf>
    <xf numFmtId="0" fontId="0" fillId="0" borderId="0" xfId="0" applyAlignment="1">
      <alignment vertical="top" wrapText="1"/>
    </xf>
    <xf numFmtId="0" fontId="4" fillId="0" borderId="15" xfId="6" applyFont="1" applyBorder="1"/>
    <xf numFmtId="0" fontId="17" fillId="0" borderId="0" xfId="6" applyFont="1" applyAlignment="1">
      <alignment horizontal="left"/>
    </xf>
    <xf numFmtId="0" fontId="19" fillId="0" borderId="0" xfId="0" applyFont="1"/>
    <xf numFmtId="167" fontId="4" fillId="0" borderId="0" xfId="6" applyNumberFormat="1" applyFont="1"/>
    <xf numFmtId="167" fontId="9" fillId="4" borderId="0" xfId="6" applyNumberFormat="1" applyFont="1" applyFill="1" applyAlignment="1">
      <alignment horizontal="center"/>
    </xf>
    <xf numFmtId="0" fontId="5" fillId="0" borderId="0" xfId="0" applyFont="1" applyAlignment="1">
      <alignment horizontal="right" vertical="center"/>
    </xf>
    <xf numFmtId="166" fontId="17" fillId="0" borderId="1" xfId="0" applyNumberFormat="1" applyFont="1" applyBorder="1" applyAlignment="1">
      <alignment horizontal="right"/>
    </xf>
    <xf numFmtId="166" fontId="17" fillId="0" borderId="0" xfId="0" applyNumberFormat="1" applyFont="1" applyAlignment="1">
      <alignment horizontal="right"/>
    </xf>
    <xf numFmtId="0" fontId="5" fillId="0" borderId="0" xfId="0" applyFont="1" applyAlignment="1">
      <alignment horizontal="justify" vertical="top" wrapText="1"/>
    </xf>
    <xf numFmtId="0" fontId="4" fillId="0" borderId="4" xfId="6" applyFont="1" applyBorder="1"/>
    <xf numFmtId="0" fontId="20" fillId="0" borderId="0" xfId="0" applyFont="1"/>
    <xf numFmtId="0" fontId="5" fillId="0" borderId="0" xfId="0" applyFont="1" applyAlignment="1">
      <alignment horizontal="justify" vertical="center" wrapText="1"/>
    </xf>
    <xf numFmtId="0" fontId="24" fillId="4" borderId="0" xfId="0" applyFont="1" applyFill="1" applyAlignment="1">
      <alignment horizontal="right"/>
    </xf>
    <xf numFmtId="0" fontId="4" fillId="0" borderId="0" xfId="0" applyFont="1" applyAlignment="1">
      <alignment horizontal="center"/>
    </xf>
    <xf numFmtId="2" fontId="5" fillId="0" borderId="0" xfId="0" applyNumberFormat="1" applyFont="1" applyAlignment="1">
      <alignment horizontal="center"/>
    </xf>
    <xf numFmtId="169" fontId="5" fillId="0" borderId="0" xfId="0" applyNumberFormat="1" applyFont="1" applyAlignment="1">
      <alignment horizontal="left"/>
    </xf>
    <xf numFmtId="0" fontId="5" fillId="0" borderId="1" xfId="6" applyFont="1" applyBorder="1"/>
    <xf numFmtId="0" fontId="5" fillId="0" borderId="0" xfId="6" applyFont="1"/>
    <xf numFmtId="0" fontId="24" fillId="4" borderId="0" xfId="6" applyFont="1" applyFill="1" applyAlignment="1">
      <alignment horizontal="center"/>
    </xf>
    <xf numFmtId="2" fontId="5" fillId="0" borderId="0" xfId="0" applyNumberFormat="1" applyFont="1" applyAlignment="1">
      <alignment horizontal="left"/>
    </xf>
    <xf numFmtId="0" fontId="5" fillId="0" borderId="0" xfId="0" applyFont="1" applyAlignment="1">
      <alignment horizontal="justify" vertical="top"/>
    </xf>
    <xf numFmtId="0" fontId="5" fillId="0" borderId="0" xfId="0" applyFont="1" applyAlignment="1">
      <alignment horizontal="left" vertical="top" wrapText="1"/>
    </xf>
    <xf numFmtId="0" fontId="5" fillId="0" borderId="26" xfId="0" applyFont="1" applyBorder="1"/>
    <xf numFmtId="0" fontId="5" fillId="0" borderId="26" xfId="0" applyFont="1" applyBorder="1" applyAlignment="1">
      <alignment horizontal="justify" vertical="top"/>
    </xf>
    <xf numFmtId="0" fontId="20" fillId="0" borderId="0" xfId="0" quotePrefix="1" applyFont="1"/>
    <xf numFmtId="2" fontId="26" fillId="0" borderId="0" xfId="0" applyNumberFormat="1" applyFont="1" applyAlignment="1">
      <alignment horizontal="center" wrapText="1"/>
    </xf>
    <xf numFmtId="2" fontId="7" fillId="0" borderId="0" xfId="0" applyNumberFormat="1" applyFont="1" applyAlignment="1">
      <alignment horizontal="center" wrapText="1"/>
    </xf>
    <xf numFmtId="166" fontId="5" fillId="0" borderId="0" xfId="0" applyNumberFormat="1" applyFont="1" applyAlignment="1">
      <alignment horizontal="center" vertical="center"/>
    </xf>
    <xf numFmtId="0" fontId="16" fillId="0" borderId="0" xfId="0" applyFont="1" applyAlignment="1">
      <alignment horizontal="center" vertical="center" wrapText="1"/>
    </xf>
    <xf numFmtId="0" fontId="5" fillId="0" borderId="0" xfId="6" applyFont="1" applyAlignment="1">
      <alignment horizontal="right" vertical="center"/>
    </xf>
    <xf numFmtId="166" fontId="5" fillId="0" borderId="0" xfId="0" applyNumberFormat="1" applyFont="1" applyAlignment="1">
      <alignment horizontal="right"/>
    </xf>
    <xf numFmtId="166" fontId="5" fillId="0" borderId="1" xfId="0" applyNumberFormat="1" applyFont="1" applyBorder="1" applyAlignment="1">
      <alignment horizontal="right"/>
    </xf>
    <xf numFmtId="0" fontId="5" fillId="0" borderId="0" xfId="6" applyFont="1" applyAlignment="1">
      <alignment horizontal="left"/>
    </xf>
    <xf numFmtId="0" fontId="28" fillId="4" borderId="0" xfId="0" applyFont="1" applyFill="1" applyAlignment="1">
      <alignment horizontal="center"/>
    </xf>
    <xf numFmtId="0" fontId="6" fillId="0" borderId="0" xfId="6" applyFont="1" applyAlignment="1">
      <alignment horizontal="right"/>
    </xf>
    <xf numFmtId="166" fontId="5" fillId="0" borderId="0" xfId="0" applyNumberFormat="1" applyFont="1" applyAlignment="1">
      <alignment horizontal="left"/>
    </xf>
    <xf numFmtId="166" fontId="6" fillId="0" borderId="0" xfId="0" applyNumberFormat="1" applyFont="1" applyAlignment="1">
      <alignment horizontal="right"/>
    </xf>
    <xf numFmtId="170" fontId="5" fillId="0" borderId="0" xfId="0" applyNumberFormat="1" applyFont="1" applyAlignment="1">
      <alignment vertical="center"/>
    </xf>
    <xf numFmtId="0" fontId="5" fillId="0" borderId="0" xfId="6" applyFont="1" applyAlignment="1">
      <alignment horizontal="left" vertical="top" wrapText="1"/>
    </xf>
    <xf numFmtId="0" fontId="6" fillId="0" borderId="0" xfId="0" applyFont="1" applyAlignment="1">
      <alignment horizontal="center" vertical="top"/>
    </xf>
    <xf numFmtId="170" fontId="5" fillId="0" borderId="0" xfId="0" applyNumberFormat="1" applyFont="1" applyAlignment="1">
      <alignment horizontal="right"/>
    </xf>
    <xf numFmtId="0" fontId="29" fillId="0" borderId="0" xfId="0" applyFont="1" applyAlignment="1">
      <alignment horizontal="right" vertical="top" wrapText="1"/>
    </xf>
    <xf numFmtId="0" fontId="5" fillId="0" borderId="30" xfId="0" applyFont="1" applyBorder="1"/>
    <xf numFmtId="0" fontId="5" fillId="0" borderId="31" xfId="0" applyFont="1" applyBorder="1"/>
    <xf numFmtId="0" fontId="30" fillId="7" borderId="17" xfId="0" applyFont="1" applyFill="1" applyBorder="1"/>
    <xf numFmtId="0" fontId="30" fillId="7" borderId="17" xfId="0" applyFont="1" applyFill="1" applyBorder="1" applyAlignment="1">
      <alignment horizontal="center"/>
    </xf>
    <xf numFmtId="0" fontId="0" fillId="5" borderId="0" xfId="0" applyFill="1"/>
    <xf numFmtId="0" fontId="0" fillId="5" borderId="17" xfId="0" applyFill="1" applyBorder="1"/>
    <xf numFmtId="174" fontId="0" fillId="5" borderId="17" xfId="0" applyNumberFormat="1" applyFill="1" applyBorder="1"/>
    <xf numFmtId="0" fontId="0" fillId="5" borderId="20" xfId="0" applyFill="1" applyBorder="1"/>
    <xf numFmtId="0" fontId="0" fillId="5" borderId="21" xfId="0" applyFill="1" applyBorder="1"/>
    <xf numFmtId="0" fontId="0" fillId="5" borderId="19" xfId="0" applyFill="1" applyBorder="1"/>
    <xf numFmtId="174" fontId="0" fillId="5" borderId="20" xfId="0" applyNumberFormat="1" applyFill="1" applyBorder="1"/>
    <xf numFmtId="174" fontId="0" fillId="5" borderId="21" xfId="0" applyNumberFormat="1" applyFill="1" applyBorder="1"/>
    <xf numFmtId="174" fontId="0" fillId="5" borderId="19" xfId="0" applyNumberFormat="1" applyFill="1" applyBorder="1"/>
    <xf numFmtId="2" fontId="16" fillId="0" borderId="17" xfId="0" applyNumberFormat="1" applyFont="1" applyBorder="1" applyAlignment="1">
      <alignment horizontal="center" vertical="center" wrapText="1"/>
    </xf>
    <xf numFmtId="2" fontId="5" fillId="5" borderId="19" xfId="0" applyNumberFormat="1" applyFont="1" applyFill="1" applyBorder="1"/>
    <xf numFmtId="2" fontId="5" fillId="5" borderId="17" xfId="0" applyNumberFormat="1" applyFont="1" applyFill="1" applyBorder="1"/>
    <xf numFmtId="2" fontId="5" fillId="5" borderId="21" xfId="0" applyNumberFormat="1" applyFont="1" applyFill="1" applyBorder="1"/>
    <xf numFmtId="2" fontId="5" fillId="5" borderId="20" xfId="0" applyNumberFormat="1" applyFont="1" applyFill="1" applyBorder="1"/>
    <xf numFmtId="0" fontId="16" fillId="0" borderId="19" xfId="0" applyFont="1" applyBorder="1" applyAlignment="1">
      <alignment horizontal="center" vertical="center" wrapText="1"/>
    </xf>
    <xf numFmtId="0" fontId="16" fillId="0" borderId="17" xfId="0" applyFont="1" applyBorder="1" applyAlignment="1">
      <alignment horizontal="center" vertical="center" wrapText="1"/>
    </xf>
    <xf numFmtId="165" fontId="5" fillId="6" borderId="1" xfId="0" applyNumberFormat="1" applyFont="1" applyFill="1" applyBorder="1" applyAlignment="1">
      <alignment horizontal="left"/>
    </xf>
    <xf numFmtId="165" fontId="5" fillId="6" borderId="0" xfId="0" applyNumberFormat="1" applyFont="1" applyFill="1" applyAlignment="1">
      <alignment horizontal="left"/>
    </xf>
    <xf numFmtId="0" fontId="5" fillId="6" borderId="1" xfId="0" applyFont="1" applyFill="1" applyBorder="1" applyAlignment="1">
      <alignment horizontal="left"/>
    </xf>
    <xf numFmtId="0" fontId="5" fillId="6" borderId="0" xfId="0" applyFont="1" applyFill="1" applyAlignment="1">
      <alignment horizontal="left"/>
    </xf>
    <xf numFmtId="170" fontId="5" fillId="5" borderId="0" xfId="0" applyNumberFormat="1" applyFont="1" applyFill="1"/>
    <xf numFmtId="171" fontId="5" fillId="5" borderId="0" xfId="0" applyNumberFormat="1" applyFont="1" applyFill="1"/>
    <xf numFmtId="2" fontId="5" fillId="0" borderId="0" xfId="0" applyNumberFormat="1" applyFont="1" applyAlignment="1">
      <alignment horizontal="center"/>
    </xf>
    <xf numFmtId="2" fontId="5" fillId="0" borderId="4" xfId="0" applyNumberFormat="1" applyFont="1" applyBorder="1" applyAlignment="1">
      <alignment horizontal="center"/>
    </xf>
    <xf numFmtId="2" fontId="5" fillId="0" borderId="14" xfId="0" applyNumberFormat="1" applyFont="1" applyBorder="1" applyAlignment="1">
      <alignment horizontal="center"/>
    </xf>
    <xf numFmtId="2" fontId="5" fillId="0" borderId="39" xfId="0" applyNumberFormat="1" applyFont="1" applyBorder="1" applyAlignment="1">
      <alignment horizontal="center"/>
    </xf>
    <xf numFmtId="2" fontId="27" fillId="0" borderId="0" xfId="0" applyNumberFormat="1" applyFont="1" applyAlignment="1">
      <alignment horizontal="center"/>
    </xf>
    <xf numFmtId="2" fontId="27" fillId="0" borderId="14" xfId="0" applyNumberFormat="1" applyFont="1" applyBorder="1" applyAlignment="1">
      <alignment horizontal="center"/>
    </xf>
    <xf numFmtId="2" fontId="5" fillId="0" borderId="38" xfId="0" applyNumberFormat="1" applyFont="1" applyBorder="1" applyAlignment="1">
      <alignment horizontal="center"/>
    </xf>
    <xf numFmtId="2" fontId="5" fillId="0" borderId="1" xfId="0" applyNumberFormat="1" applyFont="1" applyBorder="1" applyAlignment="1">
      <alignment horizontal="center"/>
    </xf>
    <xf numFmtId="0" fontId="5" fillId="0" borderId="32" xfId="0" applyFont="1" applyBorder="1" applyAlignment="1">
      <alignment horizontal="center" wrapText="1"/>
    </xf>
    <xf numFmtId="0" fontId="5" fillId="0" borderId="27" xfId="0" applyFont="1" applyBorder="1" applyAlignment="1">
      <alignment horizontal="center" wrapText="1"/>
    </xf>
    <xf numFmtId="0" fontId="5" fillId="0" borderId="34" xfId="0" applyFont="1" applyBorder="1" applyAlignment="1">
      <alignment horizontal="center" wrapText="1"/>
    </xf>
    <xf numFmtId="0" fontId="5" fillId="0" borderId="28" xfId="0" applyFont="1" applyBorder="1" applyAlignment="1">
      <alignment horizontal="center" wrapText="1"/>
    </xf>
    <xf numFmtId="2" fontId="5" fillId="0" borderId="36" xfId="0" applyNumberFormat="1" applyFont="1" applyBorder="1" applyAlignment="1">
      <alignment horizontal="center"/>
    </xf>
    <xf numFmtId="2" fontId="5" fillId="0" borderId="29" xfId="0" applyNumberFormat="1" applyFont="1" applyBorder="1" applyAlignment="1">
      <alignment horizontal="center"/>
    </xf>
    <xf numFmtId="166" fontId="5" fillId="0" borderId="18" xfId="0" applyNumberFormat="1" applyFont="1" applyBorder="1" applyAlignment="1">
      <alignment horizontal="left"/>
    </xf>
    <xf numFmtId="172" fontId="5" fillId="5" borderId="23" xfId="0" applyNumberFormat="1" applyFont="1" applyFill="1" applyBorder="1" applyAlignment="1">
      <alignment horizontal="center"/>
    </xf>
    <xf numFmtId="172" fontId="5" fillId="5" borderId="24" xfId="0" applyNumberFormat="1" applyFont="1" applyFill="1" applyBorder="1" applyAlignment="1">
      <alignment horizontal="center"/>
    </xf>
    <xf numFmtId="172" fontId="5" fillId="5" borderId="25" xfId="0" applyNumberFormat="1" applyFont="1" applyFill="1" applyBorder="1" applyAlignment="1">
      <alignment horizontal="center"/>
    </xf>
    <xf numFmtId="0" fontId="4" fillId="0" borderId="16" xfId="0" applyFont="1" applyBorder="1" applyAlignment="1">
      <alignment horizontal="center"/>
    </xf>
    <xf numFmtId="0" fontId="4" fillId="0" borderId="13" xfId="0" applyFont="1" applyBorder="1" applyAlignment="1">
      <alignment horizontal="center"/>
    </xf>
    <xf numFmtId="0" fontId="4" fillId="0" borderId="15" xfId="0" applyFont="1" applyBorder="1" applyAlignment="1">
      <alignment horizontal="center"/>
    </xf>
    <xf numFmtId="2" fontId="6" fillId="0" borderId="27" xfId="0" applyNumberFormat="1" applyFont="1" applyBorder="1" applyAlignment="1">
      <alignment horizontal="center" wrapText="1"/>
    </xf>
    <xf numFmtId="2" fontId="6" fillId="0" borderId="28" xfId="0" applyNumberFormat="1" applyFont="1" applyBorder="1" applyAlignment="1">
      <alignment horizontal="center" wrapText="1"/>
    </xf>
    <xf numFmtId="2" fontId="27" fillId="0" borderId="29" xfId="0" applyNumberFormat="1" applyFont="1" applyBorder="1" applyAlignment="1">
      <alignment horizontal="center"/>
    </xf>
    <xf numFmtId="2" fontId="5" fillId="0" borderId="27" xfId="0" applyNumberFormat="1" applyFont="1" applyBorder="1" applyAlignment="1">
      <alignment horizontal="center" wrapText="1"/>
    </xf>
    <xf numFmtId="2" fontId="5" fillId="0" borderId="28" xfId="0" applyNumberFormat="1" applyFont="1" applyBorder="1" applyAlignment="1">
      <alignment horizontal="center" wrapText="1"/>
    </xf>
    <xf numFmtId="170" fontId="5" fillId="0" borderId="17" xfId="0" applyNumberFormat="1" applyFont="1" applyBorder="1" applyAlignment="1">
      <alignment horizontal="center"/>
    </xf>
    <xf numFmtId="166" fontId="5" fillId="0" borderId="17" xfId="0" applyNumberFormat="1" applyFont="1" applyBorder="1" applyAlignment="1">
      <alignment horizontal="left"/>
    </xf>
    <xf numFmtId="0" fontId="5" fillId="0" borderId="0" xfId="0" applyFont="1" applyAlignment="1">
      <alignment vertical="top" wrapText="1"/>
    </xf>
    <xf numFmtId="168" fontId="22" fillId="0" borderId="1" xfId="0" applyNumberFormat="1" applyFont="1" applyBorder="1" applyAlignment="1">
      <alignment horizontal="right"/>
    </xf>
    <xf numFmtId="168" fontId="22" fillId="0" borderId="0" xfId="0" applyNumberFormat="1" applyFont="1" applyAlignment="1">
      <alignment horizontal="right"/>
    </xf>
    <xf numFmtId="0" fontId="23" fillId="0" borderId="0" xfId="6" applyFont="1" applyAlignment="1">
      <alignment horizontal="justify" wrapText="1"/>
    </xf>
    <xf numFmtId="170" fontId="5" fillId="0" borderId="0" xfId="0" applyNumberFormat="1" applyFont="1" applyAlignment="1">
      <alignment horizontal="left"/>
    </xf>
    <xf numFmtId="2" fontId="5" fillId="0" borderId="0" xfId="0" applyNumberFormat="1" applyFont="1" applyAlignment="1">
      <alignment horizontal="left"/>
    </xf>
    <xf numFmtId="0" fontId="5" fillId="0" borderId="0" xfId="0" applyFont="1" applyAlignment="1">
      <alignment wrapText="1"/>
    </xf>
    <xf numFmtId="166" fontId="17" fillId="0" borderId="1" xfId="0" applyNumberFormat="1" applyFont="1" applyBorder="1" applyAlignment="1">
      <alignment horizontal="right"/>
    </xf>
    <xf numFmtId="166" fontId="17" fillId="0" borderId="0" xfId="0" applyNumberFormat="1" applyFont="1" applyAlignment="1">
      <alignment horizontal="right"/>
    </xf>
    <xf numFmtId="0" fontId="5" fillId="0" borderId="17" xfId="0" applyFont="1" applyBorder="1" applyAlignment="1">
      <alignment horizontal="center"/>
    </xf>
    <xf numFmtId="0" fontId="15" fillId="0" borderId="17" xfId="0" applyFont="1" applyBorder="1" applyAlignment="1">
      <alignment horizontal="center"/>
    </xf>
    <xf numFmtId="170" fontId="5" fillId="5" borderId="0" xfId="0" applyNumberFormat="1" applyFont="1" applyFill="1" applyAlignment="1">
      <alignment horizontal="left"/>
    </xf>
    <xf numFmtId="0" fontId="5" fillId="4" borderId="0" xfId="0" applyFont="1" applyFill="1" applyAlignment="1">
      <alignment horizontal="left" vertical="top" wrapText="1"/>
    </xf>
    <xf numFmtId="171" fontId="5" fillId="5" borderId="0" xfId="0" applyNumberFormat="1" applyFont="1" applyFill="1" applyAlignment="1">
      <alignment horizontal="left"/>
    </xf>
    <xf numFmtId="173" fontId="5" fillId="5" borderId="17" xfId="0" applyNumberFormat="1" applyFont="1" applyFill="1" applyBorder="1" applyAlignment="1">
      <alignment horizontal="center"/>
    </xf>
    <xf numFmtId="0" fontId="12" fillId="2" borderId="1" xfId="0" applyFont="1" applyFill="1" applyBorder="1" applyAlignment="1">
      <alignment horizontal="left" vertical="center"/>
    </xf>
    <xf numFmtId="0" fontId="12" fillId="2" borderId="0" xfId="0" applyFont="1" applyFill="1" applyAlignment="1">
      <alignment horizontal="left" vertical="center"/>
    </xf>
    <xf numFmtId="0" fontId="5" fillId="4" borderId="0" xfId="0" applyFont="1" applyFill="1" applyAlignment="1">
      <alignment horizontal="justify" vertical="top"/>
    </xf>
    <xf numFmtId="0" fontId="5" fillId="0" borderId="0" xfId="0" applyFont="1" applyAlignment="1">
      <alignment horizontal="justify" wrapText="1"/>
    </xf>
    <xf numFmtId="0" fontId="5" fillId="0" borderId="0" xfId="0" applyFont="1" applyAlignment="1">
      <alignment horizontal="justify" vertical="top" wrapText="1"/>
    </xf>
    <xf numFmtId="170" fontId="5" fillId="0" borderId="0" xfId="0" applyNumberFormat="1" applyFont="1" applyAlignment="1">
      <alignment horizontal="left" vertical="center"/>
    </xf>
    <xf numFmtId="166" fontId="5" fillId="0" borderId="22" xfId="0" applyNumberFormat="1" applyFont="1" applyBorder="1" applyAlignment="1">
      <alignment horizontal="left"/>
    </xf>
    <xf numFmtId="173" fontId="5" fillId="0" borderId="22" xfId="0" applyNumberFormat="1" applyFont="1" applyBorder="1" applyAlignment="1">
      <alignment horizontal="center"/>
    </xf>
    <xf numFmtId="0" fontId="11" fillId="2" borderId="0" xfId="0" applyFont="1" applyFill="1" applyAlignment="1">
      <alignment horizontal="right" vertical="center"/>
    </xf>
    <xf numFmtId="0" fontId="11" fillId="2" borderId="4" xfId="0" applyFont="1" applyFill="1" applyBorder="1" applyAlignment="1">
      <alignment horizontal="right" vertical="center"/>
    </xf>
    <xf numFmtId="0" fontId="5" fillId="0" borderId="6" xfId="0" applyFont="1" applyBorder="1"/>
    <xf numFmtId="0" fontId="5" fillId="0" borderId="7" xfId="0" applyFont="1" applyBorder="1"/>
    <xf numFmtId="0" fontId="5" fillId="0" borderId="8" xfId="0" applyFont="1" applyBorder="1" applyAlignment="1">
      <alignment horizontal="left"/>
    </xf>
    <xf numFmtId="0" fontId="5" fillId="0" borderId="9" xfId="0" applyFont="1" applyBorder="1" applyAlignment="1">
      <alignment horizontal="left"/>
    </xf>
    <xf numFmtId="0" fontId="5" fillId="5" borderId="0" xfId="0" applyFont="1" applyFill="1"/>
    <xf numFmtId="0" fontId="5" fillId="0" borderId="10" xfId="0" applyFont="1" applyBorder="1" applyAlignment="1">
      <alignment horizontal="left"/>
    </xf>
    <xf numFmtId="0" fontId="5" fillId="0" borderId="11" xfId="0" applyFont="1" applyBorder="1" applyAlignment="1">
      <alignment horizontal="left"/>
    </xf>
    <xf numFmtId="0" fontId="17" fillId="0" borderId="0" xfId="6" applyFont="1" applyAlignment="1">
      <alignment horizontal="left"/>
    </xf>
    <xf numFmtId="0" fontId="9" fillId="4" borderId="14" xfId="6" applyFont="1" applyFill="1" applyBorder="1" applyAlignment="1">
      <alignment horizontal="center"/>
    </xf>
    <xf numFmtId="0" fontId="13" fillId="2" borderId="5" xfId="0" applyFont="1" applyFill="1" applyBorder="1" applyAlignment="1">
      <alignment vertical="center"/>
    </xf>
    <xf numFmtId="0" fontId="13" fillId="2" borderId="6"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12" fillId="2" borderId="2" xfId="0" applyFont="1" applyFill="1" applyBorder="1" applyAlignment="1">
      <alignment horizontal="left" vertical="center"/>
    </xf>
    <xf numFmtId="0" fontId="12" fillId="2" borderId="3" xfId="0" applyFont="1" applyFill="1" applyBorder="1" applyAlignment="1">
      <alignment horizontal="left" vertical="center"/>
    </xf>
    <xf numFmtId="0" fontId="12" fillId="0" borderId="3" xfId="0" applyFont="1" applyBorder="1" applyAlignment="1">
      <alignment horizontal="left" vertical="center"/>
    </xf>
    <xf numFmtId="0" fontId="18" fillId="0" borderId="0" xfId="6" applyFont="1"/>
    <xf numFmtId="0" fontId="18" fillId="0" borderId="14" xfId="6" applyFont="1" applyBorder="1"/>
    <xf numFmtId="0" fontId="17" fillId="0" borderId="13" xfId="6" applyFont="1" applyBorder="1" applyAlignment="1">
      <alignment horizontal="left"/>
    </xf>
    <xf numFmtId="166" fontId="17" fillId="0" borderId="16" xfId="0" applyNumberFormat="1" applyFont="1" applyBorder="1" applyAlignment="1">
      <alignment horizontal="right"/>
    </xf>
    <xf numFmtId="166" fontId="17" fillId="0" borderId="13" xfId="0" applyNumberFormat="1" applyFont="1" applyBorder="1" applyAlignment="1">
      <alignment horizontal="right"/>
    </xf>
    <xf numFmtId="168" fontId="21" fillId="0" borderId="1" xfId="0" applyNumberFormat="1" applyFont="1" applyBorder="1" applyAlignment="1">
      <alignment horizontal="right"/>
    </xf>
    <xf numFmtId="168" fontId="21" fillId="0" borderId="0" xfId="0" applyNumberFormat="1" applyFont="1" applyAlignment="1">
      <alignment horizontal="right"/>
    </xf>
    <xf numFmtId="0" fontId="21" fillId="0" borderId="0" xfId="6" applyFont="1" applyAlignment="1">
      <alignment horizontal="left"/>
    </xf>
    <xf numFmtId="0" fontId="12" fillId="0" borderId="0" xfId="0" applyFont="1" applyAlignment="1">
      <alignment horizontal="left" vertical="center"/>
    </xf>
    <xf numFmtId="14" fontId="12" fillId="0" borderId="0" xfId="0" applyNumberFormat="1" applyFont="1" applyAlignment="1">
      <alignment horizontal="left" vertical="center"/>
    </xf>
    <xf numFmtId="166" fontId="5" fillId="0" borderId="20" xfId="0" applyNumberFormat="1" applyFont="1" applyBorder="1" applyAlignment="1">
      <alignment horizontal="left"/>
    </xf>
    <xf numFmtId="166" fontId="5" fillId="0" borderId="21" xfId="0" applyNumberFormat="1" applyFont="1" applyBorder="1" applyAlignment="1">
      <alignment horizontal="left"/>
    </xf>
    <xf numFmtId="166" fontId="5" fillId="0" borderId="19" xfId="0" applyNumberFormat="1" applyFont="1" applyBorder="1" applyAlignment="1">
      <alignment horizontal="left"/>
    </xf>
    <xf numFmtId="2" fontId="5" fillId="0" borderId="0" xfId="0" applyNumberFormat="1" applyFont="1" applyAlignment="1">
      <alignment horizontal="left" vertical="center"/>
    </xf>
    <xf numFmtId="0" fontId="5" fillId="0" borderId="17" xfId="0" applyFont="1" applyBorder="1"/>
    <xf numFmtId="166" fontId="5" fillId="0" borderId="1"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166" fontId="5" fillId="0" borderId="4" xfId="0" applyNumberFormat="1" applyFont="1" applyBorder="1" applyAlignment="1">
      <alignment horizontal="center" vertical="center" wrapText="1"/>
    </xf>
    <xf numFmtId="166" fontId="5" fillId="0" borderId="0" xfId="0" applyNumberFormat="1" applyFont="1" applyAlignment="1">
      <alignment horizontal="center" vertical="center"/>
    </xf>
    <xf numFmtId="166" fontId="5" fillId="0" borderId="4" xfId="0" applyNumberFormat="1" applyFont="1" applyBorder="1" applyAlignment="1">
      <alignment horizontal="center" vertical="center"/>
    </xf>
    <xf numFmtId="0" fontId="5" fillId="0" borderId="0" xfId="0" applyFont="1" applyAlignment="1">
      <alignment vertical="center" wrapText="1"/>
    </xf>
    <xf numFmtId="0" fontId="5" fillId="0" borderId="0" xfId="6" applyFont="1" applyAlignment="1">
      <alignment horizontal="left" vertical="center" wrapText="1"/>
    </xf>
    <xf numFmtId="0" fontId="5" fillId="0" borderId="0" xfId="6" applyFont="1" applyAlignment="1">
      <alignment horizontal="left" vertical="center"/>
    </xf>
    <xf numFmtId="0" fontId="5" fillId="0" borderId="0" xfId="6" applyFont="1" applyAlignment="1">
      <alignment horizontal="left" vertical="top" wrapText="1"/>
    </xf>
    <xf numFmtId="0" fontId="5" fillId="0" borderId="0" xfId="6" applyFont="1" applyAlignment="1">
      <alignment horizontal="left" vertical="top"/>
    </xf>
    <xf numFmtId="0" fontId="5" fillId="0" borderId="0" xfId="6" applyFont="1" applyAlignment="1">
      <alignment vertical="top" wrapText="1"/>
    </xf>
    <xf numFmtId="2" fontId="5" fillId="0" borderId="0" xfId="0" applyNumberFormat="1" applyFont="1"/>
    <xf numFmtId="2" fontId="5" fillId="0" borderId="33" xfId="0" applyNumberFormat="1" applyFont="1" applyBorder="1" applyAlignment="1">
      <alignment horizontal="center" wrapText="1"/>
    </xf>
    <xf numFmtId="2" fontId="5" fillId="0" borderId="35" xfId="0" applyNumberFormat="1" applyFont="1" applyBorder="1" applyAlignment="1">
      <alignment horizontal="center" wrapText="1"/>
    </xf>
    <xf numFmtId="2" fontId="5" fillId="0" borderId="37" xfId="0" applyNumberFormat="1" applyFont="1" applyBorder="1" applyAlignment="1">
      <alignment horizontal="center"/>
    </xf>
    <xf numFmtId="0" fontId="5" fillId="4" borderId="0" xfId="0" applyFont="1" applyFill="1" applyAlignment="1">
      <alignment horizontal="left" vertical="center" wrapText="1"/>
    </xf>
    <xf numFmtId="0" fontId="4" fillId="0" borderId="1" xfId="0" applyFont="1" applyBorder="1" applyAlignment="1">
      <alignment horizontal="center"/>
    </xf>
    <xf numFmtId="0" fontId="4" fillId="0" borderId="0" xfId="0" applyFont="1" applyAlignment="1">
      <alignment horizontal="center"/>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6">
    <dxf>
      <font>
        <color theme="9" tint="-0.499984740745262"/>
      </font>
      <fill>
        <patternFill patternType="solid">
          <bgColor rgb="FFC6EFCE"/>
        </patternFill>
      </fill>
    </dxf>
    <dxf>
      <font>
        <color rgb="FFC00000"/>
      </font>
      <fill>
        <patternFill>
          <bgColor rgb="FFFFC7CE"/>
        </patternFill>
      </fill>
    </dxf>
    <dxf>
      <font>
        <color theme="9" tint="-0.499984740745262"/>
      </font>
      <fill>
        <patternFill patternType="solid">
          <bgColor rgb="FFC6EFCE"/>
        </patternFill>
      </fill>
    </dxf>
    <dxf>
      <font>
        <color rgb="FFC00000"/>
      </font>
      <fill>
        <patternFill>
          <bgColor rgb="FFFFC7CE"/>
        </patternFill>
      </fill>
    </dxf>
    <dxf>
      <border>
        <left style="thin">
          <color auto="1"/>
        </left>
        <right style="thin">
          <color auto="1"/>
        </right>
        <top style="thin">
          <color auto="1"/>
        </top>
        <bottom style="thin">
          <color auto="1"/>
        </bottom>
        <vertical/>
        <horizontal/>
      </border>
    </dxf>
    <dxf>
      <fill>
        <patternFill>
          <bgColor theme="0" tint="-0.14996795556505021"/>
        </patternFill>
      </fill>
    </dxf>
  </dxfs>
  <tableStyles count="0" defaultTableStyle="TableStyleMedium2" defaultPivotStyle="PivotStyleLight16"/>
  <colors>
    <mruColors>
      <color rgb="FFFFC7CE"/>
      <color rgb="FFC6EFCE"/>
      <color rgb="FFFF898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Strand Tensile Stress Demand</c:v>
          </c:tx>
          <c:spPr>
            <a:ln w="15875" cap="rnd">
              <a:solidFill>
                <a:srgbClr val="7030A0"/>
              </a:solidFill>
              <a:round/>
            </a:ln>
            <a:effectLst/>
          </c:spPr>
          <c:marker>
            <c:symbol val="none"/>
          </c:marker>
          <c:xVal>
            <c:numRef>
              <c:f>Calculation!Table_L</c:f>
              <c:numCache>
                <c:formatCode>0.00</c:formatCode>
                <c:ptCount val="33"/>
                <c:pt idx="0">
                  <c:v>0</c:v>
                </c:pt>
                <c:pt idx="1">
                  <c:v>0.30480000000000002</c:v>
                </c:pt>
                <c:pt idx="2">
                  <c:v>0.60960000000000003</c:v>
                </c:pt>
                <c:pt idx="3">
                  <c:v>0.9144000000000001</c:v>
                </c:pt>
                <c:pt idx="4">
                  <c:v>1.2192000000000001</c:v>
                </c:pt>
                <c:pt idx="5">
                  <c:v>1.524</c:v>
                </c:pt>
                <c:pt idx="6">
                  <c:v>1.8288000000000002</c:v>
                </c:pt>
                <c:pt idx="7">
                  <c:v>2.1335999999999999</c:v>
                </c:pt>
                <c:pt idx="8">
                  <c:v>2.4384000000000001</c:v>
                </c:pt>
                <c:pt idx="9">
                  <c:v>2.7432000000000003</c:v>
                </c:pt>
                <c:pt idx="10">
                  <c:v>3.048</c:v>
                </c:pt>
                <c:pt idx="11">
                  <c:v>3.3528000000000002</c:v>
                </c:pt>
                <c:pt idx="12">
                  <c:v>3.6576000000000004</c:v>
                </c:pt>
                <c:pt idx="13">
                  <c:v>3.9624000000000001</c:v>
                </c:pt>
                <c:pt idx="14">
                  <c:v>4.2671999999999999</c:v>
                </c:pt>
                <c:pt idx="15">
                  <c:v>4.5720000000000001</c:v>
                </c:pt>
                <c:pt idx="16">
                  <c:v>4.8768000000000002</c:v>
                </c:pt>
                <c:pt idx="17">
                  <c:v>5.1816000000000004</c:v>
                </c:pt>
                <c:pt idx="18">
                  <c:v>5.4864000000000006</c:v>
                </c:pt>
                <c:pt idx="19">
                  <c:v>5.7911999999999999</c:v>
                </c:pt>
                <c:pt idx="20">
                  <c:v>6.0960000000000001</c:v>
                </c:pt>
                <c:pt idx="21">
                  <c:v>6.4008000000000003</c:v>
                </c:pt>
                <c:pt idx="22">
                  <c:v>6.7056000000000004</c:v>
                </c:pt>
                <c:pt idx="23">
                  <c:v>7.0104000000000006</c:v>
                </c:pt>
                <c:pt idx="24">
                  <c:v>7.3152000000000008</c:v>
                </c:pt>
                <c:pt idx="25">
                  <c:v>7.62</c:v>
                </c:pt>
                <c:pt idx="26">
                  <c:v>7.9248000000000003</c:v>
                </c:pt>
                <c:pt idx="27">
                  <c:v>8.2295999999999996</c:v>
                </c:pt>
                <c:pt idx="28">
                  <c:v>8.5343999999999998</c:v>
                </c:pt>
                <c:pt idx="29">
                  <c:v>8.8391999999999999</c:v>
                </c:pt>
                <c:pt idx="30">
                  <c:v>9.1440000000000001</c:v>
                </c:pt>
                <c:pt idx="31">
                  <c:v>9.4488000000000003</c:v>
                </c:pt>
                <c:pt idx="32">
                  <c:v>9.7536000000000005</c:v>
                </c:pt>
              </c:numCache>
            </c:numRef>
          </c:xVal>
          <c:yVal>
            <c:numRef>
              <c:f>Calculation!Table_f.pe.service.L</c:f>
              <c:numCache>
                <c:formatCode>0.00</c:formatCode>
                <c:ptCount val="33"/>
                <c:pt idx="0">
                  <c:v>1211.792156361219</c:v>
                </c:pt>
                <c:pt idx="1">
                  <c:v>1211.8655934242681</c:v>
                </c:pt>
                <c:pt idx="2">
                  <c:v>1211.8871707706619</c:v>
                </c:pt>
                <c:pt idx="3">
                  <c:v>1211.8531841349256</c:v>
                </c:pt>
                <c:pt idx="4">
                  <c:v>1211.7636335170587</c:v>
                </c:pt>
                <c:pt idx="5">
                  <c:v>1214.5356279789064</c:v>
                </c:pt>
                <c:pt idx="6">
                  <c:v>1217.0853665122324</c:v>
                </c:pt>
                <c:pt idx="7">
                  <c:v>1218.4960434118857</c:v>
                </c:pt>
                <c:pt idx="8">
                  <c:v>1221.5180757933199</c:v>
                </c:pt>
                <c:pt idx="9">
                  <c:v>1228.5684968792064</c:v>
                </c:pt>
                <c:pt idx="10">
                  <c:v>1235.0632781437891</c:v>
                </c:pt>
                <c:pt idx="11">
                  <c:v>1249.0591969959723</c:v>
                </c:pt>
                <c:pt idx="12">
                  <c:v>1261.9438362055482</c:v>
                </c:pt>
                <c:pt idx="13">
                  <c:v>1273.7171957725166</c:v>
                </c:pt>
                <c:pt idx="14">
                  <c:v>1284.3792756968774</c:v>
                </c:pt>
                <c:pt idx="15">
                  <c:v>1293.9300759786306</c:v>
                </c:pt>
                <c:pt idx="16">
                  <c:v>1295.9952965877799</c:v>
                </c:pt>
                <c:pt idx="17">
                  <c:v>1295.2728722134482</c:v>
                </c:pt>
                <c:pt idx="18">
                  <c:v>1294.9253195052227</c:v>
                </c:pt>
                <c:pt idx="19">
                  <c:v>1294.1702975947078</c:v>
                </c:pt>
                <c:pt idx="20">
                  <c:v>1293.0078064819033</c:v>
                </c:pt>
                <c:pt idx="21">
                  <c:v>1289.8264906850288</c:v>
                </c:pt>
                <c:pt idx="22">
                  <c:v>1286.126577721604</c:v>
                </c:pt>
                <c:pt idx="23">
                  <c:v>1285.3530344837122</c:v>
                </c:pt>
                <c:pt idx="24">
                  <c:v>1283.0977850556772</c:v>
                </c:pt>
                <c:pt idx="25">
                  <c:v>1278.9440995715211</c:v>
                </c:pt>
                <c:pt idx="26">
                  <c:v>1274.957106033756</c:v>
                </c:pt>
                <c:pt idx="27">
                  <c:v>1263.7375341553536</c:v>
                </c:pt>
                <c:pt idx="28">
                  <c:v>1251.7030238723726</c:v>
                </c:pt>
                <c:pt idx="29">
                  <c:v>1239.8815088542246</c:v>
                </c:pt>
                <c:pt idx="30">
                  <c:v>1227.3006194136281</c:v>
                </c:pt>
                <c:pt idx="31">
                  <c:v>1213.9603555505832</c:v>
                </c:pt>
                <c:pt idx="32">
                  <c:v>1206.9469771194504</c:v>
                </c:pt>
              </c:numCache>
            </c:numRef>
          </c:yVal>
          <c:smooth val="0"/>
          <c:extLst>
            <c:ext xmlns:c16="http://schemas.microsoft.com/office/drawing/2014/chart" uri="{C3380CC4-5D6E-409C-BE32-E72D297353CC}">
              <c16:uniqueId val="{00000000-93E6-49B0-BEBB-90AEBE6E585E}"/>
            </c:ext>
          </c:extLst>
        </c:ser>
        <c:ser>
          <c:idx val="3"/>
          <c:order val="1"/>
          <c:tx>
            <c:v>Strand Tensile Limit</c:v>
          </c:tx>
          <c:spPr>
            <a:ln w="19050" cap="rnd" cmpd="sng">
              <a:solidFill>
                <a:srgbClr val="C00000"/>
              </a:solidFill>
              <a:prstDash val="sysDash"/>
              <a:round/>
            </a:ln>
            <a:effectLst/>
          </c:spPr>
          <c:marker>
            <c:symbol val="none"/>
          </c:marker>
          <c:xVal>
            <c:numRef>
              <c:f>Calculation!Table_L</c:f>
              <c:numCache>
                <c:formatCode>0.00</c:formatCode>
                <c:ptCount val="33"/>
                <c:pt idx="0">
                  <c:v>0</c:v>
                </c:pt>
                <c:pt idx="1">
                  <c:v>0.30480000000000002</c:v>
                </c:pt>
                <c:pt idx="2">
                  <c:v>0.60960000000000003</c:v>
                </c:pt>
                <c:pt idx="3">
                  <c:v>0.9144000000000001</c:v>
                </c:pt>
                <c:pt idx="4">
                  <c:v>1.2192000000000001</c:v>
                </c:pt>
                <c:pt idx="5">
                  <c:v>1.524</c:v>
                </c:pt>
                <c:pt idx="6">
                  <c:v>1.8288000000000002</c:v>
                </c:pt>
                <c:pt idx="7">
                  <c:v>2.1335999999999999</c:v>
                </c:pt>
                <c:pt idx="8">
                  <c:v>2.4384000000000001</c:v>
                </c:pt>
                <c:pt idx="9">
                  <c:v>2.7432000000000003</c:v>
                </c:pt>
                <c:pt idx="10">
                  <c:v>3.048</c:v>
                </c:pt>
                <c:pt idx="11">
                  <c:v>3.3528000000000002</c:v>
                </c:pt>
                <c:pt idx="12">
                  <c:v>3.6576000000000004</c:v>
                </c:pt>
                <c:pt idx="13">
                  <c:v>3.9624000000000001</c:v>
                </c:pt>
                <c:pt idx="14">
                  <c:v>4.2671999999999999</c:v>
                </c:pt>
                <c:pt idx="15">
                  <c:v>4.5720000000000001</c:v>
                </c:pt>
                <c:pt idx="16">
                  <c:v>4.8768000000000002</c:v>
                </c:pt>
                <c:pt idx="17">
                  <c:v>5.1816000000000004</c:v>
                </c:pt>
                <c:pt idx="18">
                  <c:v>5.4864000000000006</c:v>
                </c:pt>
                <c:pt idx="19">
                  <c:v>5.7911999999999999</c:v>
                </c:pt>
                <c:pt idx="20">
                  <c:v>6.0960000000000001</c:v>
                </c:pt>
                <c:pt idx="21">
                  <c:v>6.4008000000000003</c:v>
                </c:pt>
                <c:pt idx="22">
                  <c:v>6.7056000000000004</c:v>
                </c:pt>
                <c:pt idx="23">
                  <c:v>7.0104000000000006</c:v>
                </c:pt>
                <c:pt idx="24">
                  <c:v>7.3152000000000008</c:v>
                </c:pt>
                <c:pt idx="25">
                  <c:v>7.62</c:v>
                </c:pt>
                <c:pt idx="26">
                  <c:v>7.9248000000000003</c:v>
                </c:pt>
                <c:pt idx="27">
                  <c:v>8.2295999999999996</c:v>
                </c:pt>
                <c:pt idx="28">
                  <c:v>8.5343999999999998</c:v>
                </c:pt>
                <c:pt idx="29">
                  <c:v>8.8391999999999999</c:v>
                </c:pt>
                <c:pt idx="30">
                  <c:v>9.1440000000000001</c:v>
                </c:pt>
                <c:pt idx="31">
                  <c:v>9.4488000000000003</c:v>
                </c:pt>
                <c:pt idx="32">
                  <c:v>9.7536000000000005</c:v>
                </c:pt>
              </c:numCache>
            </c:numRef>
          </c:xVal>
          <c:yVal>
            <c:numRef>
              <c:f>Calculation!Table_f.pu.service.lim</c:f>
              <c:numCache>
                <c:formatCode>0.00</c:formatCode>
                <c:ptCount val="33"/>
                <c:pt idx="0">
                  <c:v>1340.3408171760002</c:v>
                </c:pt>
                <c:pt idx="1">
                  <c:v>1340.3408171760002</c:v>
                </c:pt>
                <c:pt idx="2">
                  <c:v>1340.3408171760002</c:v>
                </c:pt>
                <c:pt idx="3">
                  <c:v>1340.3408171760002</c:v>
                </c:pt>
                <c:pt idx="4">
                  <c:v>1340.3408171760002</c:v>
                </c:pt>
                <c:pt idx="5">
                  <c:v>1340.3408171760002</c:v>
                </c:pt>
                <c:pt idx="6">
                  <c:v>1340.3408171760002</c:v>
                </c:pt>
                <c:pt idx="7">
                  <c:v>1340.3408171760002</c:v>
                </c:pt>
                <c:pt idx="8">
                  <c:v>1340.3408171760002</c:v>
                </c:pt>
                <c:pt idx="9">
                  <c:v>1340.3408171760002</c:v>
                </c:pt>
                <c:pt idx="10">
                  <c:v>1340.3408171760002</c:v>
                </c:pt>
                <c:pt idx="11">
                  <c:v>1340.3408171760002</c:v>
                </c:pt>
                <c:pt idx="12">
                  <c:v>1340.3408171760002</c:v>
                </c:pt>
                <c:pt idx="13">
                  <c:v>1340.3408171760002</c:v>
                </c:pt>
                <c:pt idx="14">
                  <c:v>1340.3408171760002</c:v>
                </c:pt>
                <c:pt idx="15">
                  <c:v>1340.3408171760002</c:v>
                </c:pt>
                <c:pt idx="16">
                  <c:v>1340.3408171760002</c:v>
                </c:pt>
                <c:pt idx="17">
                  <c:v>1340.3408171760002</c:v>
                </c:pt>
                <c:pt idx="18">
                  <c:v>1340.3408171760002</c:v>
                </c:pt>
                <c:pt idx="19">
                  <c:v>1340.3408171760002</c:v>
                </c:pt>
                <c:pt idx="20">
                  <c:v>1340.3408171760002</c:v>
                </c:pt>
                <c:pt idx="21">
                  <c:v>1340.3408171760002</c:v>
                </c:pt>
                <c:pt idx="22">
                  <c:v>1340.3408171760002</c:v>
                </c:pt>
                <c:pt idx="23">
                  <c:v>1340.3408171760002</c:v>
                </c:pt>
                <c:pt idx="24">
                  <c:v>1340.3408171760002</c:v>
                </c:pt>
                <c:pt idx="25">
                  <c:v>1340.3408171760002</c:v>
                </c:pt>
                <c:pt idx="26">
                  <c:v>1340.3408171760002</c:v>
                </c:pt>
                <c:pt idx="27">
                  <c:v>1340.3408171760002</c:v>
                </c:pt>
                <c:pt idx="28">
                  <c:v>1340.3408171760002</c:v>
                </c:pt>
                <c:pt idx="29">
                  <c:v>1340.3408171760002</c:v>
                </c:pt>
                <c:pt idx="30">
                  <c:v>1340.3408171760002</c:v>
                </c:pt>
                <c:pt idx="31">
                  <c:v>1340.3408171760002</c:v>
                </c:pt>
                <c:pt idx="32">
                  <c:v>1340.3408171760002</c:v>
                </c:pt>
              </c:numCache>
            </c:numRef>
          </c:yVal>
          <c:smooth val="0"/>
          <c:extLst>
            <c:ext xmlns:c16="http://schemas.microsoft.com/office/drawing/2014/chart" uri="{C3380CC4-5D6E-409C-BE32-E72D297353CC}">
              <c16:uniqueId val="{00000003-93E6-49B0-BEBB-90AEBE6E585E}"/>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majorUnit val="1"/>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(MPa)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109673</xdr:colOff>
      <xdr:row>2</xdr:row>
      <xdr:rowOff>186397</xdr:rowOff>
    </xdr:to>
    <xdr:pic>
      <xdr:nvPicPr>
        <xdr:cNvPr id="2" name="Picture 1">
          <a:extLst>
            <a:ext uri="{FF2B5EF4-FFF2-40B4-BE49-F238E27FC236}">
              <a16:creationId xmlns:a16="http://schemas.microsoft.com/office/drawing/2014/main" id="{B7389F7A-FFE7-4085-9AAE-D5839312DF15}"/>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oneCellAnchor>
    <xdr:from>
      <xdr:col>9</xdr:col>
      <xdr:colOff>0</xdr:colOff>
      <xdr:row>235</xdr:row>
      <xdr:rowOff>38100</xdr:rowOff>
    </xdr:from>
    <xdr:ext cx="990015" cy="14984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74B0B34-D8A3-4468-9F00-CBD05963F038}"/>
                </a:ext>
              </a:extLst>
            </xdr:cNvPr>
            <xdr:cNvSpPr txBox="1"/>
          </xdr:nvSpPr>
          <xdr:spPr>
            <a:xfrm>
              <a:off x="1628775" y="53949600"/>
              <a:ext cx="990015"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𝑝𝑠</m:t>
                        </m:r>
                        <m:r>
                          <a:rPr lang="pl-PL" sz="900" b="0" i="1">
                            <a:latin typeface="Cambria Math" panose="02040503050406030204" pitchFamily="18" charset="0"/>
                          </a:rPr>
                          <m:t>.</m:t>
                        </m:r>
                        <m:r>
                          <a:rPr lang="pl-PL" sz="900" b="0" i="1">
                            <a:latin typeface="Cambria Math" panose="02040503050406030204" pitchFamily="18" charset="0"/>
                          </a:rPr>
                          <m:t>𝑗𝑎𝑐𝑘</m:t>
                        </m:r>
                        <m:r>
                          <a:rPr lang="pl-PL" sz="900" b="0" i="1">
                            <a:latin typeface="Cambria Math" panose="02040503050406030204" pitchFamily="18" charset="0"/>
                          </a:rPr>
                          <m:t>.</m:t>
                        </m:r>
                        <m:r>
                          <a:rPr lang="en-US" sz="900" b="0" i="1">
                            <a:latin typeface="Cambria Math" panose="02040503050406030204" pitchFamily="18" charset="0"/>
                          </a:rPr>
                          <m:t>𝑙𝑖𝑚</m:t>
                        </m:r>
                      </m:sub>
                    </m:sSub>
                    <m:r>
                      <a:rPr lang="en-US" sz="900" b="0" i="1">
                        <a:latin typeface="Cambria Math" panose="02040503050406030204" pitchFamily="18" charset="0"/>
                      </a:rPr>
                      <m:t>=0.9</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𝑝𝑦</m:t>
                        </m:r>
                      </m:sub>
                    </m:sSub>
                  </m:oMath>
                </m:oMathPara>
              </a14:m>
              <a:endParaRPr lang="en-US" sz="900"/>
            </a:p>
          </xdr:txBody>
        </xdr:sp>
      </mc:Choice>
      <mc:Fallback xmlns="">
        <xdr:sp macro="" textlink="">
          <xdr:nvSpPr>
            <xdr:cNvPr id="8" name="TextBox 7">
              <a:extLst>
                <a:ext uri="{FF2B5EF4-FFF2-40B4-BE49-F238E27FC236}">
                  <a16:creationId xmlns:a16="http://schemas.microsoft.com/office/drawing/2014/main" id="{874B0B34-D8A3-4468-9F00-CBD05963F038}"/>
                </a:ext>
              </a:extLst>
            </xdr:cNvPr>
            <xdr:cNvSpPr txBox="1"/>
          </xdr:nvSpPr>
          <xdr:spPr>
            <a:xfrm>
              <a:off x="1628775" y="53949600"/>
              <a:ext cx="990015"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𝑓_(𝑝𝑠</a:t>
              </a:r>
              <a:r>
                <a:rPr lang="pl-PL" sz="900" b="0" i="0">
                  <a:latin typeface="Cambria Math" panose="02040503050406030204" pitchFamily="18" charset="0"/>
                </a:rPr>
                <a:t>.𝑗𝑎𝑐𝑘.</a:t>
              </a:r>
              <a:r>
                <a:rPr lang="en-US" sz="900" b="0" i="0">
                  <a:latin typeface="Cambria Math" panose="02040503050406030204" pitchFamily="18" charset="0"/>
                </a:rPr>
                <a:t>𝑙𝑖𝑚)=0.9𝑓_𝑝𝑦</a:t>
              </a:r>
              <a:endParaRPr lang="en-US" sz="900"/>
            </a:p>
          </xdr:txBody>
        </xdr:sp>
      </mc:Fallback>
    </mc:AlternateContent>
    <xdr:clientData/>
  </xdr:oneCellAnchor>
  <xdr:oneCellAnchor>
    <xdr:from>
      <xdr:col>9</xdr:col>
      <xdr:colOff>0</xdr:colOff>
      <xdr:row>307</xdr:row>
      <xdr:rowOff>121854</xdr:rowOff>
    </xdr:from>
    <xdr:ext cx="837089" cy="14940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BBA0E11-0AE1-4747-A00E-99DF635E0777}"/>
                </a:ext>
              </a:extLst>
            </xdr:cNvPr>
            <xdr:cNvSpPr txBox="1"/>
          </xdr:nvSpPr>
          <xdr:spPr>
            <a:xfrm>
              <a:off x="1628775" y="66034854"/>
              <a:ext cx="837089"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𝑝𝑡</m:t>
                        </m:r>
                        <m:r>
                          <a:rPr lang="en-US" sz="900" b="0" i="1">
                            <a:latin typeface="Cambria Math" panose="02040503050406030204" pitchFamily="18" charset="0"/>
                          </a:rPr>
                          <m:t>,</m:t>
                        </m:r>
                        <m:r>
                          <a:rPr lang="en-US" sz="900" b="0" i="1">
                            <a:latin typeface="Cambria Math" panose="02040503050406030204" pitchFamily="18" charset="0"/>
                          </a:rPr>
                          <m:t>𝑙𝑜𝑎𝑑𝑠</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𝑝</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𝑝𝑡</m:t>
                        </m:r>
                      </m:sub>
                    </m:sSub>
                  </m:oMath>
                </m:oMathPara>
              </a14:m>
              <a:endParaRPr lang="en-US" sz="900"/>
            </a:p>
          </xdr:txBody>
        </xdr:sp>
      </mc:Choice>
      <mc:Fallback xmlns="">
        <xdr:sp macro="" textlink="">
          <xdr:nvSpPr>
            <xdr:cNvPr id="10" name="TextBox 9">
              <a:extLst>
                <a:ext uri="{FF2B5EF4-FFF2-40B4-BE49-F238E27FC236}">
                  <a16:creationId xmlns:a16="http://schemas.microsoft.com/office/drawing/2014/main" id="{9BBA0E11-0AE1-4747-A00E-99DF635E0777}"/>
                </a:ext>
              </a:extLst>
            </xdr:cNvPr>
            <xdr:cNvSpPr txBox="1"/>
          </xdr:nvSpPr>
          <xdr:spPr>
            <a:xfrm>
              <a:off x="1628775" y="66034854"/>
              <a:ext cx="837089"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𝑓_(𝑝𝑡,𝑙𝑜𝑎𝑑𝑠)=𝐸_𝑝 𝜀_𝑝𝑡</a:t>
              </a:r>
              <a:endParaRPr lang="en-US" sz="900"/>
            </a:p>
          </xdr:txBody>
        </xdr:sp>
      </mc:Fallback>
    </mc:AlternateContent>
    <xdr:clientData/>
  </xdr:oneCellAnchor>
  <xdr:oneCellAnchor>
    <xdr:from>
      <xdr:col>10</xdr:col>
      <xdr:colOff>0</xdr:colOff>
      <xdr:row>309</xdr:row>
      <xdr:rowOff>111672</xdr:rowOff>
    </xdr:from>
    <xdr:ext cx="424603" cy="14940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642DC78-523F-43E3-9504-74CC4C5FDBAD}"/>
                </a:ext>
              </a:extLst>
            </xdr:cNvPr>
            <xdr:cNvSpPr txBox="1"/>
          </xdr:nvSpPr>
          <xdr:spPr>
            <a:xfrm>
              <a:off x="1905000" y="54975672"/>
              <a:ext cx="424603"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𝑝𝑡</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𝑐</m:t>
                        </m:r>
                      </m:sub>
                    </m:sSub>
                  </m:oMath>
                </m:oMathPara>
              </a14:m>
              <a:endParaRPr lang="en-US" sz="900"/>
            </a:p>
          </xdr:txBody>
        </xdr:sp>
      </mc:Choice>
      <mc:Fallback xmlns="">
        <xdr:sp macro="" textlink="">
          <xdr:nvSpPr>
            <xdr:cNvPr id="11" name="TextBox 10">
              <a:extLst>
                <a:ext uri="{FF2B5EF4-FFF2-40B4-BE49-F238E27FC236}">
                  <a16:creationId xmlns:a16="http://schemas.microsoft.com/office/drawing/2014/main" id="{8642DC78-523F-43E3-9504-74CC4C5FDBAD}"/>
                </a:ext>
              </a:extLst>
            </xdr:cNvPr>
            <xdr:cNvSpPr txBox="1"/>
          </xdr:nvSpPr>
          <xdr:spPr>
            <a:xfrm>
              <a:off x="1905000" y="54975672"/>
              <a:ext cx="424603"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𝜀_𝑝𝑡=𝜀_𝑐</a:t>
              </a:r>
              <a:endParaRPr lang="en-US" sz="900"/>
            </a:p>
          </xdr:txBody>
        </xdr:sp>
      </mc:Fallback>
    </mc:AlternateContent>
    <xdr:clientData/>
  </xdr:oneCellAnchor>
  <xdr:oneCellAnchor>
    <xdr:from>
      <xdr:col>11</xdr:col>
      <xdr:colOff>0</xdr:colOff>
      <xdr:row>311</xdr:row>
      <xdr:rowOff>43026</xdr:rowOff>
    </xdr:from>
    <xdr:ext cx="392800" cy="28668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20A042C0-8CC0-4948-AA66-FF3487FED3E1}"/>
                </a:ext>
              </a:extLst>
            </xdr:cNvPr>
            <xdr:cNvSpPr txBox="1"/>
          </xdr:nvSpPr>
          <xdr:spPr>
            <a:xfrm>
              <a:off x="1990725" y="66718026"/>
              <a:ext cx="392800" cy="286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𝑐</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num>
                      <m:den>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𝑐</m:t>
                            </m:r>
                          </m:sub>
                        </m:sSub>
                      </m:den>
                    </m:f>
                  </m:oMath>
                </m:oMathPara>
              </a14:m>
              <a:endParaRPr lang="en-US" sz="900"/>
            </a:p>
          </xdr:txBody>
        </xdr:sp>
      </mc:Choice>
      <mc:Fallback xmlns="">
        <xdr:sp macro="" textlink="">
          <xdr:nvSpPr>
            <xdr:cNvPr id="12" name="TextBox 11">
              <a:extLst>
                <a:ext uri="{FF2B5EF4-FFF2-40B4-BE49-F238E27FC236}">
                  <a16:creationId xmlns:a16="http://schemas.microsoft.com/office/drawing/2014/main" id="{20A042C0-8CC0-4948-AA66-FF3487FED3E1}"/>
                </a:ext>
              </a:extLst>
            </xdr:cNvPr>
            <xdr:cNvSpPr txBox="1"/>
          </xdr:nvSpPr>
          <xdr:spPr>
            <a:xfrm>
              <a:off x="1990725" y="66718026"/>
              <a:ext cx="392800" cy="286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𝜀_𝑐=𝑓_𝑐/𝐸_𝑐 </a:t>
              </a:r>
              <a:endParaRPr lang="en-US" sz="900"/>
            </a:p>
          </xdr:txBody>
        </xdr:sp>
      </mc:Fallback>
    </mc:AlternateContent>
    <xdr:clientData/>
  </xdr:oneCellAnchor>
  <xdr:oneCellAnchor>
    <xdr:from>
      <xdr:col>12</xdr:col>
      <xdr:colOff>0</xdr:colOff>
      <xdr:row>313</xdr:row>
      <xdr:rowOff>44997</xdr:rowOff>
    </xdr:from>
    <xdr:ext cx="479618" cy="25840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67FEBED-6CED-42F0-81D3-6A578211DA56}"/>
                </a:ext>
              </a:extLst>
            </xdr:cNvPr>
            <xdr:cNvSpPr txBox="1"/>
          </xdr:nvSpPr>
          <xdr:spPr>
            <a:xfrm>
              <a:off x="2171700" y="67100997"/>
              <a:ext cx="479618"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𝑢</m:t>
                            </m:r>
                          </m:sub>
                        </m:sSub>
                        <m:r>
                          <a:rPr lang="en-US" sz="900" b="0" i="1">
                            <a:latin typeface="Cambria Math" panose="02040503050406030204" pitchFamily="18" charset="0"/>
                          </a:rPr>
                          <m:t>𝑒</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3" name="TextBox 12">
              <a:extLst>
                <a:ext uri="{FF2B5EF4-FFF2-40B4-BE49-F238E27FC236}">
                  <a16:creationId xmlns:a16="http://schemas.microsoft.com/office/drawing/2014/main" id="{367FEBED-6CED-42F0-81D3-6A578211DA56}"/>
                </a:ext>
              </a:extLst>
            </xdr:cNvPr>
            <xdr:cNvSpPr txBox="1"/>
          </xdr:nvSpPr>
          <xdr:spPr>
            <a:xfrm>
              <a:off x="2171700" y="67100997"/>
              <a:ext cx="479618"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𝑓_𝑐=(𝑀_𝑢 𝑒)/𝐼</a:t>
              </a:r>
              <a:endParaRPr lang="en-US" sz="900"/>
            </a:p>
          </xdr:txBody>
        </xdr:sp>
      </mc:Fallback>
    </mc:AlternateContent>
    <xdr:clientData/>
  </xdr:oneCellAnchor>
  <xdr:oneCellAnchor>
    <xdr:from>
      <xdr:col>9</xdr:col>
      <xdr:colOff>0</xdr:colOff>
      <xdr:row>305</xdr:row>
      <xdr:rowOff>38100</xdr:rowOff>
    </xdr:from>
    <xdr:ext cx="1053365" cy="311239"/>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A5E2EBF-F40C-4072-AFE8-D6C5E90DA19C}"/>
                </a:ext>
              </a:extLst>
            </xdr:cNvPr>
            <xdr:cNvSpPr txBox="1"/>
          </xdr:nvSpPr>
          <xdr:spPr>
            <a:xfrm>
              <a:off x="1628775" y="65570100"/>
              <a:ext cx="1053365" cy="311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𝑝𝑡</m:t>
                        </m:r>
                        <m:r>
                          <a:rPr lang="en-US" sz="900" b="0" i="1">
                            <a:latin typeface="Cambria Math" panose="02040503050406030204" pitchFamily="18" charset="0"/>
                          </a:rPr>
                          <m:t>,</m:t>
                        </m:r>
                        <m:r>
                          <a:rPr lang="en-US" sz="900" b="0" i="1">
                            <a:latin typeface="Cambria Math" panose="02040503050406030204" pitchFamily="18" charset="0"/>
                          </a:rPr>
                          <m:t>𝑙𝑜𝑎𝑑𝑠</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𝑢</m:t>
                            </m:r>
                          </m:sub>
                        </m:sSub>
                        <m:r>
                          <a:rPr lang="en-US" sz="900" b="0" i="1">
                            <a:latin typeface="Cambria Math" panose="02040503050406030204" pitchFamily="18" charset="0"/>
                          </a:rPr>
                          <m:t>𝑒</m:t>
                        </m:r>
                      </m:num>
                      <m:den>
                        <m:r>
                          <a:rPr lang="en-US" sz="900" b="0" i="1">
                            <a:latin typeface="Cambria Math" panose="02040503050406030204" pitchFamily="18" charset="0"/>
                          </a:rPr>
                          <m:t>𝐼</m:t>
                        </m:r>
                      </m:den>
                    </m:f>
                    <m:d>
                      <m:dPr>
                        <m:ctrlPr>
                          <a:rPr lang="en-US" sz="900" b="0" i="1">
                            <a:latin typeface="Cambria Math" panose="02040503050406030204" pitchFamily="18" charset="0"/>
                          </a:rPr>
                        </m:ctrlPr>
                      </m:dPr>
                      <m:e>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𝑝</m:t>
                                </m:r>
                              </m:sub>
                            </m:sSub>
                          </m:num>
                          <m:den>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𝑐</m:t>
                                </m:r>
                              </m:sub>
                            </m:sSub>
                          </m:den>
                        </m:f>
                      </m:e>
                    </m:d>
                  </m:oMath>
                </m:oMathPara>
              </a14:m>
              <a:endParaRPr lang="en-US" sz="900"/>
            </a:p>
          </xdr:txBody>
        </xdr:sp>
      </mc:Choice>
      <mc:Fallback xmlns="">
        <xdr:sp macro="" textlink="">
          <xdr:nvSpPr>
            <xdr:cNvPr id="14" name="TextBox 13">
              <a:extLst>
                <a:ext uri="{FF2B5EF4-FFF2-40B4-BE49-F238E27FC236}">
                  <a16:creationId xmlns:a16="http://schemas.microsoft.com/office/drawing/2014/main" id="{6A5E2EBF-F40C-4072-AFE8-D6C5E90DA19C}"/>
                </a:ext>
              </a:extLst>
            </xdr:cNvPr>
            <xdr:cNvSpPr txBox="1"/>
          </xdr:nvSpPr>
          <xdr:spPr>
            <a:xfrm>
              <a:off x="1628775" y="65570100"/>
              <a:ext cx="1053365" cy="311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𝑓_(𝑝𝑡,𝑙𝑜𝑎𝑑𝑠)=(𝑀_𝑢 𝑒)/𝐼 (𝐸_𝑝/𝐸_𝑐 )</a:t>
              </a:r>
              <a:endParaRPr lang="en-US" sz="900"/>
            </a:p>
          </xdr:txBody>
        </xdr:sp>
      </mc:Fallback>
    </mc:AlternateContent>
    <xdr:clientData/>
  </xdr:oneCellAnchor>
  <xdr:oneCellAnchor>
    <xdr:from>
      <xdr:col>8</xdr:col>
      <xdr:colOff>123825</xdr:colOff>
      <xdr:row>252</xdr:row>
      <xdr:rowOff>28575</xdr:rowOff>
    </xdr:from>
    <xdr:ext cx="1221040" cy="20002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5851FD4-0CC2-4D79-9B81-2EE1413DFB11}"/>
                </a:ext>
              </a:extLst>
            </xdr:cNvPr>
            <xdr:cNvSpPr txBox="1"/>
          </xdr:nvSpPr>
          <xdr:spPr>
            <a:xfrm>
              <a:off x="1571625" y="57178575"/>
              <a:ext cx="122104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m:t>
                        </m:r>
                        <m:r>
                          <a:rPr lang="pl-PL" sz="900" b="0" i="1">
                            <a:latin typeface="Cambria Math" panose="02040503050406030204" pitchFamily="18" charset="0"/>
                          </a:rPr>
                          <m:t>𝑢</m:t>
                        </m:r>
                        <m:r>
                          <a:rPr lang="pl-PL" sz="900" b="0" i="1">
                            <a:latin typeface="Cambria Math" panose="02040503050406030204" pitchFamily="18" charset="0"/>
                          </a:rPr>
                          <m:t>.</m:t>
                        </m:r>
                        <m:r>
                          <a:rPr lang="en-US" sz="900" b="0" i="1">
                            <a:latin typeface="Cambria Math" panose="02040503050406030204" pitchFamily="18" charset="0"/>
                          </a:rPr>
                          <m:t>𝑗𝑎𝑐𝑘</m:t>
                        </m:r>
                        <m:r>
                          <a:rPr lang="pl-PL" sz="900" b="0" i="1">
                            <a:latin typeface="Cambria Math" panose="02040503050406030204" pitchFamily="18" charset="0"/>
                          </a:rPr>
                          <m:t>.</m:t>
                        </m:r>
                        <m:r>
                          <a:rPr lang="en-US" sz="900" b="0" i="1">
                            <a:latin typeface="Cambria Math" panose="02040503050406030204" pitchFamily="18" charset="0"/>
                          </a:rPr>
                          <m:t>𝑙𝑖𝑚</m:t>
                        </m:r>
                      </m:sub>
                    </m:sSub>
                    <m:r>
                      <a:rPr lang="pl-PL" sz="900" b="0" i="1">
                        <a:latin typeface="Cambria Math" panose="02040503050406030204" pitchFamily="18" charset="0"/>
                      </a:rPr>
                      <m:t>=</m:t>
                    </m:r>
                    <m:r>
                      <a:rPr lang="en-US" sz="900" b="0" i="1" baseline="0">
                        <a:solidFill>
                          <a:schemeClr val="tx1"/>
                        </a:solidFill>
                        <a:effectLst/>
                        <a:latin typeface="Cambria Math" panose="02040503050406030204" pitchFamily="18" charset="0"/>
                        <a:ea typeface="+mn-ea"/>
                        <a:cs typeface="+mn-cs"/>
                      </a:rPr>
                      <m:t>0.70</m:t>
                    </m:r>
                    <m:sSub>
                      <m:sSubPr>
                        <m:ctrlPr>
                          <a:rPr lang="en-US" sz="900" b="0" i="1" baseline="0">
                            <a:solidFill>
                              <a:schemeClr val="tx1"/>
                            </a:solidFill>
                            <a:effectLst/>
                            <a:latin typeface="Cambria Math" panose="02040503050406030204" pitchFamily="18" charset="0"/>
                            <a:ea typeface="+mn-ea"/>
                            <a:cs typeface="+mn-cs"/>
                          </a:rPr>
                        </m:ctrlPr>
                      </m:sSubPr>
                      <m:e>
                        <m:r>
                          <a:rPr lang="en-US" sz="900" b="0" i="1" baseline="0">
                            <a:solidFill>
                              <a:schemeClr val="tx1"/>
                            </a:solidFill>
                            <a:effectLst/>
                            <a:latin typeface="Cambria Math" panose="02040503050406030204" pitchFamily="18" charset="0"/>
                            <a:ea typeface="+mn-ea"/>
                            <a:cs typeface="+mn-cs"/>
                          </a:rPr>
                          <m:t>𝑓</m:t>
                        </m:r>
                      </m:e>
                      <m:sub>
                        <m:r>
                          <a:rPr lang="en-US" sz="900" b="0" i="1" baseline="0">
                            <a:solidFill>
                              <a:schemeClr val="tx1"/>
                            </a:solidFill>
                            <a:effectLst/>
                            <a:latin typeface="Cambria Math" panose="02040503050406030204" pitchFamily="18" charset="0"/>
                            <a:ea typeface="+mn-ea"/>
                            <a:cs typeface="+mn-cs"/>
                          </a:rPr>
                          <m:t>𝑝𝑢</m:t>
                        </m:r>
                      </m:sub>
                    </m:sSub>
                  </m:oMath>
                </m:oMathPara>
              </a14:m>
              <a:endParaRPr lang="en-US" sz="900">
                <a:effectLst/>
              </a:endParaRPr>
            </a:p>
            <a:p>
              <a:endParaRPr lang="en-US" sz="900"/>
            </a:p>
          </xdr:txBody>
        </xdr:sp>
      </mc:Choice>
      <mc:Fallback xmlns="">
        <xdr:sp macro="" textlink="">
          <xdr:nvSpPr>
            <xdr:cNvPr id="9" name="TextBox 8">
              <a:extLst>
                <a:ext uri="{FF2B5EF4-FFF2-40B4-BE49-F238E27FC236}">
                  <a16:creationId xmlns:a16="http://schemas.microsoft.com/office/drawing/2014/main" id="{C5851FD4-0CC2-4D79-9B81-2EE1413DFB11}"/>
                </a:ext>
              </a:extLst>
            </xdr:cNvPr>
            <xdr:cNvSpPr txBox="1"/>
          </xdr:nvSpPr>
          <xdr:spPr>
            <a:xfrm>
              <a:off x="1571625" y="57178575"/>
              <a:ext cx="122104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b="0" i="0">
                  <a:latin typeface="Cambria Math" panose="02040503050406030204" pitchFamily="18" charset="0"/>
                </a:rPr>
                <a:t>𝑓_(𝑝</a:t>
              </a:r>
              <a:r>
                <a:rPr lang="pl-PL" sz="900" b="0" i="0">
                  <a:latin typeface="Cambria Math" panose="02040503050406030204" pitchFamily="18" charset="0"/>
                </a:rPr>
                <a:t>𝑢.</a:t>
              </a:r>
              <a:r>
                <a:rPr lang="en-US" sz="900" b="0" i="0">
                  <a:latin typeface="Cambria Math" panose="02040503050406030204" pitchFamily="18" charset="0"/>
                </a:rPr>
                <a:t>𝑗𝑎𝑐𝑘</a:t>
              </a:r>
              <a:r>
                <a:rPr lang="pl-PL" sz="900" b="0" i="0">
                  <a:latin typeface="Cambria Math" panose="02040503050406030204" pitchFamily="18" charset="0"/>
                </a:rPr>
                <a:t>.</a:t>
              </a:r>
              <a:r>
                <a:rPr lang="en-US" sz="900" b="0" i="0">
                  <a:latin typeface="Cambria Math" panose="02040503050406030204" pitchFamily="18" charset="0"/>
                </a:rPr>
                <a:t>𝑙𝑖𝑚)</a:t>
              </a:r>
              <a:r>
                <a:rPr lang="pl-PL" sz="900" b="0" i="0">
                  <a:latin typeface="Cambria Math" panose="02040503050406030204" pitchFamily="18" charset="0"/>
                </a:rPr>
                <a:t>=</a:t>
              </a:r>
              <a:r>
                <a:rPr lang="en-US" sz="900" b="0" i="0" baseline="0">
                  <a:solidFill>
                    <a:schemeClr val="tx1"/>
                  </a:solidFill>
                  <a:effectLst/>
                  <a:latin typeface="Cambria Math" panose="02040503050406030204" pitchFamily="18" charset="0"/>
                  <a:ea typeface="+mn-ea"/>
                  <a:cs typeface="+mn-cs"/>
                </a:rPr>
                <a:t>0.70𝑓_𝑝𝑢</a:t>
              </a:r>
              <a:endParaRPr lang="en-US" sz="900">
                <a:effectLst/>
              </a:endParaRPr>
            </a:p>
            <a:p>
              <a:endParaRPr lang="en-US" sz="900"/>
            </a:p>
          </xdr:txBody>
        </xdr:sp>
      </mc:Fallback>
    </mc:AlternateContent>
    <xdr:clientData/>
  </xdr:oneCellAnchor>
  <xdr:oneCellAnchor>
    <xdr:from>
      <xdr:col>9</xdr:col>
      <xdr:colOff>0</xdr:colOff>
      <xdr:row>281</xdr:row>
      <xdr:rowOff>114300</xdr:rowOff>
    </xdr:from>
    <xdr:ext cx="1598258" cy="14984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96451A4-C731-4FA9-BBB9-026A760CFF18}"/>
                </a:ext>
              </a:extLst>
            </xdr:cNvPr>
            <xdr:cNvSpPr txBox="1"/>
          </xdr:nvSpPr>
          <xdr:spPr>
            <a:xfrm>
              <a:off x="1714500" y="53644800"/>
              <a:ext cx="1598258"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r>
                          <a:rPr lang="en-US" sz="900" b="0" i="1">
                            <a:latin typeface="Cambria Math" panose="02040503050406030204" pitchFamily="18" charset="0"/>
                          </a:rPr>
                          <m:t>,</m:t>
                        </m:r>
                        <m:r>
                          <a:rPr lang="en-US" sz="900" b="0" i="1">
                            <a:latin typeface="Cambria Math" panose="02040503050406030204" pitchFamily="18" charset="0"/>
                          </a:rPr>
                          <m:t>𝑗𝑎𝑐𝑘</m:t>
                        </m:r>
                        <m:r>
                          <a:rPr lang="en-US" sz="900" b="0" i="1">
                            <a:latin typeface="Cambria Math" panose="02040503050406030204" pitchFamily="18" charset="0"/>
                          </a:rPr>
                          <m:t>,</m:t>
                        </m:r>
                        <m:r>
                          <a:rPr lang="en-US" sz="900" b="0" i="1">
                            <a:latin typeface="Cambria Math" panose="02040503050406030204" pitchFamily="18" charset="0"/>
                          </a:rPr>
                          <m:t>𝑙𝑖𝑚</m:t>
                        </m:r>
                      </m:sub>
                    </m:sSub>
                    <m:r>
                      <a:rPr lang="en-US" sz="900" b="0" i="1">
                        <a:latin typeface="Cambria Math" panose="02040503050406030204" pitchFamily="18" charset="0"/>
                      </a:rPr>
                      <m:t>=0.70</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sub>
                    </m:sSub>
                    <m:r>
                      <a:rPr lang="en-US" sz="900" b="0" i="0">
                        <a:latin typeface="Cambria Math" panose="02040503050406030204" pitchFamily="18" charset="0"/>
                      </a:rPr>
                      <m:t> </m:t>
                    </m:r>
                    <m:r>
                      <m:rPr>
                        <m:sty m:val="p"/>
                      </m:rPr>
                      <a:rPr lang="en-US" sz="900" b="0" i="0">
                        <a:latin typeface="Cambria Math" panose="02040503050406030204" pitchFamily="18" charset="0"/>
                      </a:rPr>
                      <m:t>or</m:t>
                    </m:r>
                    <m:r>
                      <a:rPr lang="en-US" sz="900" b="0" i="1">
                        <a:latin typeface="Cambria Math" panose="02040503050406030204" pitchFamily="18" charset="0"/>
                      </a:rPr>
                      <m:t> 0.74</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sub>
                    </m:sSub>
                  </m:oMath>
                </m:oMathPara>
              </a14:m>
              <a:endParaRPr lang="en-US" sz="900"/>
            </a:p>
          </xdr:txBody>
        </xdr:sp>
      </mc:Choice>
      <mc:Fallback xmlns="">
        <xdr:sp macro="" textlink="">
          <xdr:nvSpPr>
            <xdr:cNvPr id="3" name="TextBox 2">
              <a:extLst>
                <a:ext uri="{FF2B5EF4-FFF2-40B4-BE49-F238E27FC236}">
                  <a16:creationId xmlns:a16="http://schemas.microsoft.com/office/drawing/2014/main" id="{296451A4-C731-4FA9-BBB9-026A760CFF18}"/>
                </a:ext>
              </a:extLst>
            </xdr:cNvPr>
            <xdr:cNvSpPr txBox="1"/>
          </xdr:nvSpPr>
          <xdr:spPr>
            <a:xfrm>
              <a:off x="1714500" y="53644800"/>
              <a:ext cx="1598258"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𝑓_(𝑝𝑢,𝑗𝑎𝑐𝑘,𝑙𝑖𝑚)=0.70𝑓_𝑝𝑢  or 0.74𝑓_𝑝𝑢</a:t>
              </a:r>
              <a:endParaRPr lang="en-US" sz="900"/>
            </a:p>
          </xdr:txBody>
        </xdr:sp>
      </mc:Fallback>
    </mc:AlternateContent>
    <xdr:clientData/>
  </xdr:oneCellAnchor>
  <xdr:twoCellAnchor>
    <xdr:from>
      <xdr:col>5</xdr:col>
      <xdr:colOff>0</xdr:colOff>
      <xdr:row>448</xdr:row>
      <xdr:rowOff>0</xdr:rowOff>
    </xdr:from>
    <xdr:to>
      <xdr:col>29</xdr:col>
      <xdr:colOff>104775</xdr:colOff>
      <xdr:row>488</xdr:row>
      <xdr:rowOff>161925</xdr:rowOff>
    </xdr:to>
    <xdr:graphicFrame macro="">
      <xdr:nvGraphicFramePr>
        <xdr:cNvPr id="4" name="Chart 4">
          <a:extLst>
            <a:ext uri="{FF2B5EF4-FFF2-40B4-BE49-F238E27FC236}">
              <a16:creationId xmlns:a16="http://schemas.microsoft.com/office/drawing/2014/main" id="{E8503474-28A8-42E5-9CC0-68A28AA3A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jacobsengineering.sharepoint.com/sites/IC_DesignAutomation/Shared%20Documents/07_Optimisation/Bridge/04%20Analytical%20Software/Post%20Processing/06%20-%20Tools/E%20-%20Formatted%20Tools/DONE/Module%2011%20Strand%20Stresses%20v3_IMP.xlsx" TargetMode="External"/><Relationship Id="rId2" Type="http://schemas.microsoft.com/office/2019/04/relationships/externalLinkLongPath" Target="Module%2011%20Strand%20Stresses%20v3_IMP.xlsx?A26D4F39" TargetMode="External"/><Relationship Id="rId1" Type="http://schemas.openxmlformats.org/officeDocument/2006/relationships/externalLinkPath" Target="file:///\\A26D4F39\Module%2011%20Strand%20Stresses%20v3_I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Guidance and Scope"/>
      <sheetName val="Inputs"/>
      <sheetName val="Calculation"/>
      <sheetName val="Outputs"/>
      <sheetName val="Template Note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2">
    <tabColor rgb="FFFF0000"/>
  </sheetPr>
  <dimension ref="A1"/>
  <sheetViews>
    <sheetView workbookViewId="0">
      <selection activeCell="O34" sqref="O34"/>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3">
    <tabColor rgb="FFC00000"/>
  </sheetPr>
  <dimension ref="A1:AC80"/>
  <sheetViews>
    <sheetView tabSelected="1" zoomScaleNormal="100" workbookViewId="0">
      <selection activeCell="B13" sqref="B13:E13"/>
    </sheetView>
  </sheetViews>
  <sheetFormatPr defaultRowHeight="15" x14ac:dyDescent="0.25"/>
  <cols>
    <col min="1" max="1" width="51.140625" bestFit="1" customWidth="1"/>
    <col min="2" max="5" width="3.28515625" customWidth="1"/>
    <col min="6" max="6" width="7.7109375" customWidth="1"/>
    <col min="7" max="7" width="9" customWidth="1"/>
    <col min="8" max="8" width="11.140625" customWidth="1"/>
    <col min="9" max="43" width="3.28515625" customWidth="1"/>
  </cols>
  <sheetData>
    <row r="1" spans="1:29" x14ac:dyDescent="0.25">
      <c r="A1" s="5" t="s">
        <v>17</v>
      </c>
      <c r="B1" s="92" t="s">
        <v>18</v>
      </c>
      <c r="C1" s="93"/>
      <c r="D1" s="93"/>
      <c r="E1" s="93"/>
      <c r="I1" s="88" t="s">
        <v>162</v>
      </c>
      <c r="J1" s="89"/>
      <c r="K1" s="89"/>
      <c r="L1" s="83" t="s">
        <v>163</v>
      </c>
      <c r="M1" s="83"/>
      <c r="N1" s="83"/>
      <c r="O1" s="83" t="s">
        <v>164</v>
      </c>
      <c r="P1" s="83"/>
      <c r="Q1" s="83"/>
      <c r="R1" s="83" t="s">
        <v>165</v>
      </c>
      <c r="S1" s="83"/>
      <c r="T1" s="83"/>
      <c r="U1" s="83" t="s">
        <v>166</v>
      </c>
      <c r="V1" s="83"/>
      <c r="W1" s="83"/>
    </row>
    <row r="2" spans="1:29" x14ac:dyDescent="0.25">
      <c r="A2" s="5" t="s">
        <v>19</v>
      </c>
      <c r="B2" s="92">
        <v>408545</v>
      </c>
      <c r="C2" s="93"/>
      <c r="D2" s="93"/>
      <c r="E2" s="93"/>
      <c r="I2" s="88"/>
      <c r="J2" s="89"/>
      <c r="K2" s="89"/>
      <c r="L2" s="83"/>
      <c r="M2" s="83"/>
      <c r="N2" s="83"/>
      <c r="O2" s="83"/>
      <c r="P2" s="83"/>
      <c r="Q2" s="83"/>
      <c r="R2" s="83"/>
      <c r="S2" s="83"/>
      <c r="T2" s="83"/>
      <c r="U2" s="83"/>
      <c r="V2" s="83"/>
      <c r="W2" s="83"/>
    </row>
    <row r="3" spans="1:29" x14ac:dyDescent="0.25">
      <c r="A3" s="5" t="s">
        <v>20</v>
      </c>
      <c r="B3" s="92" t="s">
        <v>34</v>
      </c>
      <c r="C3" s="93"/>
      <c r="D3" s="93"/>
      <c r="E3" s="93"/>
      <c r="H3" s="55"/>
      <c r="I3" s="88"/>
      <c r="J3" s="89"/>
      <c r="K3" s="89"/>
      <c r="L3" s="83"/>
      <c r="M3" s="83"/>
      <c r="N3" s="83"/>
      <c r="O3" s="83"/>
      <c r="P3" s="83"/>
      <c r="Q3" s="83"/>
      <c r="R3" s="83"/>
      <c r="S3" s="83"/>
      <c r="T3" s="83"/>
      <c r="U3" s="83"/>
      <c r="V3" s="83"/>
      <c r="W3" s="83"/>
      <c r="X3" s="55"/>
      <c r="Y3" s="55"/>
      <c r="Z3" s="55"/>
      <c r="AA3" s="55"/>
      <c r="AB3" s="55"/>
      <c r="AC3" s="55"/>
    </row>
    <row r="4" spans="1:29" x14ac:dyDescent="0.25">
      <c r="A4" s="5" t="s">
        <v>21</v>
      </c>
      <c r="B4" s="92" t="s">
        <v>22</v>
      </c>
      <c r="C4" s="93"/>
      <c r="D4" s="93"/>
      <c r="E4" s="93"/>
      <c r="H4" s="55"/>
      <c r="I4" s="88"/>
      <c r="J4" s="89"/>
      <c r="K4" s="89"/>
      <c r="L4" s="83"/>
      <c r="M4" s="83"/>
      <c r="N4" s="83"/>
      <c r="O4" s="83"/>
      <c r="P4" s="83"/>
      <c r="Q4" s="83"/>
      <c r="R4" s="83"/>
      <c r="S4" s="83"/>
      <c r="T4" s="83"/>
      <c r="U4" s="83"/>
      <c r="V4" s="83"/>
      <c r="W4" s="83"/>
      <c r="X4" s="55"/>
      <c r="Y4" s="55"/>
      <c r="Z4" s="55"/>
      <c r="AA4" s="55"/>
      <c r="AB4" s="55"/>
      <c r="AC4" s="55"/>
    </row>
    <row r="5" spans="1:29" x14ac:dyDescent="0.25">
      <c r="A5" s="5" t="s">
        <v>23</v>
      </c>
      <c r="B5" s="90">
        <v>46305</v>
      </c>
      <c r="C5" s="91"/>
      <c r="D5" s="91"/>
      <c r="E5" s="91"/>
      <c r="H5" s="55"/>
      <c r="I5" s="84">
        <v>0</v>
      </c>
      <c r="J5" s="85"/>
      <c r="K5" s="85"/>
      <c r="L5" s="85">
        <f>40*0.0254</f>
        <v>1.016</v>
      </c>
      <c r="M5" s="85"/>
      <c r="N5" s="85"/>
      <c r="O5" s="76">
        <f>1*1.356</f>
        <v>1.3560000000000001</v>
      </c>
      <c r="P5" s="76"/>
      <c r="Q5" s="76"/>
      <c r="R5" s="75">
        <f>1308*1.356</f>
        <v>1773.6480000000001</v>
      </c>
      <c r="S5" s="75"/>
      <c r="T5" s="75"/>
      <c r="U5" s="75">
        <f>9559*1.356</f>
        <v>12962.004000000001</v>
      </c>
      <c r="V5" s="75"/>
      <c r="W5" s="75"/>
      <c r="X5" s="55"/>
      <c r="Y5" s="55"/>
      <c r="Z5" s="55"/>
      <c r="AA5" s="55"/>
      <c r="AB5" s="55"/>
      <c r="AC5" s="55"/>
    </row>
    <row r="6" spans="1:29" x14ac:dyDescent="0.25">
      <c r="A6" s="5" t="s">
        <v>24</v>
      </c>
      <c r="B6" s="92" t="s">
        <v>25</v>
      </c>
      <c r="C6" s="93"/>
      <c r="D6" s="93"/>
      <c r="E6" s="93"/>
      <c r="H6" s="55"/>
      <c r="I6" s="84">
        <f>1*0.3048</f>
        <v>0.30480000000000002</v>
      </c>
      <c r="J6" s="85"/>
      <c r="K6" s="85"/>
      <c r="L6" s="85">
        <f>39*0.0254</f>
        <v>0.99059999999999993</v>
      </c>
      <c r="M6" s="85"/>
      <c r="N6" s="85"/>
      <c r="O6" s="76">
        <f>100*1.356</f>
        <v>135.60000000000002</v>
      </c>
      <c r="P6" s="76"/>
      <c r="Q6" s="76"/>
      <c r="R6" s="75">
        <f t="shared" ref="R6:R21" si="0">$O6+$R$5</f>
        <v>1909.248</v>
      </c>
      <c r="S6" s="75"/>
      <c r="T6" s="75"/>
      <c r="U6" s="75">
        <f t="shared" ref="U6:U21" si="1">$O6+$U$5</f>
        <v>13097.604000000001</v>
      </c>
      <c r="V6" s="75"/>
      <c r="W6" s="75"/>
      <c r="X6" s="55"/>
      <c r="Y6" s="55"/>
      <c r="Z6" s="55"/>
      <c r="AA6" s="55"/>
      <c r="AB6" s="55"/>
      <c r="AC6" s="55"/>
    </row>
    <row r="7" spans="1:29" x14ac:dyDescent="0.25">
      <c r="A7" s="5" t="s">
        <v>23</v>
      </c>
      <c r="B7" s="90">
        <v>46091</v>
      </c>
      <c r="C7" s="91"/>
      <c r="D7" s="91"/>
      <c r="E7" s="91"/>
      <c r="H7" s="55"/>
      <c r="I7" s="84">
        <f>2*0.3048</f>
        <v>0.60960000000000003</v>
      </c>
      <c r="J7" s="85"/>
      <c r="K7" s="85"/>
      <c r="L7" s="85">
        <f>38*0.0254</f>
        <v>0.96519999999999995</v>
      </c>
      <c r="M7" s="85"/>
      <c r="N7" s="85"/>
      <c r="O7" s="76">
        <f>200*1.356</f>
        <v>271.20000000000005</v>
      </c>
      <c r="P7" s="76"/>
      <c r="Q7" s="76"/>
      <c r="R7" s="76">
        <f>$O7+$R$5</f>
        <v>2044.8480000000002</v>
      </c>
      <c r="S7" s="75"/>
      <c r="T7" s="75"/>
      <c r="U7" s="75">
        <f t="shared" si="1"/>
        <v>13233.204000000002</v>
      </c>
      <c r="V7" s="75"/>
      <c r="W7" s="75"/>
      <c r="X7" s="55"/>
      <c r="Y7" s="55"/>
      <c r="Z7" s="55"/>
      <c r="AA7" s="55"/>
      <c r="AB7" s="55"/>
      <c r="AC7" s="55"/>
    </row>
    <row r="8" spans="1:29" x14ac:dyDescent="0.25">
      <c r="A8" s="5" t="s">
        <v>26</v>
      </c>
      <c r="B8" s="92">
        <v>1</v>
      </c>
      <c r="C8" s="93"/>
      <c r="D8" s="93"/>
      <c r="E8" s="93"/>
      <c r="H8" s="55"/>
      <c r="I8" s="84">
        <f>3*0.3048</f>
        <v>0.9144000000000001</v>
      </c>
      <c r="J8" s="85"/>
      <c r="K8" s="85"/>
      <c r="L8" s="85">
        <f>37*0.0254</f>
        <v>0.93979999999999997</v>
      </c>
      <c r="M8" s="85"/>
      <c r="N8" s="85"/>
      <c r="O8" s="76">
        <f>300*1.356</f>
        <v>406.8</v>
      </c>
      <c r="P8" s="76"/>
      <c r="Q8" s="76"/>
      <c r="R8" s="76">
        <f>$O8+$R$5</f>
        <v>2180.4480000000003</v>
      </c>
      <c r="S8" s="75"/>
      <c r="T8" s="75"/>
      <c r="U8" s="75">
        <f t="shared" si="1"/>
        <v>13368.804</v>
      </c>
      <c r="V8" s="75"/>
      <c r="W8" s="75"/>
      <c r="X8" s="55"/>
      <c r="Y8" s="55"/>
      <c r="Z8" s="55"/>
      <c r="AA8" s="55"/>
      <c r="AB8" s="55"/>
      <c r="AC8" s="55"/>
    </row>
    <row r="9" spans="1:29" x14ac:dyDescent="0.25">
      <c r="H9" s="55"/>
      <c r="I9" s="84">
        <f>4*0.3048</f>
        <v>1.2192000000000001</v>
      </c>
      <c r="J9" s="85"/>
      <c r="K9" s="85"/>
      <c r="L9" s="85">
        <f>36*0.0254</f>
        <v>0.91439999999999999</v>
      </c>
      <c r="M9" s="85"/>
      <c r="N9" s="85"/>
      <c r="O9" s="76">
        <f>400*1.356</f>
        <v>542.40000000000009</v>
      </c>
      <c r="P9" s="76"/>
      <c r="Q9" s="76"/>
      <c r="R9" s="76">
        <f>$O9+$R$5</f>
        <v>2316.0480000000002</v>
      </c>
      <c r="S9" s="75"/>
      <c r="T9" s="75"/>
      <c r="U9" s="75">
        <f t="shared" si="1"/>
        <v>13504.404</v>
      </c>
      <c r="V9" s="75"/>
      <c r="W9" s="75"/>
      <c r="X9" s="55"/>
      <c r="Y9" s="55"/>
      <c r="Z9" s="55"/>
      <c r="AA9" s="55"/>
      <c r="AB9" s="55"/>
      <c r="AC9" s="55"/>
    </row>
    <row r="10" spans="1:29" x14ac:dyDescent="0.25">
      <c r="A10" s="13" t="s">
        <v>42</v>
      </c>
      <c r="B10" s="94">
        <f>270*6.89475729</f>
        <v>1861.5844683</v>
      </c>
      <c r="C10" s="94"/>
      <c r="D10" s="94"/>
      <c r="E10" s="94"/>
      <c r="F10" s="1"/>
      <c r="H10" s="55"/>
      <c r="I10" s="84">
        <f>5*0.3048</f>
        <v>1.524</v>
      </c>
      <c r="J10" s="85"/>
      <c r="K10" s="85"/>
      <c r="L10" s="85">
        <f>35*0.0254</f>
        <v>0.88900000000000001</v>
      </c>
      <c r="M10" s="85"/>
      <c r="N10" s="85"/>
      <c r="O10" s="76">
        <f>800*1.356</f>
        <v>1084.8000000000002</v>
      </c>
      <c r="P10" s="76"/>
      <c r="Q10" s="76"/>
      <c r="R10" s="75">
        <f t="shared" si="0"/>
        <v>2858.4480000000003</v>
      </c>
      <c r="S10" s="75"/>
      <c r="T10" s="75"/>
      <c r="U10" s="75">
        <f t="shared" si="1"/>
        <v>14046.804</v>
      </c>
      <c r="V10" s="75"/>
      <c r="W10" s="75"/>
      <c r="X10" s="55"/>
      <c r="Y10" s="55"/>
      <c r="Z10" s="55"/>
      <c r="AA10" s="55"/>
      <c r="AB10" s="55"/>
      <c r="AC10" s="55"/>
    </row>
    <row r="11" spans="1:29" x14ac:dyDescent="0.25">
      <c r="A11" s="13" t="s">
        <v>67</v>
      </c>
      <c r="B11" s="94">
        <f>243*6.89475729</f>
        <v>1675.42602147</v>
      </c>
      <c r="C11" s="94"/>
      <c r="D11" s="94"/>
      <c r="E11" s="94"/>
      <c r="F11" s="1"/>
      <c r="I11" s="84">
        <f>6*0.3048</f>
        <v>1.8288000000000002</v>
      </c>
      <c r="J11" s="85"/>
      <c r="K11" s="85"/>
      <c r="L11" s="85">
        <f>34*0.0254</f>
        <v>0.86359999999999992</v>
      </c>
      <c r="M11" s="85"/>
      <c r="N11" s="85"/>
      <c r="O11" s="76">
        <f>1200*1.356</f>
        <v>1627.2</v>
      </c>
      <c r="P11" s="76"/>
      <c r="Q11" s="76"/>
      <c r="R11" s="76">
        <f>$O11+$R$5</f>
        <v>3400.848</v>
      </c>
      <c r="S11" s="75"/>
      <c r="T11" s="75"/>
      <c r="U11" s="75">
        <f t="shared" si="1"/>
        <v>14589.204000000002</v>
      </c>
      <c r="V11" s="75"/>
      <c r="W11" s="75"/>
    </row>
    <row r="12" spans="1:29" x14ac:dyDescent="0.25">
      <c r="A12" s="8" t="s">
        <v>108</v>
      </c>
      <c r="B12" s="95">
        <f>6596207*0.0000004162</f>
        <v>2.7453413533999997</v>
      </c>
      <c r="C12" s="95"/>
      <c r="D12" s="95"/>
      <c r="E12" s="95"/>
      <c r="F12" s="1"/>
      <c r="I12" s="84">
        <f>7*0.3048</f>
        <v>2.1335999999999999</v>
      </c>
      <c r="J12" s="85"/>
      <c r="K12" s="85"/>
      <c r="L12" s="85">
        <f>33*0.0254</f>
        <v>0.83819999999999995</v>
      </c>
      <c r="M12" s="85"/>
      <c r="N12" s="85"/>
      <c r="O12" s="76">
        <f>1500*1.356</f>
        <v>2034.0000000000002</v>
      </c>
      <c r="P12" s="76"/>
      <c r="Q12" s="76"/>
      <c r="R12" s="75">
        <f t="shared" si="0"/>
        <v>3807.6480000000001</v>
      </c>
      <c r="S12" s="75"/>
      <c r="T12" s="75"/>
      <c r="U12" s="75">
        <f t="shared" si="1"/>
        <v>14996.004000000001</v>
      </c>
      <c r="V12" s="75"/>
      <c r="W12" s="75"/>
    </row>
    <row r="13" spans="1:29" x14ac:dyDescent="0.25">
      <c r="A13" s="57" t="s">
        <v>117</v>
      </c>
      <c r="B13" s="94">
        <f>28500*6.89475729</f>
        <v>196500.582765</v>
      </c>
      <c r="C13" s="94"/>
      <c r="D13" s="94"/>
      <c r="E13" s="94"/>
      <c r="F13" s="1"/>
      <c r="I13" s="84">
        <f>8*0.3048</f>
        <v>2.4384000000000001</v>
      </c>
      <c r="J13" s="85"/>
      <c r="K13" s="85"/>
      <c r="L13" s="85">
        <f>32*0.0254</f>
        <v>0.81279999999999997</v>
      </c>
      <c r="M13" s="85"/>
      <c r="N13" s="85"/>
      <c r="O13" s="76">
        <f>2000*1.356</f>
        <v>2712</v>
      </c>
      <c r="P13" s="76"/>
      <c r="Q13" s="76"/>
      <c r="R13" s="75">
        <f t="shared" si="0"/>
        <v>4485.6480000000001</v>
      </c>
      <c r="S13" s="75"/>
      <c r="T13" s="75"/>
      <c r="U13" s="75">
        <f t="shared" si="1"/>
        <v>15674.004000000001</v>
      </c>
      <c r="V13" s="75"/>
      <c r="W13" s="75"/>
    </row>
    <row r="14" spans="1:29" x14ac:dyDescent="0.25">
      <c r="A14" s="8" t="s">
        <v>113</v>
      </c>
      <c r="B14" s="94">
        <f>3861*6.89475729</f>
        <v>26620.657896690002</v>
      </c>
      <c r="C14" s="94"/>
      <c r="D14" s="94"/>
      <c r="E14" s="94"/>
      <c r="F14" s="1"/>
      <c r="I14" s="84">
        <f>9*0.3048</f>
        <v>2.7432000000000003</v>
      </c>
      <c r="J14" s="85"/>
      <c r="K14" s="85"/>
      <c r="L14" s="85">
        <f>31*0.0254</f>
        <v>0.78739999999999999</v>
      </c>
      <c r="M14" s="85"/>
      <c r="N14" s="85"/>
      <c r="O14" s="76">
        <f>3000*1.356</f>
        <v>4068.0000000000005</v>
      </c>
      <c r="P14" s="76"/>
      <c r="Q14" s="76"/>
      <c r="R14" s="75">
        <f t="shared" si="0"/>
        <v>5841.648000000001</v>
      </c>
      <c r="S14" s="75"/>
      <c r="T14" s="75"/>
      <c r="U14" s="75">
        <f t="shared" si="1"/>
        <v>17030.004000000001</v>
      </c>
      <c r="V14" s="75"/>
      <c r="W14" s="75"/>
    </row>
    <row r="15" spans="1:29" x14ac:dyDescent="0.25">
      <c r="A15" s="33" t="s">
        <v>84</v>
      </c>
      <c r="B15" s="94">
        <f>188.37819*6.89475729</f>
        <v>1298.8218987795051</v>
      </c>
      <c r="C15" s="94"/>
      <c r="D15" s="94"/>
      <c r="E15" s="94"/>
      <c r="F15" s="18"/>
      <c r="I15" s="84">
        <f>10*0.3048</f>
        <v>3.048</v>
      </c>
      <c r="J15" s="85"/>
      <c r="K15" s="85"/>
      <c r="L15" s="85">
        <f>30*0.0254</f>
        <v>0.76200000000000001</v>
      </c>
      <c r="M15" s="85"/>
      <c r="N15" s="85"/>
      <c r="O15" s="76">
        <f>4000*1.356</f>
        <v>5424</v>
      </c>
      <c r="P15" s="76"/>
      <c r="Q15" s="76"/>
      <c r="R15" s="75">
        <f t="shared" si="0"/>
        <v>7197.6480000000001</v>
      </c>
      <c r="S15" s="75"/>
      <c r="T15" s="75"/>
      <c r="U15" s="75">
        <f t="shared" si="1"/>
        <v>18386.004000000001</v>
      </c>
      <c r="V15" s="75"/>
      <c r="W15" s="75"/>
    </row>
    <row r="16" spans="1:29" x14ac:dyDescent="0.25">
      <c r="A16" s="33" t="s">
        <v>83</v>
      </c>
      <c r="B16" s="94">
        <f>193.9707*6.89475729</f>
        <v>1337.380897871403</v>
      </c>
      <c r="C16" s="94"/>
      <c r="D16" s="94"/>
      <c r="E16" s="94"/>
      <c r="F16" s="18"/>
      <c r="I16" s="84">
        <f>11*0.3048</f>
        <v>3.3528000000000002</v>
      </c>
      <c r="J16" s="85"/>
      <c r="K16" s="85"/>
      <c r="L16" s="85">
        <f>29*0.0254</f>
        <v>0.73659999999999992</v>
      </c>
      <c r="M16" s="85"/>
      <c r="N16" s="85"/>
      <c r="O16" s="76">
        <f>6000*1.356</f>
        <v>8136.0000000000009</v>
      </c>
      <c r="P16" s="76"/>
      <c r="Q16" s="76"/>
      <c r="R16" s="75">
        <f t="shared" si="0"/>
        <v>9909.648000000001</v>
      </c>
      <c r="S16" s="75"/>
      <c r="T16" s="75"/>
      <c r="U16" s="75">
        <f t="shared" si="1"/>
        <v>21098.004000000001</v>
      </c>
      <c r="V16" s="75"/>
      <c r="W16" s="75"/>
    </row>
    <row r="17" spans="1:27" x14ac:dyDescent="0.25">
      <c r="A17" s="33" t="s">
        <v>82</v>
      </c>
      <c r="B17" s="94">
        <f>198.1287*6.89475729</f>
        <v>1366.049298683223</v>
      </c>
      <c r="C17" s="94"/>
      <c r="D17" s="94"/>
      <c r="E17" s="94"/>
      <c r="F17" s="18"/>
      <c r="I17" s="86">
        <f>12*0.3048</f>
        <v>3.6576000000000004</v>
      </c>
      <c r="J17" s="86"/>
      <c r="K17" s="84"/>
      <c r="L17" s="87">
        <f>28*0.0254</f>
        <v>0.71119999999999994</v>
      </c>
      <c r="M17" s="86"/>
      <c r="N17" s="84"/>
      <c r="O17" s="80">
        <f>8000*1.356</f>
        <v>10848</v>
      </c>
      <c r="P17" s="81"/>
      <c r="Q17" s="82"/>
      <c r="R17" s="77">
        <f t="shared" si="0"/>
        <v>12621.648000000001</v>
      </c>
      <c r="S17" s="78"/>
      <c r="T17" s="79"/>
      <c r="U17" s="77">
        <f t="shared" si="1"/>
        <v>23810.004000000001</v>
      </c>
      <c r="V17" s="78"/>
      <c r="W17" s="79"/>
    </row>
    <row r="18" spans="1:27" x14ac:dyDescent="0.25">
      <c r="A18" s="8" t="s">
        <v>81</v>
      </c>
      <c r="B18" s="94">
        <f>176.40315*6.89475729</f>
        <v>1216.2569044414636</v>
      </c>
      <c r="C18" s="94"/>
      <c r="D18" s="94"/>
      <c r="E18" s="94"/>
      <c r="F18" s="18"/>
      <c r="I18" s="84">
        <f>13*0.3048</f>
        <v>3.9624000000000001</v>
      </c>
      <c r="J18" s="85"/>
      <c r="K18" s="85"/>
      <c r="L18" s="85">
        <f>27*0.0254</f>
        <v>0.68579999999999997</v>
      </c>
      <c r="M18" s="85"/>
      <c r="N18" s="85"/>
      <c r="O18" s="76">
        <f>10000*1.356</f>
        <v>13560.000000000002</v>
      </c>
      <c r="P18" s="76"/>
      <c r="Q18" s="76"/>
      <c r="R18" s="75">
        <f t="shared" si="0"/>
        <v>15333.648000000001</v>
      </c>
      <c r="S18" s="75"/>
      <c r="T18" s="75"/>
      <c r="U18" s="75">
        <f t="shared" si="1"/>
        <v>26522.004000000001</v>
      </c>
      <c r="V18" s="75"/>
      <c r="W18" s="75"/>
    </row>
    <row r="19" spans="1:27" x14ac:dyDescent="0.25">
      <c r="A19" s="8" t="s">
        <v>80</v>
      </c>
      <c r="B19" s="94">
        <f>169.91667*6.89475729</f>
        <v>1171.5341991750245</v>
      </c>
      <c r="C19" s="94"/>
      <c r="D19" s="94"/>
      <c r="E19" s="94"/>
      <c r="F19" s="1"/>
      <c r="I19" s="84">
        <f>14*0.3048</f>
        <v>4.2671999999999999</v>
      </c>
      <c r="J19" s="85"/>
      <c r="K19" s="85"/>
      <c r="L19" s="85">
        <f>26*0.0254</f>
        <v>0.66039999999999999</v>
      </c>
      <c r="M19" s="85"/>
      <c r="N19" s="85"/>
      <c r="O19" s="76">
        <f>12000*1.356</f>
        <v>16272.000000000002</v>
      </c>
      <c r="P19" s="76"/>
      <c r="Q19" s="76"/>
      <c r="R19" s="75">
        <f t="shared" si="0"/>
        <v>18045.648000000001</v>
      </c>
      <c r="S19" s="75"/>
      <c r="T19" s="75"/>
      <c r="U19" s="75">
        <f t="shared" si="1"/>
        <v>29234.004000000001</v>
      </c>
      <c r="V19" s="75"/>
      <c r="W19" s="75"/>
    </row>
    <row r="20" spans="1:27" x14ac:dyDescent="0.25">
      <c r="A20" s="8" t="s">
        <v>95</v>
      </c>
      <c r="B20" s="74" t="s">
        <v>94</v>
      </c>
      <c r="C20" s="74"/>
      <c r="D20" s="74"/>
      <c r="E20" s="74"/>
      <c r="F20" s="74"/>
      <c r="G20" s="74"/>
      <c r="I20" s="84">
        <f>15*0.3048</f>
        <v>4.5720000000000001</v>
      </c>
      <c r="J20" s="85"/>
      <c r="K20" s="85"/>
      <c r="L20" s="85">
        <f>25*0.0254</f>
        <v>0.63500000000000001</v>
      </c>
      <c r="M20" s="85"/>
      <c r="N20" s="85"/>
      <c r="O20" s="76">
        <f>14000*1.356</f>
        <v>18984</v>
      </c>
      <c r="P20" s="76"/>
      <c r="Q20" s="76"/>
      <c r="R20" s="75">
        <f t="shared" si="0"/>
        <v>20757.648000000001</v>
      </c>
      <c r="S20" s="75"/>
      <c r="T20" s="75"/>
      <c r="U20" s="75">
        <f t="shared" si="1"/>
        <v>31946.004000000001</v>
      </c>
      <c r="V20" s="75"/>
      <c r="W20" s="75"/>
    </row>
    <row r="21" spans="1:27" x14ac:dyDescent="0.25">
      <c r="A21" s="56"/>
      <c r="B21" s="56"/>
      <c r="C21" s="56"/>
      <c r="I21" s="84">
        <f>16*0.3048</f>
        <v>4.8768000000000002</v>
      </c>
      <c r="J21" s="85"/>
      <c r="K21" s="85"/>
      <c r="L21" s="85">
        <f>24*0.0254</f>
        <v>0.60959999999999992</v>
      </c>
      <c r="M21" s="85"/>
      <c r="N21" s="85"/>
      <c r="O21" s="76">
        <f>15044*1.356</f>
        <v>20399.664000000001</v>
      </c>
      <c r="P21" s="76"/>
      <c r="Q21" s="76"/>
      <c r="R21" s="75">
        <f t="shared" si="0"/>
        <v>22173.312000000002</v>
      </c>
      <c r="S21" s="75"/>
      <c r="T21" s="75"/>
      <c r="U21" s="75">
        <f t="shared" si="1"/>
        <v>33361.668000000005</v>
      </c>
      <c r="V21" s="75"/>
      <c r="W21" s="75"/>
    </row>
    <row r="22" spans="1:27" x14ac:dyDescent="0.25">
      <c r="A22" s="73" t="s">
        <v>174</v>
      </c>
      <c r="B22" s="73"/>
      <c r="C22" s="73"/>
      <c r="D22" s="72" t="s">
        <v>175</v>
      </c>
      <c r="I22" s="84">
        <f>17*0.3048</f>
        <v>5.1816000000000004</v>
      </c>
      <c r="J22" s="85"/>
      <c r="K22" s="85"/>
      <c r="L22" s="87">
        <f>25*0.0254</f>
        <v>0.63500000000000001</v>
      </c>
      <c r="M22" s="86"/>
      <c r="N22" s="84"/>
      <c r="O22" s="76">
        <f>14000*1.356</f>
        <v>18984</v>
      </c>
      <c r="P22" s="76"/>
      <c r="Q22" s="76"/>
      <c r="R22" s="75">
        <f t="shared" ref="R22:R37" si="2">$R$21-O6</f>
        <v>22037.712000000003</v>
      </c>
      <c r="S22" s="75"/>
      <c r="T22" s="75"/>
      <c r="U22" s="75">
        <f t="shared" ref="U22:U36" si="3">$U$21-R6</f>
        <v>31452.420000000006</v>
      </c>
      <c r="V22" s="75"/>
      <c r="W22" s="75"/>
    </row>
    <row r="23" spans="1:27" x14ac:dyDescent="0.25">
      <c r="A23" s="56"/>
      <c r="B23" s="56"/>
      <c r="C23" s="56"/>
      <c r="I23" s="84">
        <f>18*0.3048</f>
        <v>5.4864000000000006</v>
      </c>
      <c r="J23" s="85"/>
      <c r="K23" s="85"/>
      <c r="L23" s="87">
        <f>26*0.0254</f>
        <v>0.66039999999999999</v>
      </c>
      <c r="M23" s="86"/>
      <c r="N23" s="84"/>
      <c r="O23" s="76">
        <f>12000*1.356</f>
        <v>16272.000000000002</v>
      </c>
      <c r="P23" s="76"/>
      <c r="Q23" s="76"/>
      <c r="R23" s="75">
        <f t="shared" si="2"/>
        <v>21902.112000000001</v>
      </c>
      <c r="S23" s="75"/>
      <c r="T23" s="75"/>
      <c r="U23" s="75">
        <f t="shared" si="3"/>
        <v>31316.820000000003</v>
      </c>
      <c r="V23" s="75"/>
      <c r="W23" s="75"/>
    </row>
    <row r="24" spans="1:27" x14ac:dyDescent="0.25">
      <c r="A24" s="56"/>
      <c r="B24" s="56"/>
      <c r="C24" s="56"/>
      <c r="I24" s="84">
        <f>19*0.3048</f>
        <v>5.7911999999999999</v>
      </c>
      <c r="J24" s="85"/>
      <c r="K24" s="85"/>
      <c r="L24" s="87">
        <f>27*0.0254</f>
        <v>0.68579999999999997</v>
      </c>
      <c r="M24" s="86"/>
      <c r="N24" s="84"/>
      <c r="O24" s="76">
        <f>10000*1.356</f>
        <v>13560.000000000002</v>
      </c>
      <c r="P24" s="76"/>
      <c r="Q24" s="76"/>
      <c r="R24" s="75">
        <f t="shared" si="2"/>
        <v>21766.512000000002</v>
      </c>
      <c r="S24" s="75"/>
      <c r="T24" s="75"/>
      <c r="U24" s="75">
        <f t="shared" si="3"/>
        <v>31181.220000000005</v>
      </c>
      <c r="V24" s="75"/>
      <c r="W24" s="75"/>
    </row>
    <row r="25" spans="1:27" x14ac:dyDescent="0.25">
      <c r="A25" s="56"/>
      <c r="B25" s="56"/>
      <c r="C25" s="56"/>
      <c r="I25" s="84">
        <f>20*0.3048</f>
        <v>6.0960000000000001</v>
      </c>
      <c r="J25" s="85"/>
      <c r="K25" s="85"/>
      <c r="L25" s="87">
        <f>28*0.0254</f>
        <v>0.71119999999999994</v>
      </c>
      <c r="M25" s="86"/>
      <c r="N25" s="84"/>
      <c r="O25" s="76">
        <f>8000*1.356</f>
        <v>10848</v>
      </c>
      <c r="P25" s="76"/>
      <c r="Q25" s="76"/>
      <c r="R25" s="75">
        <f t="shared" si="2"/>
        <v>21630.912</v>
      </c>
      <c r="S25" s="75"/>
      <c r="T25" s="75"/>
      <c r="U25" s="75">
        <f t="shared" si="3"/>
        <v>31045.620000000006</v>
      </c>
      <c r="V25" s="75"/>
      <c r="W25" s="75"/>
    </row>
    <row r="26" spans="1:27" x14ac:dyDescent="0.25">
      <c r="A26" s="56"/>
      <c r="B26" s="56"/>
      <c r="C26" s="56"/>
      <c r="I26" s="84">
        <f>21*0.3048</f>
        <v>6.4008000000000003</v>
      </c>
      <c r="J26" s="85"/>
      <c r="K26" s="85"/>
      <c r="L26" s="87">
        <f>29*0.0254</f>
        <v>0.73659999999999992</v>
      </c>
      <c r="M26" s="86"/>
      <c r="N26" s="84"/>
      <c r="O26" s="76">
        <f>6000*1.356</f>
        <v>8136.0000000000009</v>
      </c>
      <c r="P26" s="76"/>
      <c r="Q26" s="76"/>
      <c r="R26" s="75">
        <f t="shared" si="2"/>
        <v>21088.512000000002</v>
      </c>
      <c r="S26" s="75"/>
      <c r="T26" s="75"/>
      <c r="U26" s="75">
        <f t="shared" si="3"/>
        <v>30503.220000000005</v>
      </c>
      <c r="V26" s="75"/>
      <c r="W26" s="75"/>
    </row>
    <row r="27" spans="1:27" x14ac:dyDescent="0.25">
      <c r="A27" s="56"/>
      <c r="B27" s="56"/>
      <c r="C27" s="56"/>
      <c r="I27" s="84">
        <f>22*0.3048</f>
        <v>6.7056000000000004</v>
      </c>
      <c r="J27" s="85"/>
      <c r="K27" s="85"/>
      <c r="L27" s="87">
        <f>30*0.0254</f>
        <v>0.76200000000000001</v>
      </c>
      <c r="M27" s="86"/>
      <c r="N27" s="84"/>
      <c r="O27" s="76">
        <f>4000*1.356</f>
        <v>5424</v>
      </c>
      <c r="P27" s="76"/>
      <c r="Q27" s="76"/>
      <c r="R27" s="75">
        <f t="shared" si="2"/>
        <v>20546.112000000001</v>
      </c>
      <c r="S27" s="75"/>
      <c r="T27" s="75"/>
      <c r="U27" s="75">
        <f t="shared" si="3"/>
        <v>29960.820000000007</v>
      </c>
      <c r="V27" s="75"/>
      <c r="W27" s="75"/>
    </row>
    <row r="28" spans="1:27" x14ac:dyDescent="0.25">
      <c r="A28" s="56"/>
      <c r="B28" s="56"/>
      <c r="C28" s="56"/>
      <c r="I28" s="84">
        <f>23*0.3048</f>
        <v>7.0104000000000006</v>
      </c>
      <c r="J28" s="85"/>
      <c r="K28" s="85"/>
      <c r="L28" s="87">
        <f>31*0.0254</f>
        <v>0.78739999999999999</v>
      </c>
      <c r="M28" s="86"/>
      <c r="N28" s="84"/>
      <c r="O28" s="76">
        <f>3000*1.356</f>
        <v>4068.0000000000005</v>
      </c>
      <c r="P28" s="76"/>
      <c r="Q28" s="76"/>
      <c r="R28" s="75">
        <f t="shared" si="2"/>
        <v>20139.312000000002</v>
      </c>
      <c r="S28" s="75"/>
      <c r="T28" s="75"/>
      <c r="U28" s="75">
        <f t="shared" si="3"/>
        <v>29554.020000000004</v>
      </c>
      <c r="V28" s="75"/>
      <c r="W28" s="75"/>
    </row>
    <row r="29" spans="1:27" x14ac:dyDescent="0.25">
      <c r="A29" s="56"/>
      <c r="B29" s="56"/>
      <c r="C29" s="56"/>
      <c r="I29" s="84">
        <f>24*0.3048</f>
        <v>7.3152000000000008</v>
      </c>
      <c r="J29" s="85"/>
      <c r="K29" s="85"/>
      <c r="L29" s="87">
        <f>32*0.0254</f>
        <v>0.81279999999999997</v>
      </c>
      <c r="M29" s="86"/>
      <c r="N29" s="84"/>
      <c r="O29" s="76">
        <f>2000*1.356</f>
        <v>2712</v>
      </c>
      <c r="P29" s="76"/>
      <c r="Q29" s="76"/>
      <c r="R29" s="75">
        <f t="shared" si="2"/>
        <v>19461.312000000002</v>
      </c>
      <c r="S29" s="75"/>
      <c r="T29" s="75"/>
      <c r="U29" s="75">
        <f t="shared" si="3"/>
        <v>28876.020000000004</v>
      </c>
      <c r="V29" s="75"/>
      <c r="W29" s="75"/>
    </row>
    <row r="30" spans="1:27" x14ac:dyDescent="0.25">
      <c r="A30" s="56"/>
      <c r="B30" s="56"/>
      <c r="C30" s="56"/>
      <c r="I30" s="84">
        <f>25*0.3048</f>
        <v>7.62</v>
      </c>
      <c r="J30" s="85"/>
      <c r="K30" s="85"/>
      <c r="L30" s="87">
        <f>33*0.0254</f>
        <v>0.83819999999999995</v>
      </c>
      <c r="M30" s="86"/>
      <c r="N30" s="84"/>
      <c r="O30" s="76">
        <f>1500*1.356</f>
        <v>2034.0000000000002</v>
      </c>
      <c r="P30" s="76"/>
      <c r="Q30" s="76"/>
      <c r="R30" s="75">
        <f t="shared" si="2"/>
        <v>18105.312000000002</v>
      </c>
      <c r="S30" s="75"/>
      <c r="T30" s="75"/>
      <c r="U30" s="75">
        <f t="shared" si="3"/>
        <v>27520.020000000004</v>
      </c>
      <c r="V30" s="75"/>
      <c r="W30" s="75"/>
      <c r="X30" s="27"/>
      <c r="Y30" s="27"/>
      <c r="Z30" s="27"/>
      <c r="AA30" s="27"/>
    </row>
    <row r="31" spans="1:27" x14ac:dyDescent="0.25">
      <c r="A31" s="56"/>
      <c r="B31" s="56"/>
      <c r="C31" s="56"/>
      <c r="I31" s="84">
        <f>26*0.3048</f>
        <v>7.9248000000000003</v>
      </c>
      <c r="J31" s="85"/>
      <c r="K31" s="85"/>
      <c r="L31" s="87">
        <f>34*0.0254</f>
        <v>0.86359999999999992</v>
      </c>
      <c r="M31" s="86"/>
      <c r="N31" s="84"/>
      <c r="O31" s="76">
        <f>1200*1.356</f>
        <v>1627.2</v>
      </c>
      <c r="P31" s="76"/>
      <c r="Q31" s="76"/>
      <c r="R31" s="75">
        <f t="shared" si="2"/>
        <v>16749.312000000002</v>
      </c>
      <c r="S31" s="75"/>
      <c r="T31" s="75"/>
      <c r="U31" s="75">
        <f t="shared" si="3"/>
        <v>26164.020000000004</v>
      </c>
      <c r="V31" s="75"/>
      <c r="W31" s="75"/>
      <c r="X31" s="27"/>
      <c r="Y31" s="27"/>
      <c r="Z31" s="27"/>
      <c r="AA31" s="27"/>
    </row>
    <row r="32" spans="1:27" x14ac:dyDescent="0.25">
      <c r="A32" s="56"/>
      <c r="B32" s="56"/>
      <c r="C32" s="56"/>
      <c r="I32" s="84">
        <f>27*0.3048</f>
        <v>8.2295999999999996</v>
      </c>
      <c r="J32" s="85"/>
      <c r="K32" s="85"/>
      <c r="L32" s="87">
        <f>35*0.0254</f>
        <v>0.88900000000000001</v>
      </c>
      <c r="M32" s="86"/>
      <c r="N32" s="84"/>
      <c r="O32" s="76">
        <f>800*1.356</f>
        <v>1084.8000000000002</v>
      </c>
      <c r="P32" s="76"/>
      <c r="Q32" s="76"/>
      <c r="R32" s="75">
        <f t="shared" si="2"/>
        <v>14037.312000000002</v>
      </c>
      <c r="S32" s="75"/>
      <c r="T32" s="75"/>
      <c r="U32" s="75">
        <f t="shared" si="3"/>
        <v>23452.020000000004</v>
      </c>
      <c r="V32" s="75"/>
      <c r="W32" s="75"/>
    </row>
    <row r="33" spans="1:23" x14ac:dyDescent="0.25">
      <c r="A33" s="56"/>
      <c r="B33" s="56"/>
      <c r="C33" s="56"/>
      <c r="I33" s="84">
        <f>28*0.3048</f>
        <v>8.5343999999999998</v>
      </c>
      <c r="J33" s="85"/>
      <c r="K33" s="85"/>
      <c r="L33" s="87">
        <f>36*0.0254</f>
        <v>0.91439999999999999</v>
      </c>
      <c r="M33" s="86"/>
      <c r="N33" s="84"/>
      <c r="O33" s="76">
        <f>400*1.356</f>
        <v>542.40000000000009</v>
      </c>
      <c r="P33" s="76"/>
      <c r="Q33" s="76"/>
      <c r="R33" s="75">
        <f t="shared" si="2"/>
        <v>11325.312000000002</v>
      </c>
      <c r="S33" s="75"/>
      <c r="T33" s="75"/>
      <c r="U33" s="75">
        <f t="shared" si="3"/>
        <v>20740.020000000004</v>
      </c>
      <c r="V33" s="75"/>
      <c r="W33" s="75"/>
    </row>
    <row r="34" spans="1:23" x14ac:dyDescent="0.25">
      <c r="A34" s="56"/>
      <c r="B34" s="56"/>
      <c r="C34" s="56"/>
      <c r="I34" s="84">
        <f>29*0.3048</f>
        <v>8.8391999999999999</v>
      </c>
      <c r="J34" s="85"/>
      <c r="K34" s="85"/>
      <c r="L34" s="87">
        <f>37*0.0254</f>
        <v>0.93979999999999997</v>
      </c>
      <c r="M34" s="86"/>
      <c r="N34" s="84"/>
      <c r="O34" s="76">
        <f>300*1.356</f>
        <v>406.8</v>
      </c>
      <c r="P34" s="76"/>
      <c r="Q34" s="76"/>
      <c r="R34" s="75">
        <f t="shared" si="2"/>
        <v>8613.3119999999999</v>
      </c>
      <c r="S34" s="75"/>
      <c r="T34" s="75"/>
      <c r="U34" s="75">
        <f t="shared" si="3"/>
        <v>18028.020000000004</v>
      </c>
      <c r="V34" s="75"/>
      <c r="W34" s="75"/>
    </row>
    <row r="35" spans="1:23" x14ac:dyDescent="0.25">
      <c r="A35" s="56"/>
      <c r="B35" s="56"/>
      <c r="C35" s="56"/>
      <c r="I35" s="84">
        <f>30*0.3048</f>
        <v>9.1440000000000001</v>
      </c>
      <c r="J35" s="85"/>
      <c r="K35" s="85"/>
      <c r="L35" s="87">
        <f>38*0.0254</f>
        <v>0.96519999999999995</v>
      </c>
      <c r="M35" s="86"/>
      <c r="N35" s="84"/>
      <c r="O35" s="76">
        <f>200*1.356</f>
        <v>271.20000000000005</v>
      </c>
      <c r="P35" s="76"/>
      <c r="Q35" s="76"/>
      <c r="R35" s="75">
        <f t="shared" si="2"/>
        <v>5901.3119999999999</v>
      </c>
      <c r="S35" s="75"/>
      <c r="T35" s="75"/>
      <c r="U35" s="75">
        <f t="shared" si="3"/>
        <v>15316.020000000004</v>
      </c>
      <c r="V35" s="75"/>
      <c r="W35" s="75"/>
    </row>
    <row r="36" spans="1:23" x14ac:dyDescent="0.25">
      <c r="A36" s="56"/>
      <c r="B36" s="56"/>
      <c r="C36" s="56"/>
      <c r="I36" s="84">
        <f>31*0.3048</f>
        <v>9.4488000000000003</v>
      </c>
      <c r="J36" s="85"/>
      <c r="K36" s="85"/>
      <c r="L36" s="87">
        <f>39*0.0254</f>
        <v>0.99059999999999993</v>
      </c>
      <c r="M36" s="86"/>
      <c r="N36" s="84"/>
      <c r="O36" s="76">
        <f>100*1.356</f>
        <v>135.60000000000002</v>
      </c>
      <c r="P36" s="76"/>
      <c r="Q36" s="76"/>
      <c r="R36" s="75">
        <f t="shared" si="2"/>
        <v>3189.3120000000017</v>
      </c>
      <c r="S36" s="75"/>
      <c r="T36" s="75"/>
      <c r="U36" s="75">
        <f t="shared" si="3"/>
        <v>12604.020000000004</v>
      </c>
      <c r="V36" s="75"/>
      <c r="W36" s="75"/>
    </row>
    <row r="37" spans="1:23" x14ac:dyDescent="0.25">
      <c r="A37" s="56"/>
      <c r="B37" s="56"/>
      <c r="C37" s="56"/>
      <c r="I37" s="84">
        <f>32*0.3048</f>
        <v>9.7536000000000005</v>
      </c>
      <c r="J37" s="85"/>
      <c r="K37" s="85"/>
      <c r="L37" s="87">
        <f>40*0.0254</f>
        <v>1.016</v>
      </c>
      <c r="M37" s="86"/>
      <c r="N37" s="84"/>
      <c r="O37" s="76">
        <f>1*1.356</f>
        <v>1.3560000000000001</v>
      </c>
      <c r="P37" s="76"/>
      <c r="Q37" s="76"/>
      <c r="R37" s="75">
        <f t="shared" si="2"/>
        <v>1773.648000000001</v>
      </c>
      <c r="S37" s="75"/>
      <c r="T37" s="75"/>
      <c r="U37" s="75">
        <f>$U$21-R21</f>
        <v>11188.356000000003</v>
      </c>
      <c r="V37" s="75"/>
      <c r="W37" s="75"/>
    </row>
    <row r="38" spans="1:23" x14ac:dyDescent="0.25">
      <c r="A38" s="56"/>
      <c r="B38" s="56"/>
      <c r="C38" s="56"/>
      <c r="I38" s="86"/>
      <c r="J38" s="86"/>
      <c r="K38" s="84"/>
      <c r="L38" s="87"/>
      <c r="M38" s="86"/>
      <c r="N38" s="84"/>
      <c r="O38" s="77"/>
      <c r="P38" s="78"/>
      <c r="Q38" s="79"/>
      <c r="R38" s="77"/>
      <c r="S38" s="78"/>
      <c r="T38" s="79"/>
      <c r="U38" s="77"/>
      <c r="V38" s="78"/>
      <c r="W38" s="79"/>
    </row>
    <row r="39" spans="1:23" x14ac:dyDescent="0.25">
      <c r="A39" s="56"/>
      <c r="B39" s="56"/>
      <c r="C39" s="56"/>
      <c r="I39" s="86"/>
      <c r="J39" s="86"/>
      <c r="K39" s="84"/>
      <c r="L39" s="87"/>
      <c r="M39" s="86"/>
      <c r="N39" s="84"/>
      <c r="O39" s="75"/>
      <c r="P39" s="75"/>
      <c r="Q39" s="75"/>
      <c r="R39" s="75"/>
      <c r="S39" s="75"/>
      <c r="T39" s="75"/>
      <c r="U39" s="75"/>
      <c r="V39" s="75"/>
      <c r="W39" s="75"/>
    </row>
    <row r="40" spans="1:23" x14ac:dyDescent="0.25">
      <c r="A40" s="56"/>
      <c r="B40" s="56"/>
      <c r="C40" s="56"/>
      <c r="I40" s="86"/>
      <c r="J40" s="86"/>
      <c r="K40" s="84"/>
      <c r="L40" s="87"/>
      <c r="M40" s="86"/>
      <c r="N40" s="84"/>
      <c r="O40" s="75"/>
      <c r="P40" s="75"/>
      <c r="Q40" s="75"/>
      <c r="R40" s="75"/>
      <c r="S40" s="75"/>
      <c r="T40" s="75"/>
      <c r="U40" s="75"/>
      <c r="V40" s="75"/>
      <c r="W40" s="75"/>
    </row>
    <row r="41" spans="1:23" x14ac:dyDescent="0.25">
      <c r="A41" s="56"/>
      <c r="B41" s="56"/>
      <c r="C41" s="56"/>
      <c r="I41" s="86"/>
      <c r="J41" s="86"/>
      <c r="K41" s="84"/>
      <c r="L41" s="87"/>
      <c r="M41" s="86"/>
      <c r="N41" s="84"/>
      <c r="O41" s="75"/>
      <c r="P41" s="75"/>
      <c r="Q41" s="75"/>
      <c r="R41" s="75"/>
      <c r="S41" s="75"/>
      <c r="T41" s="75"/>
      <c r="U41" s="75"/>
      <c r="V41" s="75"/>
      <c r="W41" s="75"/>
    </row>
    <row r="42" spans="1:23" x14ac:dyDescent="0.25">
      <c r="A42" s="56"/>
      <c r="B42" s="56"/>
      <c r="C42" s="56"/>
      <c r="I42" s="86"/>
      <c r="J42" s="86"/>
      <c r="K42" s="84"/>
      <c r="L42" s="87"/>
      <c r="M42" s="86"/>
      <c r="N42" s="84"/>
      <c r="O42" s="75"/>
      <c r="P42" s="75"/>
      <c r="Q42" s="75"/>
      <c r="R42" s="75"/>
      <c r="S42" s="75"/>
      <c r="T42" s="75"/>
      <c r="U42" s="75"/>
      <c r="V42" s="75"/>
      <c r="W42" s="75"/>
    </row>
    <row r="43" spans="1:23" x14ac:dyDescent="0.25">
      <c r="A43" s="56"/>
      <c r="B43" s="56"/>
      <c r="C43" s="56"/>
      <c r="I43" s="86"/>
      <c r="J43" s="86"/>
      <c r="K43" s="84"/>
      <c r="L43" s="87"/>
      <c r="M43" s="86"/>
      <c r="N43" s="84"/>
      <c r="O43" s="75"/>
      <c r="P43" s="75"/>
      <c r="Q43" s="75"/>
      <c r="R43" s="75"/>
      <c r="S43" s="75"/>
      <c r="T43" s="75"/>
      <c r="U43" s="75"/>
      <c r="V43" s="75"/>
      <c r="W43" s="75"/>
    </row>
    <row r="44" spans="1:23" x14ac:dyDescent="0.25">
      <c r="A44" s="56"/>
      <c r="B44" s="56"/>
      <c r="C44" s="56"/>
      <c r="I44" s="86"/>
      <c r="J44" s="86"/>
      <c r="K44" s="84"/>
      <c r="L44" s="87"/>
      <c r="M44" s="86"/>
      <c r="N44" s="84"/>
      <c r="O44" s="75"/>
      <c r="P44" s="75"/>
      <c r="Q44" s="75"/>
      <c r="R44" s="75"/>
      <c r="S44" s="75"/>
      <c r="T44" s="75"/>
      <c r="U44" s="75"/>
      <c r="V44" s="75"/>
      <c r="W44" s="75"/>
    </row>
    <row r="45" spans="1:23" x14ac:dyDescent="0.25">
      <c r="A45" s="56"/>
      <c r="B45" s="56"/>
      <c r="C45" s="56"/>
      <c r="I45" s="86"/>
      <c r="J45" s="86"/>
      <c r="K45" s="84"/>
      <c r="L45" s="87"/>
      <c r="M45" s="86"/>
      <c r="N45" s="84"/>
      <c r="O45" s="75"/>
      <c r="P45" s="75"/>
      <c r="Q45" s="75"/>
      <c r="R45" s="75"/>
      <c r="S45" s="75"/>
      <c r="T45" s="75"/>
      <c r="U45" s="75"/>
      <c r="V45" s="75"/>
      <c r="W45" s="75"/>
    </row>
    <row r="46" spans="1:23" x14ac:dyDescent="0.25">
      <c r="A46" s="56"/>
      <c r="B46" s="56"/>
      <c r="C46" s="56"/>
      <c r="I46" s="86"/>
      <c r="J46" s="86"/>
      <c r="K46" s="84"/>
      <c r="L46" s="87"/>
      <c r="M46" s="86"/>
      <c r="N46" s="84"/>
      <c r="O46" s="75"/>
      <c r="P46" s="75"/>
      <c r="Q46" s="75"/>
      <c r="R46" s="75"/>
      <c r="S46" s="75"/>
      <c r="T46" s="75"/>
      <c r="U46" s="75"/>
      <c r="V46" s="75"/>
      <c r="W46" s="75"/>
    </row>
    <row r="47" spans="1:23" x14ac:dyDescent="0.25">
      <c r="A47" s="56"/>
      <c r="B47" s="56"/>
      <c r="C47" s="56"/>
      <c r="I47" s="86"/>
      <c r="J47" s="86"/>
      <c r="K47" s="84"/>
      <c r="L47" s="87"/>
      <c r="M47" s="86"/>
      <c r="N47" s="84"/>
      <c r="O47" s="75"/>
      <c r="P47" s="75"/>
      <c r="Q47" s="75"/>
      <c r="R47" s="75"/>
      <c r="S47" s="75"/>
      <c r="T47" s="75"/>
      <c r="U47" s="75"/>
      <c r="V47" s="75"/>
      <c r="W47" s="75"/>
    </row>
    <row r="48" spans="1:23" x14ac:dyDescent="0.25">
      <c r="A48" s="56"/>
      <c r="B48" s="56"/>
      <c r="C48" s="56"/>
      <c r="I48" s="86"/>
      <c r="J48" s="86"/>
      <c r="K48" s="84"/>
      <c r="L48" s="87"/>
      <c r="M48" s="86"/>
      <c r="N48" s="84"/>
      <c r="O48" s="75"/>
      <c r="P48" s="75"/>
      <c r="Q48" s="75"/>
      <c r="R48" s="75"/>
      <c r="S48" s="75"/>
      <c r="T48" s="75"/>
      <c r="U48" s="75"/>
      <c r="V48" s="75"/>
      <c r="W48" s="75"/>
    </row>
    <row r="49" spans="1:23" x14ac:dyDescent="0.25">
      <c r="A49" s="56"/>
      <c r="B49" s="56"/>
      <c r="C49" s="56"/>
      <c r="I49" s="84"/>
      <c r="J49" s="85"/>
      <c r="K49" s="85"/>
      <c r="L49" s="85"/>
      <c r="M49" s="85"/>
      <c r="N49" s="85"/>
      <c r="O49" s="75"/>
      <c r="P49" s="75"/>
      <c r="Q49" s="75"/>
      <c r="R49" s="75"/>
      <c r="S49" s="75"/>
      <c r="T49" s="75"/>
      <c r="U49" s="75"/>
      <c r="V49" s="75"/>
      <c r="W49" s="75"/>
    </row>
    <row r="50" spans="1:23" x14ac:dyDescent="0.25">
      <c r="A50" s="56"/>
      <c r="B50" s="56"/>
      <c r="C50" s="56"/>
      <c r="I50" s="84"/>
      <c r="J50" s="85"/>
      <c r="K50" s="85"/>
      <c r="L50" s="85"/>
      <c r="M50" s="85"/>
      <c r="N50" s="85"/>
      <c r="O50" s="75"/>
      <c r="P50" s="75"/>
      <c r="Q50" s="75"/>
      <c r="R50" s="75"/>
      <c r="S50" s="75"/>
      <c r="T50" s="75"/>
      <c r="U50" s="75"/>
      <c r="V50" s="75"/>
      <c r="W50" s="75"/>
    </row>
    <row r="51" spans="1:23" x14ac:dyDescent="0.25">
      <c r="A51" s="56"/>
      <c r="B51" s="56"/>
      <c r="C51" s="56"/>
      <c r="I51" s="84"/>
      <c r="J51" s="85"/>
      <c r="K51" s="85"/>
      <c r="L51" s="85"/>
      <c r="M51" s="85"/>
      <c r="N51" s="85"/>
      <c r="O51" s="75"/>
      <c r="P51" s="75"/>
      <c r="Q51" s="75"/>
      <c r="R51" s="75"/>
      <c r="S51" s="75"/>
      <c r="T51" s="75"/>
      <c r="U51" s="75"/>
      <c r="V51" s="75"/>
      <c r="W51" s="75"/>
    </row>
    <row r="52" spans="1:23" x14ac:dyDescent="0.25">
      <c r="A52" s="56"/>
      <c r="B52" s="56"/>
      <c r="C52" s="56"/>
      <c r="I52" s="84"/>
      <c r="J52" s="85"/>
      <c r="K52" s="85"/>
      <c r="L52" s="85"/>
      <c r="M52" s="85"/>
      <c r="N52" s="85"/>
      <c r="O52" s="75"/>
      <c r="P52" s="75"/>
      <c r="Q52" s="75"/>
      <c r="R52" s="75"/>
      <c r="S52" s="75"/>
      <c r="T52" s="75"/>
      <c r="U52" s="75"/>
      <c r="V52" s="75"/>
      <c r="W52" s="75"/>
    </row>
    <row r="53" spans="1:23" x14ac:dyDescent="0.25">
      <c r="A53" s="56"/>
      <c r="B53" s="56"/>
      <c r="C53" s="56"/>
      <c r="I53" s="84"/>
      <c r="J53" s="85"/>
      <c r="K53" s="85"/>
      <c r="L53" s="85"/>
      <c r="M53" s="85"/>
      <c r="N53" s="85"/>
      <c r="O53" s="75"/>
      <c r="P53" s="75"/>
      <c r="Q53" s="75"/>
      <c r="R53" s="75"/>
      <c r="S53" s="75"/>
      <c r="T53" s="75"/>
      <c r="U53" s="75"/>
      <c r="V53" s="75"/>
      <c r="W53" s="75"/>
    </row>
    <row r="54" spans="1:23" x14ac:dyDescent="0.25">
      <c r="A54" s="56"/>
      <c r="B54" s="56"/>
      <c r="C54" s="56"/>
      <c r="I54" s="84"/>
      <c r="J54" s="85"/>
      <c r="K54" s="85"/>
      <c r="L54" s="85"/>
      <c r="M54" s="85"/>
      <c r="N54" s="85"/>
      <c r="O54" s="75"/>
      <c r="P54" s="75"/>
      <c r="Q54" s="75"/>
      <c r="R54" s="75"/>
      <c r="S54" s="75"/>
      <c r="T54" s="75"/>
      <c r="U54" s="75"/>
      <c r="V54" s="75"/>
      <c r="W54" s="75"/>
    </row>
    <row r="55" spans="1:23" x14ac:dyDescent="0.25">
      <c r="A55" s="56"/>
      <c r="B55" s="56"/>
      <c r="C55" s="56"/>
      <c r="I55" s="84"/>
      <c r="J55" s="85"/>
      <c r="K55" s="85"/>
      <c r="L55" s="85"/>
      <c r="M55" s="85"/>
      <c r="N55" s="85"/>
      <c r="O55" s="75"/>
      <c r="P55" s="75"/>
      <c r="Q55" s="75"/>
      <c r="R55" s="75"/>
      <c r="S55" s="75"/>
      <c r="T55" s="75"/>
      <c r="U55" s="75"/>
      <c r="V55" s="75"/>
      <c r="W55" s="75"/>
    </row>
    <row r="56" spans="1:23" x14ac:dyDescent="0.25">
      <c r="A56" s="56"/>
      <c r="B56" s="56"/>
      <c r="C56" s="56"/>
      <c r="I56" s="84"/>
      <c r="J56" s="85"/>
      <c r="K56" s="85"/>
      <c r="L56" s="85"/>
      <c r="M56" s="85"/>
      <c r="N56" s="85"/>
      <c r="O56" s="75"/>
      <c r="P56" s="75"/>
      <c r="Q56" s="75"/>
      <c r="R56" s="75"/>
      <c r="S56" s="75"/>
      <c r="T56" s="75"/>
      <c r="U56" s="75"/>
      <c r="V56" s="75"/>
      <c r="W56" s="75"/>
    </row>
    <row r="57" spans="1:23" x14ac:dyDescent="0.25">
      <c r="A57" s="56"/>
      <c r="B57" s="56"/>
      <c r="C57" s="56"/>
      <c r="I57" s="84"/>
      <c r="J57" s="85"/>
      <c r="K57" s="85"/>
      <c r="L57" s="85"/>
      <c r="M57" s="85"/>
      <c r="N57" s="85"/>
      <c r="O57" s="75"/>
      <c r="P57" s="75"/>
      <c r="Q57" s="75"/>
      <c r="R57" s="75"/>
      <c r="S57" s="75"/>
      <c r="T57" s="75"/>
      <c r="U57" s="75"/>
      <c r="V57" s="75"/>
      <c r="W57" s="75"/>
    </row>
    <row r="58" spans="1:23" x14ac:dyDescent="0.25">
      <c r="A58" s="56"/>
      <c r="B58" s="56"/>
      <c r="C58" s="56"/>
      <c r="I58" s="84"/>
      <c r="J58" s="85"/>
      <c r="K58" s="85"/>
      <c r="L58" s="85"/>
      <c r="M58" s="85"/>
      <c r="N58" s="85"/>
      <c r="O58" s="75"/>
      <c r="P58" s="75"/>
      <c r="Q58" s="75"/>
      <c r="R58" s="75"/>
      <c r="S58" s="75"/>
      <c r="T58" s="75"/>
      <c r="U58" s="75"/>
      <c r="V58" s="75"/>
      <c r="W58" s="75"/>
    </row>
    <row r="59" spans="1:23" x14ac:dyDescent="0.25">
      <c r="A59" s="56"/>
      <c r="B59" s="56"/>
      <c r="C59" s="56"/>
      <c r="I59" s="84"/>
      <c r="J59" s="85"/>
      <c r="K59" s="85"/>
      <c r="L59" s="85"/>
      <c r="M59" s="85"/>
      <c r="N59" s="85"/>
      <c r="O59" s="75"/>
      <c r="P59" s="75"/>
      <c r="Q59" s="75"/>
      <c r="R59" s="75"/>
      <c r="S59" s="75"/>
      <c r="T59" s="75"/>
      <c r="U59" s="75"/>
      <c r="V59" s="75"/>
      <c r="W59" s="75"/>
    </row>
    <row r="60" spans="1:23" x14ac:dyDescent="0.25">
      <c r="A60" s="56"/>
      <c r="B60" s="56"/>
      <c r="C60" s="56"/>
    </row>
    <row r="61" spans="1:23" x14ac:dyDescent="0.25">
      <c r="A61" s="56"/>
      <c r="B61" s="56"/>
      <c r="C61" s="56"/>
    </row>
    <row r="62" spans="1:23" x14ac:dyDescent="0.25">
      <c r="A62" s="56"/>
      <c r="B62" s="56"/>
      <c r="C62" s="56"/>
    </row>
    <row r="63" spans="1:23" x14ac:dyDescent="0.25">
      <c r="A63" s="56"/>
      <c r="B63" s="56"/>
      <c r="C63" s="56"/>
    </row>
    <row r="64" spans="1:23" x14ac:dyDescent="0.25">
      <c r="A64" s="56"/>
      <c r="B64" s="56"/>
      <c r="C64" s="56"/>
    </row>
    <row r="65" spans="1:3" x14ac:dyDescent="0.25">
      <c r="A65" s="56"/>
      <c r="B65" s="56"/>
      <c r="C65" s="56"/>
    </row>
    <row r="66" spans="1:3" x14ac:dyDescent="0.25">
      <c r="A66" s="56"/>
      <c r="B66" s="56"/>
      <c r="C66" s="56"/>
    </row>
    <row r="67" spans="1:3" x14ac:dyDescent="0.25">
      <c r="A67" s="56"/>
      <c r="B67" s="56"/>
      <c r="C67" s="56"/>
    </row>
    <row r="68" spans="1:3" x14ac:dyDescent="0.25">
      <c r="A68" s="56"/>
      <c r="B68" s="56"/>
      <c r="C68" s="56"/>
    </row>
    <row r="69" spans="1:3" x14ac:dyDescent="0.25">
      <c r="A69" s="56"/>
      <c r="B69" s="56"/>
      <c r="C69" s="56"/>
    </row>
    <row r="70" spans="1:3" x14ac:dyDescent="0.25">
      <c r="A70" s="56"/>
      <c r="B70" s="56"/>
      <c r="C70" s="56"/>
    </row>
    <row r="71" spans="1:3" x14ac:dyDescent="0.25">
      <c r="A71" s="56"/>
      <c r="B71" s="56"/>
      <c r="C71" s="56"/>
    </row>
    <row r="72" spans="1:3" x14ac:dyDescent="0.25">
      <c r="A72" s="56"/>
      <c r="B72" s="56"/>
      <c r="C72" s="56"/>
    </row>
    <row r="73" spans="1:3" x14ac:dyDescent="0.25">
      <c r="A73" s="56"/>
      <c r="B73" s="56"/>
      <c r="C73" s="56"/>
    </row>
    <row r="74" spans="1:3" x14ac:dyDescent="0.25">
      <c r="A74" s="56"/>
      <c r="B74" s="56"/>
      <c r="C74" s="56"/>
    </row>
    <row r="75" spans="1:3" x14ac:dyDescent="0.25">
      <c r="A75" s="56"/>
      <c r="B75" s="56"/>
      <c r="C75" s="56"/>
    </row>
    <row r="76" spans="1:3" x14ac:dyDescent="0.25">
      <c r="A76" s="56"/>
      <c r="B76" s="56"/>
      <c r="C76" s="56"/>
    </row>
    <row r="77" spans="1:3" x14ac:dyDescent="0.25">
      <c r="A77" s="56"/>
      <c r="B77" s="56"/>
      <c r="C77" s="56"/>
    </row>
    <row r="78" spans="1:3" x14ac:dyDescent="0.25">
      <c r="A78" s="56"/>
      <c r="B78" s="56"/>
      <c r="C78" s="56"/>
    </row>
    <row r="79" spans="1:3" x14ac:dyDescent="0.25">
      <c r="A79" s="56"/>
      <c r="B79" s="56"/>
      <c r="C79" s="56"/>
    </row>
    <row r="80" spans="1:3" x14ac:dyDescent="0.25">
      <c r="A80" s="56"/>
      <c r="B80" s="56"/>
      <c r="C80" s="56"/>
    </row>
  </sheetData>
  <mergeCells count="300">
    <mergeCell ref="B10:E10"/>
    <mergeCell ref="B11:E11"/>
    <mergeCell ref="B12:E12"/>
    <mergeCell ref="B13:E13"/>
    <mergeCell ref="B14:E14"/>
    <mergeCell ref="B19:E19"/>
    <mergeCell ref="B15:E15"/>
    <mergeCell ref="B16:E16"/>
    <mergeCell ref="B17:E17"/>
    <mergeCell ref="B18:E18"/>
    <mergeCell ref="I1:K4"/>
    <mergeCell ref="L1:N4"/>
    <mergeCell ref="B7:E7"/>
    <mergeCell ref="B8:E8"/>
    <mergeCell ref="B1:E1"/>
    <mergeCell ref="B2:E2"/>
    <mergeCell ref="B3:E3"/>
    <mergeCell ref="B4:E4"/>
    <mergeCell ref="B5:E5"/>
    <mergeCell ref="B6:E6"/>
    <mergeCell ref="L7:N7"/>
    <mergeCell ref="I8:K8"/>
    <mergeCell ref="L8:N8"/>
    <mergeCell ref="I7:K7"/>
    <mergeCell ref="I9:K9"/>
    <mergeCell ref="I6:K6"/>
    <mergeCell ref="L6:N6"/>
    <mergeCell ref="I5:K5"/>
    <mergeCell ref="L5:N5"/>
    <mergeCell ref="I13:K13"/>
    <mergeCell ref="L13:N13"/>
    <mergeCell ref="I14:K14"/>
    <mergeCell ref="L14:N14"/>
    <mergeCell ref="L11:N11"/>
    <mergeCell ref="I12:K12"/>
    <mergeCell ref="L12:N12"/>
    <mergeCell ref="L9:N9"/>
    <mergeCell ref="I10:K10"/>
    <mergeCell ref="L10:N10"/>
    <mergeCell ref="I11:K11"/>
    <mergeCell ref="I19:K19"/>
    <mergeCell ref="L19:N19"/>
    <mergeCell ref="I18:K18"/>
    <mergeCell ref="L18:N18"/>
    <mergeCell ref="I17:K17"/>
    <mergeCell ref="L17:N17"/>
    <mergeCell ref="I16:K16"/>
    <mergeCell ref="L16:N16"/>
    <mergeCell ref="I15:K15"/>
    <mergeCell ref="L15:N15"/>
    <mergeCell ref="I24:K24"/>
    <mergeCell ref="L24:N24"/>
    <mergeCell ref="I23:K23"/>
    <mergeCell ref="L23:N23"/>
    <mergeCell ref="I22:K22"/>
    <mergeCell ref="L22:N22"/>
    <mergeCell ref="I21:K21"/>
    <mergeCell ref="L21:N21"/>
    <mergeCell ref="I20:K20"/>
    <mergeCell ref="L20:N20"/>
    <mergeCell ref="I29:K29"/>
    <mergeCell ref="L29:N29"/>
    <mergeCell ref="I28:K28"/>
    <mergeCell ref="L28:N28"/>
    <mergeCell ref="I27:K27"/>
    <mergeCell ref="L27:N27"/>
    <mergeCell ref="I26:K26"/>
    <mergeCell ref="L26:N26"/>
    <mergeCell ref="I25:K25"/>
    <mergeCell ref="L25:N25"/>
    <mergeCell ref="I34:K34"/>
    <mergeCell ref="L34:N34"/>
    <mergeCell ref="I33:K33"/>
    <mergeCell ref="L33:N33"/>
    <mergeCell ref="I32:K32"/>
    <mergeCell ref="L32:N32"/>
    <mergeCell ref="I31:K31"/>
    <mergeCell ref="L31:N31"/>
    <mergeCell ref="I30:K30"/>
    <mergeCell ref="L30:N30"/>
    <mergeCell ref="I39:K39"/>
    <mergeCell ref="L39:N39"/>
    <mergeCell ref="I38:K38"/>
    <mergeCell ref="L38:N38"/>
    <mergeCell ref="I37:K37"/>
    <mergeCell ref="L37:N37"/>
    <mergeCell ref="I36:K36"/>
    <mergeCell ref="L36:N36"/>
    <mergeCell ref="I35:K35"/>
    <mergeCell ref="L35:N35"/>
    <mergeCell ref="I44:K44"/>
    <mergeCell ref="L44:N44"/>
    <mergeCell ref="I43:K43"/>
    <mergeCell ref="L43:N43"/>
    <mergeCell ref="I42:K42"/>
    <mergeCell ref="L42:N42"/>
    <mergeCell ref="I41:K41"/>
    <mergeCell ref="L41:N41"/>
    <mergeCell ref="I40:K40"/>
    <mergeCell ref="L40:N40"/>
    <mergeCell ref="I49:K49"/>
    <mergeCell ref="L49:N49"/>
    <mergeCell ref="I48:K48"/>
    <mergeCell ref="L48:N48"/>
    <mergeCell ref="I47:K47"/>
    <mergeCell ref="L47:N47"/>
    <mergeCell ref="I46:K46"/>
    <mergeCell ref="L46:N46"/>
    <mergeCell ref="I45:K45"/>
    <mergeCell ref="L45:N45"/>
    <mergeCell ref="I54:K54"/>
    <mergeCell ref="L54:N54"/>
    <mergeCell ref="I53:K53"/>
    <mergeCell ref="L53:N53"/>
    <mergeCell ref="I52:K52"/>
    <mergeCell ref="L52:N52"/>
    <mergeCell ref="I51:K51"/>
    <mergeCell ref="L51:N51"/>
    <mergeCell ref="I50:K50"/>
    <mergeCell ref="L50:N50"/>
    <mergeCell ref="I59:K59"/>
    <mergeCell ref="L59:N59"/>
    <mergeCell ref="I58:K58"/>
    <mergeCell ref="L58:N58"/>
    <mergeCell ref="I57:K57"/>
    <mergeCell ref="L57:N57"/>
    <mergeCell ref="I56:K56"/>
    <mergeCell ref="L56:N56"/>
    <mergeCell ref="I55:K55"/>
    <mergeCell ref="L55:N55"/>
    <mergeCell ref="R1:T4"/>
    <mergeCell ref="U1:W4"/>
    <mergeCell ref="O5:Q5"/>
    <mergeCell ref="R5:T5"/>
    <mergeCell ref="U5:W5"/>
    <mergeCell ref="O6:Q6"/>
    <mergeCell ref="R6:T6"/>
    <mergeCell ref="U6:W6"/>
    <mergeCell ref="O7:Q7"/>
    <mergeCell ref="R7:T7"/>
    <mergeCell ref="U7:W7"/>
    <mergeCell ref="O1:Q4"/>
    <mergeCell ref="R8:T8"/>
    <mergeCell ref="U8:W8"/>
    <mergeCell ref="O9:Q9"/>
    <mergeCell ref="R9:T9"/>
    <mergeCell ref="U9:W9"/>
    <mergeCell ref="O10:Q10"/>
    <mergeCell ref="R10:T10"/>
    <mergeCell ref="U10:W10"/>
    <mergeCell ref="O11:Q11"/>
    <mergeCell ref="R11:T11"/>
    <mergeCell ref="U11:W11"/>
    <mergeCell ref="O8:Q8"/>
    <mergeCell ref="R12:T12"/>
    <mergeCell ref="U12:W12"/>
    <mergeCell ref="O13:Q13"/>
    <mergeCell ref="R13:T13"/>
    <mergeCell ref="U13:W13"/>
    <mergeCell ref="O14:Q14"/>
    <mergeCell ref="R14:T14"/>
    <mergeCell ref="U14:W14"/>
    <mergeCell ref="O15:Q15"/>
    <mergeCell ref="R15:T15"/>
    <mergeCell ref="U15:W15"/>
    <mergeCell ref="O12:Q12"/>
    <mergeCell ref="R16:T16"/>
    <mergeCell ref="U16:W16"/>
    <mergeCell ref="O17:Q17"/>
    <mergeCell ref="R17:T17"/>
    <mergeCell ref="U17:W17"/>
    <mergeCell ref="O18:Q18"/>
    <mergeCell ref="R18:T18"/>
    <mergeCell ref="U18:W18"/>
    <mergeCell ref="O19:Q19"/>
    <mergeCell ref="R19:T19"/>
    <mergeCell ref="U19:W19"/>
    <mergeCell ref="O16:Q16"/>
    <mergeCell ref="R20:T20"/>
    <mergeCell ref="U20:W20"/>
    <mergeCell ref="O21:Q21"/>
    <mergeCell ref="R21:T21"/>
    <mergeCell ref="U21:W21"/>
    <mergeCell ref="O22:Q22"/>
    <mergeCell ref="R22:T22"/>
    <mergeCell ref="U22:W22"/>
    <mergeCell ref="O23:Q23"/>
    <mergeCell ref="R23:T23"/>
    <mergeCell ref="U23:W23"/>
    <mergeCell ref="O20:Q20"/>
    <mergeCell ref="R24:T24"/>
    <mergeCell ref="U24:W24"/>
    <mergeCell ref="O25:Q25"/>
    <mergeCell ref="R25:T25"/>
    <mergeCell ref="U25:W25"/>
    <mergeCell ref="O26:Q26"/>
    <mergeCell ref="R26:T26"/>
    <mergeCell ref="U26:W26"/>
    <mergeCell ref="O27:Q27"/>
    <mergeCell ref="R27:T27"/>
    <mergeCell ref="U27:W27"/>
    <mergeCell ref="O24:Q24"/>
    <mergeCell ref="R28:T28"/>
    <mergeCell ref="U28:W28"/>
    <mergeCell ref="O29:Q29"/>
    <mergeCell ref="R29:T29"/>
    <mergeCell ref="U29:W29"/>
    <mergeCell ref="O30:Q30"/>
    <mergeCell ref="R30:T30"/>
    <mergeCell ref="U30:W30"/>
    <mergeCell ref="O31:Q31"/>
    <mergeCell ref="R31:T31"/>
    <mergeCell ref="U31:W31"/>
    <mergeCell ref="O28:Q28"/>
    <mergeCell ref="R32:T32"/>
    <mergeCell ref="U32:W32"/>
    <mergeCell ref="O33:Q33"/>
    <mergeCell ref="R33:T33"/>
    <mergeCell ref="U33:W33"/>
    <mergeCell ref="O34:Q34"/>
    <mergeCell ref="R34:T34"/>
    <mergeCell ref="U34:W34"/>
    <mergeCell ref="O35:Q35"/>
    <mergeCell ref="R35:T35"/>
    <mergeCell ref="U35:W35"/>
    <mergeCell ref="O32:Q32"/>
    <mergeCell ref="R36:T36"/>
    <mergeCell ref="U36:W36"/>
    <mergeCell ref="O37:Q37"/>
    <mergeCell ref="R37:T37"/>
    <mergeCell ref="U37:W37"/>
    <mergeCell ref="O38:Q38"/>
    <mergeCell ref="R38:T38"/>
    <mergeCell ref="U38:W38"/>
    <mergeCell ref="O39:Q39"/>
    <mergeCell ref="R39:T39"/>
    <mergeCell ref="U39:W39"/>
    <mergeCell ref="O36:Q36"/>
    <mergeCell ref="R40:T40"/>
    <mergeCell ref="U40:W40"/>
    <mergeCell ref="O41:Q41"/>
    <mergeCell ref="R41:T41"/>
    <mergeCell ref="U41:W41"/>
    <mergeCell ref="O42:Q42"/>
    <mergeCell ref="R42:T42"/>
    <mergeCell ref="U42:W42"/>
    <mergeCell ref="O43:Q43"/>
    <mergeCell ref="R43:T43"/>
    <mergeCell ref="U43:W43"/>
    <mergeCell ref="O40:Q40"/>
    <mergeCell ref="R44:T44"/>
    <mergeCell ref="U44:W44"/>
    <mergeCell ref="O45:Q45"/>
    <mergeCell ref="R45:T45"/>
    <mergeCell ref="U45:W45"/>
    <mergeCell ref="O46:Q46"/>
    <mergeCell ref="R46:T46"/>
    <mergeCell ref="U46:W46"/>
    <mergeCell ref="O47:Q47"/>
    <mergeCell ref="R47:T47"/>
    <mergeCell ref="U47:W47"/>
    <mergeCell ref="O44:Q44"/>
    <mergeCell ref="R52:T52"/>
    <mergeCell ref="U52:W52"/>
    <mergeCell ref="O53:Q53"/>
    <mergeCell ref="R53:T53"/>
    <mergeCell ref="U53:W53"/>
    <mergeCell ref="O48:Q48"/>
    <mergeCell ref="R48:T48"/>
    <mergeCell ref="U48:W48"/>
    <mergeCell ref="O49:Q49"/>
    <mergeCell ref="R49:T49"/>
    <mergeCell ref="U49:W49"/>
    <mergeCell ref="O50:Q50"/>
    <mergeCell ref="R50:T50"/>
    <mergeCell ref="U50:W50"/>
    <mergeCell ref="A22:C22"/>
    <mergeCell ref="B20:G20"/>
    <mergeCell ref="O57:Q57"/>
    <mergeCell ref="R57:T57"/>
    <mergeCell ref="U57:W57"/>
    <mergeCell ref="O58:Q58"/>
    <mergeCell ref="R58:T58"/>
    <mergeCell ref="U58:W58"/>
    <mergeCell ref="O59:Q59"/>
    <mergeCell ref="R59:T59"/>
    <mergeCell ref="U59:W59"/>
    <mergeCell ref="O54:Q54"/>
    <mergeCell ref="R54:T54"/>
    <mergeCell ref="U54:W54"/>
    <mergeCell ref="O55:Q55"/>
    <mergeCell ref="R55:T55"/>
    <mergeCell ref="U55:W55"/>
    <mergeCell ref="O56:Q56"/>
    <mergeCell ref="R56:T56"/>
    <mergeCell ref="U56:W56"/>
    <mergeCell ref="O51:Q51"/>
    <mergeCell ref="R51:T51"/>
    <mergeCell ref="U51:W51"/>
    <mergeCell ref="O52:Q5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6593-02B7-4E60-8229-11286CAFEA60}">
  <sheetPr codeName="Sheet1">
    <tabColor rgb="FF002060"/>
  </sheetPr>
  <dimension ref="A1:AS490"/>
  <sheetViews>
    <sheetView view="pageLayout" zoomScaleNormal="115" zoomScaleSheetLayoutView="100" workbookViewId="0">
      <selection activeCell="D488" sqref="D488"/>
    </sheetView>
  </sheetViews>
  <sheetFormatPr defaultColWidth="2.7109375" defaultRowHeight="15" customHeight="1" x14ac:dyDescent="0.2"/>
  <cols>
    <col min="1" max="1" width="2.7109375" style="1"/>
    <col min="2" max="2" width="2.7109375" style="7"/>
    <col min="3" max="3" width="2.7109375" style="1"/>
    <col min="4" max="4" width="2.7109375" style="1" customWidth="1"/>
    <col min="5" max="10" width="2.7109375" style="1"/>
    <col min="11" max="11" width="2.7109375" style="1" customWidth="1"/>
    <col min="12" max="13" width="2.7109375" style="1"/>
    <col min="14" max="15" width="2.7109375" style="1" customWidth="1"/>
    <col min="16" max="21" width="2.7109375" style="1"/>
    <col min="22" max="22" width="2.7109375" style="1" customWidth="1"/>
    <col min="23" max="29" width="2.7109375" style="1"/>
    <col min="30" max="30" width="2.7109375" style="1" customWidth="1"/>
    <col min="31" max="32" width="2.7109375" style="3"/>
    <col min="33" max="33" width="2.7109375" style="3" customWidth="1"/>
    <col min="34" max="36" width="2.7109375" style="3"/>
    <col min="37" max="37" width="2.7109375" style="3" customWidth="1"/>
    <col min="38" max="38" width="2.7109375" style="1"/>
    <col min="39" max="39" width="2.7109375" style="38"/>
    <col min="40" max="16384" width="2.7109375" style="1"/>
  </cols>
  <sheetData>
    <row r="1" spans="1:37" ht="15" customHeight="1" x14ac:dyDescent="0.25">
      <c r="A1" s="6"/>
      <c r="B1" s="6"/>
      <c r="C1" s="6"/>
      <c r="D1" s="6"/>
      <c r="E1" s="6"/>
      <c r="F1" s="6"/>
      <c r="G1" s="6"/>
      <c r="H1" s="6"/>
      <c r="I1" s="6"/>
      <c r="J1" s="6"/>
      <c r="K1" s="6"/>
      <c r="L1" s="6"/>
      <c r="M1" s="6"/>
      <c r="N1" s="6"/>
      <c r="O1" s="6"/>
      <c r="P1" s="6"/>
      <c r="Q1" s="147" t="s">
        <v>0</v>
      </c>
      <c r="R1" s="147"/>
      <c r="S1" s="147"/>
      <c r="T1" s="147"/>
      <c r="U1" s="147"/>
      <c r="V1" s="147"/>
      <c r="W1" s="147"/>
      <c r="X1" s="147"/>
      <c r="Y1" s="147"/>
      <c r="Z1" s="147"/>
      <c r="AA1" s="147"/>
      <c r="AB1" s="147"/>
      <c r="AC1" s="148"/>
      <c r="AD1" s="139" t="s">
        <v>1</v>
      </c>
      <c r="AE1" s="140"/>
      <c r="AF1" s="140"/>
      <c r="AG1" s="140"/>
      <c r="AH1" s="173"/>
      <c r="AI1" s="173"/>
      <c r="AJ1" s="173"/>
      <c r="AK1" s="173"/>
    </row>
    <row r="2" spans="1:37" ht="15" customHeight="1" x14ac:dyDescent="0.25">
      <c r="A2" s="6"/>
      <c r="B2" s="6"/>
      <c r="C2" s="6"/>
      <c r="D2" s="6"/>
      <c r="E2" s="6"/>
      <c r="F2" s="6"/>
      <c r="G2" s="6"/>
      <c r="H2" s="6"/>
      <c r="I2" s="6"/>
      <c r="J2" s="6"/>
      <c r="K2" s="6"/>
      <c r="L2" s="6"/>
      <c r="M2" s="6"/>
      <c r="N2" s="6"/>
      <c r="O2" s="6"/>
      <c r="P2" s="6"/>
      <c r="Q2" s="147"/>
      <c r="R2" s="147"/>
      <c r="S2" s="147"/>
      <c r="T2" s="147"/>
      <c r="U2" s="147"/>
      <c r="V2" s="147"/>
      <c r="W2" s="147"/>
      <c r="X2" s="147"/>
      <c r="Y2" s="147"/>
      <c r="Z2" s="147"/>
      <c r="AA2" s="147"/>
      <c r="AB2" s="147"/>
      <c r="AC2" s="148"/>
      <c r="AD2" s="139" t="s">
        <v>2</v>
      </c>
      <c r="AE2" s="140"/>
      <c r="AF2" s="140"/>
      <c r="AG2" s="140"/>
      <c r="AH2" s="173" t="str">
        <f>Inputs!B4</f>
        <v>TG</v>
      </c>
      <c r="AI2" s="173"/>
      <c r="AJ2" s="173"/>
      <c r="AK2" s="173"/>
    </row>
    <row r="3" spans="1:37" ht="15" customHeight="1"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139" t="s">
        <v>3</v>
      </c>
      <c r="AE3" s="140"/>
      <c r="AF3" s="140"/>
      <c r="AG3" s="140"/>
      <c r="AH3" s="174">
        <f>Inputs!B5</f>
        <v>46305</v>
      </c>
      <c r="AI3" s="174"/>
      <c r="AJ3" s="174"/>
      <c r="AK3" s="174"/>
    </row>
    <row r="4" spans="1:37" ht="15" customHeight="1" x14ac:dyDescent="0.2">
      <c r="A4" s="158" t="s">
        <v>4</v>
      </c>
      <c r="B4" s="159"/>
      <c r="C4" s="159"/>
      <c r="D4" s="159"/>
      <c r="E4" s="149" t="str">
        <f>Inputs!B1</f>
        <v>North Connector Bridge</v>
      </c>
      <c r="F4" s="149"/>
      <c r="G4" s="149"/>
      <c r="H4" s="149"/>
      <c r="I4" s="149"/>
      <c r="J4" s="149"/>
      <c r="K4" s="149"/>
      <c r="L4" s="149"/>
      <c r="M4" s="149"/>
      <c r="N4" s="149"/>
      <c r="O4" s="149"/>
      <c r="P4" s="149"/>
      <c r="Q4" s="149"/>
      <c r="R4" s="149"/>
      <c r="S4" s="149"/>
      <c r="T4" s="149"/>
      <c r="U4" s="149"/>
      <c r="V4" s="149"/>
      <c r="W4" s="149"/>
      <c r="X4" s="149"/>
      <c r="Y4" s="149"/>
      <c r="Z4" s="149"/>
      <c r="AA4" s="149"/>
      <c r="AB4" s="149"/>
      <c r="AC4" s="150"/>
      <c r="AD4" s="139" t="s">
        <v>5</v>
      </c>
      <c r="AE4" s="140"/>
      <c r="AF4" s="140"/>
      <c r="AG4" s="140"/>
      <c r="AH4" s="173" t="str">
        <f>Inputs!B6</f>
        <v>SB</v>
      </c>
      <c r="AI4" s="173"/>
      <c r="AJ4" s="173"/>
      <c r="AK4" s="173"/>
    </row>
    <row r="5" spans="1:37" ht="15" customHeight="1" x14ac:dyDescent="0.2">
      <c r="A5" s="158" t="s">
        <v>6</v>
      </c>
      <c r="B5" s="159"/>
      <c r="C5" s="159"/>
      <c r="D5" s="159"/>
      <c r="E5" s="151">
        <f>Inputs!B2</f>
        <v>408545</v>
      </c>
      <c r="F5" s="151"/>
      <c r="G5" s="151"/>
      <c r="H5" s="151"/>
      <c r="I5" s="151"/>
      <c r="J5" s="151"/>
      <c r="K5" s="151"/>
      <c r="L5" s="151"/>
      <c r="M5" s="151"/>
      <c r="N5" s="151"/>
      <c r="O5" s="151"/>
      <c r="P5" s="151"/>
      <c r="Q5" s="151"/>
      <c r="R5" s="151"/>
      <c r="S5" s="151"/>
      <c r="T5" s="151"/>
      <c r="U5" s="151"/>
      <c r="V5" s="151"/>
      <c r="W5" s="151"/>
      <c r="X5" s="151"/>
      <c r="Y5" s="151"/>
      <c r="Z5" s="151"/>
      <c r="AA5" s="151"/>
      <c r="AB5" s="151"/>
      <c r="AC5" s="152"/>
      <c r="AD5" s="139" t="s">
        <v>3</v>
      </c>
      <c r="AE5" s="140"/>
      <c r="AF5" s="140"/>
      <c r="AG5" s="140"/>
      <c r="AH5" s="174">
        <f>Inputs!B7</f>
        <v>46091</v>
      </c>
      <c r="AI5" s="174"/>
      <c r="AJ5" s="174"/>
      <c r="AK5" s="174"/>
    </row>
    <row r="6" spans="1:37" ht="15" customHeight="1" thickBot="1" x14ac:dyDescent="0.25">
      <c r="A6" s="160" t="s">
        <v>7</v>
      </c>
      <c r="B6" s="161"/>
      <c r="C6" s="161"/>
      <c r="D6" s="161"/>
      <c r="E6" s="154" t="str">
        <f>Inputs!B3&amp;" Strand Stresses"</f>
        <v>C.1 Strand Stresses</v>
      </c>
      <c r="F6" s="154"/>
      <c r="G6" s="154"/>
      <c r="H6" s="154"/>
      <c r="I6" s="154"/>
      <c r="J6" s="154"/>
      <c r="K6" s="154"/>
      <c r="L6" s="154"/>
      <c r="M6" s="154"/>
      <c r="N6" s="154"/>
      <c r="O6" s="154"/>
      <c r="P6" s="154"/>
      <c r="Q6" s="154"/>
      <c r="R6" s="154"/>
      <c r="S6" s="154"/>
      <c r="T6" s="154"/>
      <c r="U6" s="154"/>
      <c r="V6" s="154"/>
      <c r="W6" s="154"/>
      <c r="X6" s="154"/>
      <c r="Y6" s="154"/>
      <c r="Z6" s="154"/>
      <c r="AA6" s="154"/>
      <c r="AB6" s="154"/>
      <c r="AC6" s="155"/>
      <c r="AD6" s="162" t="s">
        <v>8</v>
      </c>
      <c r="AE6" s="163"/>
      <c r="AF6" s="163"/>
      <c r="AG6" s="163"/>
      <c r="AH6" s="164">
        <f>Inputs!B8</f>
        <v>1</v>
      </c>
      <c r="AI6" s="164"/>
      <c r="AJ6" s="164"/>
      <c r="AK6" s="164"/>
    </row>
    <row r="7" spans="1:37" ht="15" customHeight="1" thickTop="1" x14ac:dyDescent="0.25">
      <c r="B7" s="1"/>
      <c r="AE7" s="6"/>
      <c r="AF7" s="6"/>
      <c r="AG7" s="6"/>
      <c r="AH7" s="6"/>
      <c r="AI7" s="6"/>
      <c r="AJ7" s="6"/>
      <c r="AK7" s="6"/>
    </row>
    <row r="8" spans="1:37" ht="15" customHeight="1" x14ac:dyDescent="0.25">
      <c r="A8" s="165" t="str">
        <f>Inputs!B3&amp;" Strand Stress Checks"</f>
        <v>C.1 Strand Stress Checks</v>
      </c>
      <c r="B8" s="165"/>
      <c r="C8" s="165"/>
      <c r="D8" s="165"/>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6"/>
      <c r="AF8" s="6"/>
      <c r="AG8" s="6"/>
      <c r="AH8" s="6"/>
      <c r="AI8" s="6"/>
      <c r="AJ8" s="6"/>
      <c r="AK8" s="6"/>
    </row>
    <row r="9" spans="1:37" ht="15" customHeight="1" x14ac:dyDescent="0.2">
      <c r="A9" s="166"/>
      <c r="B9" s="166"/>
      <c r="C9" s="166"/>
      <c r="D9" s="166"/>
      <c r="E9" s="166"/>
      <c r="F9" s="166"/>
      <c r="G9" s="166"/>
      <c r="H9" s="166"/>
      <c r="I9" s="166"/>
      <c r="J9" s="166"/>
      <c r="K9" s="166"/>
      <c r="L9" s="166"/>
      <c r="M9" s="166"/>
      <c r="N9" s="166"/>
      <c r="O9" s="166"/>
      <c r="P9" s="166"/>
      <c r="Q9" s="166"/>
      <c r="R9" s="166"/>
      <c r="S9" s="166"/>
      <c r="T9" s="166"/>
      <c r="U9" s="166"/>
      <c r="V9" s="166"/>
      <c r="W9" s="166"/>
      <c r="X9" s="166"/>
      <c r="Y9" s="166"/>
      <c r="Z9" s="166"/>
      <c r="AA9" s="166"/>
      <c r="AB9" s="166"/>
      <c r="AC9" s="166"/>
      <c r="AD9" s="166"/>
      <c r="AE9" s="157" t="s">
        <v>9</v>
      </c>
      <c r="AF9" s="157"/>
      <c r="AG9" s="157"/>
      <c r="AH9" s="157"/>
      <c r="AI9" s="157"/>
      <c r="AJ9" s="157"/>
      <c r="AK9" s="157"/>
    </row>
    <row r="10" spans="1:37" ht="15" customHeight="1" x14ac:dyDescent="0.2">
      <c r="A10" s="14"/>
      <c r="B10" s="28"/>
      <c r="C10" s="168">
        <v>1</v>
      </c>
      <c r="D10" s="169"/>
      <c r="E10" s="167" t="s">
        <v>35</v>
      </c>
      <c r="F10" s="167"/>
      <c r="G10" s="167"/>
      <c r="H10" s="167"/>
      <c r="I10" s="167"/>
      <c r="J10" s="167"/>
      <c r="K10" s="167"/>
      <c r="L10" s="167"/>
      <c r="M10" s="167"/>
      <c r="N10" s="167"/>
      <c r="O10" s="167"/>
      <c r="P10" s="167"/>
      <c r="Q10" s="167"/>
      <c r="R10" s="167"/>
      <c r="S10" s="167"/>
      <c r="T10" s="167"/>
      <c r="U10" s="167"/>
      <c r="V10" s="167"/>
      <c r="W10" s="167"/>
      <c r="X10" s="167"/>
      <c r="Y10" s="167"/>
      <c r="Z10" s="167"/>
      <c r="AA10" s="167"/>
      <c r="AB10" s="167"/>
      <c r="AC10" s="167"/>
      <c r="AD10" s="167"/>
      <c r="AE10" s="15"/>
      <c r="AF10" s="15"/>
      <c r="AG10" s="15"/>
      <c r="AH10" s="15"/>
      <c r="AI10" s="15"/>
      <c r="AJ10" s="15"/>
      <c r="AK10" s="15"/>
    </row>
    <row r="11" spans="1:37" ht="15" customHeight="1" x14ac:dyDescent="0.2">
      <c r="A11" s="14"/>
      <c r="B11" s="14"/>
      <c r="C11" s="131"/>
      <c r="D11" s="132"/>
      <c r="E11" s="156"/>
      <c r="F11" s="156"/>
      <c r="G11" s="156"/>
      <c r="H11" s="156"/>
      <c r="I11" s="156"/>
      <c r="J11" s="156"/>
      <c r="K11" s="156"/>
      <c r="L11" s="156"/>
      <c r="M11" s="156"/>
      <c r="N11" s="156"/>
      <c r="O11" s="156"/>
      <c r="P11" s="156"/>
      <c r="Q11" s="156"/>
      <c r="R11" s="156"/>
      <c r="S11" s="156"/>
      <c r="T11" s="156"/>
      <c r="U11" s="156"/>
      <c r="V11" s="156"/>
      <c r="W11" s="156"/>
      <c r="X11" s="156"/>
      <c r="Y11" s="156"/>
      <c r="Z11" s="156"/>
      <c r="AA11" s="156"/>
      <c r="AB11" s="156"/>
      <c r="AC11" s="156"/>
      <c r="AD11" s="156"/>
      <c r="AE11" s="15"/>
      <c r="AF11" s="15"/>
      <c r="AG11" s="15"/>
      <c r="AH11" s="15"/>
      <c r="AI11" s="15"/>
      <c r="AJ11" s="15"/>
      <c r="AK11" s="15"/>
    </row>
    <row r="12" spans="1:37" ht="15" customHeight="1" x14ac:dyDescent="0.25">
      <c r="A12" s="14"/>
      <c r="B12" s="14"/>
      <c r="C12" s="34"/>
      <c r="D12" s="35"/>
      <c r="E12" s="143" t="s">
        <v>36</v>
      </c>
      <c r="F12" s="143"/>
      <c r="G12" s="143"/>
      <c r="H12" s="143"/>
      <c r="I12" s="143"/>
      <c r="J12" s="143"/>
      <c r="K12" s="143"/>
      <c r="L12" s="143"/>
      <c r="M12" s="143"/>
      <c r="N12" s="143"/>
      <c r="O12" s="143"/>
      <c r="P12" s="143"/>
      <c r="Q12" s="143"/>
      <c r="R12" s="143"/>
      <c r="S12" s="143"/>
      <c r="T12" s="143"/>
      <c r="U12" s="143"/>
      <c r="V12" s="143"/>
      <c r="W12" s="143"/>
      <c r="X12" s="143"/>
      <c r="Y12" s="143"/>
      <c r="Z12" s="143"/>
      <c r="AA12" s="143"/>
      <c r="AB12" s="143"/>
      <c r="AC12" s="143"/>
      <c r="AD12" s="29"/>
      <c r="AE12" s="15"/>
      <c r="AF12" s="15"/>
      <c r="AG12" s="15"/>
      <c r="AH12" s="15"/>
      <c r="AI12" s="15"/>
      <c r="AJ12" s="15"/>
      <c r="AK12" s="15"/>
    </row>
    <row r="13" spans="1:37" ht="15" customHeight="1" x14ac:dyDescent="0.25">
      <c r="A13" s="14"/>
      <c r="B13" s="14"/>
      <c r="C13" s="34"/>
      <c r="D13" s="35"/>
      <c r="E13" s="143"/>
      <c r="F13" s="143"/>
      <c r="G13" s="143"/>
      <c r="H13" s="143"/>
      <c r="I13" s="143"/>
      <c r="J13" s="143"/>
      <c r="K13" s="143"/>
      <c r="L13" s="143"/>
      <c r="M13" s="143"/>
      <c r="N13" s="143"/>
      <c r="O13" s="143"/>
      <c r="P13" s="143"/>
      <c r="Q13" s="143"/>
      <c r="R13" s="143"/>
      <c r="S13" s="143"/>
      <c r="T13" s="143"/>
      <c r="U13" s="143"/>
      <c r="V13" s="143"/>
      <c r="W13" s="143"/>
      <c r="X13" s="143"/>
      <c r="Y13" s="143"/>
      <c r="Z13" s="143"/>
      <c r="AA13" s="143"/>
      <c r="AB13" s="143"/>
      <c r="AC13" s="143"/>
      <c r="AD13" s="29"/>
      <c r="AE13" s="15"/>
      <c r="AF13" s="15"/>
      <c r="AG13" s="15"/>
      <c r="AH13" s="15"/>
      <c r="AI13" s="15"/>
      <c r="AJ13" s="15"/>
      <c r="AK13" s="15"/>
    </row>
    <row r="14" spans="1:37" ht="15" customHeight="1" x14ac:dyDescent="0.25">
      <c r="A14" s="14"/>
      <c r="B14" s="14"/>
      <c r="C14" s="34"/>
      <c r="D14" s="35"/>
      <c r="E14" s="143"/>
      <c r="F14" s="143"/>
      <c r="G14" s="143"/>
      <c r="H14" s="143"/>
      <c r="I14" s="143"/>
      <c r="J14" s="143"/>
      <c r="K14" s="143"/>
      <c r="L14" s="143"/>
      <c r="M14" s="143"/>
      <c r="N14" s="143"/>
      <c r="O14" s="143"/>
      <c r="P14" s="143"/>
      <c r="Q14" s="143"/>
      <c r="R14" s="143"/>
      <c r="S14" s="143"/>
      <c r="T14" s="143"/>
      <c r="U14" s="143"/>
      <c r="V14" s="143"/>
      <c r="W14" s="143"/>
      <c r="X14" s="143"/>
      <c r="Y14" s="143"/>
      <c r="Z14" s="143"/>
      <c r="AA14" s="143"/>
      <c r="AB14" s="143"/>
      <c r="AC14" s="143"/>
      <c r="AD14" s="29"/>
      <c r="AE14" s="15"/>
      <c r="AF14" s="15"/>
      <c r="AG14" s="15"/>
      <c r="AH14" s="15"/>
      <c r="AI14" s="15"/>
      <c r="AJ14" s="15"/>
      <c r="AK14" s="15"/>
    </row>
    <row r="15" spans="1:37" ht="15" customHeight="1" x14ac:dyDescent="0.25">
      <c r="A15" s="14"/>
      <c r="B15" s="14"/>
      <c r="C15" s="34"/>
      <c r="D15" s="35"/>
      <c r="E15" s="143"/>
      <c r="F15" s="143"/>
      <c r="G15" s="143"/>
      <c r="H15" s="143"/>
      <c r="I15" s="143"/>
      <c r="J15" s="143"/>
      <c r="K15" s="143"/>
      <c r="L15" s="143"/>
      <c r="M15" s="143"/>
      <c r="N15" s="143"/>
      <c r="O15" s="143"/>
      <c r="P15" s="143"/>
      <c r="Q15" s="143"/>
      <c r="R15" s="143"/>
      <c r="S15" s="143"/>
      <c r="T15" s="143"/>
      <c r="U15" s="143"/>
      <c r="V15" s="143"/>
      <c r="W15" s="143"/>
      <c r="X15" s="143"/>
      <c r="Y15" s="143"/>
      <c r="Z15" s="143"/>
      <c r="AA15" s="143"/>
      <c r="AB15" s="143"/>
      <c r="AC15" s="143"/>
      <c r="AD15" s="29"/>
      <c r="AE15" s="15"/>
      <c r="AF15" s="15"/>
      <c r="AG15" s="15"/>
      <c r="AH15" s="15"/>
      <c r="AI15" s="15"/>
      <c r="AJ15" s="15"/>
      <c r="AK15" s="15"/>
    </row>
    <row r="16" spans="1:37" ht="15" customHeight="1" x14ac:dyDescent="0.25">
      <c r="A16" s="14"/>
      <c r="B16" s="14"/>
      <c r="C16" s="34"/>
      <c r="D16" s="35"/>
      <c r="E16" s="143"/>
      <c r="F16" s="143"/>
      <c r="G16" s="143"/>
      <c r="H16" s="143"/>
      <c r="I16" s="143"/>
      <c r="J16" s="143"/>
      <c r="K16" s="143"/>
      <c r="L16" s="143"/>
      <c r="M16" s="143"/>
      <c r="N16" s="143"/>
      <c r="O16" s="143"/>
      <c r="P16" s="143"/>
      <c r="Q16" s="143"/>
      <c r="R16" s="143"/>
      <c r="S16" s="143"/>
      <c r="T16" s="143"/>
      <c r="U16" s="143"/>
      <c r="V16" s="143"/>
      <c r="W16" s="143"/>
      <c r="X16" s="143"/>
      <c r="Y16" s="143"/>
      <c r="Z16" s="143"/>
      <c r="AA16" s="143"/>
      <c r="AB16" s="143"/>
      <c r="AC16" s="143"/>
      <c r="AD16" s="29"/>
      <c r="AE16" s="15"/>
      <c r="AF16" s="15"/>
      <c r="AG16" s="15"/>
      <c r="AH16" s="15"/>
      <c r="AI16" s="15"/>
      <c r="AJ16" s="15"/>
      <c r="AK16" s="15"/>
    </row>
    <row r="17" spans="1:37" ht="15" customHeight="1" x14ac:dyDescent="0.25">
      <c r="A17" s="14"/>
      <c r="B17" s="14"/>
      <c r="C17" s="170">
        <v>1.1000000000000001</v>
      </c>
      <c r="D17" s="171"/>
      <c r="E17" s="171"/>
      <c r="F17" s="171"/>
      <c r="G17" s="156" t="s">
        <v>72</v>
      </c>
      <c r="H17" s="156"/>
      <c r="I17" s="156"/>
      <c r="J17" s="156"/>
      <c r="K17" s="156"/>
      <c r="L17" s="156"/>
      <c r="M17" s="156"/>
      <c r="N17" s="156"/>
      <c r="O17" s="156"/>
      <c r="P17" s="156"/>
      <c r="Q17" s="156"/>
      <c r="R17" s="156"/>
      <c r="S17" s="156"/>
      <c r="T17" s="156"/>
      <c r="U17" s="156"/>
      <c r="V17" s="156"/>
      <c r="W17" s="156"/>
      <c r="X17" s="156"/>
      <c r="Y17" s="156"/>
      <c r="Z17" s="156"/>
      <c r="AA17" s="156"/>
      <c r="AB17" s="156"/>
      <c r="AC17" s="156"/>
      <c r="AD17" s="29"/>
      <c r="AE17" s="15"/>
      <c r="AF17" s="15"/>
      <c r="AG17" s="15"/>
      <c r="AH17" s="15"/>
      <c r="AI17" s="15"/>
      <c r="AJ17" s="15"/>
      <c r="AK17" s="15"/>
    </row>
    <row r="18" spans="1:37" ht="15" customHeight="1" x14ac:dyDescent="0.25">
      <c r="A18" s="14"/>
      <c r="B18" s="14"/>
      <c r="C18" s="170"/>
      <c r="D18" s="171"/>
      <c r="E18" s="171"/>
      <c r="F18" s="171"/>
      <c r="G18" s="156"/>
      <c r="H18" s="156"/>
      <c r="I18" s="156"/>
      <c r="J18" s="156"/>
      <c r="K18" s="156"/>
      <c r="L18" s="156"/>
      <c r="M18" s="156"/>
      <c r="N18" s="156"/>
      <c r="O18" s="156"/>
      <c r="P18" s="156"/>
      <c r="Q18" s="156"/>
      <c r="R18" s="156"/>
      <c r="S18" s="156"/>
      <c r="T18" s="156"/>
      <c r="U18" s="156"/>
      <c r="V18" s="156"/>
      <c r="W18" s="156"/>
      <c r="X18" s="156"/>
      <c r="Y18" s="156"/>
      <c r="Z18" s="156"/>
      <c r="AA18" s="156"/>
      <c r="AB18" s="156"/>
      <c r="AC18" s="156"/>
      <c r="AD18" s="29"/>
      <c r="AE18" s="15"/>
      <c r="AF18" s="15"/>
      <c r="AG18" s="15"/>
      <c r="AH18" s="15"/>
      <c r="AI18" s="15"/>
      <c r="AJ18" s="15"/>
      <c r="AK18" s="15"/>
    </row>
    <row r="19" spans="1:37" ht="15" customHeight="1" x14ac:dyDescent="0.25">
      <c r="A19" s="14"/>
      <c r="B19" s="14"/>
      <c r="C19" s="34"/>
      <c r="D19" s="35"/>
      <c r="E19" s="29"/>
      <c r="F19" s="29"/>
      <c r="G19" s="186" t="s">
        <v>138</v>
      </c>
      <c r="H19" s="187"/>
      <c r="I19" s="187"/>
      <c r="J19" s="187"/>
      <c r="K19" s="187"/>
      <c r="L19" s="187"/>
      <c r="M19" s="187"/>
      <c r="N19" s="187"/>
      <c r="O19" s="187"/>
      <c r="P19" s="187"/>
      <c r="Q19" s="187"/>
      <c r="R19" s="187"/>
      <c r="S19" s="187"/>
      <c r="T19" s="187"/>
      <c r="U19" s="187"/>
      <c r="V19" s="187"/>
      <c r="W19" s="187"/>
      <c r="X19" s="187"/>
      <c r="Y19" s="187"/>
      <c r="Z19" s="187"/>
      <c r="AA19" s="187"/>
      <c r="AB19" s="187"/>
      <c r="AC19" s="187"/>
      <c r="AD19" s="29"/>
      <c r="AE19" s="15"/>
      <c r="AF19" s="15"/>
      <c r="AG19" s="15"/>
      <c r="AH19" s="15"/>
      <c r="AI19" s="15"/>
      <c r="AJ19" s="15"/>
      <c r="AK19" s="15"/>
    </row>
    <row r="20" spans="1:37" ht="15" customHeight="1" x14ac:dyDescent="0.25">
      <c r="A20" s="14"/>
      <c r="B20" s="14"/>
      <c r="C20" s="34"/>
      <c r="D20" s="35"/>
      <c r="E20" s="29"/>
      <c r="F20" s="29"/>
      <c r="G20" s="186"/>
      <c r="H20" s="187"/>
      <c r="I20" s="187"/>
      <c r="J20" s="187"/>
      <c r="K20" s="187"/>
      <c r="L20" s="187"/>
      <c r="M20" s="187"/>
      <c r="N20" s="187"/>
      <c r="O20" s="187"/>
      <c r="P20" s="187"/>
      <c r="Q20" s="187"/>
      <c r="R20" s="187"/>
      <c r="S20" s="187"/>
      <c r="T20" s="187"/>
      <c r="U20" s="187"/>
      <c r="V20" s="187"/>
      <c r="W20" s="187"/>
      <c r="X20" s="187"/>
      <c r="Y20" s="187"/>
      <c r="Z20" s="187"/>
      <c r="AA20" s="187"/>
      <c r="AB20" s="187"/>
      <c r="AC20" s="187"/>
      <c r="AD20" s="29"/>
      <c r="AE20" s="15"/>
      <c r="AF20" s="15"/>
      <c r="AG20" s="15"/>
      <c r="AH20" s="15"/>
      <c r="AI20" s="15"/>
      <c r="AJ20" s="15"/>
      <c r="AK20" s="15"/>
    </row>
    <row r="21" spans="1:37" ht="15" customHeight="1" x14ac:dyDescent="0.25">
      <c r="A21" s="14"/>
      <c r="B21" s="14"/>
      <c r="C21" s="34"/>
      <c r="D21" s="35"/>
      <c r="E21" s="29"/>
      <c r="F21" s="29"/>
      <c r="G21" s="186"/>
      <c r="H21" s="187"/>
      <c r="I21" s="187"/>
      <c r="J21" s="187"/>
      <c r="K21" s="187"/>
      <c r="L21" s="187"/>
      <c r="M21" s="187"/>
      <c r="N21" s="187"/>
      <c r="O21" s="187"/>
      <c r="P21" s="187"/>
      <c r="Q21" s="187"/>
      <c r="R21" s="187"/>
      <c r="S21" s="187"/>
      <c r="T21" s="187"/>
      <c r="U21" s="187"/>
      <c r="V21" s="187"/>
      <c r="W21" s="187"/>
      <c r="X21" s="187"/>
      <c r="Y21" s="187"/>
      <c r="Z21" s="187"/>
      <c r="AA21" s="187"/>
      <c r="AB21" s="187"/>
      <c r="AC21" s="187"/>
      <c r="AD21" s="29"/>
      <c r="AE21" s="15"/>
      <c r="AF21" s="15"/>
      <c r="AG21" s="15"/>
      <c r="AH21" s="15"/>
      <c r="AI21" s="15"/>
      <c r="AJ21" s="15"/>
      <c r="AK21" s="15"/>
    </row>
    <row r="22" spans="1:37" ht="15" customHeight="1" x14ac:dyDescent="0.25">
      <c r="A22" s="14"/>
      <c r="B22" s="14"/>
      <c r="C22" s="34"/>
      <c r="D22" s="35"/>
      <c r="E22" s="29"/>
      <c r="F22" s="29"/>
      <c r="G22" s="186"/>
      <c r="H22" s="187"/>
      <c r="I22" s="187"/>
      <c r="J22" s="187"/>
      <c r="K22" s="187"/>
      <c r="L22" s="187"/>
      <c r="M22" s="187"/>
      <c r="N22" s="187"/>
      <c r="O22" s="187"/>
      <c r="P22" s="187"/>
      <c r="Q22" s="187"/>
      <c r="R22" s="187"/>
      <c r="S22" s="187"/>
      <c r="T22" s="187"/>
      <c r="U22" s="187"/>
      <c r="V22" s="187"/>
      <c r="W22" s="187"/>
      <c r="X22" s="187"/>
      <c r="Y22" s="187"/>
      <c r="Z22" s="187"/>
      <c r="AA22" s="187"/>
      <c r="AB22" s="187"/>
      <c r="AC22" s="187"/>
      <c r="AD22" s="29"/>
      <c r="AE22" s="15"/>
      <c r="AF22" s="15"/>
      <c r="AG22" s="15"/>
      <c r="AH22" s="15"/>
      <c r="AI22" s="15"/>
      <c r="AJ22" s="15"/>
      <c r="AK22" s="15"/>
    </row>
    <row r="23" spans="1:37" ht="15" customHeight="1" x14ac:dyDescent="0.25">
      <c r="A23" s="14"/>
      <c r="B23" s="14"/>
      <c r="C23" s="34"/>
      <c r="D23" s="35"/>
      <c r="E23" s="29"/>
      <c r="F23" s="29"/>
      <c r="G23" s="186"/>
      <c r="H23" s="187"/>
      <c r="I23" s="187"/>
      <c r="J23" s="187"/>
      <c r="K23" s="187"/>
      <c r="L23" s="187"/>
      <c r="M23" s="187"/>
      <c r="N23" s="187"/>
      <c r="O23" s="187"/>
      <c r="P23" s="187"/>
      <c r="Q23" s="187"/>
      <c r="R23" s="187"/>
      <c r="S23" s="187"/>
      <c r="T23" s="187"/>
      <c r="U23" s="187"/>
      <c r="V23" s="187"/>
      <c r="W23" s="187"/>
      <c r="X23" s="187"/>
      <c r="Y23" s="187"/>
      <c r="Z23" s="187"/>
      <c r="AA23" s="187"/>
      <c r="AB23" s="187"/>
      <c r="AC23" s="187"/>
      <c r="AD23" s="29"/>
      <c r="AE23" s="15"/>
      <c r="AF23" s="15"/>
      <c r="AG23" s="15"/>
      <c r="AH23" s="15"/>
      <c r="AI23" s="15"/>
      <c r="AJ23" s="15"/>
      <c r="AK23" s="15"/>
    </row>
    <row r="24" spans="1:37" ht="15" customHeight="1" x14ac:dyDescent="0.25">
      <c r="A24" s="14"/>
      <c r="B24" s="14"/>
      <c r="C24" s="34"/>
      <c r="D24" s="35"/>
      <c r="E24" s="29"/>
      <c r="F24" s="29"/>
      <c r="G24" s="186"/>
      <c r="H24" s="187"/>
      <c r="I24" s="187"/>
      <c r="J24" s="187"/>
      <c r="K24" s="187"/>
      <c r="L24" s="187"/>
      <c r="M24" s="187"/>
      <c r="N24" s="187"/>
      <c r="O24" s="187"/>
      <c r="P24" s="187"/>
      <c r="Q24" s="187"/>
      <c r="R24" s="187"/>
      <c r="S24" s="187"/>
      <c r="T24" s="187"/>
      <c r="U24" s="187"/>
      <c r="V24" s="187"/>
      <c r="W24" s="187"/>
      <c r="X24" s="187"/>
      <c r="Y24" s="187"/>
      <c r="Z24" s="187"/>
      <c r="AA24" s="187"/>
      <c r="AB24" s="187"/>
      <c r="AC24" s="187"/>
      <c r="AD24" s="29"/>
      <c r="AE24" s="15"/>
      <c r="AF24" s="15"/>
      <c r="AG24" s="15"/>
      <c r="AH24" s="15"/>
      <c r="AI24" s="15"/>
      <c r="AJ24" s="15"/>
      <c r="AK24" s="15"/>
    </row>
    <row r="25" spans="1:37" ht="15" customHeight="1" x14ac:dyDescent="0.25">
      <c r="A25" s="14"/>
      <c r="B25" s="14"/>
      <c r="C25" s="34"/>
      <c r="D25" s="35"/>
      <c r="E25" s="29"/>
      <c r="F25" s="29"/>
      <c r="G25" s="186"/>
      <c r="H25" s="187"/>
      <c r="I25" s="187"/>
      <c r="J25" s="187"/>
      <c r="K25" s="187"/>
      <c r="L25" s="187"/>
      <c r="M25" s="187"/>
      <c r="N25" s="187"/>
      <c r="O25" s="187"/>
      <c r="P25" s="187"/>
      <c r="Q25" s="187"/>
      <c r="R25" s="187"/>
      <c r="S25" s="187"/>
      <c r="T25" s="187"/>
      <c r="U25" s="187"/>
      <c r="V25" s="187"/>
      <c r="W25" s="187"/>
      <c r="X25" s="187"/>
      <c r="Y25" s="187"/>
      <c r="Z25" s="187"/>
      <c r="AA25" s="187"/>
      <c r="AB25" s="187"/>
      <c r="AC25" s="187"/>
      <c r="AD25" s="29"/>
      <c r="AE25" s="15"/>
      <c r="AF25" s="15"/>
      <c r="AG25" s="15"/>
      <c r="AH25" s="15"/>
      <c r="AI25" s="15"/>
      <c r="AJ25" s="15"/>
      <c r="AK25" s="15"/>
    </row>
    <row r="26" spans="1:37" ht="15" customHeight="1" x14ac:dyDescent="0.25">
      <c r="A26" s="14"/>
      <c r="B26" s="14"/>
      <c r="C26" s="34"/>
      <c r="D26" s="35"/>
      <c r="E26" s="29"/>
      <c r="F26" s="29"/>
      <c r="G26" s="186"/>
      <c r="H26" s="187"/>
      <c r="I26" s="187"/>
      <c r="J26" s="187"/>
      <c r="K26" s="187"/>
      <c r="L26" s="187"/>
      <c r="M26" s="187"/>
      <c r="N26" s="187"/>
      <c r="O26" s="187"/>
      <c r="P26" s="187"/>
      <c r="Q26" s="187"/>
      <c r="R26" s="187"/>
      <c r="S26" s="187"/>
      <c r="T26" s="187"/>
      <c r="U26" s="187"/>
      <c r="V26" s="187"/>
      <c r="W26" s="187"/>
      <c r="X26" s="187"/>
      <c r="Y26" s="187"/>
      <c r="Z26" s="187"/>
      <c r="AA26" s="187"/>
      <c r="AB26" s="187"/>
      <c r="AC26" s="187"/>
      <c r="AD26" s="29"/>
      <c r="AE26" s="15"/>
      <c r="AF26" s="15"/>
      <c r="AG26" s="15"/>
      <c r="AH26" s="15"/>
      <c r="AI26" s="15"/>
      <c r="AJ26" s="15"/>
      <c r="AK26" s="15"/>
    </row>
    <row r="27" spans="1:37" ht="15" customHeight="1" x14ac:dyDescent="0.25">
      <c r="A27" s="14"/>
      <c r="B27" s="14"/>
      <c r="C27" s="34"/>
      <c r="D27" s="35"/>
      <c r="E27" s="29"/>
      <c r="F27" s="29"/>
      <c r="G27" s="186"/>
      <c r="H27" s="187"/>
      <c r="I27" s="187"/>
      <c r="J27" s="187"/>
      <c r="K27" s="187"/>
      <c r="L27" s="187"/>
      <c r="M27" s="187"/>
      <c r="N27" s="187"/>
      <c r="O27" s="187"/>
      <c r="P27" s="187"/>
      <c r="Q27" s="187"/>
      <c r="R27" s="187"/>
      <c r="S27" s="187"/>
      <c r="T27" s="187"/>
      <c r="U27" s="187"/>
      <c r="V27" s="187"/>
      <c r="W27" s="187"/>
      <c r="X27" s="187"/>
      <c r="Y27" s="187"/>
      <c r="Z27" s="187"/>
      <c r="AA27" s="187"/>
      <c r="AB27" s="187"/>
      <c r="AC27" s="187"/>
      <c r="AD27" s="29"/>
      <c r="AE27" s="15"/>
      <c r="AF27" s="15"/>
      <c r="AG27" s="15"/>
      <c r="AH27" s="15"/>
      <c r="AI27" s="15"/>
      <c r="AJ27" s="15"/>
      <c r="AK27" s="15"/>
    </row>
    <row r="28" spans="1:37" ht="15" customHeight="1" x14ac:dyDescent="0.25">
      <c r="A28" s="14"/>
      <c r="B28" s="14"/>
      <c r="C28" s="34"/>
      <c r="D28" s="35"/>
      <c r="E28" s="29"/>
      <c r="F28" s="29"/>
      <c r="G28" s="186"/>
      <c r="H28" s="187"/>
      <c r="I28" s="187"/>
      <c r="J28" s="187"/>
      <c r="K28" s="187"/>
      <c r="L28" s="187"/>
      <c r="M28" s="187"/>
      <c r="N28" s="187"/>
      <c r="O28" s="187"/>
      <c r="P28" s="187"/>
      <c r="Q28" s="187"/>
      <c r="R28" s="187"/>
      <c r="S28" s="187"/>
      <c r="T28" s="187"/>
      <c r="U28" s="187"/>
      <c r="V28" s="187"/>
      <c r="W28" s="187"/>
      <c r="X28" s="187"/>
      <c r="Y28" s="187"/>
      <c r="Z28" s="187"/>
      <c r="AA28" s="187"/>
      <c r="AB28" s="187"/>
      <c r="AC28" s="187"/>
      <c r="AD28" s="29"/>
      <c r="AE28" s="15"/>
      <c r="AF28" s="15"/>
      <c r="AG28" s="15"/>
      <c r="AH28" s="15"/>
      <c r="AI28" s="15"/>
      <c r="AJ28" s="15"/>
      <c r="AK28" s="15"/>
    </row>
    <row r="29" spans="1:37" ht="15" customHeight="1" x14ac:dyDescent="0.25">
      <c r="A29" s="14"/>
      <c r="B29" s="14"/>
      <c r="C29" s="34"/>
      <c r="D29" s="35"/>
      <c r="E29" s="29"/>
      <c r="F29" s="29"/>
      <c r="G29" s="186"/>
      <c r="H29" s="187"/>
      <c r="I29" s="187"/>
      <c r="J29" s="187"/>
      <c r="K29" s="187"/>
      <c r="L29" s="187"/>
      <c r="M29" s="187"/>
      <c r="N29" s="187"/>
      <c r="O29" s="187"/>
      <c r="P29" s="187"/>
      <c r="Q29" s="187"/>
      <c r="R29" s="187"/>
      <c r="S29" s="187"/>
      <c r="T29" s="187"/>
      <c r="U29" s="187"/>
      <c r="V29" s="187"/>
      <c r="W29" s="187"/>
      <c r="X29" s="187"/>
      <c r="Y29" s="187"/>
      <c r="Z29" s="187"/>
      <c r="AA29" s="187"/>
      <c r="AB29" s="187"/>
      <c r="AC29" s="187"/>
      <c r="AD29" s="29"/>
      <c r="AE29" s="15"/>
      <c r="AF29" s="15"/>
      <c r="AG29" s="15"/>
      <c r="AH29" s="15"/>
      <c r="AI29" s="15"/>
      <c r="AJ29" s="15"/>
      <c r="AK29" s="15"/>
    </row>
    <row r="30" spans="1:37" ht="15" customHeight="1" x14ac:dyDescent="0.25">
      <c r="A30" s="14"/>
      <c r="B30" s="14"/>
      <c r="C30" s="34"/>
      <c r="D30" s="35"/>
      <c r="E30" s="29"/>
      <c r="F30" s="29"/>
      <c r="G30" s="187"/>
      <c r="H30" s="187"/>
      <c r="I30" s="187"/>
      <c r="J30" s="187"/>
      <c r="K30" s="187"/>
      <c r="L30" s="187"/>
      <c r="M30" s="187"/>
      <c r="N30" s="187"/>
      <c r="O30" s="187"/>
      <c r="P30" s="187"/>
      <c r="Q30" s="187"/>
      <c r="R30" s="187"/>
      <c r="S30" s="187"/>
      <c r="T30" s="187"/>
      <c r="U30" s="187"/>
      <c r="V30" s="187"/>
      <c r="W30" s="187"/>
      <c r="X30" s="187"/>
      <c r="Y30" s="187"/>
      <c r="Z30" s="187"/>
      <c r="AA30" s="187"/>
      <c r="AB30" s="187"/>
      <c r="AC30" s="187"/>
      <c r="AD30" s="29"/>
      <c r="AE30" s="15"/>
      <c r="AF30" s="15"/>
      <c r="AG30" s="15"/>
      <c r="AH30" s="15"/>
      <c r="AI30" s="15"/>
      <c r="AJ30" s="15"/>
      <c r="AK30" s="15"/>
    </row>
    <row r="31" spans="1:37" ht="15" customHeight="1" x14ac:dyDescent="0.25">
      <c r="A31" s="14"/>
      <c r="B31" s="14"/>
      <c r="C31" s="170">
        <v>1.2</v>
      </c>
      <c r="D31" s="171"/>
      <c r="E31" s="171"/>
      <c r="F31" s="171"/>
      <c r="G31" s="156" t="s">
        <v>73</v>
      </c>
      <c r="H31" s="156"/>
      <c r="I31" s="156"/>
      <c r="J31" s="156"/>
      <c r="K31" s="156"/>
      <c r="L31" s="156"/>
      <c r="M31" s="156"/>
      <c r="N31" s="156"/>
      <c r="O31" s="156"/>
      <c r="P31" s="156"/>
      <c r="Q31" s="156"/>
      <c r="R31" s="156"/>
      <c r="S31" s="156"/>
      <c r="T31" s="156"/>
      <c r="U31" s="156"/>
      <c r="V31" s="156"/>
      <c r="W31" s="156"/>
      <c r="X31" s="156"/>
      <c r="Y31" s="156"/>
      <c r="Z31" s="156"/>
      <c r="AA31" s="156"/>
      <c r="AB31" s="156"/>
      <c r="AC31" s="156"/>
      <c r="AD31" s="29"/>
      <c r="AE31" s="15"/>
      <c r="AF31" s="15"/>
      <c r="AG31" s="15"/>
      <c r="AH31" s="15"/>
      <c r="AI31" s="15"/>
      <c r="AJ31" s="15"/>
      <c r="AK31" s="15"/>
    </row>
    <row r="32" spans="1:37" ht="15" customHeight="1" x14ac:dyDescent="0.25">
      <c r="A32" s="14"/>
      <c r="B32" s="14"/>
      <c r="C32" s="170"/>
      <c r="D32" s="171"/>
      <c r="E32" s="171"/>
      <c r="F32" s="171"/>
      <c r="G32" s="156"/>
      <c r="H32" s="156"/>
      <c r="I32" s="156"/>
      <c r="J32" s="156"/>
      <c r="K32" s="156"/>
      <c r="L32" s="156"/>
      <c r="M32" s="156"/>
      <c r="N32" s="156"/>
      <c r="O32" s="156"/>
      <c r="P32" s="156"/>
      <c r="Q32" s="156"/>
      <c r="R32" s="156"/>
      <c r="S32" s="156"/>
      <c r="T32" s="156"/>
      <c r="U32" s="156"/>
      <c r="V32" s="156"/>
      <c r="W32" s="156"/>
      <c r="X32" s="156"/>
      <c r="Y32" s="156"/>
      <c r="Z32" s="156"/>
      <c r="AA32" s="156"/>
      <c r="AB32" s="156"/>
      <c r="AC32" s="156"/>
      <c r="AD32" s="29"/>
      <c r="AE32" s="15"/>
      <c r="AF32" s="15"/>
      <c r="AG32" s="15"/>
      <c r="AH32" s="15"/>
      <c r="AI32" s="15"/>
      <c r="AJ32" s="15"/>
      <c r="AK32" s="15"/>
    </row>
    <row r="33" spans="1:37" ht="15" customHeight="1" x14ac:dyDescent="0.25">
      <c r="A33" s="14"/>
      <c r="B33" s="14"/>
      <c r="C33" s="34"/>
      <c r="D33" s="35"/>
      <c r="E33" s="29"/>
      <c r="F33" s="29"/>
      <c r="G33" s="188" t="s">
        <v>74</v>
      </c>
      <c r="H33" s="188"/>
      <c r="I33" s="188"/>
      <c r="J33" s="188"/>
      <c r="K33" s="188"/>
      <c r="L33" s="188"/>
      <c r="M33" s="188"/>
      <c r="N33" s="188"/>
      <c r="O33" s="188"/>
      <c r="P33" s="188"/>
      <c r="Q33" s="188"/>
      <c r="R33" s="188"/>
      <c r="S33" s="188"/>
      <c r="T33" s="188"/>
      <c r="U33" s="188"/>
      <c r="V33" s="188"/>
      <c r="W33" s="188"/>
      <c r="X33" s="188"/>
      <c r="Y33" s="188"/>
      <c r="Z33" s="188"/>
      <c r="AA33" s="188"/>
      <c r="AB33" s="188"/>
      <c r="AC33" s="188"/>
      <c r="AD33" s="29"/>
      <c r="AE33" s="15"/>
      <c r="AF33" s="15"/>
      <c r="AG33" s="15"/>
      <c r="AH33" s="15"/>
      <c r="AI33" s="15"/>
      <c r="AJ33" s="15"/>
      <c r="AK33" s="15"/>
    </row>
    <row r="34" spans="1:37" ht="15" customHeight="1" x14ac:dyDescent="0.25">
      <c r="A34" s="14"/>
      <c r="B34" s="14"/>
      <c r="C34" s="34"/>
      <c r="D34" s="35"/>
      <c r="E34" s="29"/>
      <c r="F34" s="29"/>
      <c r="G34" s="188"/>
      <c r="H34" s="188"/>
      <c r="I34" s="188"/>
      <c r="J34" s="188"/>
      <c r="K34" s="188"/>
      <c r="L34" s="188"/>
      <c r="M34" s="188"/>
      <c r="N34" s="188"/>
      <c r="O34" s="188"/>
      <c r="P34" s="188"/>
      <c r="Q34" s="188"/>
      <c r="R34" s="188"/>
      <c r="S34" s="188"/>
      <c r="T34" s="188"/>
      <c r="U34" s="188"/>
      <c r="V34" s="188"/>
      <c r="W34" s="188"/>
      <c r="X34" s="188"/>
      <c r="Y34" s="188"/>
      <c r="Z34" s="188"/>
      <c r="AA34" s="188"/>
      <c r="AB34" s="188"/>
      <c r="AC34" s="188"/>
      <c r="AD34" s="29"/>
      <c r="AE34" s="15"/>
      <c r="AF34" s="15"/>
      <c r="AG34" s="15"/>
      <c r="AH34" s="15"/>
      <c r="AI34" s="15"/>
      <c r="AJ34" s="15"/>
      <c r="AK34" s="15"/>
    </row>
    <row r="35" spans="1:37" ht="15" customHeight="1" x14ac:dyDescent="0.25">
      <c r="A35" s="14"/>
      <c r="B35" s="14"/>
      <c r="C35" s="34"/>
      <c r="D35" s="35"/>
      <c r="E35" s="29"/>
      <c r="F35" s="29"/>
      <c r="G35" s="188"/>
      <c r="H35" s="188"/>
      <c r="I35" s="188"/>
      <c r="J35" s="188"/>
      <c r="K35" s="188"/>
      <c r="L35" s="188"/>
      <c r="M35" s="188"/>
      <c r="N35" s="188"/>
      <c r="O35" s="188"/>
      <c r="P35" s="188"/>
      <c r="Q35" s="188"/>
      <c r="R35" s="188"/>
      <c r="S35" s="188"/>
      <c r="T35" s="188"/>
      <c r="U35" s="188"/>
      <c r="V35" s="188"/>
      <c r="W35" s="188"/>
      <c r="X35" s="188"/>
      <c r="Y35" s="188"/>
      <c r="Z35" s="188"/>
      <c r="AA35" s="188"/>
      <c r="AB35" s="188"/>
      <c r="AC35" s="188"/>
      <c r="AD35" s="29"/>
      <c r="AE35" s="15"/>
      <c r="AF35" s="15"/>
      <c r="AG35" s="15"/>
      <c r="AH35" s="15"/>
      <c r="AI35" s="15"/>
      <c r="AJ35" s="15"/>
      <c r="AK35" s="15"/>
    </row>
    <row r="36" spans="1:37" ht="15" customHeight="1" x14ac:dyDescent="0.25">
      <c r="A36" s="14"/>
      <c r="B36" s="14"/>
      <c r="C36" s="34"/>
      <c r="D36" s="35"/>
      <c r="E36" s="29"/>
      <c r="F36" s="29"/>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29"/>
      <c r="AE36" s="15"/>
      <c r="AF36" s="15"/>
      <c r="AG36" s="15"/>
      <c r="AH36" s="15"/>
      <c r="AI36" s="15"/>
      <c r="AJ36" s="15"/>
      <c r="AK36" s="15"/>
    </row>
    <row r="37" spans="1:37" ht="15" customHeight="1" x14ac:dyDescent="0.25">
      <c r="A37" s="14"/>
      <c r="B37" s="14"/>
      <c r="C37" s="34"/>
      <c r="D37" s="35"/>
      <c r="E37" s="29"/>
      <c r="F37" s="29"/>
      <c r="G37" s="188"/>
      <c r="H37" s="188"/>
      <c r="I37" s="188"/>
      <c r="J37" s="188"/>
      <c r="K37" s="188"/>
      <c r="L37" s="188"/>
      <c r="M37" s="188"/>
      <c r="N37" s="188"/>
      <c r="O37" s="188"/>
      <c r="P37" s="188"/>
      <c r="Q37" s="188"/>
      <c r="R37" s="188"/>
      <c r="S37" s="188"/>
      <c r="T37" s="188"/>
      <c r="U37" s="188"/>
      <c r="V37" s="188"/>
      <c r="W37" s="188"/>
      <c r="X37" s="188"/>
      <c r="Y37" s="188"/>
      <c r="Z37" s="188"/>
      <c r="AA37" s="188"/>
      <c r="AB37" s="188"/>
      <c r="AC37" s="188"/>
      <c r="AD37" s="29"/>
      <c r="AE37" s="15"/>
      <c r="AF37" s="15"/>
      <c r="AG37" s="15"/>
      <c r="AH37" s="15"/>
      <c r="AI37" s="15"/>
      <c r="AJ37" s="15"/>
      <c r="AK37" s="15"/>
    </row>
    <row r="38" spans="1:37" ht="15" customHeight="1" x14ac:dyDescent="0.25">
      <c r="A38" s="14"/>
      <c r="B38" s="14"/>
      <c r="C38" s="34"/>
      <c r="D38" s="35"/>
      <c r="E38" s="29"/>
      <c r="F38" s="29"/>
      <c r="G38" s="188"/>
      <c r="H38" s="188"/>
      <c r="I38" s="188"/>
      <c r="J38" s="188"/>
      <c r="K38" s="188"/>
      <c r="L38" s="188"/>
      <c r="M38" s="188"/>
      <c r="N38" s="188"/>
      <c r="O38" s="188"/>
      <c r="P38" s="188"/>
      <c r="Q38" s="188"/>
      <c r="R38" s="188"/>
      <c r="S38" s="188"/>
      <c r="T38" s="188"/>
      <c r="U38" s="188"/>
      <c r="V38" s="188"/>
      <c r="W38" s="188"/>
      <c r="X38" s="188"/>
      <c r="Y38" s="188"/>
      <c r="Z38" s="188"/>
      <c r="AA38" s="188"/>
      <c r="AB38" s="188"/>
      <c r="AC38" s="188"/>
      <c r="AD38" s="29"/>
      <c r="AE38" s="15"/>
      <c r="AF38" s="15"/>
      <c r="AG38" s="15"/>
      <c r="AH38" s="15"/>
      <c r="AI38" s="15"/>
      <c r="AJ38" s="15"/>
      <c r="AK38" s="15"/>
    </row>
    <row r="39" spans="1:37" ht="15" customHeight="1" x14ac:dyDescent="0.25">
      <c r="A39" s="14"/>
      <c r="B39" s="14"/>
      <c r="C39" s="34"/>
      <c r="D39" s="35"/>
      <c r="E39" s="29"/>
      <c r="F39" s="29"/>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29"/>
      <c r="AE39" s="15"/>
      <c r="AF39" s="15"/>
      <c r="AG39" s="15"/>
      <c r="AH39" s="15"/>
      <c r="AI39" s="15"/>
      <c r="AJ39" s="15"/>
      <c r="AK39" s="15"/>
    </row>
    <row r="40" spans="1:37" ht="15" customHeight="1" x14ac:dyDescent="0.25">
      <c r="A40" s="14"/>
      <c r="B40" s="14"/>
      <c r="C40" s="34"/>
      <c r="D40" s="35"/>
      <c r="E40" s="29"/>
      <c r="F40" s="29"/>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29"/>
      <c r="AE40" s="15"/>
      <c r="AF40" s="15"/>
      <c r="AG40" s="15"/>
      <c r="AH40" s="15"/>
      <c r="AI40" s="15"/>
      <c r="AJ40" s="15"/>
      <c r="AK40" s="15"/>
    </row>
    <row r="41" spans="1:37" ht="15" customHeight="1" x14ac:dyDescent="0.25">
      <c r="A41" s="14"/>
      <c r="B41" s="14"/>
      <c r="C41" s="34"/>
      <c r="D41" s="35"/>
      <c r="E41" s="29"/>
      <c r="F41" s="29"/>
      <c r="G41" s="188"/>
      <c r="H41" s="188"/>
      <c r="I41" s="188"/>
      <c r="J41" s="188"/>
      <c r="K41" s="188"/>
      <c r="L41" s="188"/>
      <c r="M41" s="188"/>
      <c r="N41" s="188"/>
      <c r="O41" s="188"/>
      <c r="P41" s="188"/>
      <c r="Q41" s="188"/>
      <c r="R41" s="188"/>
      <c r="S41" s="188"/>
      <c r="T41" s="188"/>
      <c r="U41" s="188"/>
      <c r="V41" s="188"/>
      <c r="W41" s="188"/>
      <c r="X41" s="188"/>
      <c r="Y41" s="188"/>
      <c r="Z41" s="188"/>
      <c r="AA41" s="188"/>
      <c r="AB41" s="188"/>
      <c r="AC41" s="188"/>
      <c r="AD41" s="29"/>
      <c r="AE41" s="15"/>
      <c r="AF41" s="15"/>
      <c r="AG41" s="15"/>
      <c r="AH41" s="15"/>
      <c r="AI41" s="15"/>
      <c r="AJ41" s="15"/>
      <c r="AK41" s="15"/>
    </row>
    <row r="42" spans="1:37" ht="15" customHeight="1" x14ac:dyDescent="0.25">
      <c r="A42" s="14"/>
      <c r="B42" s="14"/>
      <c r="C42" s="34"/>
      <c r="D42" s="35"/>
      <c r="E42" s="29"/>
      <c r="F42" s="29"/>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29"/>
      <c r="AE42" s="15"/>
      <c r="AF42" s="15"/>
      <c r="AG42" s="15"/>
      <c r="AH42" s="15"/>
      <c r="AI42" s="15"/>
      <c r="AJ42" s="15"/>
      <c r="AK42" s="15"/>
    </row>
    <row r="43" spans="1:37" ht="15" customHeight="1" x14ac:dyDescent="0.25">
      <c r="A43" s="14"/>
      <c r="B43" s="14"/>
      <c r="C43" s="34"/>
      <c r="D43" s="35"/>
      <c r="E43" s="29"/>
      <c r="F43" s="29"/>
      <c r="G43" s="188"/>
      <c r="H43" s="188"/>
      <c r="I43" s="188"/>
      <c r="J43" s="188"/>
      <c r="K43" s="188"/>
      <c r="L43" s="188"/>
      <c r="M43" s="188"/>
      <c r="N43" s="188"/>
      <c r="O43" s="188"/>
      <c r="P43" s="188"/>
      <c r="Q43" s="188"/>
      <c r="R43" s="188"/>
      <c r="S43" s="188"/>
      <c r="T43" s="188"/>
      <c r="U43" s="188"/>
      <c r="V43" s="188"/>
      <c r="W43" s="188"/>
      <c r="X43" s="188"/>
      <c r="Y43" s="188"/>
      <c r="Z43" s="188"/>
      <c r="AA43" s="188"/>
      <c r="AB43" s="188"/>
      <c r="AC43" s="188"/>
      <c r="AD43" s="29"/>
      <c r="AE43" s="15"/>
      <c r="AF43" s="15"/>
      <c r="AG43" s="15"/>
      <c r="AH43" s="15"/>
      <c r="AI43" s="15"/>
      <c r="AJ43" s="15"/>
      <c r="AK43" s="15"/>
    </row>
    <row r="44" spans="1:37" ht="15" customHeight="1" x14ac:dyDescent="0.25">
      <c r="A44" s="14"/>
      <c r="B44" s="14"/>
      <c r="C44" s="34"/>
      <c r="D44" s="35"/>
      <c r="E44" s="29"/>
      <c r="F44" s="29"/>
      <c r="G44" s="188"/>
      <c r="H44" s="188"/>
      <c r="I44" s="188"/>
      <c r="J44" s="188"/>
      <c r="K44" s="188"/>
      <c r="L44" s="188"/>
      <c r="M44" s="188"/>
      <c r="N44" s="188"/>
      <c r="O44" s="188"/>
      <c r="P44" s="188"/>
      <c r="Q44" s="188"/>
      <c r="R44" s="188"/>
      <c r="S44" s="188"/>
      <c r="T44" s="188"/>
      <c r="U44" s="188"/>
      <c r="V44" s="188"/>
      <c r="W44" s="188"/>
      <c r="X44" s="188"/>
      <c r="Y44" s="188"/>
      <c r="Z44" s="188"/>
      <c r="AA44" s="188"/>
      <c r="AB44" s="188"/>
      <c r="AC44" s="188"/>
      <c r="AD44" s="29"/>
      <c r="AE44" s="15"/>
      <c r="AF44" s="15"/>
      <c r="AG44" s="15"/>
      <c r="AH44" s="15"/>
      <c r="AI44" s="15"/>
      <c r="AJ44" s="15"/>
      <c r="AK44" s="15"/>
    </row>
    <row r="45" spans="1:37" ht="15" customHeight="1" x14ac:dyDescent="0.25">
      <c r="A45" s="14"/>
      <c r="B45" s="14"/>
      <c r="C45" s="34"/>
      <c r="D45" s="35"/>
      <c r="E45" s="29"/>
      <c r="F45" s="29"/>
      <c r="G45" s="66"/>
      <c r="H45" s="66"/>
      <c r="I45" s="66"/>
      <c r="J45" s="66"/>
      <c r="K45" s="66"/>
      <c r="L45" s="66"/>
      <c r="M45" s="66"/>
      <c r="N45" s="66"/>
      <c r="O45" s="66"/>
      <c r="P45" s="66"/>
      <c r="Q45" s="66"/>
      <c r="R45" s="66"/>
      <c r="S45" s="66"/>
      <c r="T45" s="66"/>
      <c r="U45" s="66"/>
      <c r="V45" s="66"/>
      <c r="W45" s="66"/>
      <c r="X45" s="66"/>
      <c r="Y45" s="66"/>
      <c r="Z45" s="66"/>
      <c r="AA45" s="66"/>
      <c r="AB45" s="66"/>
      <c r="AC45" s="66"/>
      <c r="AD45" s="29"/>
      <c r="AE45" s="15"/>
      <c r="AF45" s="15"/>
      <c r="AG45" s="15"/>
      <c r="AH45" s="15"/>
      <c r="AI45" s="15"/>
      <c r="AJ45" s="15"/>
      <c r="AK45" s="15"/>
    </row>
    <row r="46" spans="1:37" ht="15" customHeight="1" x14ac:dyDescent="0.25">
      <c r="A46" s="14"/>
      <c r="B46" s="14"/>
      <c r="C46" s="34"/>
      <c r="D46" s="35"/>
      <c r="E46" s="29"/>
      <c r="F46" s="29"/>
      <c r="G46" s="66"/>
      <c r="H46" s="66"/>
      <c r="I46" s="66"/>
      <c r="J46" s="66"/>
      <c r="K46" s="66"/>
      <c r="L46" s="66"/>
      <c r="M46" s="66"/>
      <c r="N46" s="66"/>
      <c r="O46" s="66"/>
      <c r="P46" s="66"/>
      <c r="Q46" s="66"/>
      <c r="R46" s="66"/>
      <c r="S46" s="66"/>
      <c r="T46" s="66"/>
      <c r="U46" s="66"/>
      <c r="V46" s="66"/>
      <c r="W46" s="66"/>
      <c r="X46" s="66"/>
      <c r="Y46" s="66"/>
      <c r="Z46" s="66"/>
      <c r="AA46" s="66"/>
      <c r="AB46" s="66"/>
      <c r="AC46" s="66"/>
      <c r="AD46" s="29"/>
      <c r="AE46" s="15"/>
      <c r="AF46" s="15"/>
      <c r="AG46" s="15"/>
      <c r="AH46" s="15"/>
      <c r="AI46" s="15"/>
      <c r="AJ46" s="15"/>
      <c r="AK46" s="15"/>
    </row>
    <row r="47" spans="1:37" ht="15" customHeight="1" x14ac:dyDescent="0.25">
      <c r="A47" s="14"/>
      <c r="B47" s="14"/>
      <c r="C47" s="34"/>
      <c r="D47" s="35"/>
      <c r="E47" s="29"/>
      <c r="F47" s="29"/>
      <c r="G47" s="66"/>
      <c r="H47" s="66"/>
      <c r="I47" s="66"/>
      <c r="J47" s="66"/>
      <c r="K47" s="66"/>
      <c r="L47" s="66"/>
      <c r="M47" s="66"/>
      <c r="N47" s="66"/>
      <c r="O47" s="66"/>
      <c r="P47" s="66"/>
      <c r="Q47" s="66"/>
      <c r="R47" s="66"/>
      <c r="S47" s="66"/>
      <c r="T47" s="66"/>
      <c r="U47" s="66"/>
      <c r="V47" s="66"/>
      <c r="W47" s="66"/>
      <c r="X47" s="66"/>
      <c r="Y47" s="66"/>
      <c r="Z47" s="66"/>
      <c r="AA47" s="66"/>
      <c r="AB47" s="66"/>
      <c r="AC47" s="66"/>
      <c r="AD47" s="29"/>
      <c r="AE47" s="15"/>
      <c r="AF47" s="15"/>
      <c r="AG47" s="15"/>
      <c r="AH47" s="15"/>
      <c r="AI47" s="15"/>
      <c r="AJ47" s="15"/>
      <c r="AK47" s="15"/>
    </row>
    <row r="48" spans="1:37" ht="15" customHeight="1" x14ac:dyDescent="0.25">
      <c r="A48" s="14"/>
      <c r="B48" s="14"/>
      <c r="C48" s="34"/>
      <c r="D48" s="35"/>
      <c r="E48" s="29"/>
      <c r="F48" s="29"/>
      <c r="G48" s="66"/>
      <c r="H48" s="66"/>
      <c r="I48" s="66"/>
      <c r="J48" s="66"/>
      <c r="K48" s="66"/>
      <c r="L48" s="66"/>
      <c r="M48" s="66"/>
      <c r="N48" s="66"/>
      <c r="O48" s="66"/>
      <c r="P48" s="66"/>
      <c r="Q48" s="66"/>
      <c r="R48" s="66"/>
      <c r="S48" s="66"/>
      <c r="T48" s="66"/>
      <c r="U48" s="66"/>
      <c r="V48" s="66"/>
      <c r="W48" s="66"/>
      <c r="X48" s="66"/>
      <c r="Y48" s="66"/>
      <c r="Z48" s="66"/>
      <c r="AA48" s="66"/>
      <c r="AB48" s="66"/>
      <c r="AC48" s="66"/>
      <c r="AD48" s="29"/>
      <c r="AE48" s="15"/>
      <c r="AF48" s="15"/>
      <c r="AG48" s="15"/>
      <c r="AH48" s="15"/>
      <c r="AI48" s="15"/>
      <c r="AJ48" s="15"/>
      <c r="AK48" s="15"/>
    </row>
    <row r="49" spans="1:37" ht="15" customHeight="1" x14ac:dyDescent="0.25">
      <c r="A49" s="14"/>
      <c r="B49" s="14"/>
      <c r="C49" s="34"/>
      <c r="D49" s="35"/>
      <c r="E49" s="29"/>
      <c r="F49" s="29"/>
      <c r="G49" s="66"/>
      <c r="H49" s="66"/>
      <c r="I49" s="66"/>
      <c r="J49" s="66"/>
      <c r="K49" s="66"/>
      <c r="L49" s="66"/>
      <c r="M49" s="66"/>
      <c r="N49" s="66"/>
      <c r="O49" s="66"/>
      <c r="P49" s="66"/>
      <c r="Q49" s="66"/>
      <c r="R49" s="66"/>
      <c r="S49" s="66"/>
      <c r="T49" s="66"/>
      <c r="U49" s="66"/>
      <c r="V49" s="66"/>
      <c r="W49" s="66"/>
      <c r="X49" s="66"/>
      <c r="Y49" s="66"/>
      <c r="Z49" s="66"/>
      <c r="AA49" s="66"/>
      <c r="AB49" s="66"/>
      <c r="AC49" s="66"/>
      <c r="AD49" s="29"/>
      <c r="AE49" s="15"/>
      <c r="AF49" s="15"/>
      <c r="AG49" s="15"/>
      <c r="AH49" s="15"/>
      <c r="AI49" s="15"/>
      <c r="AJ49" s="15"/>
      <c r="AK49" s="15"/>
    </row>
    <row r="50" spans="1:37" ht="15" customHeight="1" x14ac:dyDescent="0.25">
      <c r="A50" s="14"/>
      <c r="B50" s="14"/>
      <c r="C50" s="34"/>
      <c r="D50" s="35"/>
      <c r="E50" s="29"/>
      <c r="F50" s="29"/>
      <c r="G50" s="66"/>
      <c r="H50" s="66"/>
      <c r="I50" s="66"/>
      <c r="J50" s="66"/>
      <c r="K50" s="66"/>
      <c r="L50" s="66"/>
      <c r="M50" s="66"/>
      <c r="N50" s="66"/>
      <c r="O50" s="66"/>
      <c r="P50" s="66"/>
      <c r="Q50" s="66"/>
      <c r="R50" s="66"/>
      <c r="S50" s="66"/>
      <c r="T50" s="66"/>
      <c r="U50" s="66"/>
      <c r="V50" s="66"/>
      <c r="W50" s="66"/>
      <c r="X50" s="66"/>
      <c r="Y50" s="66"/>
      <c r="Z50" s="66"/>
      <c r="AA50" s="66"/>
      <c r="AB50" s="66"/>
      <c r="AC50" s="66"/>
      <c r="AD50" s="29"/>
      <c r="AE50" s="15"/>
      <c r="AF50" s="15"/>
      <c r="AG50" s="15"/>
      <c r="AH50" s="15"/>
      <c r="AI50" s="15"/>
      <c r="AJ50" s="15"/>
      <c r="AK50" s="15"/>
    </row>
    <row r="51" spans="1:37" ht="15" customHeight="1" x14ac:dyDescent="0.25">
      <c r="A51" s="14"/>
      <c r="B51" s="14"/>
      <c r="C51" s="34"/>
      <c r="D51" s="35"/>
      <c r="E51" s="29"/>
      <c r="F51" s="29"/>
      <c r="G51" s="66"/>
      <c r="H51" s="66"/>
      <c r="I51" s="66"/>
      <c r="J51" s="66"/>
      <c r="K51" s="66"/>
      <c r="L51" s="66"/>
      <c r="M51" s="66"/>
      <c r="N51" s="66"/>
      <c r="O51" s="66"/>
      <c r="P51" s="66"/>
      <c r="Q51" s="66"/>
      <c r="R51" s="66"/>
      <c r="S51" s="66"/>
      <c r="T51" s="66"/>
      <c r="U51" s="66"/>
      <c r="V51" s="66"/>
      <c r="W51" s="66"/>
      <c r="X51" s="66"/>
      <c r="Y51" s="66"/>
      <c r="Z51" s="66"/>
      <c r="AA51" s="66"/>
      <c r="AB51" s="66"/>
      <c r="AC51" s="66"/>
      <c r="AD51" s="29"/>
      <c r="AE51" s="15"/>
      <c r="AF51" s="15"/>
      <c r="AG51" s="15"/>
      <c r="AH51" s="15"/>
      <c r="AI51" s="15"/>
      <c r="AJ51" s="15"/>
      <c r="AK51" s="15"/>
    </row>
    <row r="52" spans="1:37" ht="15" customHeight="1" x14ac:dyDescent="0.25">
      <c r="A52" s="14"/>
      <c r="B52" s="14"/>
      <c r="C52" s="170">
        <v>1.3</v>
      </c>
      <c r="D52" s="171"/>
      <c r="E52" s="171"/>
      <c r="F52" s="171"/>
      <c r="G52" s="156" t="s">
        <v>75</v>
      </c>
      <c r="H52" s="156"/>
      <c r="I52" s="156"/>
      <c r="J52" s="156"/>
      <c r="K52" s="156"/>
      <c r="L52" s="156"/>
      <c r="M52" s="156"/>
      <c r="N52" s="156"/>
      <c r="O52" s="156"/>
      <c r="P52" s="156"/>
      <c r="Q52" s="156"/>
      <c r="R52" s="156"/>
      <c r="S52" s="156"/>
      <c r="T52" s="156"/>
      <c r="U52" s="156"/>
      <c r="V52" s="156"/>
      <c r="W52" s="156"/>
      <c r="X52" s="156"/>
      <c r="Y52" s="156"/>
      <c r="Z52" s="156"/>
      <c r="AA52" s="156"/>
      <c r="AB52" s="156"/>
      <c r="AC52" s="156"/>
      <c r="AD52" s="29"/>
      <c r="AE52" s="15"/>
      <c r="AF52" s="15"/>
      <c r="AG52" s="15"/>
      <c r="AH52" s="15"/>
      <c r="AI52" s="15"/>
      <c r="AJ52" s="15"/>
      <c r="AK52" s="15"/>
    </row>
    <row r="53" spans="1:37" ht="15" customHeight="1" x14ac:dyDescent="0.25">
      <c r="A53" s="14"/>
      <c r="B53" s="14"/>
      <c r="C53" s="170"/>
      <c r="D53" s="171"/>
      <c r="E53" s="171"/>
      <c r="F53" s="171"/>
      <c r="G53" s="156"/>
      <c r="H53" s="156"/>
      <c r="I53" s="156"/>
      <c r="J53" s="156"/>
      <c r="K53" s="156"/>
      <c r="L53" s="156"/>
      <c r="M53" s="156"/>
      <c r="N53" s="156"/>
      <c r="O53" s="156"/>
      <c r="P53" s="156"/>
      <c r="Q53" s="156"/>
      <c r="R53" s="156"/>
      <c r="S53" s="156"/>
      <c r="T53" s="156"/>
      <c r="U53" s="156"/>
      <c r="V53" s="156"/>
      <c r="W53" s="156"/>
      <c r="X53" s="156"/>
      <c r="Y53" s="156"/>
      <c r="Z53" s="156"/>
      <c r="AA53" s="156"/>
      <c r="AB53" s="156"/>
      <c r="AC53" s="156"/>
      <c r="AD53" s="29"/>
      <c r="AE53" s="15"/>
      <c r="AF53" s="15"/>
      <c r="AG53" s="15"/>
      <c r="AH53" s="15"/>
      <c r="AI53" s="15"/>
      <c r="AJ53" s="15"/>
      <c r="AK53" s="15"/>
    </row>
    <row r="54" spans="1:37" ht="15" customHeight="1" x14ac:dyDescent="0.25">
      <c r="A54" s="14"/>
      <c r="B54" s="14"/>
      <c r="C54" s="34"/>
      <c r="D54" s="35"/>
      <c r="E54" s="29"/>
      <c r="F54" s="29"/>
      <c r="G54" s="188" t="s">
        <v>171</v>
      </c>
      <c r="H54" s="188"/>
      <c r="I54" s="188"/>
      <c r="J54" s="188"/>
      <c r="K54" s="188"/>
      <c r="L54" s="188"/>
      <c r="M54" s="188"/>
      <c r="N54" s="188"/>
      <c r="O54" s="188"/>
      <c r="P54" s="188"/>
      <c r="Q54" s="188"/>
      <c r="R54" s="188"/>
      <c r="S54" s="188"/>
      <c r="T54" s="188"/>
      <c r="U54" s="188"/>
      <c r="V54" s="188"/>
      <c r="W54" s="188"/>
      <c r="X54" s="188"/>
      <c r="Y54" s="188"/>
      <c r="Z54" s="188"/>
      <c r="AA54" s="188"/>
      <c r="AB54" s="188"/>
      <c r="AC54" s="188"/>
      <c r="AD54" s="29"/>
      <c r="AE54" s="15"/>
      <c r="AF54" s="15"/>
      <c r="AG54" s="15"/>
      <c r="AH54" s="15"/>
      <c r="AI54" s="15"/>
      <c r="AJ54" s="15"/>
      <c r="AK54" s="15"/>
    </row>
    <row r="55" spans="1:37" ht="15" customHeight="1" x14ac:dyDescent="0.25">
      <c r="A55" s="14"/>
      <c r="B55" s="14"/>
      <c r="C55" s="34"/>
      <c r="D55" s="35"/>
      <c r="E55" s="29"/>
      <c r="F55" s="29"/>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29"/>
      <c r="AE55" s="15"/>
      <c r="AF55" s="15"/>
      <c r="AG55" s="15"/>
      <c r="AH55" s="15"/>
      <c r="AI55" s="15"/>
      <c r="AJ55" s="15"/>
      <c r="AK55" s="15"/>
    </row>
    <row r="56" spans="1:37" ht="15" customHeight="1" x14ac:dyDescent="0.25">
      <c r="A56" s="14"/>
      <c r="B56" s="14"/>
      <c r="C56" s="34"/>
      <c r="D56" s="35"/>
      <c r="E56" s="29"/>
      <c r="F56" s="29"/>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29"/>
      <c r="AE56" s="15"/>
      <c r="AF56" s="15"/>
      <c r="AG56" s="15"/>
      <c r="AH56" s="15"/>
      <c r="AI56" s="15"/>
      <c r="AJ56" s="15"/>
      <c r="AK56" s="15"/>
    </row>
    <row r="57" spans="1:37" ht="15" customHeight="1" x14ac:dyDescent="0.25">
      <c r="A57" s="14"/>
      <c r="B57" s="14"/>
      <c r="C57" s="34"/>
      <c r="D57" s="35"/>
      <c r="E57" s="29"/>
      <c r="F57" s="29"/>
      <c r="G57" s="188"/>
      <c r="H57" s="188"/>
      <c r="I57" s="188"/>
      <c r="J57" s="188"/>
      <c r="K57" s="188"/>
      <c r="L57" s="188"/>
      <c r="M57" s="188"/>
      <c r="N57" s="188"/>
      <c r="O57" s="188"/>
      <c r="P57" s="188"/>
      <c r="Q57" s="188"/>
      <c r="R57" s="188"/>
      <c r="S57" s="188"/>
      <c r="T57" s="188"/>
      <c r="U57" s="188"/>
      <c r="V57" s="188"/>
      <c r="W57" s="188"/>
      <c r="X57" s="188"/>
      <c r="Y57" s="188"/>
      <c r="Z57" s="188"/>
      <c r="AA57" s="188"/>
      <c r="AB57" s="188"/>
      <c r="AC57" s="188"/>
      <c r="AD57" s="29"/>
      <c r="AE57" s="15"/>
      <c r="AF57" s="15"/>
      <c r="AG57" s="15"/>
      <c r="AH57" s="15"/>
      <c r="AI57" s="15"/>
      <c r="AJ57" s="15"/>
      <c r="AK57" s="15"/>
    </row>
    <row r="58" spans="1:37" ht="15" customHeight="1" x14ac:dyDescent="0.25">
      <c r="A58" s="14"/>
      <c r="B58" s="14"/>
      <c r="C58" s="34"/>
      <c r="D58" s="35"/>
      <c r="E58" s="29"/>
      <c r="F58" s="29"/>
      <c r="G58" s="188"/>
      <c r="H58" s="188"/>
      <c r="I58" s="188"/>
      <c r="J58" s="188"/>
      <c r="K58" s="188"/>
      <c r="L58" s="188"/>
      <c r="M58" s="188"/>
      <c r="N58" s="188"/>
      <c r="O58" s="188"/>
      <c r="P58" s="188"/>
      <c r="Q58" s="188"/>
      <c r="R58" s="188"/>
      <c r="S58" s="188"/>
      <c r="T58" s="188"/>
      <c r="U58" s="188"/>
      <c r="V58" s="188"/>
      <c r="W58" s="188"/>
      <c r="X58" s="188"/>
      <c r="Y58" s="188"/>
      <c r="Z58" s="188"/>
      <c r="AA58" s="188"/>
      <c r="AB58" s="188"/>
      <c r="AC58" s="188"/>
      <c r="AD58" s="29"/>
      <c r="AE58" s="15"/>
      <c r="AF58" s="15"/>
      <c r="AG58" s="15"/>
      <c r="AH58" s="15"/>
      <c r="AI58" s="15"/>
      <c r="AJ58" s="15"/>
      <c r="AK58" s="15"/>
    </row>
    <row r="59" spans="1:37" ht="15" customHeight="1" x14ac:dyDescent="0.25">
      <c r="A59" s="14"/>
      <c r="B59" s="14"/>
      <c r="C59" s="34"/>
      <c r="D59" s="35"/>
      <c r="E59" s="29"/>
      <c r="F59" s="29"/>
      <c r="G59" s="188"/>
      <c r="H59" s="188"/>
      <c r="I59" s="188"/>
      <c r="J59" s="188"/>
      <c r="K59" s="188"/>
      <c r="L59" s="188"/>
      <c r="M59" s="188"/>
      <c r="N59" s="188"/>
      <c r="O59" s="188"/>
      <c r="P59" s="188"/>
      <c r="Q59" s="188"/>
      <c r="R59" s="188"/>
      <c r="S59" s="188"/>
      <c r="T59" s="188"/>
      <c r="U59" s="188"/>
      <c r="V59" s="188"/>
      <c r="W59" s="188"/>
      <c r="X59" s="188"/>
      <c r="Y59" s="188"/>
      <c r="Z59" s="188"/>
      <c r="AA59" s="188"/>
      <c r="AB59" s="188"/>
      <c r="AC59" s="188"/>
      <c r="AD59" s="29"/>
      <c r="AE59" s="15"/>
      <c r="AF59" s="15"/>
      <c r="AG59" s="15"/>
      <c r="AH59" s="15"/>
      <c r="AI59" s="15"/>
      <c r="AJ59" s="15"/>
      <c r="AK59" s="15"/>
    </row>
    <row r="60" spans="1:37" ht="15" customHeight="1" x14ac:dyDescent="0.25">
      <c r="A60" s="14"/>
      <c r="B60" s="14"/>
      <c r="C60" s="34"/>
      <c r="D60" s="35"/>
      <c r="E60" s="29"/>
      <c r="F60" s="29"/>
      <c r="G60" s="188"/>
      <c r="H60" s="188"/>
      <c r="I60" s="188"/>
      <c r="J60" s="188"/>
      <c r="K60" s="188"/>
      <c r="L60" s="188"/>
      <c r="M60" s="188"/>
      <c r="N60" s="188"/>
      <c r="O60" s="188"/>
      <c r="P60" s="188"/>
      <c r="Q60" s="188"/>
      <c r="R60" s="188"/>
      <c r="S60" s="188"/>
      <c r="T60" s="188"/>
      <c r="U60" s="188"/>
      <c r="V60" s="188"/>
      <c r="W60" s="188"/>
      <c r="X60" s="188"/>
      <c r="Y60" s="188"/>
      <c r="Z60" s="188"/>
      <c r="AA60" s="188"/>
      <c r="AB60" s="188"/>
      <c r="AC60" s="188"/>
      <c r="AD60" s="29"/>
      <c r="AE60" s="15"/>
      <c r="AF60" s="15"/>
      <c r="AG60" s="15"/>
      <c r="AH60" s="15"/>
      <c r="AI60" s="15"/>
      <c r="AJ60" s="15"/>
      <c r="AK60" s="15"/>
    </row>
    <row r="61" spans="1:37" ht="15" customHeight="1" x14ac:dyDescent="0.25">
      <c r="A61" s="14"/>
      <c r="B61" s="14"/>
      <c r="C61" s="34"/>
      <c r="D61" s="35"/>
      <c r="E61" s="29"/>
      <c r="F61" s="29"/>
      <c r="G61" s="188"/>
      <c r="H61" s="188"/>
      <c r="I61" s="188"/>
      <c r="J61" s="188"/>
      <c r="K61" s="188"/>
      <c r="L61" s="188"/>
      <c r="M61" s="188"/>
      <c r="N61" s="188"/>
      <c r="O61" s="188"/>
      <c r="P61" s="188"/>
      <c r="Q61" s="188"/>
      <c r="R61" s="188"/>
      <c r="S61" s="188"/>
      <c r="T61" s="188"/>
      <c r="U61" s="188"/>
      <c r="V61" s="188"/>
      <c r="W61" s="188"/>
      <c r="X61" s="188"/>
      <c r="Y61" s="188"/>
      <c r="Z61" s="188"/>
      <c r="AA61" s="188"/>
      <c r="AB61" s="188"/>
      <c r="AC61" s="188"/>
      <c r="AD61" s="29"/>
      <c r="AE61" s="15"/>
      <c r="AF61" s="15"/>
      <c r="AG61" s="15"/>
      <c r="AH61" s="15"/>
      <c r="AI61" s="15"/>
      <c r="AJ61" s="15"/>
      <c r="AK61" s="15"/>
    </row>
    <row r="62" spans="1:37" ht="15" customHeight="1" x14ac:dyDescent="0.25">
      <c r="A62" s="14"/>
      <c r="B62" s="14"/>
      <c r="C62" s="34"/>
      <c r="D62" s="35"/>
      <c r="E62" s="29"/>
      <c r="F62" s="29"/>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29"/>
      <c r="AE62" s="15"/>
      <c r="AF62" s="15"/>
      <c r="AG62" s="15"/>
      <c r="AH62" s="15"/>
      <c r="AI62" s="15"/>
      <c r="AJ62" s="15"/>
      <c r="AK62" s="15"/>
    </row>
    <row r="63" spans="1:37" ht="15" customHeight="1" x14ac:dyDescent="0.25">
      <c r="A63" s="14"/>
      <c r="B63" s="14"/>
      <c r="C63" s="34"/>
      <c r="D63" s="35"/>
      <c r="E63" s="29"/>
      <c r="F63" s="29"/>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29"/>
      <c r="AE63" s="15"/>
      <c r="AF63" s="15"/>
      <c r="AG63" s="15"/>
      <c r="AH63" s="15"/>
      <c r="AI63" s="15"/>
      <c r="AJ63" s="15"/>
      <c r="AK63" s="15"/>
    </row>
    <row r="64" spans="1:37" ht="15" customHeight="1" x14ac:dyDescent="0.25">
      <c r="A64" s="14"/>
      <c r="B64" s="14"/>
      <c r="C64" s="34"/>
      <c r="D64" s="35"/>
      <c r="E64" s="29"/>
      <c r="F64" s="29"/>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29"/>
      <c r="AE64" s="15"/>
      <c r="AF64" s="15"/>
      <c r="AG64" s="15"/>
      <c r="AH64" s="15"/>
      <c r="AI64" s="15"/>
      <c r="AJ64" s="15"/>
      <c r="AK64" s="15"/>
    </row>
    <row r="65" spans="1:37" ht="15" customHeight="1" x14ac:dyDescent="0.25">
      <c r="A65" s="14"/>
      <c r="B65" s="14"/>
      <c r="C65" s="34"/>
      <c r="D65" s="35"/>
      <c r="E65" s="29"/>
      <c r="F65" s="29"/>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29"/>
      <c r="AE65" s="15"/>
      <c r="AF65" s="15"/>
      <c r="AG65" s="15"/>
      <c r="AH65" s="15"/>
      <c r="AI65" s="15"/>
      <c r="AJ65" s="15"/>
      <c r="AK65" s="15"/>
    </row>
    <row r="66" spans="1:37" ht="15" customHeight="1" x14ac:dyDescent="0.25">
      <c r="A66" s="14"/>
      <c r="B66" s="14"/>
      <c r="C66" s="34"/>
      <c r="D66" s="35"/>
      <c r="E66" s="29"/>
      <c r="F66" s="29"/>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29"/>
      <c r="AE66" s="15"/>
      <c r="AF66" s="15"/>
      <c r="AG66" s="15"/>
      <c r="AH66" s="15"/>
      <c r="AI66" s="15"/>
      <c r="AJ66" s="15"/>
      <c r="AK66" s="15"/>
    </row>
    <row r="67" spans="1:37" ht="15" customHeight="1" x14ac:dyDescent="0.25">
      <c r="A67" s="14"/>
      <c r="B67" s="14"/>
      <c r="C67" s="170">
        <v>1.4</v>
      </c>
      <c r="D67" s="171"/>
      <c r="E67" s="171"/>
      <c r="F67" s="171"/>
      <c r="G67" s="156" t="s">
        <v>77</v>
      </c>
      <c r="H67" s="156"/>
      <c r="I67" s="156"/>
      <c r="J67" s="156"/>
      <c r="K67" s="156"/>
      <c r="L67" s="156"/>
      <c r="M67" s="156"/>
      <c r="N67" s="156"/>
      <c r="O67" s="156"/>
      <c r="P67" s="156"/>
      <c r="Q67" s="156"/>
      <c r="R67" s="156"/>
      <c r="S67" s="156"/>
      <c r="T67" s="156"/>
      <c r="U67" s="156"/>
      <c r="V67" s="156"/>
      <c r="W67" s="156"/>
      <c r="X67" s="156"/>
      <c r="Y67" s="156"/>
      <c r="Z67" s="156"/>
      <c r="AA67" s="156"/>
      <c r="AB67" s="156"/>
      <c r="AC67" s="156"/>
      <c r="AD67" s="29"/>
      <c r="AE67" s="15"/>
      <c r="AF67" s="15"/>
      <c r="AG67" s="15"/>
      <c r="AH67" s="15"/>
      <c r="AI67" s="15"/>
      <c r="AJ67" s="15"/>
      <c r="AK67" s="15"/>
    </row>
    <row r="68" spans="1:37" ht="15" customHeight="1" x14ac:dyDescent="0.25">
      <c r="A68" s="14"/>
      <c r="B68" s="14"/>
      <c r="C68" s="170"/>
      <c r="D68" s="171"/>
      <c r="E68" s="171"/>
      <c r="F68" s="171"/>
      <c r="G68" s="156"/>
      <c r="H68" s="156"/>
      <c r="I68" s="156"/>
      <c r="J68" s="156"/>
      <c r="K68" s="156"/>
      <c r="L68" s="156"/>
      <c r="M68" s="156"/>
      <c r="N68" s="156"/>
      <c r="O68" s="156"/>
      <c r="P68" s="156"/>
      <c r="Q68" s="156"/>
      <c r="R68" s="156"/>
      <c r="S68" s="156"/>
      <c r="T68" s="156"/>
      <c r="U68" s="156"/>
      <c r="V68" s="156"/>
      <c r="W68" s="156"/>
      <c r="X68" s="156"/>
      <c r="Y68" s="156"/>
      <c r="Z68" s="156"/>
      <c r="AA68" s="156"/>
      <c r="AB68" s="156"/>
      <c r="AC68" s="156"/>
      <c r="AD68" s="29"/>
      <c r="AE68" s="15"/>
      <c r="AF68" s="15"/>
      <c r="AG68" s="15"/>
      <c r="AH68" s="15"/>
      <c r="AI68" s="15"/>
      <c r="AJ68" s="15"/>
      <c r="AK68" s="15"/>
    </row>
    <row r="69" spans="1:37" ht="15" customHeight="1" x14ac:dyDescent="0.25">
      <c r="A69" s="14"/>
      <c r="B69" s="14"/>
      <c r="C69" s="34"/>
      <c r="D69" s="35"/>
      <c r="E69" s="29"/>
      <c r="F69" s="29"/>
      <c r="G69" s="188" t="s">
        <v>76</v>
      </c>
      <c r="H69" s="189"/>
      <c r="I69" s="189"/>
      <c r="J69" s="189"/>
      <c r="K69" s="189"/>
      <c r="L69" s="189"/>
      <c r="M69" s="189"/>
      <c r="N69" s="189"/>
      <c r="O69" s="189"/>
      <c r="P69" s="189"/>
      <c r="Q69" s="189"/>
      <c r="R69" s="189"/>
      <c r="S69" s="189"/>
      <c r="T69" s="189"/>
      <c r="U69" s="189"/>
      <c r="V69" s="189"/>
      <c r="W69" s="189"/>
      <c r="X69" s="189"/>
      <c r="Y69" s="189"/>
      <c r="Z69" s="189"/>
      <c r="AA69" s="189"/>
      <c r="AB69" s="189"/>
      <c r="AC69" s="189"/>
      <c r="AD69" s="29"/>
      <c r="AE69" s="15"/>
      <c r="AF69" s="15"/>
      <c r="AG69" s="15"/>
      <c r="AH69" s="15"/>
      <c r="AI69" s="15"/>
      <c r="AJ69" s="15"/>
      <c r="AK69" s="15"/>
    </row>
    <row r="70" spans="1:37" ht="15" customHeight="1" x14ac:dyDescent="0.25">
      <c r="A70" s="14"/>
      <c r="B70" s="14"/>
      <c r="C70" s="34"/>
      <c r="D70" s="35"/>
      <c r="E70" s="29"/>
      <c r="F70" s="29"/>
      <c r="G70" s="188"/>
      <c r="H70" s="189"/>
      <c r="I70" s="189"/>
      <c r="J70" s="189"/>
      <c r="K70" s="189"/>
      <c r="L70" s="189"/>
      <c r="M70" s="189"/>
      <c r="N70" s="189"/>
      <c r="O70" s="189"/>
      <c r="P70" s="189"/>
      <c r="Q70" s="189"/>
      <c r="R70" s="189"/>
      <c r="S70" s="189"/>
      <c r="T70" s="189"/>
      <c r="U70" s="189"/>
      <c r="V70" s="189"/>
      <c r="W70" s="189"/>
      <c r="X70" s="189"/>
      <c r="Y70" s="189"/>
      <c r="Z70" s="189"/>
      <c r="AA70" s="189"/>
      <c r="AB70" s="189"/>
      <c r="AC70" s="189"/>
      <c r="AD70" s="29"/>
      <c r="AE70" s="15"/>
      <c r="AF70" s="15"/>
      <c r="AG70" s="15"/>
      <c r="AH70" s="15"/>
      <c r="AI70" s="15"/>
      <c r="AJ70" s="15"/>
      <c r="AK70" s="15"/>
    </row>
    <row r="71" spans="1:37" ht="15" customHeight="1" x14ac:dyDescent="0.25">
      <c r="A71" s="14"/>
      <c r="B71" s="14"/>
      <c r="C71" s="34"/>
      <c r="D71" s="35"/>
      <c r="E71" s="29"/>
      <c r="F71" s="29"/>
      <c r="G71" s="188"/>
      <c r="H71" s="189"/>
      <c r="I71" s="189"/>
      <c r="J71" s="189"/>
      <c r="K71" s="189"/>
      <c r="L71" s="189"/>
      <c r="M71" s="189"/>
      <c r="N71" s="189"/>
      <c r="O71" s="189"/>
      <c r="P71" s="189"/>
      <c r="Q71" s="189"/>
      <c r="R71" s="189"/>
      <c r="S71" s="189"/>
      <c r="T71" s="189"/>
      <c r="U71" s="189"/>
      <c r="V71" s="189"/>
      <c r="W71" s="189"/>
      <c r="X71" s="189"/>
      <c r="Y71" s="189"/>
      <c r="Z71" s="189"/>
      <c r="AA71" s="189"/>
      <c r="AB71" s="189"/>
      <c r="AC71" s="189"/>
      <c r="AD71" s="29"/>
      <c r="AE71" s="15"/>
      <c r="AF71" s="15"/>
      <c r="AG71" s="15"/>
      <c r="AH71" s="15"/>
      <c r="AI71" s="15"/>
      <c r="AJ71" s="15"/>
      <c r="AK71" s="15"/>
    </row>
    <row r="72" spans="1:37" ht="15" customHeight="1" x14ac:dyDescent="0.25">
      <c r="A72" s="14"/>
      <c r="B72" s="14"/>
      <c r="C72" s="34"/>
      <c r="D72" s="35"/>
      <c r="E72" s="29"/>
      <c r="F72" s="29"/>
      <c r="G72" s="188"/>
      <c r="H72" s="189"/>
      <c r="I72" s="189"/>
      <c r="J72" s="189"/>
      <c r="K72" s="189"/>
      <c r="L72" s="189"/>
      <c r="M72" s="189"/>
      <c r="N72" s="189"/>
      <c r="O72" s="189"/>
      <c r="P72" s="189"/>
      <c r="Q72" s="189"/>
      <c r="R72" s="189"/>
      <c r="S72" s="189"/>
      <c r="T72" s="189"/>
      <c r="U72" s="189"/>
      <c r="V72" s="189"/>
      <c r="W72" s="189"/>
      <c r="X72" s="189"/>
      <c r="Y72" s="189"/>
      <c r="Z72" s="189"/>
      <c r="AA72" s="189"/>
      <c r="AB72" s="189"/>
      <c r="AC72" s="189"/>
      <c r="AD72" s="29"/>
      <c r="AE72" s="15"/>
      <c r="AF72" s="15"/>
      <c r="AG72" s="15"/>
      <c r="AH72" s="15"/>
      <c r="AI72" s="15"/>
      <c r="AJ72" s="15"/>
      <c r="AK72" s="15"/>
    </row>
    <row r="73" spans="1:37" ht="15" customHeight="1" x14ac:dyDescent="0.25">
      <c r="A73" s="14"/>
      <c r="B73" s="14"/>
      <c r="C73" s="34"/>
      <c r="D73" s="35"/>
      <c r="E73" s="29"/>
      <c r="F73" s="29"/>
      <c r="G73" s="188"/>
      <c r="H73" s="189"/>
      <c r="I73" s="189"/>
      <c r="J73" s="189"/>
      <c r="K73" s="189"/>
      <c r="L73" s="189"/>
      <c r="M73" s="189"/>
      <c r="N73" s="189"/>
      <c r="O73" s="189"/>
      <c r="P73" s="189"/>
      <c r="Q73" s="189"/>
      <c r="R73" s="189"/>
      <c r="S73" s="189"/>
      <c r="T73" s="189"/>
      <c r="U73" s="189"/>
      <c r="V73" s="189"/>
      <c r="W73" s="189"/>
      <c r="X73" s="189"/>
      <c r="Y73" s="189"/>
      <c r="Z73" s="189"/>
      <c r="AA73" s="189"/>
      <c r="AB73" s="189"/>
      <c r="AC73" s="189"/>
      <c r="AD73" s="29"/>
      <c r="AE73" s="15"/>
      <c r="AF73" s="15"/>
      <c r="AG73" s="15"/>
      <c r="AH73" s="15"/>
      <c r="AI73" s="15"/>
      <c r="AJ73" s="15"/>
      <c r="AK73" s="15"/>
    </row>
    <row r="74" spans="1:37" ht="15" customHeight="1" x14ac:dyDescent="0.25">
      <c r="A74" s="14"/>
      <c r="B74" s="14"/>
      <c r="C74" s="34"/>
      <c r="D74" s="35"/>
      <c r="E74" s="29"/>
      <c r="F74" s="29"/>
      <c r="G74" s="188"/>
      <c r="H74" s="189"/>
      <c r="I74" s="189"/>
      <c r="J74" s="189"/>
      <c r="K74" s="189"/>
      <c r="L74" s="189"/>
      <c r="M74" s="189"/>
      <c r="N74" s="189"/>
      <c r="O74" s="189"/>
      <c r="P74" s="189"/>
      <c r="Q74" s="189"/>
      <c r="R74" s="189"/>
      <c r="S74" s="189"/>
      <c r="T74" s="189"/>
      <c r="U74" s="189"/>
      <c r="V74" s="189"/>
      <c r="W74" s="189"/>
      <c r="X74" s="189"/>
      <c r="Y74" s="189"/>
      <c r="Z74" s="189"/>
      <c r="AA74" s="189"/>
      <c r="AB74" s="189"/>
      <c r="AC74" s="189"/>
      <c r="AD74" s="29"/>
      <c r="AE74" s="15"/>
      <c r="AF74" s="15"/>
      <c r="AG74" s="15"/>
      <c r="AH74" s="15"/>
      <c r="AI74" s="15"/>
      <c r="AJ74" s="15"/>
      <c r="AK74" s="15"/>
    </row>
    <row r="75" spans="1:37" ht="15" customHeight="1" x14ac:dyDescent="0.25">
      <c r="A75" s="14"/>
      <c r="B75" s="14"/>
      <c r="C75" s="34"/>
      <c r="D75" s="35"/>
      <c r="E75" s="29"/>
      <c r="F75" s="29"/>
      <c r="G75" s="188"/>
      <c r="H75" s="189"/>
      <c r="I75" s="189"/>
      <c r="J75" s="189"/>
      <c r="K75" s="189"/>
      <c r="L75" s="189"/>
      <c r="M75" s="189"/>
      <c r="N75" s="189"/>
      <c r="O75" s="189"/>
      <c r="P75" s="189"/>
      <c r="Q75" s="189"/>
      <c r="R75" s="189"/>
      <c r="S75" s="189"/>
      <c r="T75" s="189"/>
      <c r="U75" s="189"/>
      <c r="V75" s="189"/>
      <c r="W75" s="189"/>
      <c r="X75" s="189"/>
      <c r="Y75" s="189"/>
      <c r="Z75" s="189"/>
      <c r="AA75" s="189"/>
      <c r="AB75" s="189"/>
      <c r="AC75" s="189"/>
      <c r="AD75" s="29"/>
      <c r="AE75" s="15"/>
      <c r="AF75" s="15"/>
      <c r="AG75" s="15"/>
      <c r="AH75" s="15"/>
      <c r="AI75" s="15"/>
      <c r="AJ75" s="15"/>
      <c r="AK75" s="15"/>
    </row>
    <row r="76" spans="1:37" ht="15" customHeight="1" x14ac:dyDescent="0.25">
      <c r="A76" s="14"/>
      <c r="B76" s="14"/>
      <c r="C76" s="34"/>
      <c r="D76" s="35"/>
      <c r="E76" s="29"/>
      <c r="F76" s="29"/>
      <c r="G76" s="188"/>
      <c r="H76" s="189"/>
      <c r="I76" s="189"/>
      <c r="J76" s="189"/>
      <c r="K76" s="189"/>
      <c r="L76" s="189"/>
      <c r="M76" s="189"/>
      <c r="N76" s="189"/>
      <c r="O76" s="189"/>
      <c r="P76" s="189"/>
      <c r="Q76" s="189"/>
      <c r="R76" s="189"/>
      <c r="S76" s="189"/>
      <c r="T76" s="189"/>
      <c r="U76" s="189"/>
      <c r="V76" s="189"/>
      <c r="W76" s="189"/>
      <c r="X76" s="189"/>
      <c r="Y76" s="189"/>
      <c r="Z76" s="189"/>
      <c r="AA76" s="189"/>
      <c r="AB76" s="189"/>
      <c r="AC76" s="189"/>
      <c r="AD76" s="29"/>
      <c r="AE76" s="15"/>
      <c r="AF76" s="15"/>
      <c r="AG76" s="15"/>
      <c r="AH76" s="15"/>
      <c r="AI76" s="15"/>
      <c r="AJ76" s="15"/>
      <c r="AK76" s="15"/>
    </row>
    <row r="77" spans="1:37" ht="15" customHeight="1" x14ac:dyDescent="0.25">
      <c r="A77" s="14"/>
      <c r="B77" s="14"/>
      <c r="C77" s="34"/>
      <c r="D77" s="35"/>
      <c r="E77" s="29"/>
      <c r="F77" s="29"/>
      <c r="G77" s="188"/>
      <c r="H77" s="189"/>
      <c r="I77" s="189"/>
      <c r="J77" s="189"/>
      <c r="K77" s="189"/>
      <c r="L77" s="189"/>
      <c r="M77" s="189"/>
      <c r="N77" s="189"/>
      <c r="O77" s="189"/>
      <c r="P77" s="189"/>
      <c r="Q77" s="189"/>
      <c r="R77" s="189"/>
      <c r="S77" s="189"/>
      <c r="T77" s="189"/>
      <c r="U77" s="189"/>
      <c r="V77" s="189"/>
      <c r="W77" s="189"/>
      <c r="X77" s="189"/>
      <c r="Y77" s="189"/>
      <c r="Z77" s="189"/>
      <c r="AA77" s="189"/>
      <c r="AB77" s="189"/>
      <c r="AC77" s="189"/>
      <c r="AD77" s="29"/>
      <c r="AE77" s="15"/>
      <c r="AF77" s="15"/>
      <c r="AG77" s="15"/>
      <c r="AH77" s="15"/>
      <c r="AI77" s="15"/>
      <c r="AJ77" s="15"/>
      <c r="AK77" s="15"/>
    </row>
    <row r="78" spans="1:37" ht="15" customHeight="1" x14ac:dyDescent="0.25">
      <c r="A78" s="14"/>
      <c r="B78" s="14"/>
      <c r="C78" s="34"/>
      <c r="D78" s="35"/>
      <c r="E78" s="29"/>
      <c r="F78" s="29"/>
      <c r="G78" s="188"/>
      <c r="H78" s="189"/>
      <c r="I78" s="189"/>
      <c r="J78" s="189"/>
      <c r="K78" s="189"/>
      <c r="L78" s="189"/>
      <c r="M78" s="189"/>
      <c r="N78" s="189"/>
      <c r="O78" s="189"/>
      <c r="P78" s="189"/>
      <c r="Q78" s="189"/>
      <c r="R78" s="189"/>
      <c r="S78" s="189"/>
      <c r="T78" s="189"/>
      <c r="U78" s="189"/>
      <c r="V78" s="189"/>
      <c r="W78" s="189"/>
      <c r="X78" s="189"/>
      <c r="Y78" s="189"/>
      <c r="Z78" s="189"/>
      <c r="AA78" s="189"/>
      <c r="AB78" s="189"/>
      <c r="AC78" s="189"/>
      <c r="AD78" s="29"/>
      <c r="AE78" s="15"/>
      <c r="AF78" s="15"/>
      <c r="AG78" s="15"/>
      <c r="AH78" s="15"/>
      <c r="AI78" s="15"/>
      <c r="AJ78" s="15"/>
      <c r="AK78" s="15"/>
    </row>
    <row r="79" spans="1:37" ht="15" customHeight="1" x14ac:dyDescent="0.25">
      <c r="A79" s="14"/>
      <c r="B79" s="14"/>
      <c r="C79" s="34"/>
      <c r="D79" s="35"/>
      <c r="E79" s="29"/>
      <c r="F79" s="29"/>
      <c r="G79" s="189"/>
      <c r="H79" s="189"/>
      <c r="I79" s="189"/>
      <c r="J79" s="189"/>
      <c r="K79" s="189"/>
      <c r="L79" s="189"/>
      <c r="M79" s="189"/>
      <c r="N79" s="189"/>
      <c r="O79" s="189"/>
      <c r="P79" s="189"/>
      <c r="Q79" s="189"/>
      <c r="R79" s="189"/>
      <c r="S79" s="189"/>
      <c r="T79" s="189"/>
      <c r="U79" s="189"/>
      <c r="V79" s="189"/>
      <c r="W79" s="189"/>
      <c r="X79" s="189"/>
      <c r="Y79" s="189"/>
      <c r="Z79" s="189"/>
      <c r="AA79" s="189"/>
      <c r="AB79" s="189"/>
      <c r="AC79" s="189"/>
      <c r="AD79" s="29"/>
      <c r="AE79" s="15"/>
      <c r="AF79" s="15"/>
      <c r="AG79" s="15"/>
      <c r="AH79" s="15"/>
      <c r="AI79" s="15"/>
      <c r="AJ79" s="15"/>
      <c r="AK79" s="15"/>
    </row>
    <row r="80" spans="1:37" ht="15" customHeight="1" x14ac:dyDescent="0.25">
      <c r="A80" s="14"/>
      <c r="B80" s="14"/>
      <c r="C80" s="170">
        <v>1.5</v>
      </c>
      <c r="D80" s="171"/>
      <c r="E80" s="171"/>
      <c r="F80" s="171"/>
      <c r="G80" s="156" t="s">
        <v>78</v>
      </c>
      <c r="H80" s="156"/>
      <c r="I80" s="156"/>
      <c r="J80" s="156"/>
      <c r="K80" s="156"/>
      <c r="L80" s="156"/>
      <c r="M80" s="156"/>
      <c r="N80" s="156"/>
      <c r="O80" s="156"/>
      <c r="P80" s="156"/>
      <c r="Q80" s="156"/>
      <c r="R80" s="156"/>
      <c r="S80" s="156"/>
      <c r="T80" s="156"/>
      <c r="U80" s="156"/>
      <c r="V80" s="156"/>
      <c r="W80" s="156"/>
      <c r="X80" s="156"/>
      <c r="Y80" s="156"/>
      <c r="Z80" s="156"/>
      <c r="AA80" s="156"/>
      <c r="AB80" s="156"/>
      <c r="AC80" s="156"/>
      <c r="AD80" s="29"/>
      <c r="AE80" s="15"/>
      <c r="AF80" s="15"/>
      <c r="AG80" s="15"/>
      <c r="AH80" s="15"/>
      <c r="AI80" s="15"/>
      <c r="AJ80" s="15"/>
      <c r="AK80" s="15"/>
    </row>
    <row r="81" spans="1:37" ht="15" customHeight="1" x14ac:dyDescent="0.25">
      <c r="A81" s="14"/>
      <c r="B81" s="14"/>
      <c r="C81" s="170"/>
      <c r="D81" s="171"/>
      <c r="E81" s="171"/>
      <c r="F81" s="171"/>
      <c r="G81" s="156"/>
      <c r="H81" s="156"/>
      <c r="I81" s="156"/>
      <c r="J81" s="156"/>
      <c r="K81" s="156"/>
      <c r="L81" s="156"/>
      <c r="M81" s="156"/>
      <c r="N81" s="156"/>
      <c r="O81" s="156"/>
      <c r="P81" s="156"/>
      <c r="Q81" s="156"/>
      <c r="R81" s="156"/>
      <c r="S81" s="156"/>
      <c r="T81" s="156"/>
      <c r="U81" s="156"/>
      <c r="V81" s="156"/>
      <c r="W81" s="156"/>
      <c r="X81" s="156"/>
      <c r="Y81" s="156"/>
      <c r="Z81" s="156"/>
      <c r="AA81" s="156"/>
      <c r="AB81" s="156"/>
      <c r="AC81" s="156"/>
      <c r="AD81" s="29"/>
      <c r="AE81" s="15"/>
      <c r="AF81" s="15"/>
      <c r="AG81" s="15"/>
      <c r="AH81" s="15"/>
      <c r="AI81" s="15"/>
      <c r="AJ81" s="15"/>
      <c r="AK81" s="15"/>
    </row>
    <row r="82" spans="1:37" ht="15" customHeight="1" x14ac:dyDescent="0.25">
      <c r="A82" s="14"/>
      <c r="B82" s="14"/>
      <c r="C82" s="34"/>
      <c r="D82" s="35"/>
      <c r="E82" s="29"/>
      <c r="F82" s="29"/>
      <c r="G82" s="188" t="s">
        <v>79</v>
      </c>
      <c r="H82" s="188"/>
      <c r="I82" s="188"/>
      <c r="J82" s="188"/>
      <c r="K82" s="188"/>
      <c r="L82" s="188"/>
      <c r="M82" s="188"/>
      <c r="N82" s="188"/>
      <c r="O82" s="188"/>
      <c r="P82" s="188"/>
      <c r="Q82" s="188"/>
      <c r="R82" s="188"/>
      <c r="S82" s="188"/>
      <c r="T82" s="188"/>
      <c r="U82" s="188"/>
      <c r="V82" s="188"/>
      <c r="W82" s="188"/>
      <c r="X82" s="188"/>
      <c r="Y82" s="188"/>
      <c r="Z82" s="188"/>
      <c r="AA82" s="188"/>
      <c r="AB82" s="188"/>
      <c r="AC82" s="188"/>
      <c r="AD82" s="29"/>
      <c r="AE82" s="15"/>
      <c r="AF82" s="15"/>
      <c r="AG82" s="15"/>
      <c r="AH82" s="15"/>
      <c r="AI82" s="15"/>
      <c r="AJ82" s="15"/>
      <c r="AK82" s="15"/>
    </row>
    <row r="83" spans="1:37" ht="15" customHeight="1" x14ac:dyDescent="0.25">
      <c r="A83" s="14"/>
      <c r="B83" s="14"/>
      <c r="C83" s="34"/>
      <c r="D83" s="35"/>
      <c r="E83" s="29"/>
      <c r="F83" s="29"/>
      <c r="G83" s="188"/>
      <c r="H83" s="188"/>
      <c r="I83" s="188"/>
      <c r="J83" s="188"/>
      <c r="K83" s="188"/>
      <c r="L83" s="188"/>
      <c r="M83" s="188"/>
      <c r="N83" s="188"/>
      <c r="O83" s="188"/>
      <c r="P83" s="188"/>
      <c r="Q83" s="188"/>
      <c r="R83" s="188"/>
      <c r="S83" s="188"/>
      <c r="T83" s="188"/>
      <c r="U83" s="188"/>
      <c r="V83" s="188"/>
      <c r="W83" s="188"/>
      <c r="X83" s="188"/>
      <c r="Y83" s="188"/>
      <c r="Z83" s="188"/>
      <c r="AA83" s="188"/>
      <c r="AB83" s="188"/>
      <c r="AC83" s="188"/>
      <c r="AD83" s="29"/>
      <c r="AE83" s="15"/>
      <c r="AF83" s="15"/>
      <c r="AG83" s="15"/>
      <c r="AH83" s="15"/>
      <c r="AI83" s="15"/>
      <c r="AJ83" s="15"/>
      <c r="AK83" s="15"/>
    </row>
    <row r="84" spans="1:37" ht="15" customHeight="1" x14ac:dyDescent="0.25">
      <c r="A84" s="14"/>
      <c r="B84" s="14"/>
      <c r="C84" s="34"/>
      <c r="D84" s="35"/>
      <c r="E84" s="29"/>
      <c r="F84" s="29"/>
      <c r="G84" s="188"/>
      <c r="H84" s="188"/>
      <c r="I84" s="188"/>
      <c r="J84" s="188"/>
      <c r="K84" s="188"/>
      <c r="L84" s="188"/>
      <c r="M84" s="188"/>
      <c r="N84" s="188"/>
      <c r="O84" s="188"/>
      <c r="P84" s="188"/>
      <c r="Q84" s="188"/>
      <c r="R84" s="188"/>
      <c r="S84" s="188"/>
      <c r="T84" s="188"/>
      <c r="U84" s="188"/>
      <c r="V84" s="188"/>
      <c r="W84" s="188"/>
      <c r="X84" s="188"/>
      <c r="Y84" s="188"/>
      <c r="Z84" s="188"/>
      <c r="AA84" s="188"/>
      <c r="AB84" s="188"/>
      <c r="AC84" s="188"/>
      <c r="AD84" s="29"/>
      <c r="AE84" s="15"/>
      <c r="AF84" s="15"/>
      <c r="AG84" s="15"/>
      <c r="AH84" s="15"/>
      <c r="AI84" s="15"/>
      <c r="AJ84" s="15"/>
      <c r="AK84" s="15"/>
    </row>
    <row r="85" spans="1:37" ht="15" customHeight="1" x14ac:dyDescent="0.25">
      <c r="A85" s="14"/>
      <c r="B85" s="14"/>
      <c r="C85" s="34"/>
      <c r="D85" s="35"/>
      <c r="E85" s="29"/>
      <c r="F85" s="29"/>
      <c r="G85" s="188"/>
      <c r="H85" s="188"/>
      <c r="I85" s="188"/>
      <c r="J85" s="188"/>
      <c r="K85" s="188"/>
      <c r="L85" s="188"/>
      <c r="M85" s="188"/>
      <c r="N85" s="188"/>
      <c r="O85" s="188"/>
      <c r="P85" s="188"/>
      <c r="Q85" s="188"/>
      <c r="R85" s="188"/>
      <c r="S85" s="188"/>
      <c r="T85" s="188"/>
      <c r="U85" s="188"/>
      <c r="V85" s="188"/>
      <c r="W85" s="188"/>
      <c r="X85" s="188"/>
      <c r="Y85" s="188"/>
      <c r="Z85" s="188"/>
      <c r="AA85" s="188"/>
      <c r="AB85" s="188"/>
      <c r="AC85" s="188"/>
      <c r="AD85" s="29"/>
      <c r="AE85" s="15"/>
      <c r="AF85" s="15"/>
      <c r="AG85" s="15"/>
      <c r="AH85" s="15"/>
      <c r="AI85" s="15"/>
      <c r="AJ85" s="15"/>
      <c r="AK85" s="15"/>
    </row>
    <row r="86" spans="1:37" ht="15" customHeight="1" x14ac:dyDescent="0.25">
      <c r="A86" s="14"/>
      <c r="B86" s="14"/>
      <c r="C86" s="34"/>
      <c r="D86" s="35"/>
      <c r="E86" s="29"/>
      <c r="F86" s="29"/>
      <c r="G86" s="188"/>
      <c r="H86" s="188"/>
      <c r="I86" s="188"/>
      <c r="J86" s="188"/>
      <c r="K86" s="188"/>
      <c r="L86" s="188"/>
      <c r="M86" s="188"/>
      <c r="N86" s="188"/>
      <c r="O86" s="188"/>
      <c r="P86" s="188"/>
      <c r="Q86" s="188"/>
      <c r="R86" s="188"/>
      <c r="S86" s="188"/>
      <c r="T86" s="188"/>
      <c r="U86" s="188"/>
      <c r="V86" s="188"/>
      <c r="W86" s="188"/>
      <c r="X86" s="188"/>
      <c r="Y86" s="188"/>
      <c r="Z86" s="188"/>
      <c r="AA86" s="188"/>
      <c r="AB86" s="188"/>
      <c r="AC86" s="188"/>
      <c r="AD86" s="29"/>
      <c r="AE86" s="15"/>
      <c r="AF86" s="15"/>
      <c r="AG86" s="15"/>
      <c r="AH86" s="15"/>
      <c r="AI86" s="15"/>
      <c r="AJ86" s="15"/>
      <c r="AK86" s="15"/>
    </row>
    <row r="87" spans="1:37" ht="15" customHeight="1" x14ac:dyDescent="0.25">
      <c r="A87" s="14"/>
      <c r="B87" s="14"/>
      <c r="C87" s="34"/>
      <c r="D87" s="35"/>
      <c r="E87" s="29"/>
      <c r="F87" s="29"/>
      <c r="G87" s="188"/>
      <c r="H87" s="188"/>
      <c r="I87" s="188"/>
      <c r="J87" s="188"/>
      <c r="K87" s="188"/>
      <c r="L87" s="188"/>
      <c r="M87" s="188"/>
      <c r="N87" s="188"/>
      <c r="O87" s="188"/>
      <c r="P87" s="188"/>
      <c r="Q87" s="188"/>
      <c r="R87" s="188"/>
      <c r="S87" s="188"/>
      <c r="T87" s="188"/>
      <c r="U87" s="188"/>
      <c r="V87" s="188"/>
      <c r="W87" s="188"/>
      <c r="X87" s="188"/>
      <c r="Y87" s="188"/>
      <c r="Z87" s="188"/>
      <c r="AA87" s="188"/>
      <c r="AB87" s="188"/>
      <c r="AC87" s="188"/>
      <c r="AD87" s="29"/>
      <c r="AE87" s="15"/>
      <c r="AF87" s="15"/>
      <c r="AG87" s="15"/>
      <c r="AH87" s="15"/>
      <c r="AI87" s="15"/>
      <c r="AJ87" s="15"/>
      <c r="AK87" s="15"/>
    </row>
    <row r="88" spans="1:37" ht="15" customHeight="1" x14ac:dyDescent="0.25">
      <c r="A88" s="14"/>
      <c r="B88" s="14"/>
      <c r="C88" s="34"/>
      <c r="D88" s="35"/>
      <c r="E88" s="29"/>
      <c r="F88" s="29"/>
      <c r="G88" s="188"/>
      <c r="H88" s="188"/>
      <c r="I88" s="188"/>
      <c r="J88" s="188"/>
      <c r="K88" s="188"/>
      <c r="L88" s="188"/>
      <c r="M88" s="188"/>
      <c r="N88" s="188"/>
      <c r="O88" s="188"/>
      <c r="P88" s="188"/>
      <c r="Q88" s="188"/>
      <c r="R88" s="188"/>
      <c r="S88" s="188"/>
      <c r="T88" s="188"/>
      <c r="U88" s="188"/>
      <c r="V88" s="188"/>
      <c r="W88" s="188"/>
      <c r="X88" s="188"/>
      <c r="Y88" s="188"/>
      <c r="Z88" s="188"/>
      <c r="AA88" s="188"/>
      <c r="AB88" s="188"/>
      <c r="AC88" s="188"/>
      <c r="AD88" s="29"/>
      <c r="AE88" s="15"/>
      <c r="AF88" s="15"/>
      <c r="AG88" s="15"/>
      <c r="AH88" s="15"/>
      <c r="AI88" s="15"/>
      <c r="AJ88" s="15"/>
      <c r="AK88" s="15"/>
    </row>
    <row r="89" spans="1:37" ht="15" customHeight="1" x14ac:dyDescent="0.25">
      <c r="A89" s="14"/>
      <c r="B89" s="14"/>
      <c r="C89" s="34"/>
      <c r="D89" s="35"/>
      <c r="E89" s="29"/>
      <c r="F89" s="29"/>
      <c r="G89" s="188"/>
      <c r="H89" s="188"/>
      <c r="I89" s="188"/>
      <c r="J89" s="188"/>
      <c r="K89" s="188"/>
      <c r="L89" s="188"/>
      <c r="M89" s="188"/>
      <c r="N89" s="188"/>
      <c r="O89" s="188"/>
      <c r="P89" s="188"/>
      <c r="Q89" s="188"/>
      <c r="R89" s="188"/>
      <c r="S89" s="188"/>
      <c r="T89" s="188"/>
      <c r="U89" s="188"/>
      <c r="V89" s="188"/>
      <c r="W89" s="188"/>
      <c r="X89" s="188"/>
      <c r="Y89" s="188"/>
      <c r="Z89" s="188"/>
      <c r="AA89" s="188"/>
      <c r="AB89" s="188"/>
      <c r="AC89" s="188"/>
      <c r="AD89" s="29"/>
      <c r="AE89" s="15"/>
      <c r="AF89" s="15"/>
      <c r="AG89" s="15"/>
      <c r="AH89" s="15"/>
      <c r="AI89" s="15"/>
      <c r="AJ89" s="15"/>
      <c r="AK89" s="15"/>
    </row>
    <row r="90" spans="1:37" ht="15" customHeight="1" x14ac:dyDescent="0.25">
      <c r="A90" s="14"/>
      <c r="B90" s="14"/>
      <c r="C90" s="34"/>
      <c r="D90" s="35"/>
      <c r="E90" s="29"/>
      <c r="F90" s="29"/>
      <c r="G90" s="188"/>
      <c r="H90" s="188"/>
      <c r="I90" s="188"/>
      <c r="J90" s="188"/>
      <c r="K90" s="188"/>
      <c r="L90" s="188"/>
      <c r="M90" s="188"/>
      <c r="N90" s="188"/>
      <c r="O90" s="188"/>
      <c r="P90" s="188"/>
      <c r="Q90" s="188"/>
      <c r="R90" s="188"/>
      <c r="S90" s="188"/>
      <c r="T90" s="188"/>
      <c r="U90" s="188"/>
      <c r="V90" s="188"/>
      <c r="W90" s="188"/>
      <c r="X90" s="188"/>
      <c r="Y90" s="188"/>
      <c r="Z90" s="188"/>
      <c r="AA90" s="188"/>
      <c r="AB90" s="188"/>
      <c r="AC90" s="188"/>
      <c r="AD90" s="29"/>
      <c r="AE90" s="15"/>
      <c r="AF90" s="15"/>
      <c r="AG90" s="15"/>
      <c r="AH90" s="15"/>
      <c r="AI90" s="15"/>
      <c r="AJ90" s="15"/>
      <c r="AK90" s="15"/>
    </row>
    <row r="91" spans="1:37" ht="15" customHeight="1" x14ac:dyDescent="0.25">
      <c r="A91" s="14"/>
      <c r="B91" s="14"/>
      <c r="C91" s="34"/>
      <c r="D91" s="35"/>
      <c r="E91" s="29"/>
      <c r="F91" s="29"/>
      <c r="G91" s="188"/>
      <c r="H91" s="188"/>
      <c r="I91" s="188"/>
      <c r="J91" s="188"/>
      <c r="K91" s="188"/>
      <c r="L91" s="188"/>
      <c r="M91" s="188"/>
      <c r="N91" s="188"/>
      <c r="O91" s="188"/>
      <c r="P91" s="188"/>
      <c r="Q91" s="188"/>
      <c r="R91" s="188"/>
      <c r="S91" s="188"/>
      <c r="T91" s="188"/>
      <c r="U91" s="188"/>
      <c r="V91" s="188"/>
      <c r="W91" s="188"/>
      <c r="X91" s="188"/>
      <c r="Y91" s="188"/>
      <c r="Z91" s="188"/>
      <c r="AA91" s="188"/>
      <c r="AB91" s="188"/>
      <c r="AC91" s="188"/>
      <c r="AD91" s="29"/>
      <c r="AE91" s="15"/>
      <c r="AF91" s="15"/>
      <c r="AG91" s="15"/>
      <c r="AH91" s="15"/>
      <c r="AI91" s="15"/>
      <c r="AJ91" s="15"/>
      <c r="AK91" s="15"/>
    </row>
    <row r="92" spans="1:37" ht="15" customHeight="1" x14ac:dyDescent="0.2">
      <c r="A92" s="14"/>
      <c r="B92" s="14"/>
      <c r="C92" s="2"/>
      <c r="AE92" s="15"/>
      <c r="AF92" s="15"/>
      <c r="AG92" s="15"/>
      <c r="AH92" s="15"/>
      <c r="AI92" s="15"/>
      <c r="AJ92" s="15"/>
      <c r="AK92" s="15"/>
    </row>
    <row r="93" spans="1:37" ht="15" customHeight="1" x14ac:dyDescent="0.2">
      <c r="A93" s="14"/>
      <c r="B93" s="14"/>
      <c r="C93" s="2"/>
      <c r="AE93" s="15"/>
      <c r="AF93" s="15"/>
      <c r="AG93" s="15"/>
      <c r="AH93" s="15"/>
      <c r="AI93" s="15"/>
      <c r="AJ93" s="15"/>
      <c r="AK93" s="15"/>
    </row>
    <row r="94" spans="1:37" ht="15" customHeight="1" x14ac:dyDescent="0.2">
      <c r="A94" s="14"/>
      <c r="B94" s="14"/>
      <c r="C94" s="2"/>
      <c r="AE94" s="15"/>
      <c r="AF94" s="15"/>
      <c r="AG94" s="15"/>
      <c r="AH94" s="15"/>
      <c r="AI94" s="15"/>
      <c r="AJ94" s="15"/>
      <c r="AK94" s="15"/>
    </row>
    <row r="95" spans="1:37" ht="15" customHeight="1" x14ac:dyDescent="0.2">
      <c r="A95" s="14"/>
      <c r="B95" s="14"/>
      <c r="C95" s="2"/>
      <c r="AE95" s="15"/>
      <c r="AF95" s="15"/>
      <c r="AG95" s="15"/>
      <c r="AH95" s="15"/>
      <c r="AI95" s="15"/>
      <c r="AJ95" s="15"/>
      <c r="AK95" s="15"/>
    </row>
    <row r="96" spans="1:37" ht="15" customHeight="1" x14ac:dyDescent="0.2">
      <c r="A96" s="14"/>
      <c r="B96" s="14"/>
      <c r="C96" s="131">
        <v>2</v>
      </c>
      <c r="D96" s="132"/>
      <c r="E96" s="156" t="s">
        <v>37</v>
      </c>
      <c r="F96" s="156"/>
      <c r="G96" s="156"/>
      <c r="H96" s="156"/>
      <c r="I96" s="156"/>
      <c r="J96" s="156"/>
      <c r="K96" s="156"/>
      <c r="L96" s="156"/>
      <c r="M96" s="156"/>
      <c r="N96" s="156"/>
      <c r="O96" s="156"/>
      <c r="P96" s="156"/>
      <c r="Q96" s="156"/>
      <c r="R96" s="156"/>
      <c r="S96" s="156"/>
      <c r="T96" s="156"/>
      <c r="U96" s="156"/>
      <c r="V96" s="156"/>
      <c r="W96" s="156"/>
      <c r="X96" s="156"/>
      <c r="Y96" s="156"/>
      <c r="Z96" s="156"/>
      <c r="AA96" s="156"/>
      <c r="AB96" s="156"/>
      <c r="AC96" s="156"/>
      <c r="AD96" s="156"/>
      <c r="AE96" s="46"/>
      <c r="AF96" s="46"/>
      <c r="AG96" s="46"/>
      <c r="AH96" s="15"/>
      <c r="AI96" s="15"/>
      <c r="AJ96" s="15"/>
      <c r="AK96" s="15"/>
    </row>
    <row r="97" spans="1:37" ht="15" customHeight="1" x14ac:dyDescent="0.2">
      <c r="A97" s="14"/>
      <c r="B97" s="14"/>
      <c r="C97" s="131"/>
      <c r="D97" s="132"/>
      <c r="E97" s="156"/>
      <c r="F97" s="156"/>
      <c r="G97" s="156"/>
      <c r="H97" s="156"/>
      <c r="I97" s="156"/>
      <c r="J97" s="156"/>
      <c r="K97" s="156"/>
      <c r="L97" s="156"/>
      <c r="M97" s="156"/>
      <c r="N97" s="156"/>
      <c r="O97" s="156"/>
      <c r="P97" s="156"/>
      <c r="Q97" s="156"/>
      <c r="R97" s="156"/>
      <c r="S97" s="156"/>
      <c r="T97" s="156"/>
      <c r="U97" s="156"/>
      <c r="V97" s="156"/>
      <c r="W97" s="156"/>
      <c r="X97" s="156"/>
      <c r="Y97" s="156"/>
      <c r="Z97" s="156"/>
      <c r="AA97" s="156"/>
      <c r="AB97" s="156"/>
      <c r="AC97" s="156"/>
      <c r="AD97" s="156"/>
      <c r="AE97" s="46"/>
      <c r="AF97" s="46"/>
      <c r="AG97" s="46"/>
      <c r="AH97" s="15"/>
      <c r="AI97" s="15"/>
      <c r="AJ97" s="15"/>
      <c r="AK97" s="15"/>
    </row>
    <row r="98" spans="1:37" ht="15" customHeight="1" x14ac:dyDescent="0.25">
      <c r="A98" s="14"/>
      <c r="B98" s="14"/>
      <c r="C98" s="34"/>
      <c r="D98" s="35"/>
      <c r="E98" s="143" t="s">
        <v>38</v>
      </c>
      <c r="F98" s="143"/>
      <c r="G98" s="143"/>
      <c r="H98" s="143"/>
      <c r="I98" s="143"/>
      <c r="J98" s="143"/>
      <c r="K98" s="143"/>
      <c r="L98" s="143"/>
      <c r="M98" s="143"/>
      <c r="N98" s="143"/>
      <c r="O98" s="143"/>
      <c r="P98" s="143"/>
      <c r="Q98" s="143"/>
      <c r="R98" s="143"/>
      <c r="S98" s="143"/>
      <c r="T98" s="143"/>
      <c r="U98" s="143"/>
      <c r="V98" s="143"/>
      <c r="W98" s="143"/>
      <c r="X98" s="143"/>
      <c r="Y98" s="143"/>
      <c r="Z98" s="143"/>
      <c r="AA98" s="143"/>
      <c r="AB98" s="143"/>
      <c r="AC98" s="143"/>
      <c r="AD98" s="29"/>
      <c r="AE98" s="46"/>
      <c r="AF98" s="46"/>
      <c r="AG98" s="46"/>
      <c r="AH98" s="15"/>
      <c r="AI98" s="15"/>
      <c r="AJ98" s="15"/>
      <c r="AK98" s="15"/>
    </row>
    <row r="99" spans="1:37" ht="15" customHeight="1" x14ac:dyDescent="0.25">
      <c r="A99" s="14"/>
      <c r="B99" s="14"/>
      <c r="C99" s="34"/>
      <c r="D99" s="35"/>
      <c r="E99" s="143"/>
      <c r="F99" s="143"/>
      <c r="G99" s="143"/>
      <c r="H99" s="143"/>
      <c r="I99" s="143"/>
      <c r="J99" s="143"/>
      <c r="K99" s="143"/>
      <c r="L99" s="143"/>
      <c r="M99" s="143"/>
      <c r="N99" s="143"/>
      <c r="O99" s="143"/>
      <c r="P99" s="143"/>
      <c r="Q99" s="143"/>
      <c r="R99" s="143"/>
      <c r="S99" s="143"/>
      <c r="T99" s="143"/>
      <c r="U99" s="143"/>
      <c r="V99" s="143"/>
      <c r="W99" s="143"/>
      <c r="X99" s="143"/>
      <c r="Y99" s="143"/>
      <c r="Z99" s="143"/>
      <c r="AA99" s="143"/>
      <c r="AB99" s="143"/>
      <c r="AC99" s="143"/>
      <c r="AD99" s="29"/>
      <c r="AE99" s="46"/>
      <c r="AF99" s="46"/>
      <c r="AG99" s="46"/>
      <c r="AH99" s="15"/>
      <c r="AI99" s="15"/>
      <c r="AJ99" s="15"/>
      <c r="AK99" s="15"/>
    </row>
    <row r="100" spans="1:37" ht="15" customHeight="1" x14ac:dyDescent="0.25">
      <c r="A100" s="14"/>
      <c r="B100" s="14"/>
      <c r="C100" s="34"/>
      <c r="D100" s="35"/>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29"/>
      <c r="AE100" s="46"/>
      <c r="AF100" s="46"/>
      <c r="AG100" s="46"/>
      <c r="AH100" s="15"/>
      <c r="AI100" s="15"/>
      <c r="AJ100" s="15"/>
      <c r="AK100" s="15"/>
    </row>
    <row r="101" spans="1:37" ht="15" customHeight="1" x14ac:dyDescent="0.25">
      <c r="A101" s="14"/>
      <c r="B101" s="14"/>
      <c r="C101" s="170" t="s">
        <v>39</v>
      </c>
      <c r="D101" s="171"/>
      <c r="E101" s="171"/>
      <c r="F101" s="171"/>
      <c r="G101" s="172" t="s">
        <v>40</v>
      </c>
      <c r="H101" s="172"/>
      <c r="I101" s="172"/>
      <c r="J101" s="172"/>
      <c r="K101" s="172"/>
      <c r="L101" s="172"/>
      <c r="M101" s="172"/>
      <c r="N101" s="172"/>
      <c r="O101" s="172"/>
      <c r="P101" s="172"/>
      <c r="Q101" s="172"/>
      <c r="R101" s="172"/>
      <c r="S101" s="172"/>
      <c r="T101" s="172"/>
      <c r="U101" s="172"/>
      <c r="V101" s="172"/>
      <c r="W101" s="172"/>
      <c r="X101" s="172"/>
      <c r="Y101" s="172"/>
      <c r="Z101" s="172"/>
      <c r="AA101" s="172"/>
      <c r="AB101" s="172"/>
      <c r="AC101" s="172"/>
      <c r="AD101" s="29"/>
      <c r="AE101" s="46"/>
      <c r="AF101" s="46"/>
      <c r="AG101" s="46"/>
      <c r="AH101" s="15"/>
      <c r="AI101" s="15"/>
      <c r="AJ101" s="15"/>
      <c r="AK101" s="15"/>
    </row>
    <row r="102" spans="1:37" ht="15" customHeight="1" x14ac:dyDescent="0.25">
      <c r="A102" s="14"/>
      <c r="B102" s="14"/>
      <c r="C102" s="170"/>
      <c r="D102" s="171"/>
      <c r="E102" s="171"/>
      <c r="F102" s="171"/>
      <c r="G102" s="172"/>
      <c r="H102" s="172"/>
      <c r="I102" s="172"/>
      <c r="J102" s="172"/>
      <c r="K102" s="172"/>
      <c r="L102" s="172"/>
      <c r="M102" s="172"/>
      <c r="N102" s="172"/>
      <c r="O102" s="172"/>
      <c r="P102" s="172"/>
      <c r="Q102" s="172"/>
      <c r="R102" s="172"/>
      <c r="S102" s="172"/>
      <c r="T102" s="172"/>
      <c r="U102" s="172"/>
      <c r="V102" s="172"/>
      <c r="W102" s="172"/>
      <c r="X102" s="172"/>
      <c r="Y102" s="172"/>
      <c r="Z102" s="172"/>
      <c r="AA102" s="172"/>
      <c r="AB102" s="172"/>
      <c r="AC102" s="172"/>
      <c r="AD102" s="29"/>
      <c r="AE102" s="46"/>
      <c r="AF102" s="46"/>
      <c r="AG102" s="46"/>
      <c r="AH102" s="15"/>
      <c r="AI102" s="15"/>
      <c r="AJ102" s="15"/>
      <c r="AK102" s="15"/>
    </row>
    <row r="103" spans="1:37" ht="15" customHeight="1" x14ac:dyDescent="0.2">
      <c r="A103" s="14"/>
      <c r="B103" s="14"/>
      <c r="C103" s="59"/>
      <c r="D103" s="58"/>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46"/>
      <c r="AF103" s="46"/>
      <c r="AG103" s="46"/>
      <c r="AH103" s="15"/>
      <c r="AI103" s="15"/>
      <c r="AJ103" s="15"/>
      <c r="AK103" s="15"/>
    </row>
    <row r="104" spans="1:37" ht="15" customHeight="1" x14ac:dyDescent="0.2">
      <c r="A104" s="14"/>
      <c r="B104" s="14"/>
      <c r="C104" s="59"/>
      <c r="D104" s="58"/>
      <c r="E104" s="60"/>
      <c r="G104" s="62" t="s">
        <v>134</v>
      </c>
      <c r="H104" s="60" t="s">
        <v>142</v>
      </c>
      <c r="J104" s="60"/>
      <c r="K104" s="60"/>
      <c r="L104" s="60"/>
      <c r="M104" s="60"/>
      <c r="N104" s="60"/>
      <c r="O104" s="60"/>
      <c r="P104" s="60"/>
      <c r="Q104" s="60"/>
      <c r="R104" s="60"/>
      <c r="S104" s="60"/>
      <c r="T104" s="60"/>
      <c r="U104" s="60"/>
      <c r="V104" s="60"/>
      <c r="W104" s="60"/>
      <c r="X104" s="60"/>
      <c r="Y104" s="60"/>
      <c r="Z104" s="60"/>
      <c r="AA104" s="60"/>
      <c r="AB104" s="60"/>
      <c r="AC104" s="60"/>
      <c r="AD104" s="60"/>
      <c r="AE104" s="46"/>
      <c r="AF104" s="46"/>
      <c r="AG104" s="46"/>
      <c r="AH104" s="15"/>
      <c r="AI104" s="15"/>
      <c r="AJ104" s="15"/>
      <c r="AK104" s="15"/>
    </row>
    <row r="105" spans="1:37" ht="15" customHeight="1" x14ac:dyDescent="0.25">
      <c r="A105" s="14"/>
      <c r="B105" s="14"/>
      <c r="C105" s="59"/>
      <c r="D105" s="58"/>
      <c r="E105" s="60"/>
      <c r="G105" s="13" t="s">
        <v>118</v>
      </c>
      <c r="H105" s="1" t="s">
        <v>143</v>
      </c>
      <c r="J105" s="60"/>
      <c r="K105" s="60"/>
      <c r="L105" s="60"/>
      <c r="M105" s="60"/>
      <c r="N105" s="60"/>
      <c r="O105" s="60"/>
      <c r="P105" s="60"/>
      <c r="Q105" s="60"/>
      <c r="R105" s="60"/>
      <c r="S105" s="60"/>
      <c r="T105" s="60"/>
      <c r="U105" s="60"/>
      <c r="V105" s="60"/>
      <c r="W105" s="60"/>
      <c r="X105" s="60"/>
      <c r="Y105" s="60"/>
      <c r="Z105" s="60"/>
      <c r="AA105" s="60"/>
      <c r="AB105" s="60"/>
      <c r="AC105" s="60"/>
      <c r="AD105" s="60"/>
      <c r="AE105" s="46"/>
      <c r="AF105" s="46"/>
      <c r="AG105" s="46"/>
      <c r="AH105" s="15"/>
      <c r="AI105" s="15"/>
      <c r="AJ105" s="15"/>
      <c r="AK105" s="15"/>
    </row>
    <row r="106" spans="1:37" ht="15" customHeight="1" x14ac:dyDescent="0.25">
      <c r="A106" s="14"/>
      <c r="B106" s="14"/>
      <c r="C106" s="59"/>
      <c r="D106" s="58"/>
      <c r="E106" s="60"/>
      <c r="G106" s="13" t="s">
        <v>116</v>
      </c>
      <c r="H106" s="1" t="s">
        <v>144</v>
      </c>
      <c r="J106" s="60"/>
      <c r="K106" s="60"/>
      <c r="L106" s="60"/>
      <c r="M106" s="60"/>
      <c r="N106" s="60"/>
      <c r="O106" s="60"/>
      <c r="P106" s="60"/>
      <c r="Q106" s="60"/>
      <c r="R106" s="60"/>
      <c r="S106" s="60"/>
      <c r="T106" s="60"/>
      <c r="U106" s="60"/>
      <c r="V106" s="60"/>
      <c r="W106" s="60"/>
      <c r="X106" s="60"/>
      <c r="Y106" s="60"/>
      <c r="Z106" s="60"/>
      <c r="AA106" s="60"/>
      <c r="AB106" s="60"/>
      <c r="AC106" s="60"/>
      <c r="AD106" s="60"/>
      <c r="AE106" s="46"/>
      <c r="AF106" s="46"/>
      <c r="AG106" s="46"/>
      <c r="AH106" s="15"/>
      <c r="AI106" s="15"/>
      <c r="AJ106" s="15"/>
      <c r="AK106" s="15"/>
    </row>
    <row r="107" spans="1:37" ht="15" customHeight="1" x14ac:dyDescent="0.2">
      <c r="A107" s="14"/>
      <c r="B107" s="14"/>
      <c r="C107" s="59"/>
      <c r="D107" s="58"/>
      <c r="G107" s="33" t="s">
        <v>120</v>
      </c>
      <c r="H107" s="60" t="s">
        <v>145</v>
      </c>
      <c r="J107" s="60"/>
      <c r="K107" s="60"/>
      <c r="L107" s="60"/>
      <c r="M107" s="60"/>
      <c r="N107" s="60"/>
      <c r="O107" s="60"/>
      <c r="P107" s="60"/>
      <c r="Q107" s="60"/>
      <c r="R107" s="60"/>
      <c r="S107" s="60"/>
      <c r="T107" s="60"/>
      <c r="U107" s="60"/>
      <c r="V107" s="60"/>
      <c r="W107" s="60"/>
      <c r="X107" s="60"/>
      <c r="Y107" s="60"/>
      <c r="Z107" s="60"/>
      <c r="AA107" s="60"/>
      <c r="AB107" s="60"/>
      <c r="AC107" s="60"/>
      <c r="AD107" s="60"/>
      <c r="AE107" s="46"/>
      <c r="AF107" s="46"/>
      <c r="AG107" s="46"/>
      <c r="AH107" s="15"/>
      <c r="AI107" s="15"/>
      <c r="AJ107" s="15"/>
      <c r="AK107" s="15"/>
    </row>
    <row r="108" spans="1:37" ht="15" customHeight="1" x14ac:dyDescent="0.2">
      <c r="A108" s="14"/>
      <c r="B108" s="14"/>
      <c r="C108" s="59"/>
      <c r="D108" s="58"/>
      <c r="G108" s="33" t="s">
        <v>121</v>
      </c>
      <c r="H108" s="60" t="s">
        <v>146</v>
      </c>
      <c r="J108" s="60"/>
      <c r="K108" s="60"/>
      <c r="L108" s="60"/>
      <c r="M108" s="60"/>
      <c r="N108" s="60"/>
      <c r="O108" s="60"/>
      <c r="P108" s="60"/>
      <c r="Q108" s="60"/>
      <c r="R108" s="60"/>
      <c r="S108" s="60"/>
      <c r="T108" s="60"/>
      <c r="U108" s="60"/>
      <c r="V108" s="60"/>
      <c r="W108" s="60"/>
      <c r="X108" s="60"/>
      <c r="Y108" s="60"/>
      <c r="Z108" s="60"/>
      <c r="AA108" s="60"/>
      <c r="AB108" s="60"/>
      <c r="AC108" s="60"/>
      <c r="AD108" s="60"/>
      <c r="AE108" s="46"/>
      <c r="AF108" s="46"/>
      <c r="AG108" s="46"/>
      <c r="AH108" s="15"/>
      <c r="AI108" s="15"/>
      <c r="AJ108" s="15"/>
      <c r="AK108" s="15"/>
    </row>
    <row r="109" spans="1:37" ht="15" customHeight="1" x14ac:dyDescent="0.25">
      <c r="A109" s="14"/>
      <c r="B109" s="14"/>
      <c r="C109" s="59"/>
      <c r="D109" s="58"/>
      <c r="G109" s="8" t="s">
        <v>123</v>
      </c>
      <c r="H109" s="60" t="s">
        <v>147</v>
      </c>
      <c r="J109" s="60"/>
      <c r="K109" s="60"/>
      <c r="L109" s="60"/>
      <c r="M109" s="60"/>
      <c r="N109" s="60"/>
      <c r="O109" s="60"/>
      <c r="P109" s="60"/>
      <c r="Q109" s="60"/>
      <c r="R109" s="60"/>
      <c r="S109" s="60"/>
      <c r="T109" s="60"/>
      <c r="U109" s="60"/>
      <c r="V109" s="60"/>
      <c r="W109" s="60"/>
      <c r="X109" s="60"/>
      <c r="Y109" s="60"/>
      <c r="Z109" s="60"/>
      <c r="AA109" s="60"/>
      <c r="AB109" s="60"/>
      <c r="AC109" s="60"/>
      <c r="AD109" s="60"/>
      <c r="AE109" s="46"/>
      <c r="AF109" s="46"/>
      <c r="AG109" s="46"/>
      <c r="AH109" s="15"/>
      <c r="AI109" s="15"/>
      <c r="AJ109" s="15"/>
      <c r="AK109" s="15"/>
    </row>
    <row r="110" spans="1:37" ht="15" customHeight="1" x14ac:dyDescent="0.2">
      <c r="A110" s="14"/>
      <c r="B110" s="14"/>
      <c r="C110" s="59"/>
      <c r="D110" s="58"/>
      <c r="G110" s="33" t="s">
        <v>122</v>
      </c>
      <c r="H110" s="60" t="s">
        <v>148</v>
      </c>
      <c r="J110" s="60"/>
      <c r="K110" s="60"/>
      <c r="L110" s="60"/>
      <c r="M110" s="60"/>
      <c r="N110" s="60"/>
      <c r="O110" s="60"/>
      <c r="P110" s="60"/>
      <c r="Q110" s="60"/>
      <c r="R110" s="60"/>
      <c r="S110" s="60"/>
      <c r="T110" s="60"/>
      <c r="V110" s="60"/>
      <c r="W110" s="60"/>
      <c r="X110" s="60"/>
      <c r="Y110" s="60"/>
      <c r="Z110" s="60"/>
      <c r="AA110" s="60"/>
      <c r="AB110" s="60"/>
      <c r="AC110" s="60"/>
      <c r="AD110" s="60"/>
      <c r="AE110" s="46"/>
      <c r="AF110" s="46"/>
      <c r="AG110" s="46"/>
      <c r="AH110" s="15"/>
      <c r="AI110" s="15"/>
      <c r="AJ110" s="15"/>
      <c r="AK110" s="15"/>
    </row>
    <row r="111" spans="1:37" ht="15" customHeight="1" x14ac:dyDescent="0.25">
      <c r="A111" s="14"/>
      <c r="B111" s="14"/>
      <c r="C111" s="59"/>
      <c r="D111" s="58"/>
      <c r="G111" s="8" t="s">
        <v>124</v>
      </c>
      <c r="H111" s="45" t="s">
        <v>149</v>
      </c>
      <c r="J111" s="60"/>
      <c r="K111" s="60"/>
      <c r="M111" s="60"/>
      <c r="N111" s="60"/>
      <c r="O111" s="60"/>
      <c r="P111" s="60"/>
      <c r="Q111" s="60"/>
      <c r="R111" s="60"/>
      <c r="S111" s="60"/>
      <c r="T111" s="60"/>
      <c r="V111" s="60"/>
      <c r="W111" s="60"/>
      <c r="X111" s="60"/>
      <c r="Y111" s="60"/>
      <c r="Z111" s="60"/>
      <c r="AA111" s="60"/>
      <c r="AB111" s="60"/>
      <c r="AC111" s="60"/>
      <c r="AD111" s="60"/>
      <c r="AE111" s="46"/>
      <c r="AF111" s="46"/>
      <c r="AG111" s="46"/>
      <c r="AH111" s="15"/>
      <c r="AI111" s="15"/>
      <c r="AJ111" s="15"/>
      <c r="AK111" s="15"/>
    </row>
    <row r="112" spans="1:37" ht="15" customHeight="1" x14ac:dyDescent="0.25">
      <c r="A112" s="14"/>
      <c r="B112" s="14"/>
      <c r="C112" s="59"/>
      <c r="D112" s="58"/>
      <c r="G112" s="8" t="s">
        <v>137</v>
      </c>
      <c r="H112" s="60" t="s">
        <v>150</v>
      </c>
      <c r="J112" s="60"/>
      <c r="K112" s="60"/>
      <c r="M112" s="60"/>
      <c r="N112" s="60"/>
      <c r="O112" s="60"/>
      <c r="P112" s="60"/>
      <c r="Q112" s="60"/>
      <c r="R112" s="60"/>
      <c r="S112" s="60"/>
      <c r="T112" s="60"/>
      <c r="V112" s="60"/>
      <c r="W112" s="60"/>
      <c r="X112" s="60"/>
      <c r="Y112" s="60"/>
      <c r="Z112" s="60"/>
      <c r="AA112" s="60"/>
      <c r="AB112" s="60"/>
      <c r="AC112" s="60"/>
      <c r="AD112" s="60"/>
      <c r="AE112" s="46"/>
      <c r="AF112" s="46"/>
      <c r="AG112" s="46"/>
      <c r="AH112" s="15"/>
      <c r="AI112" s="15"/>
      <c r="AJ112" s="15"/>
      <c r="AK112" s="15"/>
    </row>
    <row r="113" spans="1:37" ht="15" customHeight="1" x14ac:dyDescent="0.25">
      <c r="A113" s="14"/>
      <c r="B113" s="14"/>
      <c r="C113" s="59"/>
      <c r="D113" s="58"/>
      <c r="G113" s="8" t="s">
        <v>128</v>
      </c>
      <c r="H113" s="60" t="s">
        <v>151</v>
      </c>
      <c r="J113" s="60"/>
      <c r="K113" s="60"/>
      <c r="M113" s="60"/>
      <c r="N113" s="60"/>
      <c r="O113" s="60"/>
      <c r="P113" s="60"/>
      <c r="Q113" s="60"/>
      <c r="R113" s="60"/>
      <c r="S113" s="60"/>
      <c r="T113" s="60"/>
      <c r="V113" s="60"/>
      <c r="W113" s="60"/>
      <c r="X113" s="60"/>
      <c r="Y113" s="60"/>
      <c r="Z113" s="60"/>
      <c r="AA113" s="60"/>
      <c r="AB113" s="60"/>
      <c r="AC113" s="60"/>
      <c r="AD113" s="60"/>
      <c r="AE113" s="46"/>
      <c r="AF113" s="46"/>
      <c r="AG113" s="46"/>
      <c r="AH113" s="15"/>
      <c r="AI113" s="15"/>
      <c r="AJ113" s="15"/>
      <c r="AK113" s="15"/>
    </row>
    <row r="114" spans="1:37" ht="15" customHeight="1" x14ac:dyDescent="0.25">
      <c r="A114" s="14"/>
      <c r="B114" s="14"/>
      <c r="C114" s="59"/>
      <c r="D114" s="58"/>
      <c r="G114" s="8" t="s">
        <v>133</v>
      </c>
      <c r="H114" s="60" t="s">
        <v>152</v>
      </c>
      <c r="J114" s="63"/>
      <c r="K114" s="63"/>
      <c r="L114" s="63"/>
      <c r="M114" s="60"/>
      <c r="N114" s="60"/>
      <c r="O114" s="60"/>
      <c r="P114" s="60"/>
      <c r="Q114" s="60"/>
      <c r="R114" s="60"/>
      <c r="S114" s="60"/>
      <c r="T114" s="60"/>
      <c r="V114" s="60"/>
      <c r="W114" s="60"/>
      <c r="X114" s="60"/>
      <c r="Y114" s="60"/>
      <c r="Z114" s="60"/>
      <c r="AA114" s="60"/>
      <c r="AB114" s="60"/>
      <c r="AC114" s="60"/>
      <c r="AD114" s="60"/>
      <c r="AE114" s="46"/>
      <c r="AF114" s="46"/>
      <c r="AG114" s="46"/>
      <c r="AH114" s="15"/>
      <c r="AI114" s="15"/>
      <c r="AJ114" s="15"/>
      <c r="AK114" s="15"/>
    </row>
    <row r="115" spans="1:37" ht="15" customHeight="1" x14ac:dyDescent="0.25">
      <c r="A115" s="14"/>
      <c r="B115" s="14"/>
      <c r="C115" s="59"/>
      <c r="D115" s="58"/>
      <c r="G115" s="8" t="s">
        <v>132</v>
      </c>
      <c r="H115" s="60" t="s">
        <v>153</v>
      </c>
      <c r="J115" s="60"/>
      <c r="K115" s="60"/>
      <c r="M115" s="60"/>
      <c r="N115" s="60"/>
      <c r="O115" s="60"/>
      <c r="P115" s="60"/>
      <c r="Q115" s="60"/>
      <c r="R115" s="60"/>
      <c r="S115" s="60"/>
      <c r="T115" s="60"/>
      <c r="V115" s="60"/>
      <c r="W115" s="60"/>
      <c r="X115" s="60"/>
      <c r="Y115" s="60"/>
      <c r="Z115" s="60"/>
      <c r="AA115" s="60"/>
      <c r="AB115" s="60"/>
      <c r="AC115" s="60"/>
      <c r="AD115" s="60"/>
      <c r="AE115" s="46"/>
      <c r="AF115" s="46"/>
      <c r="AG115" s="46"/>
      <c r="AH115" s="15"/>
      <c r="AI115" s="15"/>
      <c r="AJ115" s="15"/>
      <c r="AK115" s="15"/>
    </row>
    <row r="116" spans="1:37" ht="15" customHeight="1" x14ac:dyDescent="0.2">
      <c r="A116" s="14"/>
      <c r="B116" s="14"/>
      <c r="C116" s="59"/>
      <c r="G116" s="33" t="s">
        <v>125</v>
      </c>
      <c r="H116" s="60" t="s">
        <v>154</v>
      </c>
      <c r="J116" s="60"/>
      <c r="K116" s="60"/>
      <c r="L116" s="60"/>
      <c r="M116" s="60"/>
      <c r="N116" s="60"/>
      <c r="O116" s="60"/>
      <c r="P116" s="60"/>
      <c r="Q116" s="60"/>
      <c r="R116" s="60"/>
      <c r="S116" s="60"/>
      <c r="T116" s="60"/>
      <c r="V116" s="60"/>
      <c r="W116" s="60"/>
      <c r="X116" s="60"/>
      <c r="Y116" s="60"/>
      <c r="Z116" s="60"/>
      <c r="AA116" s="60"/>
      <c r="AB116" s="60"/>
      <c r="AC116" s="60"/>
      <c r="AD116" s="60"/>
      <c r="AE116" s="46"/>
      <c r="AF116" s="46"/>
      <c r="AG116" s="46"/>
      <c r="AH116" s="46"/>
      <c r="AI116" s="46"/>
      <c r="AJ116" s="46"/>
      <c r="AK116" s="46"/>
    </row>
    <row r="117" spans="1:37" ht="15" customHeight="1" x14ac:dyDescent="0.25">
      <c r="A117" s="14"/>
      <c r="B117" s="14"/>
      <c r="C117" s="59"/>
      <c r="G117" s="64" t="s">
        <v>135</v>
      </c>
      <c r="H117" s="63" t="s">
        <v>155</v>
      </c>
      <c r="J117" s="60"/>
      <c r="K117" s="60"/>
      <c r="L117" s="60"/>
      <c r="M117" s="60"/>
      <c r="N117" s="60"/>
      <c r="O117" s="60"/>
      <c r="P117" s="60"/>
      <c r="Q117" s="60"/>
      <c r="R117" s="60"/>
      <c r="S117" s="60"/>
      <c r="T117" s="60"/>
      <c r="U117" s="60"/>
      <c r="V117" s="60"/>
      <c r="W117" s="60"/>
      <c r="X117" s="60"/>
      <c r="Y117" s="60"/>
      <c r="Z117" s="60"/>
      <c r="AA117" s="60"/>
      <c r="AB117" s="60"/>
      <c r="AC117" s="60"/>
      <c r="AD117" s="60"/>
      <c r="AE117" s="46"/>
      <c r="AF117" s="46"/>
      <c r="AG117" s="46"/>
      <c r="AH117" s="46"/>
      <c r="AI117" s="46"/>
      <c r="AJ117" s="46"/>
      <c r="AK117" s="46"/>
    </row>
    <row r="118" spans="1:37" ht="15" customHeight="1" x14ac:dyDescent="0.25">
      <c r="A118" s="14"/>
      <c r="B118" s="14"/>
      <c r="C118" s="59"/>
      <c r="G118" s="13" t="s">
        <v>114</v>
      </c>
      <c r="H118" s="1" t="s">
        <v>156</v>
      </c>
      <c r="J118" s="60"/>
      <c r="K118" s="60"/>
      <c r="L118" s="60"/>
      <c r="M118" s="60"/>
      <c r="N118" s="60"/>
      <c r="O118" s="60"/>
      <c r="P118" s="60"/>
      <c r="Q118" s="60"/>
      <c r="R118" s="60"/>
      <c r="S118" s="60"/>
      <c r="T118" s="60"/>
      <c r="U118" s="60"/>
      <c r="V118" s="60"/>
      <c r="W118" s="60"/>
      <c r="X118" s="60"/>
      <c r="Y118" s="60"/>
      <c r="Z118" s="60"/>
      <c r="AA118" s="60"/>
      <c r="AB118" s="60"/>
      <c r="AC118" s="60"/>
      <c r="AD118" s="60"/>
      <c r="AE118" s="46"/>
      <c r="AF118" s="46"/>
      <c r="AG118" s="46"/>
      <c r="AH118" s="46"/>
      <c r="AI118" s="46"/>
      <c r="AJ118" s="46"/>
      <c r="AK118" s="46"/>
    </row>
    <row r="119" spans="1:37" ht="15" customHeight="1" x14ac:dyDescent="0.25">
      <c r="A119" s="14"/>
      <c r="B119" s="14"/>
      <c r="C119" s="59"/>
      <c r="G119" s="8" t="s">
        <v>127</v>
      </c>
      <c r="H119" s="60" t="s">
        <v>154</v>
      </c>
      <c r="J119" s="60"/>
      <c r="K119" s="60"/>
      <c r="L119" s="60"/>
      <c r="M119" s="60"/>
      <c r="N119" s="60"/>
      <c r="O119" s="60"/>
      <c r="P119" s="60"/>
      <c r="Q119" s="60"/>
      <c r="R119" s="60"/>
      <c r="S119" s="60"/>
      <c r="T119" s="60"/>
      <c r="U119" s="60"/>
      <c r="V119" s="60"/>
      <c r="W119" s="60"/>
      <c r="X119" s="60"/>
      <c r="Y119" s="60"/>
      <c r="Z119" s="60"/>
      <c r="AA119" s="60"/>
      <c r="AB119" s="60"/>
      <c r="AC119" s="60"/>
      <c r="AD119" s="60"/>
      <c r="AE119" s="46"/>
      <c r="AF119" s="46"/>
      <c r="AG119" s="46"/>
      <c r="AH119" s="46"/>
      <c r="AI119" s="46"/>
      <c r="AJ119" s="46"/>
      <c r="AK119" s="46"/>
    </row>
    <row r="120" spans="1:37" ht="15" customHeight="1" x14ac:dyDescent="0.25">
      <c r="A120" s="14"/>
      <c r="B120" s="14"/>
      <c r="C120" s="59"/>
      <c r="G120" s="8" t="s">
        <v>126</v>
      </c>
      <c r="H120" s="43" t="s">
        <v>157</v>
      </c>
      <c r="J120" s="60"/>
      <c r="K120" s="60"/>
      <c r="L120" s="60"/>
      <c r="M120" s="60"/>
      <c r="N120" s="60"/>
      <c r="O120" s="60"/>
      <c r="P120" s="60"/>
      <c r="Q120" s="60"/>
      <c r="R120" s="60"/>
      <c r="S120" s="60"/>
      <c r="T120" s="60"/>
      <c r="U120" s="60"/>
      <c r="V120" s="60"/>
      <c r="W120" s="60"/>
      <c r="X120" s="60"/>
      <c r="Y120" s="60"/>
      <c r="Z120" s="60"/>
      <c r="AA120" s="60"/>
      <c r="AB120" s="60"/>
      <c r="AC120" s="60"/>
      <c r="AD120" s="60"/>
      <c r="AE120" s="46"/>
      <c r="AF120" s="46"/>
      <c r="AG120" s="46"/>
      <c r="AH120" s="46"/>
      <c r="AI120" s="46"/>
      <c r="AJ120" s="46"/>
      <c r="AK120" s="46"/>
    </row>
    <row r="121" spans="1:37" ht="15" customHeight="1" x14ac:dyDescent="0.25">
      <c r="A121" s="14"/>
      <c r="B121" s="14"/>
      <c r="C121" s="59"/>
      <c r="G121" s="13" t="s">
        <v>115</v>
      </c>
      <c r="H121" s="1" t="s">
        <v>158</v>
      </c>
      <c r="J121" s="60"/>
      <c r="K121" s="60"/>
      <c r="L121" s="60"/>
      <c r="M121" s="60"/>
      <c r="N121" s="60"/>
      <c r="O121" s="60"/>
      <c r="P121" s="60"/>
      <c r="Q121" s="60"/>
      <c r="R121" s="60"/>
      <c r="S121" s="60"/>
      <c r="T121" s="60"/>
      <c r="U121" s="60"/>
      <c r="V121" s="60"/>
      <c r="W121" s="60"/>
      <c r="X121" s="60"/>
      <c r="Y121" s="60"/>
      <c r="Z121" s="60"/>
      <c r="AA121" s="60"/>
      <c r="AB121" s="60"/>
      <c r="AC121" s="60"/>
      <c r="AD121" s="60"/>
      <c r="AE121" s="46"/>
      <c r="AF121" s="46"/>
      <c r="AG121" s="46"/>
      <c r="AH121" s="46"/>
      <c r="AI121" s="46"/>
      <c r="AJ121" s="46"/>
      <c r="AK121" s="46"/>
    </row>
    <row r="122" spans="1:37" ht="15" customHeight="1" x14ac:dyDescent="0.2">
      <c r="A122" s="14"/>
      <c r="B122" s="14"/>
      <c r="C122" s="59"/>
      <c r="G122" s="58" t="s">
        <v>119</v>
      </c>
      <c r="H122" s="60" t="s">
        <v>159</v>
      </c>
      <c r="J122" s="60"/>
      <c r="K122" s="60"/>
      <c r="L122" s="60"/>
      <c r="M122" s="60"/>
      <c r="N122" s="60"/>
      <c r="O122" s="60"/>
      <c r="P122" s="60"/>
      <c r="Q122" s="60"/>
      <c r="R122" s="60"/>
      <c r="S122" s="60"/>
      <c r="T122" s="60"/>
      <c r="U122" s="60"/>
      <c r="V122" s="60"/>
      <c r="W122" s="60"/>
      <c r="X122" s="60"/>
      <c r="Y122" s="60"/>
      <c r="Z122" s="60"/>
      <c r="AA122" s="60"/>
      <c r="AB122" s="60"/>
      <c r="AC122" s="60"/>
      <c r="AD122" s="60"/>
      <c r="AE122" s="46"/>
      <c r="AF122" s="46"/>
      <c r="AG122" s="46"/>
      <c r="AH122" s="46"/>
      <c r="AI122" s="46"/>
      <c r="AJ122" s="46"/>
      <c r="AK122" s="46"/>
    </row>
    <row r="123" spans="1:37" ht="15" customHeight="1" x14ac:dyDescent="0.25">
      <c r="A123" s="14"/>
      <c r="B123" s="14"/>
      <c r="C123" s="59"/>
      <c r="G123" s="13" t="s">
        <v>136</v>
      </c>
      <c r="H123" s="1" t="s">
        <v>160</v>
      </c>
      <c r="J123" s="60"/>
      <c r="K123" s="60"/>
      <c r="L123" s="60"/>
      <c r="M123" s="60"/>
      <c r="N123" s="60"/>
      <c r="O123" s="60"/>
      <c r="P123" s="60"/>
      <c r="Q123" s="60"/>
      <c r="R123" s="60"/>
      <c r="S123" s="60"/>
      <c r="T123" s="60"/>
      <c r="U123" s="60"/>
      <c r="V123" s="60"/>
      <c r="W123" s="60"/>
      <c r="X123" s="60"/>
      <c r="Y123" s="60"/>
      <c r="Z123" s="60"/>
      <c r="AA123" s="60"/>
      <c r="AB123" s="60"/>
      <c r="AC123" s="60"/>
      <c r="AD123" s="60"/>
      <c r="AE123" s="46"/>
      <c r="AF123" s="46"/>
      <c r="AG123" s="46"/>
      <c r="AH123" s="46"/>
      <c r="AI123" s="46"/>
      <c r="AJ123" s="46"/>
      <c r="AK123" s="46"/>
    </row>
    <row r="124" spans="1:37" ht="15" customHeight="1" x14ac:dyDescent="0.2">
      <c r="A124" s="14"/>
      <c r="B124" s="14"/>
      <c r="C124" s="59"/>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46"/>
      <c r="AF124" s="46"/>
      <c r="AG124" s="46"/>
      <c r="AH124" s="46"/>
      <c r="AI124" s="46"/>
      <c r="AJ124" s="46"/>
      <c r="AK124" s="46"/>
    </row>
    <row r="125" spans="1:37" ht="15" customHeight="1" x14ac:dyDescent="0.2">
      <c r="A125" s="14"/>
      <c r="B125" s="14"/>
      <c r="C125" s="59"/>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46"/>
      <c r="AF125" s="46"/>
      <c r="AG125" s="46"/>
      <c r="AH125" s="46"/>
      <c r="AI125" s="46"/>
      <c r="AJ125" s="46"/>
      <c r="AK125" s="46"/>
    </row>
    <row r="126" spans="1:37" ht="15" customHeight="1" x14ac:dyDescent="0.2">
      <c r="A126" s="14"/>
      <c r="B126" s="14"/>
      <c r="C126" s="59"/>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46"/>
      <c r="AF126" s="46"/>
      <c r="AG126" s="46"/>
      <c r="AH126" s="46"/>
      <c r="AI126" s="46"/>
      <c r="AJ126" s="46"/>
      <c r="AK126" s="46"/>
    </row>
    <row r="127" spans="1:37" ht="15" customHeight="1" x14ac:dyDescent="0.2">
      <c r="A127" s="14"/>
      <c r="B127" s="14"/>
      <c r="C127" s="59"/>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46"/>
      <c r="AF127" s="46"/>
      <c r="AG127" s="46"/>
      <c r="AH127" s="46"/>
      <c r="AI127" s="46"/>
      <c r="AJ127" s="46"/>
      <c r="AK127" s="46"/>
    </row>
    <row r="128" spans="1:37" ht="15" customHeight="1" x14ac:dyDescent="0.2">
      <c r="A128" s="14"/>
      <c r="B128" s="14"/>
      <c r="C128" s="59"/>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46"/>
      <c r="AF128" s="46"/>
      <c r="AG128" s="46"/>
      <c r="AH128" s="46"/>
      <c r="AI128" s="46"/>
      <c r="AJ128" s="46"/>
      <c r="AK128" s="46"/>
    </row>
    <row r="129" spans="1:37" ht="15" customHeight="1" x14ac:dyDescent="0.2">
      <c r="A129" s="14"/>
      <c r="B129" s="14"/>
      <c r="C129" s="59"/>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46"/>
      <c r="AF129" s="46"/>
      <c r="AG129" s="46"/>
      <c r="AH129" s="46"/>
      <c r="AI129" s="46"/>
      <c r="AJ129" s="46"/>
      <c r="AK129" s="46"/>
    </row>
    <row r="130" spans="1:37" ht="15" customHeight="1" x14ac:dyDescent="0.2">
      <c r="A130" s="14"/>
      <c r="B130" s="14"/>
      <c r="C130" s="59"/>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46"/>
      <c r="AF130" s="46"/>
      <c r="AG130" s="46"/>
      <c r="AH130" s="46"/>
      <c r="AI130" s="46"/>
      <c r="AJ130" s="46"/>
      <c r="AK130" s="46"/>
    </row>
    <row r="131" spans="1:37" ht="15" customHeight="1" x14ac:dyDescent="0.2">
      <c r="A131" s="14"/>
      <c r="B131" s="14"/>
      <c r="C131" s="59"/>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46"/>
      <c r="AF131" s="46"/>
      <c r="AG131" s="46"/>
      <c r="AH131" s="46"/>
      <c r="AI131" s="46"/>
      <c r="AJ131" s="46"/>
      <c r="AK131" s="46"/>
    </row>
    <row r="132" spans="1:37" ht="15" customHeight="1" x14ac:dyDescent="0.2">
      <c r="A132" s="14"/>
      <c r="B132" s="14"/>
      <c r="C132" s="59"/>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46"/>
      <c r="AF132" s="46"/>
      <c r="AG132" s="46"/>
      <c r="AH132" s="46"/>
      <c r="AI132" s="46"/>
      <c r="AJ132" s="46"/>
      <c r="AK132" s="46"/>
    </row>
    <row r="133" spans="1:37" ht="15" customHeight="1" x14ac:dyDescent="0.2">
      <c r="A133" s="14"/>
      <c r="B133" s="14"/>
      <c r="C133" s="59"/>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46"/>
      <c r="AF133" s="46"/>
      <c r="AG133" s="46"/>
      <c r="AH133" s="46"/>
      <c r="AI133" s="46"/>
      <c r="AJ133" s="46"/>
      <c r="AK133" s="46"/>
    </row>
    <row r="134" spans="1:37" ht="15" customHeight="1" x14ac:dyDescent="0.2">
      <c r="A134" s="14"/>
      <c r="B134" s="14"/>
      <c r="C134" s="59"/>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46"/>
      <c r="AF134" s="46"/>
      <c r="AG134" s="46"/>
      <c r="AH134" s="46"/>
      <c r="AI134" s="46"/>
      <c r="AJ134" s="46"/>
      <c r="AK134" s="46"/>
    </row>
    <row r="135" spans="1:37" ht="15" customHeight="1" x14ac:dyDescent="0.2">
      <c r="A135" s="14"/>
      <c r="B135" s="14"/>
      <c r="C135" s="59"/>
      <c r="F135" s="58"/>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46"/>
      <c r="AF135" s="46"/>
      <c r="AG135" s="46"/>
      <c r="AH135" s="46"/>
      <c r="AI135" s="46"/>
      <c r="AJ135" s="46"/>
      <c r="AK135" s="46"/>
    </row>
    <row r="136" spans="1:37" ht="15" customHeight="1" x14ac:dyDescent="0.2">
      <c r="A136" s="14"/>
      <c r="B136" s="14"/>
      <c r="C136" s="59"/>
      <c r="F136" s="58"/>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46"/>
      <c r="AF136" s="46"/>
      <c r="AG136" s="46"/>
      <c r="AH136" s="46"/>
      <c r="AI136" s="46"/>
      <c r="AJ136" s="46"/>
      <c r="AK136" s="46"/>
    </row>
    <row r="137" spans="1:37" ht="15" customHeight="1" x14ac:dyDescent="0.2">
      <c r="A137" s="14"/>
      <c r="B137" s="14"/>
      <c r="C137" s="59"/>
      <c r="F137" s="58"/>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46"/>
      <c r="AF137" s="46"/>
      <c r="AG137" s="46"/>
      <c r="AH137" s="46"/>
      <c r="AI137" s="46"/>
      <c r="AJ137" s="46"/>
      <c r="AK137" s="46"/>
    </row>
    <row r="138" spans="1:37" ht="15" customHeight="1" x14ac:dyDescent="0.2">
      <c r="A138" s="14"/>
      <c r="B138" s="14"/>
      <c r="C138" s="59"/>
      <c r="D138" s="58"/>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46"/>
      <c r="AF138" s="46"/>
      <c r="AG138" s="46"/>
      <c r="AH138" s="46"/>
      <c r="AI138" s="46"/>
      <c r="AJ138" s="46"/>
      <c r="AK138" s="46"/>
    </row>
    <row r="139" spans="1:37" ht="15" customHeight="1" x14ac:dyDescent="0.2">
      <c r="A139" s="14"/>
      <c r="B139" s="14"/>
      <c r="C139" s="59"/>
      <c r="D139" s="58"/>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46"/>
      <c r="AF139" s="46"/>
      <c r="AG139" s="46"/>
      <c r="AH139" s="46"/>
      <c r="AI139" s="46"/>
      <c r="AJ139" s="46"/>
      <c r="AK139" s="46"/>
    </row>
    <row r="140" spans="1:37" ht="15" customHeight="1" x14ac:dyDescent="0.2">
      <c r="A140" s="14"/>
      <c r="B140" s="37"/>
      <c r="C140" s="131">
        <v>3</v>
      </c>
      <c r="D140" s="132"/>
      <c r="E140" s="156" t="s">
        <v>30</v>
      </c>
      <c r="F140" s="156"/>
      <c r="G140" s="156"/>
      <c r="H140" s="156"/>
      <c r="I140" s="156"/>
      <c r="J140" s="156"/>
      <c r="K140" s="156"/>
      <c r="L140" s="156"/>
      <c r="M140" s="156"/>
      <c r="N140" s="156"/>
      <c r="O140" s="156"/>
      <c r="P140" s="156"/>
      <c r="Q140" s="156"/>
      <c r="R140" s="156"/>
      <c r="S140" s="156"/>
      <c r="T140" s="156"/>
      <c r="U140" s="156"/>
      <c r="V140" s="156"/>
      <c r="W140" s="156"/>
      <c r="X140" s="156"/>
      <c r="Y140" s="156"/>
      <c r="Z140" s="156"/>
      <c r="AA140" s="156"/>
      <c r="AB140" s="156"/>
      <c r="AC140" s="156"/>
      <c r="AD140" s="156"/>
      <c r="AE140" s="15"/>
      <c r="AF140" s="15"/>
      <c r="AG140" s="15"/>
      <c r="AH140" s="15"/>
      <c r="AI140" s="15"/>
      <c r="AJ140" s="15"/>
      <c r="AK140" s="15"/>
    </row>
    <row r="141" spans="1:37" ht="15" customHeight="1" x14ac:dyDescent="0.2">
      <c r="A141" s="14"/>
      <c r="B141" s="14"/>
      <c r="C141" s="131"/>
      <c r="D141" s="132"/>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c r="AA141" s="156"/>
      <c r="AB141" s="156"/>
      <c r="AC141" s="156"/>
      <c r="AD141" s="156"/>
      <c r="AE141" s="15"/>
      <c r="AF141" s="15"/>
      <c r="AG141" s="15"/>
      <c r="AH141" s="15"/>
      <c r="AI141" s="15"/>
      <c r="AJ141" s="15"/>
      <c r="AK141" s="15"/>
    </row>
    <row r="142" spans="1:37" ht="15" customHeight="1" x14ac:dyDescent="0.2">
      <c r="A142" s="14"/>
      <c r="B142" s="14"/>
      <c r="C142" s="17"/>
      <c r="D142" s="12"/>
      <c r="E142" s="143" t="s">
        <v>41</v>
      </c>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E142" s="15"/>
      <c r="AF142" s="15"/>
      <c r="AG142" s="15"/>
      <c r="AH142" s="15"/>
      <c r="AI142" s="15"/>
      <c r="AJ142" s="15"/>
      <c r="AK142" s="15"/>
    </row>
    <row r="143" spans="1:37" ht="15" customHeight="1" x14ac:dyDescent="0.2">
      <c r="A143" s="14"/>
      <c r="B143" s="14"/>
      <c r="C143" s="17"/>
      <c r="D143" s="12"/>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E143" s="15"/>
      <c r="AF143" s="15"/>
      <c r="AG143" s="15"/>
      <c r="AH143" s="15"/>
      <c r="AI143" s="15"/>
      <c r="AJ143" s="15"/>
      <c r="AK143" s="15"/>
    </row>
    <row r="144" spans="1:37" ht="15" customHeight="1" x14ac:dyDescent="0.2">
      <c r="A144" s="14"/>
      <c r="B144" s="14"/>
      <c r="C144" s="17"/>
      <c r="D144" s="12"/>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E144" s="15"/>
      <c r="AF144" s="15"/>
      <c r="AG144" s="15"/>
      <c r="AH144" s="15"/>
      <c r="AI144" s="15"/>
      <c r="AJ144" s="15"/>
      <c r="AK144" s="15"/>
    </row>
    <row r="145" spans="1:37" ht="15" customHeight="1" x14ac:dyDescent="0.2">
      <c r="A145" s="14"/>
      <c r="B145" s="14"/>
      <c r="C145" s="17"/>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E145" s="15"/>
      <c r="AF145" s="15"/>
      <c r="AG145" s="15"/>
      <c r="AH145" s="15"/>
      <c r="AI145" s="15"/>
      <c r="AJ145" s="15"/>
      <c r="AK145" s="19"/>
    </row>
    <row r="146" spans="1:37" ht="15" customHeight="1" x14ac:dyDescent="0.2">
      <c r="A146" s="14"/>
      <c r="B146" s="14"/>
      <c r="C146" s="17"/>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
      <c r="AE146" s="15"/>
      <c r="AF146" s="15"/>
      <c r="AG146" s="15"/>
      <c r="AH146" s="15"/>
      <c r="AI146" s="15"/>
      <c r="AJ146" s="15"/>
      <c r="AK146" s="19"/>
    </row>
    <row r="147" spans="1:37" ht="15" customHeight="1" x14ac:dyDescent="0.2">
      <c r="A147" s="14"/>
      <c r="B147" s="14"/>
      <c r="C147" s="170" t="s">
        <v>43</v>
      </c>
      <c r="D147" s="171"/>
      <c r="E147" s="171"/>
      <c r="F147" s="171"/>
      <c r="G147" s="172" t="s">
        <v>44</v>
      </c>
      <c r="H147" s="172"/>
      <c r="I147" s="172"/>
      <c r="J147" s="172"/>
      <c r="K147" s="172"/>
      <c r="L147" s="172"/>
      <c r="M147" s="172"/>
      <c r="N147" s="172"/>
      <c r="O147" s="172"/>
      <c r="P147" s="172"/>
      <c r="Q147" s="172"/>
      <c r="R147" s="172"/>
      <c r="S147" s="172"/>
      <c r="T147" s="172"/>
      <c r="U147" s="172"/>
      <c r="V147" s="172"/>
      <c r="W147" s="172"/>
      <c r="X147" s="172"/>
      <c r="Y147" s="172"/>
      <c r="Z147" s="172"/>
      <c r="AA147" s="172"/>
      <c r="AB147" s="172"/>
      <c r="AC147" s="172"/>
      <c r="AD147" s="14"/>
      <c r="AE147" s="15"/>
      <c r="AF147" s="15"/>
      <c r="AG147" s="15"/>
      <c r="AH147" s="15"/>
      <c r="AI147" s="15"/>
      <c r="AJ147" s="15"/>
      <c r="AK147" s="19"/>
    </row>
    <row r="148" spans="1:37" ht="15" customHeight="1" x14ac:dyDescent="0.2">
      <c r="A148" s="14"/>
      <c r="B148" s="14"/>
      <c r="C148" s="170"/>
      <c r="D148" s="171"/>
      <c r="E148" s="171"/>
      <c r="F148" s="171"/>
      <c r="G148" s="172"/>
      <c r="H148" s="172"/>
      <c r="I148" s="172"/>
      <c r="J148" s="172"/>
      <c r="K148" s="172"/>
      <c r="L148" s="172"/>
      <c r="M148" s="172"/>
      <c r="N148" s="172"/>
      <c r="O148" s="172"/>
      <c r="P148" s="172"/>
      <c r="Q148" s="172"/>
      <c r="R148" s="172"/>
      <c r="S148" s="172"/>
      <c r="T148" s="172"/>
      <c r="U148" s="172"/>
      <c r="V148" s="172"/>
      <c r="W148" s="172"/>
      <c r="X148" s="172"/>
      <c r="Y148" s="172"/>
      <c r="Z148" s="172"/>
      <c r="AA148" s="172"/>
      <c r="AB148" s="172"/>
      <c r="AC148" s="172"/>
      <c r="AD148" s="14"/>
      <c r="AE148" s="15"/>
      <c r="AF148" s="15"/>
      <c r="AG148" s="15"/>
      <c r="AH148" s="15"/>
      <c r="AI148" s="15"/>
      <c r="AJ148" s="15"/>
      <c r="AK148" s="19"/>
    </row>
    <row r="149" spans="1:37" ht="15" customHeight="1" x14ac:dyDescent="0.2">
      <c r="A149" s="14"/>
      <c r="B149" s="14"/>
      <c r="C149" s="17"/>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14"/>
      <c r="AE149" s="15"/>
      <c r="AF149" s="15"/>
      <c r="AG149" s="15"/>
      <c r="AH149" s="15"/>
      <c r="AI149" s="15"/>
      <c r="AJ149" s="15"/>
      <c r="AK149" s="19"/>
    </row>
    <row r="150" spans="1:37" ht="15" customHeight="1" x14ac:dyDescent="0.25">
      <c r="A150" s="14"/>
      <c r="B150" s="14"/>
      <c r="C150" s="17"/>
      <c r="D150" s="12"/>
      <c r="E150" s="12"/>
      <c r="F150" s="12"/>
      <c r="G150" s="12"/>
      <c r="H150" s="12"/>
      <c r="I150" s="12"/>
      <c r="J150" s="12"/>
      <c r="K150" s="12"/>
      <c r="R150" s="12"/>
      <c r="S150" s="12"/>
      <c r="T150" s="12"/>
      <c r="U150" s="12"/>
      <c r="V150" s="13" t="s">
        <v>42</v>
      </c>
      <c r="W150" s="135">
        <f>Inputs!B10</f>
        <v>1861.5844683</v>
      </c>
      <c r="X150" s="135"/>
      <c r="Y150" s="135"/>
      <c r="Z150" s="135"/>
      <c r="AA150" s="135"/>
      <c r="AB150" s="135"/>
      <c r="AC150" s="135"/>
      <c r="AD150" s="14"/>
      <c r="AE150" s="15"/>
      <c r="AF150" s="15"/>
      <c r="AG150" s="15"/>
      <c r="AH150" s="15"/>
      <c r="AI150" s="15"/>
      <c r="AJ150" s="15"/>
      <c r="AK150" s="15"/>
    </row>
    <row r="151" spans="1:37" ht="15" customHeight="1" x14ac:dyDescent="0.25">
      <c r="A151" s="14"/>
      <c r="B151" s="14"/>
      <c r="C151" s="17"/>
      <c r="D151" s="12"/>
      <c r="E151" s="12"/>
      <c r="F151" s="12"/>
      <c r="G151" s="12"/>
      <c r="H151" s="12"/>
      <c r="I151" s="12"/>
      <c r="J151" s="12"/>
      <c r="K151" s="12"/>
      <c r="R151" s="12"/>
      <c r="S151" s="12"/>
      <c r="T151" s="12"/>
      <c r="U151" s="12"/>
      <c r="V151" s="13" t="s">
        <v>67</v>
      </c>
      <c r="W151" s="135">
        <f>Inputs!B11</f>
        <v>1675.42602147</v>
      </c>
      <c r="X151" s="135"/>
      <c r="Y151" s="135"/>
      <c r="Z151" s="135"/>
      <c r="AA151" s="135"/>
      <c r="AB151" s="135"/>
      <c r="AC151" s="135"/>
      <c r="AD151" s="14"/>
      <c r="AE151" s="15"/>
      <c r="AF151" s="15"/>
      <c r="AG151" s="15"/>
      <c r="AH151" s="15"/>
      <c r="AI151" s="15"/>
      <c r="AJ151" s="15"/>
      <c r="AK151" s="15"/>
    </row>
    <row r="152" spans="1:37" ht="15" customHeight="1" x14ac:dyDescent="0.2">
      <c r="A152" s="14"/>
      <c r="B152" s="14"/>
      <c r="C152" s="17"/>
      <c r="D152" s="12"/>
      <c r="E152" s="12"/>
      <c r="F152" s="12"/>
      <c r="G152" s="12"/>
      <c r="H152" s="12"/>
      <c r="I152" s="12"/>
      <c r="J152" s="12"/>
      <c r="K152" s="12"/>
      <c r="R152" s="12"/>
      <c r="S152" s="12"/>
      <c r="T152" s="12"/>
      <c r="U152" s="12"/>
      <c r="V152" s="8" t="s">
        <v>108</v>
      </c>
      <c r="W152" s="137">
        <f>Inputs!B12</f>
        <v>2.7453413533999997</v>
      </c>
      <c r="X152" s="137"/>
      <c r="Y152" s="137"/>
      <c r="Z152" s="137"/>
      <c r="AA152" s="137"/>
      <c r="AB152" s="137"/>
      <c r="AC152" s="137"/>
      <c r="AD152" s="14"/>
      <c r="AE152" s="15"/>
      <c r="AF152" s="15"/>
      <c r="AG152" s="15"/>
      <c r="AH152" s="15"/>
      <c r="AI152" s="15"/>
      <c r="AJ152" s="15"/>
      <c r="AK152" s="15"/>
    </row>
    <row r="153" spans="1:37" ht="15" customHeight="1" x14ac:dyDescent="0.2">
      <c r="A153" s="14"/>
      <c r="B153" s="14"/>
      <c r="C153" s="17"/>
      <c r="D153" s="12"/>
      <c r="E153" s="12"/>
      <c r="F153" s="12"/>
      <c r="G153" s="12"/>
      <c r="H153" s="12"/>
      <c r="I153" s="12"/>
      <c r="J153" s="12"/>
      <c r="K153" s="12"/>
      <c r="R153" s="12"/>
      <c r="S153" s="12"/>
      <c r="T153" s="12"/>
      <c r="U153" s="12"/>
      <c r="V153" s="57" t="s">
        <v>117</v>
      </c>
      <c r="W153" s="135">
        <f>Inputs!B13</f>
        <v>196500.582765</v>
      </c>
      <c r="X153" s="135"/>
      <c r="Y153" s="135"/>
      <c r="Z153" s="135"/>
      <c r="AA153" s="135"/>
      <c r="AB153" s="135"/>
      <c r="AC153" s="135"/>
      <c r="AD153" s="14"/>
      <c r="AE153" s="15"/>
      <c r="AF153" s="15"/>
      <c r="AG153" s="15"/>
      <c r="AH153" s="15"/>
      <c r="AI153" s="15"/>
      <c r="AJ153" s="15"/>
      <c r="AK153" s="15"/>
    </row>
    <row r="154" spans="1:37" ht="15" customHeight="1" x14ac:dyDescent="0.25">
      <c r="A154" s="14"/>
      <c r="B154" s="14"/>
      <c r="C154" s="17"/>
      <c r="D154" s="12"/>
      <c r="E154" s="12"/>
      <c r="F154" s="12"/>
      <c r="G154" s="12"/>
      <c r="H154" s="12"/>
      <c r="I154" s="12"/>
      <c r="J154" s="12"/>
      <c r="K154" s="12"/>
      <c r="R154" s="12"/>
      <c r="S154" s="12"/>
      <c r="T154" s="12"/>
      <c r="U154" s="12"/>
      <c r="V154" s="8" t="s">
        <v>113</v>
      </c>
      <c r="W154" s="135">
        <f>Inputs!B14</f>
        <v>26620.657896690002</v>
      </c>
      <c r="X154" s="135"/>
      <c r="Y154" s="135"/>
      <c r="Z154" s="135"/>
      <c r="AA154" s="135"/>
      <c r="AB154" s="135"/>
      <c r="AC154" s="135"/>
      <c r="AD154" s="14"/>
      <c r="AE154" s="15"/>
      <c r="AF154" s="15"/>
      <c r="AG154" s="15"/>
      <c r="AH154" s="15"/>
      <c r="AI154" s="15"/>
      <c r="AJ154" s="15"/>
      <c r="AK154" s="15"/>
    </row>
    <row r="155" spans="1:37" ht="15" customHeight="1" x14ac:dyDescent="0.2">
      <c r="A155" s="14"/>
      <c r="B155" s="14"/>
      <c r="C155" s="17"/>
      <c r="D155" s="14"/>
      <c r="E155" s="14"/>
      <c r="F155" s="14"/>
      <c r="G155" s="14"/>
      <c r="H155" s="14"/>
      <c r="I155" s="14"/>
      <c r="J155" s="14"/>
      <c r="K155" s="14"/>
      <c r="L155" s="14"/>
      <c r="M155" s="14"/>
      <c r="N155" s="14"/>
      <c r="O155" s="14"/>
      <c r="P155" s="14"/>
      <c r="Q155" s="14"/>
      <c r="R155" s="14"/>
      <c r="S155" s="14"/>
      <c r="T155" s="14"/>
      <c r="U155" s="22"/>
      <c r="V155" s="8" t="s">
        <v>95</v>
      </c>
      <c r="W155" s="153" t="str">
        <f>Inputs!B20</f>
        <v>Low Relaxation Strand</v>
      </c>
      <c r="X155" s="153"/>
      <c r="Y155" s="153"/>
      <c r="Z155" s="153"/>
      <c r="AA155" s="153"/>
      <c r="AB155" s="153"/>
      <c r="AC155" s="153"/>
      <c r="AD155" s="14"/>
      <c r="AE155" s="15"/>
      <c r="AF155" s="15"/>
      <c r="AG155" s="15"/>
      <c r="AH155" s="15"/>
      <c r="AI155" s="15"/>
      <c r="AJ155" s="15"/>
      <c r="AK155" s="15"/>
    </row>
    <row r="156" spans="1:37" ht="15" customHeight="1" x14ac:dyDescent="0.2">
      <c r="A156" s="14"/>
      <c r="B156" s="14"/>
      <c r="C156" s="17"/>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5"/>
      <c r="AF156" s="15"/>
      <c r="AG156" s="15"/>
      <c r="AH156" s="15"/>
      <c r="AI156" s="15"/>
      <c r="AJ156" s="15"/>
      <c r="AK156" s="15"/>
    </row>
    <row r="157" spans="1:37" ht="15" customHeight="1" x14ac:dyDescent="0.2">
      <c r="A157" s="14"/>
      <c r="B157" s="37"/>
      <c r="C157" s="131">
        <v>4</v>
      </c>
      <c r="D157" s="132"/>
      <c r="E157" s="156" t="s">
        <v>45</v>
      </c>
      <c r="F157" s="156"/>
      <c r="G157" s="156"/>
      <c r="H157" s="156"/>
      <c r="I157" s="156"/>
      <c r="J157" s="156"/>
      <c r="K157" s="156"/>
      <c r="L157" s="156"/>
      <c r="M157" s="156"/>
      <c r="N157" s="156"/>
      <c r="O157" s="156"/>
      <c r="P157" s="156"/>
      <c r="Q157" s="156"/>
      <c r="R157" s="156"/>
      <c r="S157" s="156"/>
      <c r="T157" s="156"/>
      <c r="U157" s="156"/>
      <c r="V157" s="156"/>
      <c r="W157" s="156"/>
      <c r="X157" s="156"/>
      <c r="Y157" s="156"/>
      <c r="Z157" s="156"/>
      <c r="AA157" s="156"/>
      <c r="AB157" s="156"/>
      <c r="AC157" s="156"/>
      <c r="AD157" s="156"/>
      <c r="AE157" s="15"/>
      <c r="AF157" s="15"/>
      <c r="AG157" s="15"/>
      <c r="AH157" s="15"/>
      <c r="AI157" s="15"/>
      <c r="AJ157" s="15"/>
      <c r="AK157" s="15"/>
    </row>
    <row r="158" spans="1:37" ht="15" customHeight="1" x14ac:dyDescent="0.2">
      <c r="A158" s="14"/>
      <c r="B158" s="14"/>
      <c r="C158" s="131"/>
      <c r="D158" s="132"/>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c r="AA158" s="156"/>
      <c r="AB158" s="156"/>
      <c r="AC158" s="156"/>
      <c r="AD158" s="156"/>
      <c r="AE158" s="15"/>
      <c r="AF158" s="15"/>
      <c r="AG158" s="15"/>
      <c r="AH158" s="15"/>
      <c r="AI158" s="15"/>
      <c r="AJ158" s="15"/>
      <c r="AK158" s="15"/>
    </row>
    <row r="159" spans="1:37" ht="15" customHeight="1" x14ac:dyDescent="0.2">
      <c r="A159" s="14"/>
      <c r="B159" s="14"/>
      <c r="C159" s="17"/>
      <c r="D159" s="12"/>
      <c r="E159" s="142" t="s">
        <v>139</v>
      </c>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E159" s="15"/>
      <c r="AF159" s="15"/>
      <c r="AG159" s="15"/>
      <c r="AH159" s="15"/>
      <c r="AI159" s="15"/>
      <c r="AJ159" s="15"/>
      <c r="AK159" s="15"/>
    </row>
    <row r="160" spans="1:37" ht="15" customHeight="1" x14ac:dyDescent="0.2">
      <c r="A160" s="14"/>
      <c r="B160" s="14"/>
      <c r="C160" s="17"/>
      <c r="D160" s="1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c r="AB160" s="142"/>
      <c r="AC160" s="142"/>
      <c r="AE160" s="15"/>
      <c r="AF160" s="15"/>
      <c r="AG160" s="15"/>
      <c r="AH160" s="15"/>
      <c r="AI160" s="15"/>
      <c r="AJ160" s="15"/>
      <c r="AK160" s="15"/>
    </row>
    <row r="161" spans="1:39" ht="15" customHeight="1" x14ac:dyDescent="0.2">
      <c r="A161" s="14"/>
      <c r="B161" s="14"/>
      <c r="C161" s="17"/>
      <c r="D161" s="1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c r="AB161" s="142"/>
      <c r="AC161" s="142"/>
      <c r="AE161" s="15"/>
      <c r="AF161" s="15"/>
      <c r="AG161" s="15"/>
      <c r="AH161" s="15"/>
      <c r="AI161" s="15"/>
      <c r="AJ161" s="15"/>
      <c r="AK161" s="15"/>
    </row>
    <row r="162" spans="1:39" ht="15" customHeight="1" x14ac:dyDescent="0.2">
      <c r="A162" s="14"/>
      <c r="B162" s="14"/>
      <c r="C162" s="17"/>
      <c r="D162" s="1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c r="AB162" s="142"/>
      <c r="AC162" s="142"/>
      <c r="AE162" s="15"/>
      <c r="AF162" s="15"/>
      <c r="AG162" s="15"/>
      <c r="AH162" s="15"/>
      <c r="AI162" s="15"/>
      <c r="AJ162" s="15"/>
      <c r="AK162" s="15"/>
    </row>
    <row r="163" spans="1:39" ht="15" customHeight="1" x14ac:dyDescent="0.2">
      <c r="A163" s="14"/>
      <c r="B163" s="14"/>
      <c r="C163" s="17"/>
      <c r="D163" s="1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E163" s="15"/>
      <c r="AF163" s="15"/>
      <c r="AG163" s="15"/>
      <c r="AH163" s="15"/>
      <c r="AI163" s="15"/>
      <c r="AJ163" s="15"/>
      <c r="AK163" s="15"/>
    </row>
    <row r="164" spans="1:39" ht="15" customHeight="1" x14ac:dyDescent="0.2">
      <c r="A164" s="14"/>
      <c r="B164" s="14"/>
      <c r="C164" s="17"/>
      <c r="D164" s="1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c r="AB164" s="142"/>
      <c r="AC164" s="142"/>
      <c r="AE164" s="15"/>
      <c r="AF164" s="15"/>
      <c r="AG164" s="15"/>
      <c r="AH164" s="15"/>
      <c r="AI164" s="15"/>
      <c r="AJ164" s="15"/>
      <c r="AK164" s="15"/>
    </row>
    <row r="165" spans="1:39" ht="15" customHeight="1" x14ac:dyDescent="0.2">
      <c r="A165" s="14"/>
      <c r="B165" s="14"/>
      <c r="C165" s="17"/>
      <c r="D165" s="1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E165" s="15"/>
      <c r="AF165" s="15"/>
      <c r="AG165" s="15"/>
      <c r="AH165" s="15"/>
      <c r="AI165" s="15"/>
      <c r="AJ165" s="15"/>
      <c r="AK165" s="15"/>
    </row>
    <row r="166" spans="1:39" ht="15" customHeight="1" x14ac:dyDescent="0.2">
      <c r="A166" s="14"/>
      <c r="B166" s="14"/>
      <c r="C166" s="17"/>
      <c r="D166" s="1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c r="AB166" s="142"/>
      <c r="AC166" s="142"/>
      <c r="AE166" s="15"/>
      <c r="AF166" s="15"/>
      <c r="AG166" s="15"/>
      <c r="AH166" s="15"/>
      <c r="AI166" s="15"/>
      <c r="AJ166" s="15"/>
      <c r="AK166" s="15"/>
    </row>
    <row r="167" spans="1:39" ht="15" customHeight="1" x14ac:dyDescent="0.2">
      <c r="A167" s="14"/>
      <c r="B167" s="14"/>
      <c r="C167" s="17"/>
      <c r="D167" s="1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E167" s="15"/>
      <c r="AF167" s="15"/>
      <c r="AG167" s="15"/>
      <c r="AH167" s="15"/>
      <c r="AI167" s="15"/>
      <c r="AJ167" s="15"/>
      <c r="AK167" s="15"/>
    </row>
    <row r="168" spans="1:39" ht="15" customHeight="1" x14ac:dyDescent="0.2">
      <c r="A168" s="14"/>
      <c r="B168" s="14"/>
      <c r="C168" s="17"/>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c r="AB168" s="142"/>
      <c r="AC168" s="142"/>
      <c r="AE168" s="15"/>
      <c r="AF168" s="15"/>
      <c r="AG168" s="15"/>
      <c r="AH168" s="15"/>
      <c r="AI168" s="15"/>
      <c r="AJ168" s="15"/>
      <c r="AK168" s="19"/>
    </row>
    <row r="169" spans="1:39" ht="15" customHeight="1" x14ac:dyDescent="0.2">
      <c r="A169" s="14"/>
      <c r="B169" s="14"/>
      <c r="C169" s="17"/>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c r="AB169" s="142"/>
      <c r="AC169" s="142"/>
      <c r="AD169" s="14"/>
      <c r="AE169" s="15"/>
      <c r="AF169" s="15"/>
      <c r="AG169" s="15"/>
      <c r="AH169" s="15"/>
      <c r="AI169" s="15"/>
      <c r="AJ169" s="15"/>
      <c r="AK169" s="19"/>
    </row>
    <row r="170" spans="1:39" ht="15" customHeight="1" x14ac:dyDescent="0.2">
      <c r="A170" s="14"/>
      <c r="B170" s="14"/>
      <c r="C170" s="17"/>
      <c r="D170" s="14"/>
      <c r="E170" s="14"/>
      <c r="F170" s="14"/>
      <c r="G170" s="14"/>
      <c r="H170" s="14"/>
      <c r="I170" s="14"/>
      <c r="J170" s="14"/>
      <c r="K170" s="14"/>
      <c r="R170" s="14"/>
      <c r="S170" s="14"/>
      <c r="T170" s="14"/>
      <c r="AD170" s="31"/>
      <c r="AE170" s="32"/>
      <c r="AF170" s="15"/>
      <c r="AG170" s="15"/>
      <c r="AH170" s="15"/>
      <c r="AI170" s="15"/>
      <c r="AJ170" s="15"/>
      <c r="AK170" s="15"/>
    </row>
    <row r="171" spans="1:39" ht="15" customHeight="1" x14ac:dyDescent="0.2">
      <c r="A171" s="14"/>
      <c r="B171" s="14"/>
      <c r="C171" s="17"/>
      <c r="D171" s="14"/>
      <c r="E171" s="14"/>
      <c r="F171" s="14"/>
      <c r="G171" s="14"/>
      <c r="H171" s="14"/>
      <c r="I171" s="14"/>
      <c r="J171" s="14"/>
      <c r="K171" s="14"/>
      <c r="R171" s="14"/>
      <c r="S171" s="14"/>
      <c r="T171" s="14"/>
      <c r="U171" s="22"/>
      <c r="V171" s="33" t="s">
        <v>84</v>
      </c>
      <c r="W171" s="135">
        <f>Inputs!B15</f>
        <v>1298.8218987795051</v>
      </c>
      <c r="X171" s="135"/>
      <c r="Y171" s="135"/>
      <c r="Z171" s="135"/>
      <c r="AA171" s="135"/>
      <c r="AB171" s="135"/>
      <c r="AC171" s="135"/>
      <c r="AD171" s="14"/>
      <c r="AE171" s="15"/>
      <c r="AF171" s="15"/>
      <c r="AG171" s="15"/>
      <c r="AH171" s="15"/>
      <c r="AI171" s="15"/>
      <c r="AJ171" s="15"/>
      <c r="AK171" s="15"/>
    </row>
    <row r="172" spans="1:39" ht="15" customHeight="1" x14ac:dyDescent="0.2">
      <c r="A172" s="14"/>
      <c r="B172" s="14"/>
      <c r="C172" s="17"/>
      <c r="D172" s="14"/>
      <c r="E172" s="14"/>
      <c r="F172" s="14"/>
      <c r="G172" s="14"/>
      <c r="H172" s="14"/>
      <c r="I172" s="14"/>
      <c r="J172" s="14"/>
      <c r="K172" s="14"/>
      <c r="R172" s="14"/>
      <c r="S172" s="14"/>
      <c r="T172" s="14"/>
      <c r="U172" s="22"/>
      <c r="V172" s="33" t="s">
        <v>83</v>
      </c>
      <c r="W172" s="135">
        <f>Inputs!B16</f>
        <v>1337.380897871403</v>
      </c>
      <c r="X172" s="135"/>
      <c r="Y172" s="135"/>
      <c r="Z172" s="135"/>
      <c r="AA172" s="135"/>
      <c r="AB172" s="135"/>
      <c r="AC172" s="135"/>
      <c r="AD172" s="14"/>
      <c r="AE172" s="15"/>
      <c r="AF172" s="15"/>
      <c r="AG172" s="15"/>
      <c r="AH172" s="15"/>
      <c r="AI172" s="15"/>
      <c r="AJ172" s="15"/>
      <c r="AK172" s="15"/>
    </row>
    <row r="173" spans="1:39" ht="15" customHeight="1" x14ac:dyDescent="0.2">
      <c r="A173" s="14"/>
      <c r="B173" s="14"/>
      <c r="C173" s="17"/>
      <c r="D173" s="14"/>
      <c r="E173" s="14"/>
      <c r="F173" s="14"/>
      <c r="G173" s="14"/>
      <c r="H173" s="14"/>
      <c r="I173" s="14"/>
      <c r="J173" s="14"/>
      <c r="K173" s="14"/>
      <c r="R173" s="14"/>
      <c r="S173" s="14"/>
      <c r="T173" s="14"/>
      <c r="U173" s="22"/>
      <c r="V173" s="33" t="s">
        <v>82</v>
      </c>
      <c r="W173" s="135">
        <f>Inputs!B17</f>
        <v>1366.049298683223</v>
      </c>
      <c r="X173" s="135"/>
      <c r="Y173" s="135"/>
      <c r="Z173" s="135"/>
      <c r="AA173" s="135"/>
      <c r="AB173" s="135"/>
      <c r="AC173" s="135"/>
      <c r="AD173" s="14"/>
      <c r="AE173" s="15"/>
      <c r="AF173" s="15"/>
      <c r="AG173" s="15"/>
      <c r="AH173" s="15"/>
      <c r="AI173" s="15"/>
      <c r="AJ173" s="15"/>
      <c r="AK173" s="15"/>
    </row>
    <row r="174" spans="1:39" ht="15" customHeight="1" x14ac:dyDescent="0.25">
      <c r="A174" s="14"/>
      <c r="B174" s="14"/>
      <c r="C174" s="17"/>
      <c r="D174" s="14"/>
      <c r="E174" s="14"/>
      <c r="F174" s="14"/>
      <c r="G174" s="14"/>
      <c r="H174" s="14"/>
      <c r="I174" s="14"/>
      <c r="J174" s="14"/>
      <c r="K174" s="14"/>
      <c r="L174" s="14"/>
      <c r="M174" s="14"/>
      <c r="N174" s="14"/>
      <c r="O174" s="14"/>
      <c r="P174" s="14"/>
      <c r="Q174" s="14"/>
      <c r="R174" s="14"/>
      <c r="S174" s="14"/>
      <c r="T174" s="14"/>
      <c r="U174" s="22"/>
      <c r="V174" s="8" t="s">
        <v>81</v>
      </c>
      <c r="W174" s="135">
        <f>Inputs!B18</f>
        <v>1216.2569044414636</v>
      </c>
      <c r="X174" s="135"/>
      <c r="Y174" s="135"/>
      <c r="Z174" s="135"/>
      <c r="AA174" s="135"/>
      <c r="AB174" s="135"/>
      <c r="AC174" s="135"/>
      <c r="AD174" s="14"/>
      <c r="AE174" s="15"/>
      <c r="AF174" s="15"/>
      <c r="AG174" s="15"/>
      <c r="AH174" s="15"/>
      <c r="AI174" s="15"/>
      <c r="AJ174" s="15"/>
      <c r="AK174" s="15"/>
      <c r="AM174" s="52"/>
    </row>
    <row r="175" spans="1:39" ht="15" customHeight="1" x14ac:dyDescent="0.25">
      <c r="A175" s="14"/>
      <c r="B175" s="14"/>
      <c r="C175" s="44"/>
      <c r="D175" s="45"/>
      <c r="U175" s="22"/>
      <c r="V175" s="8" t="s">
        <v>80</v>
      </c>
      <c r="W175" s="135">
        <f>Inputs!B19</f>
        <v>1171.5341991750245</v>
      </c>
      <c r="X175" s="135"/>
      <c r="Y175" s="135"/>
      <c r="Z175" s="135"/>
      <c r="AA175" s="135"/>
      <c r="AB175" s="135"/>
      <c r="AC175" s="135"/>
      <c r="AD175" s="45"/>
      <c r="AE175" s="46"/>
      <c r="AF175" s="46"/>
      <c r="AG175" s="46"/>
      <c r="AH175" s="46"/>
      <c r="AI175" s="46"/>
      <c r="AJ175" s="46"/>
      <c r="AK175" s="46"/>
    </row>
    <row r="176" spans="1:39" ht="15" customHeight="1" x14ac:dyDescent="0.2">
      <c r="A176" s="14"/>
      <c r="B176" s="14"/>
      <c r="C176" s="44"/>
      <c r="D176" s="45"/>
      <c r="AD176" s="45"/>
      <c r="AE176" s="46"/>
      <c r="AF176" s="46"/>
      <c r="AG176" s="46"/>
      <c r="AH176" s="46"/>
      <c r="AI176" s="46"/>
      <c r="AJ176" s="46"/>
      <c r="AK176" s="46"/>
    </row>
    <row r="177" spans="1:37" ht="15" customHeight="1" x14ac:dyDescent="0.2">
      <c r="A177" s="14"/>
      <c r="B177" s="14"/>
      <c r="C177" s="44"/>
      <c r="D177" s="45"/>
      <c r="E177" s="190" t="s">
        <v>85</v>
      </c>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c r="AB177" s="190"/>
      <c r="AC177" s="190"/>
      <c r="AD177" s="45"/>
      <c r="AE177" s="46"/>
      <c r="AF177" s="46"/>
      <c r="AG177" s="46"/>
      <c r="AH177" s="46"/>
      <c r="AI177" s="46"/>
      <c r="AJ177" s="46"/>
      <c r="AK177" s="46"/>
    </row>
    <row r="178" spans="1:37" ht="15" customHeight="1" x14ac:dyDescent="0.2">
      <c r="A178" s="14"/>
      <c r="B178" s="14"/>
      <c r="C178" s="44"/>
      <c r="D178" s="45"/>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c r="AB178" s="190"/>
      <c r="AC178" s="190"/>
      <c r="AD178" s="45"/>
      <c r="AE178" s="46"/>
      <c r="AF178" s="46"/>
      <c r="AG178" s="46"/>
      <c r="AH178" s="46"/>
      <c r="AI178" s="46"/>
      <c r="AJ178" s="46"/>
      <c r="AK178" s="46"/>
    </row>
    <row r="179" spans="1:37" ht="15" customHeight="1" x14ac:dyDescent="0.2">
      <c r="A179" s="14"/>
      <c r="B179" s="14"/>
      <c r="C179" s="44"/>
      <c r="D179" s="45"/>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c r="AB179" s="190"/>
      <c r="AC179" s="190"/>
      <c r="AD179" s="45"/>
      <c r="AE179" s="46"/>
      <c r="AF179" s="46"/>
      <c r="AG179" s="46"/>
      <c r="AH179" s="46"/>
      <c r="AI179" s="46"/>
      <c r="AJ179" s="46"/>
      <c r="AK179" s="46"/>
    </row>
    <row r="180" spans="1:37" ht="15" customHeight="1" x14ac:dyDescent="0.2">
      <c r="A180" s="14"/>
      <c r="B180" s="14"/>
      <c r="C180" s="44"/>
      <c r="D180" s="45"/>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c r="AB180" s="190"/>
      <c r="AC180" s="190"/>
      <c r="AD180" s="45"/>
      <c r="AE180" s="46"/>
      <c r="AF180" s="46"/>
      <c r="AG180" s="46"/>
      <c r="AH180" s="46"/>
      <c r="AI180" s="46"/>
      <c r="AJ180" s="46"/>
      <c r="AK180" s="46"/>
    </row>
    <row r="181" spans="1:37" ht="15" customHeight="1" x14ac:dyDescent="0.2">
      <c r="A181" s="14"/>
      <c r="B181" s="14"/>
      <c r="C181" s="44"/>
      <c r="D181" s="45"/>
      <c r="AD181" s="45"/>
      <c r="AE181" s="46"/>
      <c r="AF181" s="46"/>
      <c r="AG181" s="46"/>
      <c r="AH181" s="46"/>
      <c r="AI181" s="46"/>
      <c r="AJ181" s="46"/>
      <c r="AK181" s="46"/>
    </row>
    <row r="182" spans="1:37" ht="15" customHeight="1" x14ac:dyDescent="0.2">
      <c r="A182" s="14"/>
      <c r="B182" s="14"/>
      <c r="C182" s="44"/>
      <c r="D182" s="45"/>
      <c r="AD182" s="45"/>
      <c r="AE182" s="46"/>
      <c r="AF182" s="46"/>
      <c r="AG182" s="46"/>
      <c r="AH182" s="46"/>
      <c r="AI182" s="46"/>
      <c r="AJ182" s="46"/>
      <c r="AK182" s="46"/>
    </row>
    <row r="183" spans="1:37" ht="15" customHeight="1" x14ac:dyDescent="0.2">
      <c r="A183" s="14"/>
      <c r="B183" s="14"/>
      <c r="C183" s="44"/>
      <c r="D183" s="45"/>
      <c r="AD183" s="45"/>
      <c r="AE183" s="46"/>
      <c r="AF183" s="46"/>
      <c r="AG183" s="46"/>
      <c r="AH183" s="46"/>
      <c r="AI183" s="46"/>
      <c r="AJ183" s="46"/>
      <c r="AK183" s="46"/>
    </row>
    <row r="184" spans="1:37" ht="15" customHeight="1" x14ac:dyDescent="0.2">
      <c r="A184" s="14"/>
      <c r="B184" s="37"/>
      <c r="C184" s="131">
        <v>5</v>
      </c>
      <c r="D184" s="132"/>
      <c r="E184" s="156" t="s">
        <v>46</v>
      </c>
      <c r="F184" s="156"/>
      <c r="G184" s="156"/>
      <c r="H184" s="156"/>
      <c r="I184" s="156"/>
      <c r="J184" s="156"/>
      <c r="K184" s="156"/>
      <c r="L184" s="156"/>
      <c r="M184" s="156"/>
      <c r="N184" s="156"/>
      <c r="O184" s="156"/>
      <c r="P184" s="156"/>
      <c r="Q184" s="156"/>
      <c r="R184" s="156"/>
      <c r="S184" s="156"/>
      <c r="T184" s="156"/>
      <c r="U184" s="156"/>
      <c r="V184" s="156"/>
      <c r="W184" s="156"/>
      <c r="X184" s="156"/>
      <c r="Y184" s="156"/>
      <c r="Z184" s="156"/>
      <c r="AA184" s="156"/>
      <c r="AB184" s="156"/>
      <c r="AC184" s="156"/>
      <c r="AD184" s="156"/>
      <c r="AE184" s="15"/>
      <c r="AF184" s="15"/>
      <c r="AG184" s="15"/>
      <c r="AH184" s="15"/>
      <c r="AI184" s="15"/>
      <c r="AJ184" s="15"/>
      <c r="AK184" s="15"/>
    </row>
    <row r="185" spans="1:37" ht="15" customHeight="1" x14ac:dyDescent="0.2">
      <c r="A185" s="14"/>
      <c r="B185" s="14"/>
      <c r="C185" s="131"/>
      <c r="D185" s="132"/>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c r="AD185" s="156"/>
      <c r="AE185" s="15"/>
      <c r="AF185" s="15"/>
      <c r="AG185" s="15"/>
      <c r="AH185" s="15"/>
      <c r="AI185" s="15"/>
      <c r="AJ185" s="15"/>
      <c r="AK185" s="15"/>
    </row>
    <row r="186" spans="1:37" ht="15" customHeight="1" x14ac:dyDescent="0.2">
      <c r="A186" s="14"/>
      <c r="B186" s="14"/>
      <c r="C186" s="17"/>
      <c r="D186" s="12"/>
      <c r="E186" s="143" t="s">
        <v>51</v>
      </c>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E186" s="15"/>
      <c r="AF186" s="15"/>
      <c r="AG186" s="15"/>
      <c r="AH186" s="15"/>
      <c r="AI186" s="15"/>
      <c r="AJ186" s="15"/>
      <c r="AK186" s="15"/>
    </row>
    <row r="187" spans="1:37" ht="15" customHeight="1" x14ac:dyDescent="0.2">
      <c r="A187" s="14"/>
      <c r="B187" s="14"/>
      <c r="C187" s="17"/>
      <c r="D187" s="12"/>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E187" s="15"/>
      <c r="AF187" s="15"/>
      <c r="AG187" s="15"/>
      <c r="AH187" s="15"/>
      <c r="AI187" s="15"/>
      <c r="AJ187" s="15"/>
      <c r="AK187" s="15"/>
    </row>
    <row r="188" spans="1:37" ht="15" customHeight="1" x14ac:dyDescent="0.2">
      <c r="A188" s="14"/>
      <c r="B188" s="14"/>
      <c r="C188" s="17"/>
      <c r="D188" s="12"/>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E188" s="15"/>
      <c r="AF188" s="15"/>
      <c r="AG188" s="15"/>
      <c r="AH188" s="15"/>
      <c r="AI188" s="15"/>
      <c r="AJ188" s="15"/>
      <c r="AK188" s="15"/>
    </row>
    <row r="189" spans="1:37" ht="15" customHeight="1" x14ac:dyDescent="0.2">
      <c r="A189" s="14"/>
      <c r="B189" s="14"/>
      <c r="C189" s="17"/>
      <c r="D189" s="12"/>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E189" s="15"/>
      <c r="AF189" s="15"/>
      <c r="AG189" s="15"/>
      <c r="AH189" s="15"/>
      <c r="AI189" s="15"/>
      <c r="AJ189" s="15"/>
      <c r="AK189" s="15"/>
    </row>
    <row r="190" spans="1:37" ht="15" customHeight="1" x14ac:dyDescent="0.2">
      <c r="A190" s="14"/>
      <c r="B190" s="14"/>
      <c r="C190" s="17"/>
      <c r="D190" s="12"/>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E190" s="15"/>
      <c r="AF190" s="15"/>
      <c r="AG190" s="15"/>
      <c r="AH190" s="15"/>
      <c r="AI190" s="15"/>
      <c r="AJ190" s="15"/>
      <c r="AK190" s="15"/>
    </row>
    <row r="191" spans="1:37" ht="15" customHeight="1" x14ac:dyDescent="0.2">
      <c r="A191" s="14"/>
      <c r="B191" s="14"/>
      <c r="C191" s="17"/>
      <c r="D191" s="12"/>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E191" s="15"/>
      <c r="AF191" s="15"/>
      <c r="AG191" s="15"/>
      <c r="AH191" s="15"/>
      <c r="AI191" s="15"/>
      <c r="AJ191" s="15"/>
      <c r="AK191" s="15"/>
    </row>
    <row r="192" spans="1:37" ht="15" customHeight="1" x14ac:dyDescent="0.2">
      <c r="A192" s="14"/>
      <c r="B192" s="14"/>
      <c r="C192" s="17"/>
      <c r="D192" s="12"/>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E192" s="15"/>
      <c r="AF192" s="15"/>
      <c r="AG192" s="15"/>
      <c r="AH192" s="15"/>
      <c r="AI192" s="15"/>
      <c r="AJ192" s="15"/>
      <c r="AK192" s="15"/>
    </row>
    <row r="193" spans="1:37" ht="15" customHeight="1" x14ac:dyDescent="0.2">
      <c r="A193" s="14"/>
      <c r="B193" s="14"/>
      <c r="C193" s="17"/>
      <c r="D193" s="12"/>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E193" s="15"/>
      <c r="AF193" s="15"/>
      <c r="AG193" s="15"/>
      <c r="AH193" s="15"/>
      <c r="AI193" s="15"/>
      <c r="AJ193" s="15"/>
      <c r="AK193" s="15"/>
    </row>
    <row r="194" spans="1:37" ht="15" customHeight="1" x14ac:dyDescent="0.2">
      <c r="A194" s="14"/>
      <c r="B194" s="14"/>
      <c r="C194" s="17"/>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E194" s="15"/>
      <c r="AF194" s="15"/>
      <c r="AG194" s="15"/>
      <c r="AH194" s="15"/>
      <c r="AI194" s="15"/>
      <c r="AJ194" s="15"/>
      <c r="AK194" s="19"/>
    </row>
    <row r="195" spans="1:37" ht="15" customHeight="1" x14ac:dyDescent="0.2">
      <c r="A195" s="14"/>
      <c r="B195" s="14"/>
      <c r="C195" s="17"/>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
      <c r="AE195" s="15"/>
      <c r="AF195" s="15"/>
      <c r="AG195" s="15"/>
      <c r="AH195" s="15"/>
      <c r="AI195" s="15"/>
      <c r="AJ195" s="15"/>
      <c r="AK195" s="19"/>
    </row>
    <row r="196" spans="1:37" ht="15" customHeight="1" x14ac:dyDescent="0.2">
      <c r="A196" s="14"/>
      <c r="B196" s="14"/>
      <c r="C196" s="170" t="s">
        <v>47</v>
      </c>
      <c r="D196" s="171"/>
      <c r="E196" s="171"/>
      <c r="F196" s="171"/>
      <c r="G196" s="172" t="s">
        <v>48</v>
      </c>
      <c r="H196" s="172"/>
      <c r="I196" s="172"/>
      <c r="J196" s="172"/>
      <c r="K196" s="172"/>
      <c r="L196" s="172"/>
      <c r="M196" s="172"/>
      <c r="N196" s="172"/>
      <c r="O196" s="172"/>
      <c r="P196" s="172"/>
      <c r="Q196" s="172"/>
      <c r="R196" s="172"/>
      <c r="S196" s="172"/>
      <c r="T196" s="172"/>
      <c r="U196" s="172"/>
      <c r="V196" s="172"/>
      <c r="W196" s="172"/>
      <c r="X196" s="172"/>
      <c r="Y196" s="172"/>
      <c r="Z196" s="172"/>
      <c r="AA196" s="172"/>
      <c r="AB196" s="172"/>
      <c r="AC196" s="172"/>
      <c r="AD196" s="14"/>
      <c r="AE196" s="15"/>
      <c r="AF196" s="15"/>
      <c r="AG196" s="15"/>
      <c r="AH196" s="15"/>
      <c r="AI196" s="15"/>
      <c r="AJ196" s="15"/>
      <c r="AK196" s="15"/>
    </row>
    <row r="197" spans="1:37" ht="15" customHeight="1" x14ac:dyDescent="0.2">
      <c r="A197" s="14"/>
      <c r="B197" s="14"/>
      <c r="C197" s="170"/>
      <c r="D197" s="171"/>
      <c r="E197" s="171"/>
      <c r="F197" s="171"/>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c r="AC197" s="172"/>
      <c r="AD197" s="14"/>
      <c r="AE197" s="15"/>
      <c r="AF197" s="15"/>
      <c r="AG197" s="15"/>
      <c r="AH197" s="15"/>
      <c r="AI197" s="15"/>
      <c r="AJ197" s="15"/>
      <c r="AK197" s="15"/>
    </row>
    <row r="198" spans="1:37" ht="15" customHeight="1" x14ac:dyDescent="0.2">
      <c r="A198" s="14"/>
      <c r="B198" s="14"/>
      <c r="C198" s="25"/>
      <c r="D198" s="26"/>
      <c r="E198" s="16"/>
      <c r="F198" s="14"/>
      <c r="G198" s="143" t="s">
        <v>63</v>
      </c>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
      <c r="AE198" s="15"/>
      <c r="AF198" s="15"/>
      <c r="AG198" s="15"/>
      <c r="AH198" s="15"/>
      <c r="AI198" s="15"/>
      <c r="AJ198" s="15"/>
      <c r="AK198" s="15"/>
    </row>
    <row r="199" spans="1:37" ht="15" customHeight="1" x14ac:dyDescent="0.2">
      <c r="A199" s="14"/>
      <c r="B199" s="14"/>
      <c r="C199" s="25"/>
      <c r="D199" s="26"/>
      <c r="E199" s="16"/>
      <c r="F199" s="14"/>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
      <c r="AE199" s="15"/>
      <c r="AF199" s="15"/>
      <c r="AG199" s="15"/>
      <c r="AH199" s="15"/>
      <c r="AI199" s="15"/>
      <c r="AJ199" s="15"/>
      <c r="AK199" s="15"/>
    </row>
    <row r="200" spans="1:37" ht="15" customHeight="1" x14ac:dyDescent="0.2">
      <c r="A200" s="14"/>
      <c r="B200" s="14"/>
      <c r="C200" s="25"/>
      <c r="D200" s="26"/>
      <c r="E200" s="16"/>
      <c r="F200" s="14"/>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
      <c r="AE200" s="15"/>
      <c r="AF200" s="15"/>
      <c r="AG200" s="15"/>
      <c r="AH200" s="15"/>
      <c r="AI200" s="15"/>
      <c r="AJ200" s="15"/>
      <c r="AK200" s="15"/>
    </row>
    <row r="201" spans="1:37" ht="15" customHeight="1" x14ac:dyDescent="0.2">
      <c r="A201" s="14"/>
      <c r="B201" s="14"/>
      <c r="C201" s="25"/>
      <c r="D201" s="26"/>
      <c r="E201" s="16"/>
      <c r="F201" s="14"/>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
      <c r="AE201" s="15"/>
      <c r="AF201" s="15"/>
      <c r="AG201" s="15"/>
      <c r="AH201" s="15"/>
      <c r="AI201" s="15"/>
      <c r="AJ201" s="15"/>
      <c r="AK201" s="15"/>
    </row>
    <row r="202" spans="1:37" ht="15" customHeight="1" x14ac:dyDescent="0.2">
      <c r="A202" s="14"/>
      <c r="B202" s="14"/>
      <c r="C202" s="25"/>
      <c r="D202" s="26"/>
      <c r="E202" s="16"/>
      <c r="F202" s="14"/>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
      <c r="AE202" s="15"/>
      <c r="AF202" s="15"/>
      <c r="AG202" s="15"/>
      <c r="AH202" s="15"/>
      <c r="AI202" s="15"/>
      <c r="AJ202" s="15"/>
      <c r="AK202" s="15"/>
    </row>
    <row r="203" spans="1:37" ht="15" customHeight="1" x14ac:dyDescent="0.2">
      <c r="A203" s="14"/>
      <c r="B203" s="14"/>
      <c r="C203" s="25"/>
      <c r="D203" s="26"/>
      <c r="E203" s="16"/>
      <c r="F203" s="14"/>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
      <c r="AE203" s="15"/>
      <c r="AF203" s="15"/>
      <c r="AG203" s="15"/>
      <c r="AH203" s="15"/>
      <c r="AI203" s="15"/>
      <c r="AJ203" s="15"/>
      <c r="AK203" s="15"/>
    </row>
    <row r="204" spans="1:37" ht="15" customHeight="1" x14ac:dyDescent="0.2">
      <c r="A204" s="14"/>
      <c r="B204" s="14"/>
      <c r="C204" s="25"/>
      <c r="D204" s="26"/>
      <c r="E204" s="16"/>
      <c r="F204" s="14"/>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
      <c r="AE204" s="15"/>
      <c r="AF204" s="15"/>
      <c r="AG204" s="15"/>
      <c r="AH204" s="15"/>
      <c r="AI204" s="15"/>
      <c r="AJ204" s="15"/>
      <c r="AK204" s="15"/>
    </row>
    <row r="205" spans="1:37" ht="15" customHeight="1" x14ac:dyDescent="0.2">
      <c r="A205" s="14"/>
      <c r="B205" s="14"/>
      <c r="C205" s="25"/>
      <c r="D205" s="26"/>
      <c r="E205" s="16"/>
      <c r="F205" s="14"/>
      <c r="G205" s="69" t="s">
        <v>172</v>
      </c>
      <c r="H205" s="143" t="s">
        <v>52</v>
      </c>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
      <c r="AE205" s="15"/>
      <c r="AF205" s="15"/>
      <c r="AG205" s="15"/>
      <c r="AH205" s="15"/>
      <c r="AI205" s="15"/>
      <c r="AJ205" s="15"/>
      <c r="AK205" s="15"/>
    </row>
    <row r="206" spans="1:37" ht="15" customHeight="1" x14ac:dyDescent="0.2">
      <c r="A206" s="14"/>
      <c r="B206" s="14"/>
      <c r="C206" s="25"/>
      <c r="D206" s="26"/>
      <c r="E206" s="16"/>
      <c r="F206" s="14"/>
      <c r="G206" s="36"/>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
      <c r="AE206" s="15"/>
      <c r="AF206" s="15"/>
      <c r="AG206" s="15"/>
      <c r="AH206" s="15"/>
      <c r="AI206" s="15"/>
      <c r="AJ206" s="15"/>
      <c r="AK206" s="15"/>
    </row>
    <row r="207" spans="1:37" ht="15" customHeight="1" x14ac:dyDescent="0.2">
      <c r="A207" s="14"/>
      <c r="B207" s="14"/>
      <c r="C207" s="25"/>
      <c r="D207" s="26"/>
      <c r="E207" s="16"/>
      <c r="F207" s="14"/>
      <c r="G207" s="69" t="s">
        <v>172</v>
      </c>
      <c r="H207" s="143" t="s">
        <v>53</v>
      </c>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
      <c r="AE207" s="15"/>
      <c r="AF207" s="15"/>
      <c r="AG207" s="15"/>
      <c r="AH207" s="15"/>
      <c r="AI207" s="15"/>
      <c r="AJ207" s="15"/>
      <c r="AK207" s="15"/>
    </row>
    <row r="208" spans="1:37" ht="15" customHeight="1" x14ac:dyDescent="0.2">
      <c r="A208" s="14"/>
      <c r="B208" s="14"/>
      <c r="C208" s="25"/>
      <c r="D208" s="26"/>
      <c r="E208" s="16"/>
      <c r="F208" s="14"/>
      <c r="G208" s="36"/>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
      <c r="AE208" s="15"/>
      <c r="AF208" s="15"/>
      <c r="AG208" s="15"/>
      <c r="AH208" s="15"/>
      <c r="AI208" s="15"/>
      <c r="AJ208" s="15"/>
      <c r="AK208" s="15"/>
    </row>
    <row r="209" spans="1:37" ht="15" customHeight="1" x14ac:dyDescent="0.2">
      <c r="A209" s="14"/>
      <c r="B209" s="14"/>
      <c r="C209" s="25"/>
      <c r="D209" s="26"/>
      <c r="E209" s="16"/>
      <c r="F209" s="14"/>
      <c r="G209" s="69" t="s">
        <v>172</v>
      </c>
      <c r="H209" s="143" t="s">
        <v>54</v>
      </c>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
      <c r="AE209" s="15"/>
      <c r="AF209" s="15"/>
      <c r="AG209" s="15"/>
      <c r="AH209" s="15"/>
      <c r="AI209" s="15"/>
      <c r="AJ209" s="15"/>
      <c r="AK209" s="15"/>
    </row>
    <row r="210" spans="1:37" ht="15" customHeight="1" x14ac:dyDescent="0.2">
      <c r="A210" s="14"/>
      <c r="B210" s="14"/>
      <c r="C210" s="25"/>
      <c r="D210" s="26"/>
      <c r="E210" s="16"/>
      <c r="F210" s="14"/>
      <c r="G210" s="36"/>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
      <c r="AE210" s="15"/>
      <c r="AF210" s="15"/>
      <c r="AG210" s="15"/>
      <c r="AH210" s="15"/>
      <c r="AI210" s="15"/>
      <c r="AJ210" s="15"/>
      <c r="AK210" s="15"/>
    </row>
    <row r="211" spans="1:37" ht="15" customHeight="1" x14ac:dyDescent="0.2">
      <c r="A211" s="14"/>
      <c r="B211" s="14"/>
      <c r="C211" s="25"/>
      <c r="D211" s="26"/>
      <c r="E211" s="16"/>
      <c r="F211" s="14"/>
      <c r="G211" s="69" t="s">
        <v>172</v>
      </c>
      <c r="H211" s="143" t="s">
        <v>55</v>
      </c>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
      <c r="AE211" s="15"/>
      <c r="AF211" s="15"/>
      <c r="AG211" s="15"/>
      <c r="AH211" s="15"/>
      <c r="AI211" s="15"/>
      <c r="AJ211" s="15"/>
      <c r="AK211" s="15"/>
    </row>
    <row r="212" spans="1:37" ht="15" customHeight="1" x14ac:dyDescent="0.2">
      <c r="A212" s="14"/>
      <c r="B212" s="14"/>
      <c r="C212" s="25"/>
      <c r="D212" s="26"/>
      <c r="E212" s="16"/>
      <c r="F212" s="14"/>
      <c r="G212" s="36"/>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
      <c r="AE212" s="15"/>
      <c r="AF212" s="15"/>
      <c r="AG212" s="15"/>
      <c r="AH212" s="15"/>
      <c r="AI212" s="15"/>
      <c r="AJ212" s="15"/>
      <c r="AK212" s="15"/>
    </row>
    <row r="213" spans="1:37" ht="15" customHeight="1" x14ac:dyDescent="0.2">
      <c r="A213" s="14"/>
      <c r="B213" s="14"/>
      <c r="C213" s="25"/>
      <c r="D213" s="26"/>
      <c r="E213" s="16"/>
      <c r="F213" s="14"/>
      <c r="G213" s="36"/>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
      <c r="AE213" s="15"/>
      <c r="AF213" s="15"/>
      <c r="AG213" s="15"/>
      <c r="AH213" s="15"/>
      <c r="AI213" s="15"/>
      <c r="AJ213" s="15"/>
      <c r="AK213" s="15"/>
    </row>
    <row r="214" spans="1:37" ht="15" customHeight="1" x14ac:dyDescent="0.2">
      <c r="A214" s="14"/>
      <c r="B214" s="14"/>
      <c r="C214" s="25"/>
      <c r="D214" s="26"/>
      <c r="E214" s="16"/>
      <c r="F214" s="14"/>
      <c r="G214" s="36"/>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
      <c r="AE214" s="15"/>
      <c r="AF214" s="15"/>
      <c r="AG214" s="15"/>
      <c r="AH214" s="15"/>
      <c r="AI214" s="15"/>
      <c r="AJ214" s="15"/>
      <c r="AK214" s="15"/>
    </row>
    <row r="215" spans="1:37" ht="15" customHeight="1" x14ac:dyDescent="0.2">
      <c r="A215" s="14"/>
      <c r="B215" s="14"/>
      <c r="C215" s="25"/>
      <c r="D215" s="26"/>
      <c r="E215" s="16"/>
      <c r="F215" s="14"/>
      <c r="G215" s="143" t="s">
        <v>56</v>
      </c>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
      <c r="AE215" s="15"/>
      <c r="AF215" s="15"/>
      <c r="AG215" s="15"/>
      <c r="AH215" s="15"/>
      <c r="AI215" s="15"/>
      <c r="AJ215" s="15"/>
      <c r="AK215" s="15"/>
    </row>
    <row r="216" spans="1:37" ht="15" customHeight="1" x14ac:dyDescent="0.2">
      <c r="A216" s="14"/>
      <c r="B216" s="14"/>
      <c r="C216" s="25"/>
      <c r="D216" s="26"/>
      <c r="E216" s="16"/>
      <c r="F216" s="14"/>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
      <c r="AE216" s="15"/>
      <c r="AF216" s="15"/>
      <c r="AG216" s="15"/>
      <c r="AH216" s="15"/>
      <c r="AI216" s="15"/>
      <c r="AJ216" s="15"/>
      <c r="AK216" s="15"/>
    </row>
    <row r="217" spans="1:37" ht="15" customHeight="1" x14ac:dyDescent="0.2">
      <c r="A217" s="14"/>
      <c r="B217" s="14"/>
      <c r="C217" s="25"/>
      <c r="D217" s="26"/>
      <c r="E217" s="16"/>
      <c r="F217" s="14"/>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
      <c r="AE217" s="15"/>
      <c r="AF217" s="15"/>
      <c r="AG217" s="15"/>
      <c r="AH217" s="15"/>
      <c r="AI217" s="15"/>
      <c r="AJ217" s="15"/>
      <c r="AK217" s="15"/>
    </row>
    <row r="218" spans="1:37" ht="15" customHeight="1" x14ac:dyDescent="0.2">
      <c r="A218" s="14"/>
      <c r="B218" s="14"/>
      <c r="C218" s="25"/>
      <c r="D218" s="26"/>
      <c r="E218" s="16"/>
      <c r="F218" s="14"/>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14"/>
      <c r="AE218" s="15"/>
      <c r="AF218" s="15"/>
      <c r="AG218" s="15"/>
      <c r="AH218" s="15"/>
      <c r="AI218" s="15"/>
      <c r="AJ218" s="15"/>
      <c r="AK218" s="15"/>
    </row>
    <row r="219" spans="1:37" ht="15" customHeight="1" x14ac:dyDescent="0.2">
      <c r="A219" s="14"/>
      <c r="B219" s="14"/>
      <c r="C219" s="25"/>
      <c r="D219" s="26"/>
      <c r="E219" s="16"/>
      <c r="F219" s="14"/>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14"/>
      <c r="AE219" s="15"/>
      <c r="AF219" s="15"/>
      <c r="AG219" s="15"/>
      <c r="AH219" s="15"/>
      <c r="AI219" s="15"/>
      <c r="AJ219" s="15"/>
      <c r="AK219" s="15"/>
    </row>
    <row r="220" spans="1:37" ht="15" customHeight="1" x14ac:dyDescent="0.2">
      <c r="A220" s="14"/>
      <c r="B220" s="14"/>
      <c r="C220" s="25"/>
      <c r="D220" s="26"/>
      <c r="E220" s="16"/>
      <c r="F220" s="14"/>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14"/>
      <c r="AE220" s="15"/>
      <c r="AF220" s="15"/>
      <c r="AG220" s="15"/>
      <c r="AH220" s="15"/>
      <c r="AI220" s="15"/>
      <c r="AJ220" s="15"/>
      <c r="AK220" s="15"/>
    </row>
    <row r="221" spans="1:37" ht="15" customHeight="1" x14ac:dyDescent="0.2">
      <c r="A221" s="14"/>
      <c r="B221" s="14"/>
      <c r="C221" s="25"/>
      <c r="D221" s="26"/>
      <c r="E221" s="16"/>
      <c r="F221" s="14"/>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14"/>
      <c r="AE221" s="15"/>
      <c r="AF221" s="15"/>
      <c r="AG221" s="15"/>
      <c r="AH221" s="15"/>
      <c r="AI221" s="15"/>
      <c r="AJ221" s="15"/>
      <c r="AK221" s="15"/>
    </row>
    <row r="222" spans="1:37" ht="15" customHeight="1" x14ac:dyDescent="0.2">
      <c r="A222" s="14"/>
      <c r="B222" s="14"/>
      <c r="C222" s="25"/>
      <c r="D222" s="26"/>
      <c r="E222" s="16"/>
      <c r="F222" s="14"/>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14"/>
      <c r="AE222" s="15"/>
      <c r="AF222" s="15"/>
      <c r="AG222" s="15"/>
      <c r="AH222" s="15"/>
      <c r="AI222" s="15"/>
      <c r="AJ222" s="15"/>
      <c r="AK222" s="15"/>
    </row>
    <row r="223" spans="1:37" ht="15" customHeight="1" x14ac:dyDescent="0.2">
      <c r="A223" s="14"/>
      <c r="B223" s="14"/>
      <c r="C223" s="25"/>
      <c r="D223" s="26"/>
      <c r="E223" s="16"/>
      <c r="F223" s="14"/>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14"/>
      <c r="AE223" s="15"/>
      <c r="AF223" s="15"/>
      <c r="AG223" s="15"/>
      <c r="AH223" s="15"/>
      <c r="AI223" s="15"/>
      <c r="AJ223" s="15"/>
      <c r="AK223" s="15"/>
    </row>
    <row r="224" spans="1:37" ht="15" customHeight="1" x14ac:dyDescent="0.2">
      <c r="A224" s="14"/>
      <c r="B224" s="14"/>
      <c r="C224" s="25"/>
      <c r="D224" s="26"/>
      <c r="E224" s="16"/>
      <c r="F224" s="14"/>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14"/>
      <c r="AE224" s="15"/>
      <c r="AF224" s="15"/>
      <c r="AG224" s="15"/>
      <c r="AH224" s="15"/>
      <c r="AI224" s="15"/>
      <c r="AJ224" s="15"/>
      <c r="AK224" s="15"/>
    </row>
    <row r="225" spans="1:37" ht="15" customHeight="1" x14ac:dyDescent="0.2">
      <c r="A225" s="14"/>
      <c r="B225" s="14"/>
      <c r="C225" s="25"/>
      <c r="D225" s="26"/>
      <c r="E225" s="16"/>
      <c r="F225" s="14"/>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14"/>
      <c r="AE225" s="15"/>
      <c r="AF225" s="15"/>
      <c r="AG225" s="15"/>
      <c r="AH225" s="15"/>
      <c r="AI225" s="15"/>
      <c r="AJ225" s="15"/>
      <c r="AK225" s="15"/>
    </row>
    <row r="226" spans="1:37" ht="15" customHeight="1" x14ac:dyDescent="0.2">
      <c r="A226" s="14"/>
      <c r="B226" s="14"/>
      <c r="C226" s="25"/>
      <c r="D226" s="26"/>
      <c r="E226" s="16"/>
      <c r="F226" s="14"/>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14"/>
      <c r="AE226" s="15"/>
      <c r="AF226" s="15"/>
      <c r="AG226" s="15"/>
      <c r="AH226" s="15"/>
      <c r="AI226" s="15"/>
      <c r="AJ226" s="15"/>
      <c r="AK226" s="15"/>
    </row>
    <row r="227" spans="1:37" ht="15" customHeight="1" x14ac:dyDescent="0.2">
      <c r="A227" s="14"/>
      <c r="B227" s="14"/>
      <c r="C227" s="25"/>
      <c r="D227" s="26"/>
      <c r="E227" s="16"/>
      <c r="F227" s="14"/>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14"/>
      <c r="AE227" s="15"/>
      <c r="AF227" s="15"/>
      <c r="AG227" s="15"/>
      <c r="AH227" s="15"/>
      <c r="AI227" s="15"/>
      <c r="AJ227" s="15"/>
      <c r="AK227" s="15"/>
    </row>
    <row r="228" spans="1:37" ht="15" customHeight="1" x14ac:dyDescent="0.2">
      <c r="A228" s="14"/>
      <c r="B228" s="14"/>
      <c r="C228" s="125" t="s">
        <v>58</v>
      </c>
      <c r="D228" s="126"/>
      <c r="E228" s="126"/>
      <c r="F228" s="126"/>
      <c r="G228" s="126"/>
      <c r="H228" s="126"/>
      <c r="I228" s="127" t="s">
        <v>57</v>
      </c>
      <c r="J228" s="127"/>
      <c r="K228" s="127"/>
      <c r="L228" s="127"/>
      <c r="M228" s="127"/>
      <c r="N228" s="127"/>
      <c r="O228" s="127"/>
      <c r="P228" s="127"/>
      <c r="Q228" s="127"/>
      <c r="R228" s="127"/>
      <c r="S228" s="127"/>
      <c r="T228" s="127"/>
      <c r="U228" s="127"/>
      <c r="V228" s="127"/>
      <c r="W228" s="127"/>
      <c r="X228" s="127"/>
      <c r="Y228" s="127"/>
      <c r="Z228" s="127"/>
      <c r="AA228" s="127"/>
      <c r="AB228" s="127"/>
      <c r="AC228" s="127"/>
      <c r="AD228" s="14"/>
      <c r="AE228" s="15"/>
      <c r="AF228" s="15"/>
      <c r="AG228" s="15"/>
      <c r="AH228" s="15"/>
      <c r="AI228" s="15"/>
      <c r="AJ228" s="15"/>
      <c r="AK228" s="15"/>
    </row>
    <row r="229" spans="1:37" ht="15" customHeight="1" x14ac:dyDescent="0.2">
      <c r="A229" s="14"/>
      <c r="B229" s="14"/>
      <c r="C229" s="125"/>
      <c r="D229" s="126"/>
      <c r="E229" s="126"/>
      <c r="F229" s="126"/>
      <c r="G229" s="126"/>
      <c r="H229" s="126"/>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4"/>
      <c r="AE229" s="15"/>
      <c r="AF229" s="15"/>
      <c r="AG229" s="15"/>
      <c r="AH229" s="15"/>
      <c r="AI229" s="15"/>
      <c r="AJ229" s="15"/>
      <c r="AK229" s="15"/>
    </row>
    <row r="230" spans="1:37" ht="15" customHeight="1" x14ac:dyDescent="0.2">
      <c r="A230" s="14"/>
      <c r="B230" s="14"/>
      <c r="C230" s="25"/>
      <c r="D230" s="26"/>
      <c r="E230" s="16"/>
      <c r="F230" s="14"/>
      <c r="G230" s="36"/>
      <c r="H230" s="36"/>
      <c r="I230" s="143" t="s">
        <v>64</v>
      </c>
      <c r="J230" s="143"/>
      <c r="K230" s="143"/>
      <c r="L230" s="143"/>
      <c r="M230" s="143"/>
      <c r="N230" s="143"/>
      <c r="O230" s="143"/>
      <c r="P230" s="143"/>
      <c r="Q230" s="143"/>
      <c r="R230" s="143"/>
      <c r="S230" s="143"/>
      <c r="T230" s="143"/>
      <c r="U230" s="143"/>
      <c r="V230" s="143"/>
      <c r="W230" s="143"/>
      <c r="X230" s="143"/>
      <c r="Y230" s="143"/>
      <c r="Z230" s="143"/>
      <c r="AA230" s="143"/>
      <c r="AB230" s="143"/>
      <c r="AC230" s="143"/>
      <c r="AD230" s="14"/>
      <c r="AE230" s="15"/>
      <c r="AF230" s="15"/>
      <c r="AG230" s="15"/>
      <c r="AH230" s="15"/>
      <c r="AI230" s="15"/>
      <c r="AJ230" s="15"/>
      <c r="AK230" s="15"/>
    </row>
    <row r="231" spans="1:37" ht="15" customHeight="1" x14ac:dyDescent="0.2">
      <c r="A231" s="14"/>
      <c r="B231" s="14"/>
      <c r="C231" s="25"/>
      <c r="D231" s="26"/>
      <c r="E231" s="16"/>
      <c r="F231" s="14"/>
      <c r="G231" s="36"/>
      <c r="H231" s="36"/>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
      <c r="AE231" s="15"/>
      <c r="AF231" s="15"/>
      <c r="AG231" s="15"/>
      <c r="AH231" s="15"/>
      <c r="AI231" s="15"/>
      <c r="AJ231" s="15"/>
      <c r="AK231" s="15"/>
    </row>
    <row r="232" spans="1:37" ht="15" customHeight="1" x14ac:dyDescent="0.2">
      <c r="A232" s="14"/>
      <c r="B232" s="14"/>
      <c r="C232" s="25"/>
      <c r="D232" s="26"/>
      <c r="E232" s="16"/>
      <c r="F232" s="14"/>
      <c r="G232" s="36"/>
      <c r="H232" s="36"/>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
      <c r="AE232" s="15"/>
      <c r="AF232" s="15"/>
      <c r="AG232" s="15"/>
      <c r="AH232" s="15"/>
      <c r="AI232" s="15"/>
      <c r="AJ232" s="15"/>
      <c r="AK232" s="15"/>
    </row>
    <row r="233" spans="1:37" ht="15" customHeight="1" x14ac:dyDescent="0.2">
      <c r="A233" s="14"/>
      <c r="B233" s="14"/>
      <c r="C233" s="25"/>
      <c r="D233" s="26"/>
      <c r="E233" s="16"/>
      <c r="F233" s="14"/>
      <c r="G233" s="36"/>
      <c r="H233" s="36"/>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
      <c r="AE233" s="15"/>
      <c r="AF233" s="15"/>
      <c r="AG233" s="15"/>
      <c r="AH233" s="15"/>
      <c r="AI233" s="15"/>
      <c r="AJ233" s="15"/>
      <c r="AK233" s="15"/>
    </row>
    <row r="234" spans="1:37" ht="15" customHeight="1" x14ac:dyDescent="0.2">
      <c r="A234" s="14"/>
      <c r="B234" s="14"/>
      <c r="C234" s="25"/>
      <c r="D234" s="26"/>
      <c r="E234" s="16"/>
      <c r="F234" s="14"/>
      <c r="G234" s="36"/>
      <c r="H234" s="36"/>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
      <c r="AE234" s="15"/>
      <c r="AF234" s="15"/>
      <c r="AG234" s="15"/>
      <c r="AH234" s="15"/>
      <c r="AI234" s="15"/>
      <c r="AJ234" s="15"/>
      <c r="AK234" s="15"/>
    </row>
    <row r="235" spans="1:37" ht="15" customHeight="1" x14ac:dyDescent="0.2">
      <c r="A235" s="14"/>
      <c r="B235" s="14"/>
      <c r="C235" s="25"/>
      <c r="D235" s="26"/>
      <c r="E235" s="16"/>
      <c r="F235" s="14"/>
      <c r="G235" s="36"/>
      <c r="H235" s="36"/>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
      <c r="AE235" s="15"/>
      <c r="AF235" s="15"/>
      <c r="AG235" s="15"/>
      <c r="AH235" s="15"/>
      <c r="AI235" s="15"/>
      <c r="AJ235" s="15"/>
      <c r="AK235" s="15"/>
    </row>
    <row r="236" spans="1:37" ht="15" customHeight="1" x14ac:dyDescent="0.2">
      <c r="A236" s="14"/>
      <c r="B236" s="14"/>
      <c r="C236" s="25"/>
      <c r="D236" s="26"/>
      <c r="E236" s="16"/>
      <c r="F236" s="14"/>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14"/>
      <c r="AE236" s="15"/>
      <c r="AF236" s="15"/>
      <c r="AG236" s="15"/>
      <c r="AH236" s="15"/>
      <c r="AI236" s="15"/>
      <c r="AJ236" s="15"/>
      <c r="AK236" s="19" t="s">
        <v>28</v>
      </c>
    </row>
    <row r="237" spans="1:37" ht="15" customHeight="1" x14ac:dyDescent="0.2">
      <c r="A237" s="14"/>
      <c r="B237" s="14"/>
      <c r="C237" s="25"/>
      <c r="D237" s="26"/>
      <c r="E237" s="16"/>
      <c r="F237" s="14"/>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14"/>
      <c r="AE237" s="15"/>
      <c r="AF237" s="15"/>
      <c r="AG237" s="15"/>
      <c r="AH237" s="15"/>
      <c r="AI237" s="15"/>
      <c r="AJ237" s="15"/>
      <c r="AK237" s="15"/>
    </row>
    <row r="238" spans="1:37" ht="15" customHeight="1" x14ac:dyDescent="0.2">
      <c r="A238" s="14"/>
      <c r="B238" s="14"/>
      <c r="C238" s="25"/>
      <c r="D238" s="26"/>
      <c r="E238" s="16"/>
      <c r="F238" s="14"/>
      <c r="G238" s="36"/>
      <c r="H238" s="36"/>
      <c r="I238" s="36"/>
      <c r="J238" s="36"/>
      <c r="K238" s="36"/>
      <c r="L238" s="36"/>
      <c r="M238" s="36"/>
      <c r="N238" s="36"/>
      <c r="O238" s="36"/>
      <c r="P238" s="36"/>
      <c r="Q238" s="36"/>
      <c r="R238" s="36"/>
      <c r="S238" s="36"/>
      <c r="T238" s="36"/>
      <c r="U238" s="36"/>
      <c r="V238" s="33" t="s">
        <v>86</v>
      </c>
      <c r="W238" s="144">
        <f>W171</f>
        <v>1298.8218987795051</v>
      </c>
      <c r="X238" s="144"/>
      <c r="Y238" s="144"/>
      <c r="Z238" s="144"/>
      <c r="AA238" s="144"/>
      <c r="AB238" s="36"/>
      <c r="AC238" s="36"/>
      <c r="AD238" s="14"/>
      <c r="AE238" s="15"/>
      <c r="AF238" s="15"/>
      <c r="AG238" s="15"/>
      <c r="AH238" s="15"/>
      <c r="AI238" s="15"/>
      <c r="AJ238" s="15"/>
      <c r="AK238" s="19" t="s">
        <v>68</v>
      </c>
    </row>
    <row r="239" spans="1:37" ht="15" customHeight="1" x14ac:dyDescent="0.2">
      <c r="H239" s="8"/>
      <c r="V239" s="33" t="s">
        <v>92</v>
      </c>
      <c r="W239" s="144">
        <f>0.9*W151</f>
        <v>1507.883419323</v>
      </c>
      <c r="X239" s="144"/>
      <c r="Y239" s="144"/>
      <c r="Z239" s="144"/>
      <c r="AA239" s="65"/>
      <c r="AK239" s="19" t="s">
        <v>28</v>
      </c>
    </row>
    <row r="240" spans="1:37" ht="15" customHeight="1" x14ac:dyDescent="0.2">
      <c r="A240" s="14"/>
      <c r="B240" s="14"/>
      <c r="C240" s="25"/>
      <c r="D240" s="26"/>
      <c r="E240" s="16"/>
      <c r="F240" s="14"/>
      <c r="G240" s="36"/>
      <c r="H240" s="36"/>
      <c r="I240" s="36"/>
      <c r="J240" s="36"/>
      <c r="K240" s="36"/>
      <c r="L240" s="36"/>
      <c r="M240" s="36"/>
      <c r="N240" s="36"/>
      <c r="O240" s="36"/>
      <c r="P240" s="36"/>
      <c r="Q240" s="36"/>
      <c r="R240" s="36"/>
      <c r="S240" s="36"/>
      <c r="T240" s="36"/>
      <c r="U240" s="36"/>
      <c r="V240" s="33" t="s">
        <v>69</v>
      </c>
      <c r="W240" s="178">
        <f>+W238/W239</f>
        <v>0.8613543209876543</v>
      </c>
      <c r="X240" s="178"/>
      <c r="Y240" s="178"/>
      <c r="Z240" s="178"/>
      <c r="AA240" s="39"/>
      <c r="AB240" s="36"/>
      <c r="AC240" s="36"/>
      <c r="AD240" s="14"/>
      <c r="AE240" s="15"/>
      <c r="AF240" s="15"/>
      <c r="AG240" s="15"/>
      <c r="AH240" s="15"/>
      <c r="AI240" s="15"/>
      <c r="AJ240" s="15"/>
      <c r="AK240" s="40" t="s">
        <v>93</v>
      </c>
    </row>
    <row r="241" spans="1:37" ht="15" customHeight="1" x14ac:dyDescent="0.2">
      <c r="A241" s="14"/>
      <c r="B241" s="14"/>
      <c r="C241" s="25"/>
      <c r="D241" s="26"/>
      <c r="E241" s="16"/>
      <c r="F241" s="14"/>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14"/>
      <c r="AE241" s="15"/>
      <c r="AF241" s="15"/>
      <c r="AG241" s="15"/>
      <c r="AH241" s="15"/>
      <c r="AI241" s="15"/>
      <c r="AJ241" s="15"/>
      <c r="AK241" s="15"/>
    </row>
    <row r="242" spans="1:37" ht="15" customHeight="1" x14ac:dyDescent="0.2">
      <c r="A242" s="14"/>
      <c r="B242" s="14"/>
      <c r="C242" s="125" t="s">
        <v>59</v>
      </c>
      <c r="D242" s="126"/>
      <c r="E242" s="126"/>
      <c r="F242" s="126"/>
      <c r="G242" s="126"/>
      <c r="H242" s="126"/>
      <c r="I242" s="127" t="s">
        <v>62</v>
      </c>
      <c r="J242" s="127"/>
      <c r="K242" s="127"/>
      <c r="L242" s="127"/>
      <c r="M242" s="127"/>
      <c r="N242" s="127"/>
      <c r="O242" s="127"/>
      <c r="P242" s="127"/>
      <c r="Q242" s="127"/>
      <c r="R242" s="127"/>
      <c r="S242" s="127"/>
      <c r="T242" s="127"/>
      <c r="U242" s="127"/>
      <c r="V242" s="127"/>
      <c r="W242" s="127"/>
      <c r="X242" s="127"/>
      <c r="Y242" s="127"/>
      <c r="Z242" s="127"/>
      <c r="AA242" s="127"/>
      <c r="AB242" s="127"/>
      <c r="AC242" s="127"/>
      <c r="AD242" s="14"/>
      <c r="AE242" s="15"/>
      <c r="AF242" s="15"/>
      <c r="AG242" s="15"/>
      <c r="AH242" s="15"/>
      <c r="AI242" s="15"/>
      <c r="AJ242" s="15"/>
      <c r="AK242" s="15"/>
    </row>
    <row r="243" spans="1:37" ht="15" customHeight="1" x14ac:dyDescent="0.2">
      <c r="A243" s="14"/>
      <c r="B243" s="14"/>
      <c r="C243" s="125"/>
      <c r="D243" s="126"/>
      <c r="E243" s="126"/>
      <c r="F243" s="126"/>
      <c r="G243" s="126"/>
      <c r="H243" s="126"/>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4"/>
      <c r="AE243" s="15"/>
      <c r="AF243" s="15"/>
      <c r="AG243" s="15"/>
      <c r="AH243" s="15"/>
      <c r="AI243" s="15"/>
      <c r="AJ243" s="15"/>
      <c r="AK243" s="15"/>
    </row>
    <row r="244" spans="1:37" ht="15" customHeight="1" x14ac:dyDescent="0.2">
      <c r="A244" s="14"/>
      <c r="B244" s="14"/>
      <c r="C244" s="25"/>
      <c r="D244" s="26"/>
      <c r="E244" s="16"/>
      <c r="F244" s="14"/>
      <c r="G244" s="36"/>
      <c r="H244" s="36"/>
      <c r="I244" s="143" t="s">
        <v>65</v>
      </c>
      <c r="J244" s="143"/>
      <c r="K244" s="143"/>
      <c r="L244" s="143"/>
      <c r="M244" s="143"/>
      <c r="N244" s="143"/>
      <c r="O244" s="143"/>
      <c r="P244" s="143"/>
      <c r="Q244" s="143"/>
      <c r="R244" s="143"/>
      <c r="S244" s="143"/>
      <c r="T244" s="143"/>
      <c r="U244" s="143"/>
      <c r="V244" s="143"/>
      <c r="W244" s="143"/>
      <c r="X244" s="143"/>
      <c r="Y244" s="143"/>
      <c r="Z244" s="143"/>
      <c r="AA244" s="143"/>
      <c r="AB244" s="143"/>
      <c r="AC244" s="143"/>
      <c r="AD244" s="14"/>
      <c r="AE244" s="15"/>
      <c r="AF244" s="15"/>
      <c r="AG244" s="15"/>
      <c r="AH244" s="15"/>
      <c r="AI244" s="15"/>
      <c r="AJ244" s="15"/>
      <c r="AK244" s="15"/>
    </row>
    <row r="245" spans="1:37" ht="15" customHeight="1" x14ac:dyDescent="0.2">
      <c r="A245" s="14"/>
      <c r="B245" s="14"/>
      <c r="C245" s="25"/>
      <c r="D245" s="26"/>
      <c r="E245" s="16"/>
      <c r="F245" s="14"/>
      <c r="G245" s="36"/>
      <c r="H245" s="36"/>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
      <c r="AE245" s="15"/>
      <c r="AF245" s="15"/>
      <c r="AG245" s="15"/>
      <c r="AH245" s="15"/>
      <c r="AI245" s="15"/>
      <c r="AJ245" s="15"/>
      <c r="AK245" s="15"/>
    </row>
    <row r="246" spans="1:37" ht="15" customHeight="1" x14ac:dyDescent="0.2">
      <c r="A246" s="14"/>
      <c r="B246" s="14"/>
      <c r="C246" s="25"/>
      <c r="D246" s="26"/>
      <c r="E246" s="16"/>
      <c r="F246" s="14"/>
      <c r="G246" s="36"/>
      <c r="H246" s="36"/>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
      <c r="AE246" s="15"/>
      <c r="AF246" s="15"/>
      <c r="AG246" s="15"/>
      <c r="AH246" s="15"/>
      <c r="AI246" s="15"/>
      <c r="AJ246" s="15"/>
      <c r="AK246" s="15"/>
    </row>
    <row r="247" spans="1:37" ht="15" customHeight="1" x14ac:dyDescent="0.2">
      <c r="A247" s="14"/>
      <c r="B247" s="14"/>
      <c r="C247" s="25"/>
      <c r="D247" s="26"/>
      <c r="E247" s="16"/>
      <c r="F247" s="14"/>
      <c r="G247" s="36"/>
      <c r="H247" s="36"/>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
      <c r="AE247" s="15"/>
      <c r="AF247" s="15"/>
      <c r="AG247" s="15"/>
      <c r="AH247" s="15"/>
      <c r="AI247" s="15"/>
      <c r="AJ247" s="15"/>
      <c r="AK247" s="15"/>
    </row>
    <row r="248" spans="1:37" ht="15" customHeight="1" x14ac:dyDescent="0.2">
      <c r="A248" s="14"/>
      <c r="B248" s="14"/>
      <c r="C248" s="25"/>
      <c r="D248" s="26"/>
      <c r="E248" s="16"/>
      <c r="F248" s="14"/>
      <c r="G248" s="36"/>
      <c r="H248" s="36"/>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
      <c r="AE248" s="15"/>
      <c r="AF248" s="15"/>
      <c r="AG248" s="15"/>
      <c r="AH248" s="15"/>
      <c r="AI248" s="15"/>
      <c r="AJ248" s="15"/>
      <c r="AK248" s="15"/>
    </row>
    <row r="249" spans="1:37" ht="15" customHeight="1" x14ac:dyDescent="0.2">
      <c r="A249" s="14"/>
      <c r="B249" s="14"/>
      <c r="C249" s="25"/>
      <c r="D249" s="26"/>
      <c r="E249" s="16"/>
      <c r="F249" s="14"/>
      <c r="G249" s="36"/>
      <c r="H249" s="36"/>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
      <c r="AE249" s="15"/>
      <c r="AF249" s="15"/>
      <c r="AG249" s="15"/>
      <c r="AH249" s="15"/>
      <c r="AI249" s="15"/>
      <c r="AJ249" s="15"/>
      <c r="AK249" s="15"/>
    </row>
    <row r="250" spans="1:37" ht="15" customHeight="1" x14ac:dyDescent="0.2">
      <c r="A250" s="14"/>
      <c r="B250" s="14"/>
      <c r="C250" s="25"/>
      <c r="D250" s="26"/>
      <c r="E250" s="16"/>
      <c r="F250" s="14"/>
      <c r="G250" s="36"/>
      <c r="H250" s="36"/>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
      <c r="AE250" s="15"/>
      <c r="AF250" s="15"/>
      <c r="AG250" s="15"/>
      <c r="AH250" s="15"/>
      <c r="AI250" s="15"/>
      <c r="AJ250" s="15"/>
      <c r="AK250" s="15"/>
    </row>
    <row r="251" spans="1:37" ht="15" customHeight="1" x14ac:dyDescent="0.2">
      <c r="A251" s="14"/>
      <c r="B251" s="14"/>
      <c r="C251" s="25"/>
      <c r="D251" s="26"/>
      <c r="E251" s="16"/>
      <c r="F251" s="14"/>
      <c r="G251" s="36"/>
      <c r="H251" s="36"/>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
      <c r="AE251" s="15"/>
      <c r="AF251" s="15"/>
      <c r="AG251" s="15"/>
      <c r="AH251" s="15"/>
      <c r="AI251" s="15"/>
      <c r="AJ251" s="15"/>
      <c r="AK251" s="15"/>
    </row>
    <row r="252" spans="1:37" ht="15" customHeight="1" x14ac:dyDescent="0.2">
      <c r="A252" s="14"/>
      <c r="B252" s="14"/>
      <c r="C252" s="25"/>
      <c r="D252" s="26"/>
      <c r="E252" s="16"/>
      <c r="F252" s="14"/>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14"/>
      <c r="AE252" s="15"/>
      <c r="AF252" s="15"/>
      <c r="AG252" s="15"/>
      <c r="AH252" s="15"/>
      <c r="AI252" s="15"/>
      <c r="AJ252" s="15"/>
      <c r="AK252" s="15"/>
    </row>
    <row r="253" spans="1:37" ht="15" customHeight="1" x14ac:dyDescent="0.2">
      <c r="C253" s="2"/>
      <c r="D253" s="10"/>
      <c r="H253" s="11"/>
      <c r="O253" s="8"/>
      <c r="U253" s="9"/>
      <c r="V253" s="9"/>
      <c r="W253" s="9"/>
      <c r="X253" s="9"/>
      <c r="Y253" s="9"/>
      <c r="Z253" s="9"/>
      <c r="AK253" s="19" t="s">
        <v>28</v>
      </c>
    </row>
    <row r="254" spans="1:37" ht="15" customHeight="1" x14ac:dyDescent="0.2">
      <c r="C254" s="2"/>
      <c r="D254" s="8"/>
      <c r="O254" s="24"/>
      <c r="U254" s="9"/>
      <c r="V254" s="9"/>
      <c r="W254" s="9"/>
      <c r="X254" s="9"/>
      <c r="Y254" s="9"/>
      <c r="Z254" s="9"/>
    </row>
    <row r="255" spans="1:37" ht="15" customHeight="1" x14ac:dyDescent="0.25">
      <c r="C255" s="2"/>
      <c r="D255" s="8"/>
      <c r="H255" s="8"/>
      <c r="U255" s="9"/>
      <c r="V255" s="8" t="s">
        <v>86</v>
      </c>
      <c r="W255" s="128">
        <f>W171</f>
        <v>1298.8218987795051</v>
      </c>
      <c r="X255" s="128"/>
      <c r="Y255" s="128"/>
      <c r="Z255" s="128"/>
      <c r="AK255" s="19" t="s">
        <v>68</v>
      </c>
    </row>
    <row r="256" spans="1:37" ht="15" customHeight="1" x14ac:dyDescent="0.25">
      <c r="C256" s="2"/>
      <c r="V256" s="8" t="s">
        <v>91</v>
      </c>
      <c r="W256" s="128">
        <f>$W$150*0.7</f>
        <v>1303.10912781</v>
      </c>
      <c r="X256" s="128"/>
      <c r="Y256" s="128"/>
      <c r="Z256" s="128"/>
      <c r="AK256" s="19" t="s">
        <v>28</v>
      </c>
    </row>
    <row r="257" spans="1:37" ht="15" customHeight="1" x14ac:dyDescent="0.2">
      <c r="C257" s="2"/>
      <c r="V257" s="8" t="s">
        <v>87</v>
      </c>
      <c r="W257" s="129">
        <f>+W255/W256</f>
        <v>0.99670999999999998</v>
      </c>
      <c r="X257" s="129"/>
      <c r="Y257" s="129"/>
      <c r="Z257" s="129"/>
      <c r="AK257" s="40" t="s">
        <v>90</v>
      </c>
    </row>
    <row r="258" spans="1:37" ht="15" customHeight="1" x14ac:dyDescent="0.2">
      <c r="C258" s="2"/>
      <c r="H258" s="8"/>
      <c r="I258" s="21"/>
      <c r="J258" s="21"/>
      <c r="K258" s="21"/>
      <c r="O258" s="21"/>
      <c r="P258" s="21"/>
      <c r="Q258" s="21"/>
      <c r="U258" s="18"/>
      <c r="V258" s="9"/>
      <c r="W258" s="9"/>
      <c r="X258" s="9"/>
      <c r="Y258" s="9"/>
      <c r="Z258" s="9"/>
    </row>
    <row r="259" spans="1:37" ht="15" customHeight="1" x14ac:dyDescent="0.25">
      <c r="C259" s="2"/>
      <c r="H259" s="11"/>
      <c r="P259" s="18"/>
      <c r="U259" s="9"/>
      <c r="V259" s="8" t="s">
        <v>88</v>
      </c>
      <c r="W259" s="128">
        <f>W174</f>
        <v>1216.2569044414636</v>
      </c>
      <c r="X259" s="128"/>
      <c r="Y259" s="128"/>
      <c r="Z259" s="128"/>
      <c r="AK259" s="19" t="s">
        <v>68</v>
      </c>
    </row>
    <row r="260" spans="1:37" ht="15" customHeight="1" x14ac:dyDescent="0.25">
      <c r="C260" s="2"/>
      <c r="H260" s="8"/>
      <c r="U260" s="9"/>
      <c r="V260" s="8" t="s">
        <v>91</v>
      </c>
      <c r="W260" s="128">
        <f>$W$150*0.7</f>
        <v>1303.10912781</v>
      </c>
      <c r="X260" s="128"/>
      <c r="Y260" s="128"/>
      <c r="Z260" s="128"/>
      <c r="AK260" s="19" t="s">
        <v>28</v>
      </c>
    </row>
    <row r="261" spans="1:37" ht="15" customHeight="1" x14ac:dyDescent="0.2">
      <c r="C261" s="2"/>
      <c r="H261" s="8"/>
      <c r="U261" s="9"/>
      <c r="V261" s="8" t="s">
        <v>87</v>
      </c>
      <c r="W261" s="129">
        <f>+W259/W260</f>
        <v>0.93335000000000001</v>
      </c>
      <c r="X261" s="129"/>
      <c r="Y261" s="129"/>
      <c r="Z261" s="129"/>
      <c r="AK261" s="40" t="s">
        <v>89</v>
      </c>
    </row>
    <row r="262" spans="1:37" ht="15" customHeight="1" x14ac:dyDescent="0.2">
      <c r="C262" s="2"/>
      <c r="H262" s="8"/>
      <c r="I262" s="191"/>
      <c r="J262" s="191"/>
      <c r="K262" s="191"/>
      <c r="O262" s="191"/>
      <c r="P262" s="191"/>
      <c r="Q262" s="191"/>
      <c r="U262" s="18"/>
      <c r="V262" s="9"/>
      <c r="W262" s="9"/>
      <c r="X262" s="9"/>
      <c r="Y262" s="9"/>
      <c r="Z262" s="9"/>
    </row>
    <row r="263" spans="1:37" ht="15" customHeight="1" x14ac:dyDescent="0.2">
      <c r="B263" s="1"/>
      <c r="C263" s="2"/>
      <c r="H263" s="8"/>
      <c r="I263" s="21"/>
      <c r="J263" s="21"/>
      <c r="K263" s="21"/>
      <c r="O263" s="21"/>
      <c r="P263" s="21"/>
      <c r="Q263" s="21"/>
      <c r="U263" s="18"/>
      <c r="V263" s="9"/>
      <c r="W263" s="9"/>
      <c r="X263" s="9"/>
      <c r="Y263" s="9"/>
      <c r="Z263" s="9"/>
    </row>
    <row r="264" spans="1:37" ht="15" customHeight="1" x14ac:dyDescent="0.2">
      <c r="B264" s="1"/>
      <c r="C264" s="2"/>
      <c r="H264" s="8"/>
      <c r="I264" s="21"/>
      <c r="J264" s="21"/>
      <c r="K264" s="21"/>
      <c r="O264" s="21"/>
      <c r="P264" s="21"/>
      <c r="Q264" s="21"/>
      <c r="U264" s="18"/>
      <c r="V264" s="9"/>
      <c r="W264" s="9"/>
      <c r="X264" s="9"/>
      <c r="Y264" s="9"/>
      <c r="Z264" s="9"/>
    </row>
    <row r="265" spans="1:37" ht="15" customHeight="1" x14ac:dyDescent="0.2">
      <c r="B265" s="1"/>
      <c r="C265" s="2"/>
      <c r="H265" s="8"/>
      <c r="I265" s="21"/>
      <c r="J265" s="21"/>
      <c r="K265" s="21"/>
      <c r="O265" s="21"/>
      <c r="P265" s="21"/>
      <c r="Q265" s="21"/>
      <c r="U265" s="18"/>
      <c r="V265" s="9"/>
      <c r="W265" s="9"/>
      <c r="X265" s="9"/>
      <c r="Y265" s="9"/>
      <c r="Z265" s="9"/>
    </row>
    <row r="266" spans="1:37" ht="15" customHeight="1" x14ac:dyDescent="0.2">
      <c r="B266" s="1"/>
      <c r="C266" s="2"/>
      <c r="H266" s="8"/>
      <c r="I266" s="21"/>
      <c r="J266" s="21"/>
      <c r="K266" s="21"/>
      <c r="O266" s="21"/>
      <c r="P266" s="21"/>
      <c r="Q266" s="21"/>
      <c r="U266" s="18"/>
      <c r="V266" s="9"/>
      <c r="W266" s="9"/>
      <c r="X266" s="9"/>
      <c r="Y266" s="9"/>
      <c r="Z266" s="9"/>
    </row>
    <row r="267" spans="1:37" ht="15" customHeight="1" x14ac:dyDescent="0.2">
      <c r="B267" s="1"/>
      <c r="C267" s="2"/>
      <c r="H267" s="8"/>
      <c r="I267" s="21"/>
      <c r="J267" s="21"/>
      <c r="K267" s="21"/>
      <c r="O267" s="21"/>
      <c r="P267" s="21"/>
      <c r="Q267" s="21"/>
      <c r="U267" s="18"/>
      <c r="V267" s="9"/>
      <c r="W267" s="9"/>
      <c r="X267" s="9"/>
      <c r="Y267" s="9"/>
      <c r="Z267" s="9"/>
    </row>
    <row r="268" spans="1:37" ht="15" customHeight="1" x14ac:dyDescent="0.2">
      <c r="B268" s="1"/>
      <c r="C268" s="2"/>
      <c r="H268" s="8"/>
      <c r="I268" s="21"/>
      <c r="J268" s="21"/>
      <c r="K268" s="21"/>
      <c r="O268" s="21"/>
      <c r="P268" s="21"/>
      <c r="Q268" s="21"/>
      <c r="U268" s="18"/>
      <c r="V268" s="9"/>
      <c r="W268" s="9"/>
      <c r="X268" s="9"/>
      <c r="Y268" s="9"/>
      <c r="Z268" s="9"/>
    </row>
    <row r="269" spans="1:37" ht="15" customHeight="1" x14ac:dyDescent="0.2">
      <c r="B269" s="1"/>
      <c r="C269" s="2"/>
      <c r="H269" s="8"/>
      <c r="I269" s="21"/>
      <c r="J269" s="21"/>
      <c r="K269" s="21"/>
      <c r="O269" s="21"/>
      <c r="P269" s="21"/>
      <c r="Q269" s="21"/>
      <c r="U269" s="18"/>
      <c r="V269" s="9"/>
      <c r="W269" s="9"/>
      <c r="X269" s="9"/>
      <c r="Y269" s="9"/>
      <c r="Z269" s="9"/>
    </row>
    <row r="270" spans="1:37" ht="15" customHeight="1" x14ac:dyDescent="0.2">
      <c r="B270" s="1"/>
      <c r="C270" s="2"/>
      <c r="H270" s="8"/>
      <c r="I270" s="21"/>
      <c r="J270" s="21"/>
      <c r="K270" s="21"/>
      <c r="O270" s="21"/>
      <c r="P270" s="21"/>
      <c r="Q270" s="21"/>
      <c r="U270" s="18"/>
      <c r="V270" s="9"/>
      <c r="W270" s="9"/>
      <c r="X270" s="9"/>
      <c r="Y270" s="9"/>
      <c r="Z270" s="9"/>
    </row>
    <row r="271" spans="1:37" ht="15" customHeight="1" x14ac:dyDescent="0.2">
      <c r="B271" s="1"/>
      <c r="C271" s="2"/>
      <c r="H271" s="8"/>
      <c r="I271" s="21"/>
      <c r="J271" s="21"/>
      <c r="K271" s="21"/>
      <c r="O271" s="21"/>
      <c r="P271" s="21"/>
      <c r="Q271" s="21"/>
      <c r="U271" s="18"/>
      <c r="V271" s="9"/>
      <c r="W271" s="9"/>
      <c r="X271" s="9"/>
      <c r="Y271" s="9"/>
      <c r="Z271" s="9"/>
    </row>
    <row r="272" spans="1:37" ht="15" customHeight="1" x14ac:dyDescent="0.2">
      <c r="A272" s="14"/>
      <c r="B272" s="14"/>
      <c r="C272" s="125" t="s">
        <v>60</v>
      </c>
      <c r="D272" s="126"/>
      <c r="E272" s="126"/>
      <c r="F272" s="126"/>
      <c r="G272" s="126"/>
      <c r="H272" s="126"/>
      <c r="I272" s="127" t="s">
        <v>57</v>
      </c>
      <c r="J272" s="127"/>
      <c r="K272" s="127"/>
      <c r="L272" s="127"/>
      <c r="M272" s="127"/>
      <c r="N272" s="127"/>
      <c r="O272" s="127"/>
      <c r="P272" s="127"/>
      <c r="Q272" s="127"/>
      <c r="R272" s="127"/>
      <c r="S272" s="127"/>
      <c r="T272" s="127"/>
      <c r="U272" s="127"/>
      <c r="V272" s="127"/>
      <c r="W272" s="127"/>
      <c r="X272" s="127"/>
      <c r="Y272" s="127"/>
      <c r="Z272" s="127"/>
      <c r="AA272" s="127"/>
      <c r="AB272" s="127"/>
      <c r="AC272" s="127"/>
      <c r="AD272" s="14"/>
      <c r="AE272" s="15"/>
      <c r="AF272" s="15"/>
      <c r="AG272" s="15"/>
      <c r="AH272" s="15"/>
      <c r="AI272" s="15"/>
      <c r="AJ272" s="15"/>
      <c r="AK272" s="15"/>
    </row>
    <row r="273" spans="1:37" ht="15" customHeight="1" x14ac:dyDescent="0.2">
      <c r="A273" s="14"/>
      <c r="B273" s="14"/>
      <c r="C273" s="125"/>
      <c r="D273" s="126"/>
      <c r="E273" s="126"/>
      <c r="F273" s="126"/>
      <c r="G273" s="126"/>
      <c r="H273" s="126"/>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4"/>
      <c r="AE273" s="15"/>
      <c r="AF273" s="15"/>
      <c r="AG273" s="15"/>
      <c r="AH273" s="15"/>
      <c r="AI273" s="15"/>
      <c r="AJ273" s="15"/>
      <c r="AK273" s="15"/>
    </row>
    <row r="274" spans="1:37" ht="15" customHeight="1" x14ac:dyDescent="0.2">
      <c r="A274" s="14"/>
      <c r="B274" s="14"/>
      <c r="C274" s="25"/>
      <c r="D274" s="26"/>
      <c r="E274" s="16"/>
      <c r="F274" s="14"/>
      <c r="G274" s="36"/>
      <c r="H274" s="36"/>
      <c r="I274" s="143" t="s">
        <v>66</v>
      </c>
      <c r="J274" s="143"/>
      <c r="K274" s="143"/>
      <c r="L274" s="143"/>
      <c r="M274" s="143"/>
      <c r="N274" s="143"/>
      <c r="O274" s="143"/>
      <c r="P274" s="143"/>
      <c r="Q274" s="143"/>
      <c r="R274" s="143"/>
      <c r="S274" s="143"/>
      <c r="T274" s="143"/>
      <c r="U274" s="143"/>
      <c r="V274" s="143"/>
      <c r="W274" s="143"/>
      <c r="X274" s="143"/>
      <c r="Y274" s="143"/>
      <c r="Z274" s="143"/>
      <c r="AA274" s="143"/>
      <c r="AB274" s="143"/>
      <c r="AC274" s="143"/>
      <c r="AD274" s="14"/>
      <c r="AE274" s="15"/>
      <c r="AF274" s="15"/>
      <c r="AG274" s="15"/>
      <c r="AH274" s="15"/>
      <c r="AI274" s="15"/>
      <c r="AJ274" s="15"/>
      <c r="AK274" s="15"/>
    </row>
    <row r="275" spans="1:37" ht="15" customHeight="1" x14ac:dyDescent="0.2">
      <c r="A275" s="14"/>
      <c r="B275" s="14"/>
      <c r="C275" s="25"/>
      <c r="D275" s="26"/>
      <c r="E275" s="16"/>
      <c r="F275" s="14"/>
      <c r="G275" s="36"/>
      <c r="H275" s="36"/>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
      <c r="AE275" s="15"/>
      <c r="AF275" s="15"/>
      <c r="AG275" s="15"/>
      <c r="AH275" s="15"/>
      <c r="AI275" s="15"/>
      <c r="AJ275" s="15"/>
      <c r="AK275" s="15"/>
    </row>
    <row r="276" spans="1:37" ht="15" customHeight="1" x14ac:dyDescent="0.2">
      <c r="A276" s="14"/>
      <c r="B276" s="14"/>
      <c r="C276" s="25"/>
      <c r="D276" s="26"/>
      <c r="E276" s="16"/>
      <c r="F276" s="14"/>
      <c r="G276" s="36"/>
      <c r="H276" s="36"/>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
      <c r="AE276" s="15"/>
      <c r="AF276" s="15"/>
      <c r="AG276" s="15"/>
      <c r="AH276" s="15"/>
      <c r="AI276" s="15"/>
      <c r="AJ276" s="15"/>
      <c r="AK276" s="15"/>
    </row>
    <row r="277" spans="1:37" ht="15" customHeight="1" x14ac:dyDescent="0.2">
      <c r="A277" s="14"/>
      <c r="B277" s="14"/>
      <c r="C277" s="25"/>
      <c r="D277" s="26"/>
      <c r="E277" s="16"/>
      <c r="F277" s="14"/>
      <c r="G277" s="36"/>
      <c r="H277" s="36"/>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
      <c r="AE277" s="15"/>
      <c r="AF277" s="15"/>
      <c r="AG277" s="15"/>
      <c r="AH277" s="15"/>
      <c r="AI277" s="15"/>
      <c r="AJ277" s="15"/>
      <c r="AK277" s="15"/>
    </row>
    <row r="278" spans="1:37" ht="15" customHeight="1" x14ac:dyDescent="0.2">
      <c r="A278" s="14"/>
      <c r="B278" s="14"/>
      <c r="C278" s="25"/>
      <c r="D278" s="26"/>
      <c r="E278" s="16"/>
      <c r="F278" s="14"/>
      <c r="G278" s="36"/>
      <c r="H278" s="36"/>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
      <c r="AE278" s="15"/>
      <c r="AF278" s="15"/>
      <c r="AG278" s="15"/>
      <c r="AH278" s="15"/>
      <c r="AI278" s="15"/>
      <c r="AJ278" s="15"/>
      <c r="AK278" s="15"/>
    </row>
    <row r="279" spans="1:37" ht="15" customHeight="1" x14ac:dyDescent="0.2">
      <c r="A279" s="14"/>
      <c r="B279" s="14"/>
      <c r="C279" s="25"/>
      <c r="D279" s="26"/>
      <c r="E279" s="16"/>
      <c r="F279" s="14"/>
      <c r="G279" s="36"/>
      <c r="H279" s="36"/>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
      <c r="AE279" s="15"/>
      <c r="AF279" s="15"/>
      <c r="AG279" s="15"/>
      <c r="AH279" s="15"/>
      <c r="AI279" s="15"/>
      <c r="AJ279" s="15"/>
      <c r="AK279" s="15"/>
    </row>
    <row r="280" spans="1:37" ht="15" customHeight="1" x14ac:dyDescent="0.2">
      <c r="A280" s="14"/>
      <c r="B280" s="14"/>
      <c r="C280" s="25"/>
      <c r="D280" s="26"/>
      <c r="E280" s="16"/>
      <c r="F280" s="14"/>
      <c r="G280" s="36"/>
      <c r="H280" s="36"/>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
      <c r="AE280" s="15"/>
      <c r="AF280" s="15"/>
      <c r="AG280" s="15"/>
      <c r="AH280" s="15"/>
      <c r="AI280" s="15"/>
      <c r="AJ280" s="15"/>
      <c r="AK280" s="15"/>
    </row>
    <row r="281" spans="1:37" ht="15" customHeight="1" x14ac:dyDescent="0.2">
      <c r="A281" s="14"/>
      <c r="B281" s="14"/>
      <c r="C281" s="25"/>
      <c r="D281" s="26"/>
      <c r="E281" s="16"/>
      <c r="F281" s="14"/>
      <c r="G281" s="36"/>
      <c r="H281" s="36"/>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
      <c r="AE281" s="15"/>
      <c r="AF281" s="15"/>
      <c r="AG281" s="15"/>
      <c r="AH281" s="15"/>
      <c r="AI281" s="15"/>
      <c r="AJ281" s="15"/>
      <c r="AK281" s="15"/>
    </row>
    <row r="282" spans="1:37" ht="15" customHeight="1" x14ac:dyDescent="0.2">
      <c r="A282" s="14"/>
      <c r="B282" s="14"/>
      <c r="C282" s="25"/>
      <c r="D282" s="26"/>
      <c r="E282" s="16"/>
      <c r="F282" s="14"/>
      <c r="G282" s="48"/>
      <c r="H282" s="48"/>
      <c r="I282" s="48"/>
      <c r="J282" s="48"/>
      <c r="K282" s="48"/>
      <c r="L282" s="48"/>
      <c r="M282" s="48"/>
      <c r="N282" s="48"/>
      <c r="O282" s="48"/>
      <c r="P282" s="48"/>
      <c r="Q282" s="48"/>
      <c r="AD282" s="14"/>
      <c r="AE282" s="15"/>
      <c r="AF282" s="15"/>
      <c r="AG282" s="15"/>
      <c r="AH282" s="15"/>
      <c r="AI282" s="15"/>
      <c r="AJ282" s="15"/>
      <c r="AK282" s="15"/>
    </row>
    <row r="283" spans="1:37" ht="15" customHeight="1" x14ac:dyDescent="0.2">
      <c r="A283" s="14"/>
      <c r="B283" s="14"/>
      <c r="C283" s="25"/>
      <c r="D283" s="26"/>
      <c r="I283" s="67"/>
      <c r="J283" s="67"/>
      <c r="K283" s="67"/>
      <c r="L283" s="67"/>
      <c r="M283" s="67"/>
      <c r="N283" s="67"/>
      <c r="O283" s="67"/>
      <c r="P283" s="50"/>
      <c r="Q283" s="51"/>
      <c r="S283" s="70"/>
      <c r="T283" s="141"/>
      <c r="U283" s="195" t="s">
        <v>173</v>
      </c>
      <c r="V283" s="195"/>
      <c r="W283" s="195"/>
      <c r="X283" s="195"/>
      <c r="Y283" s="195"/>
      <c r="Z283" s="195"/>
      <c r="AA283" s="195"/>
      <c r="AB283" s="195"/>
      <c r="AC283" s="136"/>
      <c r="AD283" s="14"/>
      <c r="AE283" s="15"/>
      <c r="AF283" s="15"/>
      <c r="AG283" s="15"/>
      <c r="AH283" s="15"/>
      <c r="AI283" s="15"/>
      <c r="AJ283" s="15"/>
      <c r="AK283" s="19" t="s">
        <v>28</v>
      </c>
    </row>
    <row r="284" spans="1:37" ht="15" customHeight="1" x14ac:dyDescent="0.2">
      <c r="A284" s="14"/>
      <c r="B284" s="14"/>
      <c r="C284" s="25"/>
      <c r="D284" s="26"/>
      <c r="E284" s="16"/>
      <c r="F284" s="14"/>
      <c r="G284" s="48"/>
      <c r="Q284" s="48"/>
      <c r="T284" s="141"/>
      <c r="U284" s="195"/>
      <c r="V284" s="195"/>
      <c r="W284" s="195"/>
      <c r="X284" s="195"/>
      <c r="Y284" s="195"/>
      <c r="Z284" s="195"/>
      <c r="AA284" s="195"/>
      <c r="AB284" s="195"/>
      <c r="AC284" s="136"/>
      <c r="AD284" s="14"/>
      <c r="AE284" s="15"/>
      <c r="AF284" s="15"/>
      <c r="AG284" s="15"/>
      <c r="AH284" s="15"/>
      <c r="AI284" s="15"/>
      <c r="AJ284" s="15"/>
      <c r="AK284" s="15"/>
    </row>
    <row r="285" spans="1:37" ht="15" customHeight="1" x14ac:dyDescent="0.2">
      <c r="A285" s="14"/>
      <c r="B285" s="14"/>
      <c r="C285" s="25"/>
      <c r="D285" s="26"/>
      <c r="L285" s="48"/>
      <c r="M285" s="48"/>
      <c r="N285" s="48"/>
      <c r="O285" s="48"/>
      <c r="P285" s="48"/>
      <c r="Q285" s="48"/>
      <c r="T285" s="141"/>
      <c r="U285" s="195"/>
      <c r="V285" s="195"/>
      <c r="W285" s="195"/>
      <c r="X285" s="195"/>
      <c r="Y285" s="195"/>
      <c r="Z285" s="195"/>
      <c r="AA285" s="195"/>
      <c r="AB285" s="195"/>
      <c r="AC285" s="136"/>
      <c r="AD285" s="14"/>
      <c r="AE285" s="15"/>
      <c r="AF285" s="15"/>
      <c r="AG285" s="15"/>
      <c r="AH285" s="15"/>
      <c r="AI285" s="15"/>
      <c r="AJ285" s="15"/>
      <c r="AK285" s="15"/>
    </row>
    <row r="286" spans="1:37" ht="15" customHeight="1" x14ac:dyDescent="0.2">
      <c r="A286" s="14"/>
      <c r="B286" s="14"/>
      <c r="C286" s="25"/>
      <c r="D286" s="26"/>
      <c r="E286" s="16"/>
      <c r="F286" s="14"/>
      <c r="G286" s="48"/>
      <c r="H286" s="48"/>
      <c r="I286" s="48"/>
      <c r="J286" s="48"/>
      <c r="K286" s="48"/>
      <c r="L286" s="48"/>
      <c r="M286" s="48"/>
      <c r="N286" s="48"/>
      <c r="O286" s="48"/>
      <c r="P286" s="48"/>
      <c r="Q286" s="48"/>
      <c r="T286" s="141"/>
      <c r="U286" s="195"/>
      <c r="V286" s="195"/>
      <c r="W286" s="195"/>
      <c r="X286" s="195"/>
      <c r="Y286" s="195"/>
      <c r="Z286" s="195"/>
      <c r="AA286" s="195"/>
      <c r="AB286" s="195"/>
      <c r="AC286" s="136"/>
      <c r="AD286" s="14"/>
      <c r="AE286" s="15"/>
      <c r="AF286" s="15"/>
      <c r="AG286" s="15"/>
      <c r="AH286" s="15"/>
      <c r="AI286" s="15"/>
      <c r="AJ286" s="15"/>
      <c r="AK286" s="15"/>
    </row>
    <row r="287" spans="1:37" ht="15" customHeight="1" x14ac:dyDescent="0.2">
      <c r="A287" s="14"/>
      <c r="B287" s="14"/>
      <c r="C287" s="25"/>
      <c r="D287" s="26"/>
      <c r="E287" s="16"/>
      <c r="F287" s="14"/>
      <c r="G287" s="48"/>
      <c r="H287" s="48"/>
      <c r="I287" s="48"/>
      <c r="J287" s="48"/>
      <c r="K287" s="48"/>
      <c r="L287" s="48"/>
      <c r="M287" s="48"/>
      <c r="N287" s="48"/>
      <c r="O287" s="48"/>
      <c r="P287" s="48"/>
      <c r="Q287" s="48"/>
      <c r="R287" s="48"/>
      <c r="S287" s="49"/>
      <c r="T287" s="49"/>
      <c r="U287" s="49"/>
      <c r="V287" s="49"/>
      <c r="W287" s="49"/>
      <c r="X287" s="49"/>
      <c r="Y287" s="49"/>
      <c r="Z287" s="49"/>
      <c r="AA287" s="49"/>
      <c r="AB287" s="49"/>
      <c r="AC287" s="49"/>
      <c r="AD287" s="14"/>
      <c r="AE287" s="15"/>
      <c r="AF287" s="15"/>
      <c r="AG287" s="15"/>
      <c r="AH287" s="15"/>
      <c r="AI287" s="15"/>
      <c r="AJ287" s="15"/>
      <c r="AK287" s="15"/>
    </row>
    <row r="288" spans="1:37" ht="15" customHeight="1" x14ac:dyDescent="0.25">
      <c r="A288" s="14"/>
      <c r="B288" s="14"/>
      <c r="C288" s="25"/>
      <c r="D288" s="26"/>
      <c r="E288" s="16"/>
      <c r="F288" s="14"/>
      <c r="G288" s="48"/>
      <c r="H288" s="48"/>
      <c r="I288" s="48"/>
      <c r="J288" s="48"/>
      <c r="K288" s="48"/>
      <c r="L288" s="48"/>
      <c r="M288" s="48"/>
      <c r="N288" s="48"/>
      <c r="O288" s="48"/>
      <c r="P288" s="48"/>
      <c r="Q288" s="48"/>
      <c r="R288" s="48"/>
      <c r="S288" s="49"/>
      <c r="T288" s="49"/>
      <c r="U288" s="49"/>
      <c r="V288" s="8" t="s">
        <v>96</v>
      </c>
      <c r="W288" s="128">
        <f>W173</f>
        <v>1366.049298683223</v>
      </c>
      <c r="X288" s="128"/>
      <c r="Y288" s="128"/>
      <c r="Z288" s="128"/>
      <c r="AA288" s="49"/>
      <c r="AB288" s="49"/>
      <c r="AC288" s="48"/>
      <c r="AD288" s="14"/>
      <c r="AE288" s="15"/>
      <c r="AF288" s="15"/>
      <c r="AG288" s="15"/>
      <c r="AH288" s="15"/>
      <c r="AI288" s="15"/>
      <c r="AJ288" s="15"/>
      <c r="AK288" s="19" t="s">
        <v>68</v>
      </c>
    </row>
    <row r="289" spans="1:37" ht="15" customHeight="1" x14ac:dyDescent="0.25">
      <c r="A289" s="14"/>
      <c r="B289" s="14"/>
      <c r="C289" s="25"/>
      <c r="D289" s="26"/>
      <c r="E289" s="16"/>
      <c r="F289" s="14"/>
      <c r="G289" s="48"/>
      <c r="H289" s="48"/>
      <c r="I289" s="48"/>
      <c r="J289" s="48"/>
      <c r="K289" s="48"/>
      <c r="L289" s="48"/>
      <c r="M289" s="48"/>
      <c r="N289" s="48"/>
      <c r="O289" s="48"/>
      <c r="P289" s="48"/>
      <c r="Q289" s="48"/>
      <c r="R289" s="48"/>
      <c r="S289" s="49"/>
      <c r="T289" s="49"/>
      <c r="U289" s="49"/>
      <c r="V289" s="8" t="s">
        <v>103</v>
      </c>
      <c r="W289" s="128">
        <f>IF(W155="Low Relaxation Strand", $W$150*0.74,$W$150*0.7)</f>
        <v>1377.5725065419999</v>
      </c>
      <c r="X289" s="128"/>
      <c r="Y289" s="128"/>
      <c r="Z289" s="128"/>
      <c r="AA289" s="49"/>
      <c r="AB289" s="49"/>
      <c r="AC289" s="48"/>
      <c r="AD289" s="14"/>
      <c r="AE289" s="15"/>
      <c r="AF289" s="15"/>
      <c r="AG289" s="15"/>
      <c r="AH289" s="15"/>
      <c r="AI289" s="15"/>
      <c r="AJ289" s="15"/>
      <c r="AK289" s="19" t="s">
        <v>28</v>
      </c>
    </row>
    <row r="290" spans="1:37" ht="15" customHeight="1" x14ac:dyDescent="0.2">
      <c r="A290" s="14"/>
      <c r="B290" s="14"/>
      <c r="C290" s="25"/>
      <c r="D290" s="26"/>
      <c r="E290" s="16"/>
      <c r="F290" s="14"/>
      <c r="G290" s="48"/>
      <c r="H290" s="48"/>
      <c r="I290" s="48"/>
      <c r="J290" s="48"/>
      <c r="K290" s="48"/>
      <c r="L290" s="48"/>
      <c r="M290" s="48"/>
      <c r="N290" s="48"/>
      <c r="O290" s="48"/>
      <c r="P290" s="48"/>
      <c r="Q290" s="48"/>
      <c r="R290" s="48"/>
      <c r="S290" s="49"/>
      <c r="T290" s="49"/>
      <c r="U290" s="49"/>
      <c r="V290" s="8" t="s">
        <v>97</v>
      </c>
      <c r="W290" s="129">
        <f>+W288/W289</f>
        <v>0.99163513513513524</v>
      </c>
      <c r="X290" s="129"/>
      <c r="Y290" s="129"/>
      <c r="Z290" s="129"/>
      <c r="AA290" s="49"/>
      <c r="AB290" s="49"/>
      <c r="AC290" s="48"/>
      <c r="AD290" s="14"/>
      <c r="AE290" s="15"/>
      <c r="AF290" s="15"/>
      <c r="AG290" s="15"/>
      <c r="AH290" s="15"/>
      <c r="AI290" s="15"/>
      <c r="AJ290" s="15"/>
      <c r="AK290" s="40" t="s">
        <v>90</v>
      </c>
    </row>
    <row r="291" spans="1:37" ht="15" customHeight="1" x14ac:dyDescent="0.2">
      <c r="A291" s="14"/>
      <c r="B291" s="14"/>
      <c r="C291" s="25"/>
      <c r="D291" s="26"/>
      <c r="E291" s="16"/>
      <c r="F291" s="14"/>
      <c r="G291" s="48"/>
      <c r="H291" s="48"/>
      <c r="I291" s="48"/>
      <c r="J291" s="48"/>
      <c r="K291" s="48"/>
      <c r="L291" s="48"/>
      <c r="M291" s="48"/>
      <c r="N291" s="48"/>
      <c r="O291" s="48"/>
      <c r="P291" s="48"/>
      <c r="Q291" s="48"/>
      <c r="R291" s="48"/>
      <c r="S291" s="49"/>
      <c r="T291" s="49"/>
      <c r="U291" s="49"/>
      <c r="V291" s="49"/>
      <c r="W291" s="49"/>
      <c r="X291" s="49"/>
      <c r="Y291" s="49"/>
      <c r="Z291" s="49"/>
      <c r="AA291" s="49"/>
      <c r="AB291" s="49"/>
      <c r="AC291" s="48"/>
      <c r="AD291" s="14"/>
      <c r="AE291" s="15"/>
      <c r="AF291" s="15"/>
      <c r="AG291" s="15"/>
      <c r="AH291" s="15"/>
      <c r="AI291" s="15"/>
      <c r="AJ291" s="15"/>
      <c r="AK291" s="15"/>
    </row>
    <row r="292" spans="1:37" ht="15" customHeight="1" x14ac:dyDescent="0.2">
      <c r="A292" s="14"/>
      <c r="B292" s="14"/>
      <c r="C292" s="125" t="s">
        <v>61</v>
      </c>
      <c r="D292" s="126"/>
      <c r="E292" s="126"/>
      <c r="F292" s="126"/>
      <c r="G292" s="126"/>
      <c r="H292" s="126"/>
      <c r="I292" s="127" t="s">
        <v>102</v>
      </c>
      <c r="J292" s="127"/>
      <c r="K292" s="127"/>
      <c r="L292" s="127"/>
      <c r="M292" s="127"/>
      <c r="N292" s="127"/>
      <c r="O292" s="127"/>
      <c r="P292" s="127"/>
      <c r="Q292" s="127"/>
      <c r="R292" s="127"/>
      <c r="S292" s="127"/>
      <c r="T292" s="127"/>
      <c r="U292" s="127"/>
      <c r="V292" s="127"/>
      <c r="W292" s="127"/>
      <c r="X292" s="127"/>
      <c r="Y292" s="127"/>
      <c r="Z292" s="127"/>
      <c r="AA292" s="127"/>
      <c r="AB292" s="127"/>
      <c r="AC292" s="127"/>
      <c r="AD292" s="14"/>
      <c r="AE292" s="15"/>
      <c r="AF292" s="15"/>
      <c r="AG292" s="15"/>
      <c r="AH292" s="15"/>
      <c r="AI292" s="15"/>
      <c r="AJ292" s="15"/>
      <c r="AK292" s="15"/>
    </row>
    <row r="293" spans="1:37" ht="15" customHeight="1" x14ac:dyDescent="0.2">
      <c r="A293" s="14"/>
      <c r="B293" s="14"/>
      <c r="C293" s="125"/>
      <c r="D293" s="126"/>
      <c r="E293" s="126"/>
      <c r="F293" s="126"/>
      <c r="G293" s="126"/>
      <c r="H293" s="126"/>
      <c r="I293" s="127"/>
      <c r="J293" s="127"/>
      <c r="K293" s="127"/>
      <c r="L293" s="127"/>
      <c r="M293" s="127"/>
      <c r="N293" s="127"/>
      <c r="O293" s="127"/>
      <c r="P293" s="127"/>
      <c r="Q293" s="127"/>
      <c r="R293" s="127"/>
      <c r="S293" s="127"/>
      <c r="T293" s="127"/>
      <c r="U293" s="127"/>
      <c r="V293" s="127"/>
      <c r="W293" s="127"/>
      <c r="X293" s="127"/>
      <c r="Y293" s="127"/>
      <c r="Z293" s="127"/>
      <c r="AA293" s="127"/>
      <c r="AB293" s="127"/>
      <c r="AC293" s="127"/>
      <c r="AD293" s="14"/>
      <c r="AE293" s="15"/>
      <c r="AF293" s="15"/>
      <c r="AG293" s="15"/>
      <c r="AH293" s="15"/>
      <c r="AI293" s="15"/>
      <c r="AJ293" s="15"/>
      <c r="AK293" s="15"/>
    </row>
    <row r="294" spans="1:37" ht="15" customHeight="1" x14ac:dyDescent="0.2">
      <c r="A294" s="14"/>
      <c r="B294" s="14"/>
      <c r="C294" s="25"/>
      <c r="D294" s="26"/>
      <c r="E294" s="16"/>
      <c r="F294" s="14"/>
      <c r="G294" s="36"/>
      <c r="H294" s="36"/>
      <c r="I294" s="142" t="s">
        <v>140</v>
      </c>
      <c r="J294" s="142"/>
      <c r="K294" s="142"/>
      <c r="L294" s="142"/>
      <c r="M294" s="142"/>
      <c r="N294" s="142"/>
      <c r="O294" s="142"/>
      <c r="P294" s="142"/>
      <c r="Q294" s="142"/>
      <c r="R294" s="142"/>
      <c r="S294" s="142"/>
      <c r="T294" s="142"/>
      <c r="U294" s="142"/>
      <c r="V294" s="142"/>
      <c r="W294" s="142"/>
      <c r="X294" s="142"/>
      <c r="Y294" s="142"/>
      <c r="Z294" s="142"/>
      <c r="AA294" s="142"/>
      <c r="AB294" s="142"/>
      <c r="AC294" s="142"/>
      <c r="AD294" s="14"/>
      <c r="AE294" s="15"/>
      <c r="AF294" s="15"/>
      <c r="AG294" s="15"/>
      <c r="AH294" s="15"/>
      <c r="AI294" s="15"/>
      <c r="AJ294" s="15"/>
      <c r="AK294" s="15"/>
    </row>
    <row r="295" spans="1:37" ht="15" customHeight="1" x14ac:dyDescent="0.2">
      <c r="A295" s="14"/>
      <c r="B295" s="14"/>
      <c r="C295" s="25"/>
      <c r="D295" s="26"/>
      <c r="E295" s="16"/>
      <c r="F295" s="14"/>
      <c r="G295" s="36"/>
      <c r="H295" s="36"/>
      <c r="I295" s="142"/>
      <c r="J295" s="142"/>
      <c r="K295" s="142"/>
      <c r="L295" s="142"/>
      <c r="M295" s="142"/>
      <c r="N295" s="142"/>
      <c r="O295" s="142"/>
      <c r="P295" s="142"/>
      <c r="Q295" s="142"/>
      <c r="R295" s="142"/>
      <c r="S295" s="142"/>
      <c r="T295" s="142"/>
      <c r="U295" s="142"/>
      <c r="V295" s="142"/>
      <c r="W295" s="142"/>
      <c r="X295" s="142"/>
      <c r="Y295" s="142"/>
      <c r="Z295" s="142"/>
      <c r="AA295" s="142"/>
      <c r="AB295" s="142"/>
      <c r="AC295" s="142"/>
      <c r="AD295" s="14"/>
      <c r="AE295" s="15"/>
      <c r="AF295" s="15"/>
      <c r="AG295" s="15"/>
      <c r="AH295" s="15"/>
      <c r="AI295" s="15"/>
      <c r="AJ295" s="15"/>
      <c r="AK295" s="15"/>
    </row>
    <row r="296" spans="1:37" ht="15" customHeight="1" x14ac:dyDescent="0.2">
      <c r="A296" s="14"/>
      <c r="B296" s="14"/>
      <c r="C296" s="25"/>
      <c r="D296" s="26"/>
      <c r="E296" s="16"/>
      <c r="F296" s="14"/>
      <c r="G296" s="36"/>
      <c r="H296" s="36"/>
      <c r="I296" s="142"/>
      <c r="J296" s="142"/>
      <c r="K296" s="142"/>
      <c r="L296" s="142"/>
      <c r="M296" s="142"/>
      <c r="N296" s="142"/>
      <c r="O296" s="142"/>
      <c r="P296" s="142"/>
      <c r="Q296" s="142"/>
      <c r="R296" s="142"/>
      <c r="S296" s="142"/>
      <c r="T296" s="142"/>
      <c r="U296" s="142"/>
      <c r="V296" s="142"/>
      <c r="W296" s="142"/>
      <c r="X296" s="142"/>
      <c r="Y296" s="142"/>
      <c r="Z296" s="142"/>
      <c r="AA296" s="142"/>
      <c r="AB296" s="142"/>
      <c r="AC296" s="142"/>
      <c r="AD296" s="14"/>
      <c r="AE296" s="15"/>
      <c r="AF296" s="15"/>
      <c r="AG296" s="15"/>
      <c r="AH296" s="15"/>
      <c r="AI296" s="15"/>
      <c r="AJ296" s="15"/>
      <c r="AK296" s="15"/>
    </row>
    <row r="297" spans="1:37" ht="15" customHeight="1" x14ac:dyDescent="0.2">
      <c r="A297" s="14"/>
      <c r="B297" s="14"/>
      <c r="C297" s="25"/>
      <c r="D297" s="26"/>
      <c r="E297" s="16"/>
      <c r="F297" s="14"/>
      <c r="G297" s="36"/>
      <c r="H297" s="36"/>
      <c r="I297" s="142"/>
      <c r="J297" s="142"/>
      <c r="K297" s="142"/>
      <c r="L297" s="142"/>
      <c r="M297" s="142"/>
      <c r="N297" s="142"/>
      <c r="O297" s="142"/>
      <c r="P297" s="142"/>
      <c r="Q297" s="142"/>
      <c r="R297" s="142"/>
      <c r="S297" s="142"/>
      <c r="T297" s="142"/>
      <c r="U297" s="142"/>
      <c r="V297" s="142"/>
      <c r="W297" s="142"/>
      <c r="X297" s="142"/>
      <c r="Y297" s="142"/>
      <c r="Z297" s="142"/>
      <c r="AA297" s="142"/>
      <c r="AB297" s="142"/>
      <c r="AC297" s="142"/>
      <c r="AD297" s="14"/>
      <c r="AE297" s="15"/>
      <c r="AF297" s="15"/>
      <c r="AG297" s="15"/>
      <c r="AH297" s="15"/>
      <c r="AI297" s="15"/>
      <c r="AJ297" s="15"/>
      <c r="AK297" s="15"/>
    </row>
    <row r="298" spans="1:37" ht="15" customHeight="1" x14ac:dyDescent="0.2">
      <c r="A298" s="14"/>
      <c r="B298" s="14"/>
      <c r="C298" s="25"/>
      <c r="D298" s="26"/>
      <c r="E298" s="16"/>
      <c r="F298" s="14"/>
      <c r="G298" s="36"/>
      <c r="H298" s="36"/>
      <c r="I298" s="142"/>
      <c r="J298" s="142"/>
      <c r="K298" s="142"/>
      <c r="L298" s="142"/>
      <c r="M298" s="142"/>
      <c r="N298" s="142"/>
      <c r="O298" s="142"/>
      <c r="P298" s="142"/>
      <c r="Q298" s="142"/>
      <c r="R298" s="142"/>
      <c r="S298" s="142"/>
      <c r="T298" s="142"/>
      <c r="U298" s="142"/>
      <c r="V298" s="142"/>
      <c r="W298" s="142"/>
      <c r="X298" s="142"/>
      <c r="Y298" s="142"/>
      <c r="Z298" s="142"/>
      <c r="AA298" s="142"/>
      <c r="AB298" s="142"/>
      <c r="AC298" s="142"/>
      <c r="AD298" s="14"/>
      <c r="AE298" s="15"/>
      <c r="AF298" s="15"/>
      <c r="AG298" s="15"/>
      <c r="AH298" s="15"/>
      <c r="AI298" s="15"/>
      <c r="AJ298" s="15"/>
      <c r="AK298" s="15"/>
    </row>
    <row r="299" spans="1:37" ht="15" customHeight="1" x14ac:dyDescent="0.2">
      <c r="A299" s="14"/>
      <c r="B299" s="14"/>
      <c r="C299" s="25"/>
      <c r="D299" s="26"/>
      <c r="E299" s="16"/>
      <c r="F299" s="14"/>
      <c r="G299" s="36"/>
      <c r="H299" s="36"/>
      <c r="I299" s="142"/>
      <c r="J299" s="142"/>
      <c r="K299" s="142"/>
      <c r="L299" s="142"/>
      <c r="M299" s="142"/>
      <c r="N299" s="142"/>
      <c r="O299" s="142"/>
      <c r="P299" s="142"/>
      <c r="Q299" s="142"/>
      <c r="R299" s="142"/>
      <c r="S299" s="142"/>
      <c r="T299" s="142"/>
      <c r="U299" s="142"/>
      <c r="V299" s="142"/>
      <c r="W299" s="142"/>
      <c r="X299" s="142"/>
      <c r="Y299" s="142"/>
      <c r="Z299" s="142"/>
      <c r="AA299" s="142"/>
      <c r="AB299" s="142"/>
      <c r="AC299" s="142"/>
      <c r="AD299" s="14"/>
      <c r="AE299" s="15"/>
      <c r="AF299" s="15"/>
      <c r="AG299" s="15"/>
      <c r="AH299" s="15"/>
      <c r="AI299" s="15"/>
      <c r="AJ299" s="15"/>
      <c r="AK299" s="15"/>
    </row>
    <row r="300" spans="1:37" ht="15" customHeight="1" x14ac:dyDescent="0.2">
      <c r="A300" s="14"/>
      <c r="B300" s="14"/>
      <c r="C300" s="25"/>
      <c r="D300" s="26"/>
      <c r="E300" s="16"/>
      <c r="F300" s="14"/>
      <c r="G300" s="36"/>
      <c r="H300" s="36"/>
      <c r="I300" s="142"/>
      <c r="J300" s="142"/>
      <c r="K300" s="142"/>
      <c r="L300" s="142"/>
      <c r="M300" s="142"/>
      <c r="N300" s="142"/>
      <c r="O300" s="142"/>
      <c r="P300" s="142"/>
      <c r="Q300" s="142"/>
      <c r="R300" s="142"/>
      <c r="S300" s="142"/>
      <c r="T300" s="142"/>
      <c r="U300" s="142"/>
      <c r="V300" s="142"/>
      <c r="W300" s="142"/>
      <c r="X300" s="142"/>
      <c r="Y300" s="142"/>
      <c r="Z300" s="142"/>
      <c r="AA300" s="142"/>
      <c r="AB300" s="142"/>
      <c r="AC300" s="142"/>
      <c r="AD300" s="14"/>
      <c r="AE300" s="15"/>
      <c r="AF300" s="15"/>
      <c r="AG300" s="15"/>
      <c r="AH300" s="15"/>
      <c r="AI300" s="15"/>
      <c r="AJ300" s="15"/>
      <c r="AK300" s="15"/>
    </row>
    <row r="301" spans="1:37" ht="15" customHeight="1" x14ac:dyDescent="0.2">
      <c r="A301" s="14"/>
      <c r="B301" s="14"/>
      <c r="C301" s="25"/>
      <c r="D301" s="26"/>
      <c r="E301" s="16"/>
      <c r="F301" s="14"/>
      <c r="G301" s="36"/>
      <c r="H301" s="36"/>
      <c r="I301" s="142"/>
      <c r="J301" s="142"/>
      <c r="K301" s="142"/>
      <c r="L301" s="142"/>
      <c r="M301" s="142"/>
      <c r="N301" s="142"/>
      <c r="O301" s="142"/>
      <c r="P301" s="142"/>
      <c r="Q301" s="142"/>
      <c r="R301" s="142"/>
      <c r="S301" s="142"/>
      <c r="T301" s="142"/>
      <c r="U301" s="142"/>
      <c r="V301" s="142"/>
      <c r="W301" s="142"/>
      <c r="X301" s="142"/>
      <c r="Y301" s="142"/>
      <c r="Z301" s="142"/>
      <c r="AA301" s="142"/>
      <c r="AB301" s="142"/>
      <c r="AC301" s="142"/>
      <c r="AD301" s="14"/>
      <c r="AE301" s="15"/>
      <c r="AF301" s="15"/>
      <c r="AG301" s="15"/>
      <c r="AH301" s="15"/>
      <c r="AI301" s="15"/>
      <c r="AJ301" s="15"/>
      <c r="AK301" s="15"/>
    </row>
    <row r="302" spans="1:37" ht="15" customHeight="1" x14ac:dyDescent="0.2">
      <c r="A302" s="14"/>
      <c r="B302" s="14"/>
      <c r="C302" s="25"/>
      <c r="D302" s="26"/>
      <c r="E302" s="16"/>
      <c r="F302" s="14"/>
      <c r="G302" s="36"/>
      <c r="H302" s="36"/>
      <c r="I302" s="142"/>
      <c r="J302" s="142"/>
      <c r="K302" s="142"/>
      <c r="L302" s="142"/>
      <c r="M302" s="142"/>
      <c r="N302" s="142"/>
      <c r="O302" s="142"/>
      <c r="P302" s="142"/>
      <c r="Q302" s="142"/>
      <c r="R302" s="142"/>
      <c r="S302" s="142"/>
      <c r="T302" s="142"/>
      <c r="U302" s="142"/>
      <c r="V302" s="142"/>
      <c r="W302" s="142"/>
      <c r="X302" s="142"/>
      <c r="Y302" s="142"/>
      <c r="Z302" s="142"/>
      <c r="AA302" s="142"/>
      <c r="AB302" s="142"/>
      <c r="AC302" s="142"/>
      <c r="AD302" s="14"/>
      <c r="AE302" s="15"/>
      <c r="AF302" s="15"/>
      <c r="AG302" s="15"/>
      <c r="AH302" s="15"/>
      <c r="AI302" s="15"/>
      <c r="AJ302" s="15"/>
      <c r="AK302" s="15"/>
    </row>
    <row r="303" spans="1:37" ht="15" customHeight="1" x14ac:dyDescent="0.2">
      <c r="A303" s="14"/>
      <c r="B303" s="14"/>
      <c r="C303" s="25"/>
      <c r="D303" s="26"/>
      <c r="E303" s="16"/>
      <c r="F303" s="14"/>
      <c r="G303" s="36"/>
      <c r="H303" s="36"/>
      <c r="I303" s="142"/>
      <c r="J303" s="142"/>
      <c r="K303" s="142"/>
      <c r="L303" s="142"/>
      <c r="M303" s="142"/>
      <c r="N303" s="142"/>
      <c r="O303" s="142"/>
      <c r="P303" s="142"/>
      <c r="Q303" s="142"/>
      <c r="R303" s="142"/>
      <c r="S303" s="142"/>
      <c r="T303" s="142"/>
      <c r="U303" s="142"/>
      <c r="V303" s="142"/>
      <c r="W303" s="142"/>
      <c r="X303" s="142"/>
      <c r="Y303" s="142"/>
      <c r="Z303" s="142"/>
      <c r="AA303" s="142"/>
      <c r="AB303" s="142"/>
      <c r="AC303" s="142"/>
      <c r="AD303" s="14"/>
      <c r="AE303" s="15"/>
      <c r="AF303" s="15"/>
      <c r="AG303" s="15"/>
      <c r="AH303" s="15"/>
      <c r="AI303" s="15"/>
      <c r="AJ303" s="15"/>
      <c r="AK303" s="15"/>
    </row>
    <row r="304" spans="1:37" ht="15" customHeight="1" x14ac:dyDescent="0.2">
      <c r="A304" s="14"/>
      <c r="B304" s="14"/>
      <c r="C304" s="25"/>
      <c r="D304" s="26"/>
      <c r="E304" s="16"/>
      <c r="F304" s="14"/>
      <c r="G304" s="36"/>
      <c r="H304" s="36"/>
      <c r="I304" s="142"/>
      <c r="J304" s="142"/>
      <c r="K304" s="142"/>
      <c r="L304" s="142"/>
      <c r="M304" s="142"/>
      <c r="N304" s="142"/>
      <c r="O304" s="142"/>
      <c r="P304" s="142"/>
      <c r="Q304" s="142"/>
      <c r="R304" s="142"/>
      <c r="S304" s="142"/>
      <c r="T304" s="142"/>
      <c r="U304" s="142"/>
      <c r="V304" s="142"/>
      <c r="W304" s="142"/>
      <c r="X304" s="142"/>
      <c r="Y304" s="142"/>
      <c r="Z304" s="142"/>
      <c r="AA304" s="142"/>
      <c r="AB304" s="142"/>
      <c r="AC304" s="142"/>
      <c r="AD304" s="14"/>
      <c r="AE304" s="15"/>
      <c r="AF304" s="15"/>
      <c r="AG304" s="15"/>
      <c r="AH304" s="15"/>
      <c r="AI304" s="15"/>
      <c r="AJ304" s="15"/>
      <c r="AK304" s="15"/>
    </row>
    <row r="305" spans="1:45" ht="15" customHeight="1" x14ac:dyDescent="0.2">
      <c r="A305" s="14"/>
      <c r="B305" s="14"/>
      <c r="C305" s="25"/>
      <c r="D305" s="26"/>
      <c r="E305" s="16"/>
      <c r="F305" s="14"/>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14"/>
      <c r="AE305" s="15"/>
      <c r="AF305" s="15"/>
      <c r="AG305" s="15"/>
      <c r="AH305" s="15"/>
      <c r="AI305" s="15"/>
      <c r="AJ305" s="15"/>
      <c r="AK305" s="15"/>
    </row>
    <row r="306" spans="1:45" ht="15" customHeight="1" x14ac:dyDescent="0.2">
      <c r="A306" s="14"/>
      <c r="B306" s="14"/>
      <c r="C306" s="25"/>
      <c r="D306" s="26"/>
      <c r="E306" s="16"/>
      <c r="F306" s="14"/>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14"/>
      <c r="AE306" s="15"/>
      <c r="AF306" s="15"/>
      <c r="AG306" s="15"/>
      <c r="AH306" s="15"/>
      <c r="AI306" s="15"/>
      <c r="AJ306" s="15"/>
      <c r="AK306" s="15"/>
    </row>
    <row r="307" spans="1:45" ht="15" customHeight="1" x14ac:dyDescent="0.2">
      <c r="A307" s="14"/>
      <c r="B307" s="14"/>
      <c r="C307" s="25"/>
      <c r="D307" s="26"/>
      <c r="E307" s="16"/>
      <c r="F307" s="14"/>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14"/>
      <c r="AE307" s="15"/>
      <c r="AF307" s="15"/>
      <c r="AG307" s="15"/>
      <c r="AH307" s="15"/>
      <c r="AI307" s="15"/>
      <c r="AJ307" s="15"/>
      <c r="AK307" s="15"/>
    </row>
    <row r="308" spans="1:45" ht="15" customHeight="1" x14ac:dyDescent="0.2">
      <c r="A308" s="14"/>
      <c r="B308" s="14"/>
      <c r="C308" s="25"/>
      <c r="D308" s="26"/>
      <c r="E308" s="16"/>
      <c r="F308" s="14"/>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14"/>
      <c r="AE308" s="15"/>
      <c r="AF308" s="15"/>
      <c r="AG308" s="15"/>
      <c r="AH308" s="15"/>
      <c r="AI308" s="15"/>
      <c r="AJ308" s="15"/>
      <c r="AK308" s="15"/>
    </row>
    <row r="309" spans="1:45" ht="15" customHeight="1" x14ac:dyDescent="0.2">
      <c r="A309" s="14"/>
      <c r="B309" s="14"/>
      <c r="C309" s="25"/>
      <c r="D309" s="26"/>
      <c r="E309" s="16"/>
      <c r="F309" s="14"/>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14"/>
      <c r="AE309" s="15"/>
      <c r="AF309" s="15"/>
      <c r="AG309" s="15"/>
      <c r="AH309" s="15"/>
      <c r="AI309" s="15"/>
      <c r="AJ309" s="15"/>
      <c r="AK309" s="15"/>
    </row>
    <row r="310" spans="1:45" ht="15" customHeight="1" x14ac:dyDescent="0.2">
      <c r="A310" s="14"/>
      <c r="B310" s="14"/>
      <c r="C310" s="25"/>
      <c r="D310" s="26"/>
      <c r="E310" s="16"/>
      <c r="F310" s="14"/>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14"/>
      <c r="AE310" s="15"/>
      <c r="AF310" s="15"/>
      <c r="AG310" s="15"/>
      <c r="AH310" s="15"/>
      <c r="AI310" s="15"/>
      <c r="AJ310" s="15"/>
      <c r="AK310" s="15"/>
    </row>
    <row r="311" spans="1:45" ht="15" customHeight="1" x14ac:dyDescent="0.2">
      <c r="A311" s="14"/>
      <c r="B311" s="14"/>
      <c r="C311" s="25"/>
      <c r="D311" s="26"/>
      <c r="E311" s="16"/>
      <c r="F311" s="14"/>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14"/>
      <c r="AE311" s="15"/>
      <c r="AF311" s="15"/>
      <c r="AG311" s="15"/>
      <c r="AH311" s="15"/>
      <c r="AI311" s="15"/>
      <c r="AJ311" s="15"/>
      <c r="AK311" s="15"/>
    </row>
    <row r="312" spans="1:45" ht="15" customHeight="1" x14ac:dyDescent="0.2">
      <c r="A312" s="14"/>
      <c r="B312" s="14"/>
      <c r="C312" s="25"/>
      <c r="D312" s="26"/>
      <c r="E312" s="16"/>
      <c r="F312" s="14"/>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14"/>
      <c r="AE312" s="15"/>
      <c r="AF312" s="15"/>
      <c r="AG312" s="15"/>
      <c r="AH312" s="15"/>
      <c r="AI312" s="15"/>
      <c r="AJ312" s="15"/>
      <c r="AK312" s="15"/>
    </row>
    <row r="313" spans="1:45" ht="15" customHeight="1" x14ac:dyDescent="0.2">
      <c r="A313" s="14"/>
      <c r="B313" s="14"/>
      <c r="C313" s="25"/>
      <c r="D313" s="26"/>
      <c r="E313" s="16"/>
      <c r="F313" s="14"/>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14"/>
      <c r="AE313" s="15"/>
      <c r="AF313" s="15"/>
      <c r="AG313" s="15"/>
      <c r="AH313" s="15"/>
      <c r="AI313" s="15"/>
      <c r="AJ313" s="15"/>
      <c r="AK313" s="15"/>
    </row>
    <row r="314" spans="1:45" ht="15" customHeight="1" x14ac:dyDescent="0.2">
      <c r="A314" s="14"/>
      <c r="B314" s="14"/>
      <c r="C314" s="25"/>
      <c r="D314" s="26"/>
      <c r="E314" s="16"/>
      <c r="F314" s="14"/>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14"/>
      <c r="AE314" s="15"/>
      <c r="AF314" s="15"/>
      <c r="AG314" s="15"/>
      <c r="AH314" s="15"/>
      <c r="AI314" s="15"/>
      <c r="AJ314" s="15"/>
      <c r="AK314" s="15"/>
    </row>
    <row r="315" spans="1:45" ht="15" customHeight="1" x14ac:dyDescent="0.2">
      <c r="A315" s="14"/>
      <c r="B315" s="14"/>
      <c r="C315" s="25"/>
      <c r="D315" s="26"/>
      <c r="E315" s="16"/>
      <c r="F315" s="14"/>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14"/>
      <c r="AE315" s="15"/>
      <c r="AF315" s="15"/>
      <c r="AG315" s="15"/>
      <c r="AH315" s="15"/>
      <c r="AI315" s="15"/>
      <c r="AJ315" s="15"/>
      <c r="AK315" s="15"/>
    </row>
    <row r="316" spans="1:45" ht="15" customHeight="1" x14ac:dyDescent="0.2">
      <c r="A316" s="14"/>
      <c r="B316" s="14"/>
      <c r="C316" s="25"/>
      <c r="D316" s="26"/>
      <c r="E316" s="16"/>
      <c r="F316" s="14"/>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14"/>
      <c r="AE316" s="15"/>
      <c r="AF316" s="15"/>
      <c r="AG316" s="15"/>
      <c r="AH316" s="15"/>
      <c r="AI316" s="15"/>
      <c r="AJ316" s="15"/>
      <c r="AK316" s="15"/>
    </row>
    <row r="317" spans="1:45" ht="15" customHeight="1" x14ac:dyDescent="0.2">
      <c r="J317" s="133" t="str">
        <f>"Table "&amp;Inputs!B3&amp;"-1:  Factored Moments at Key Locations"</f>
        <v>Table C.1-1:  Factored Moments at Key Locations</v>
      </c>
      <c r="K317" s="134"/>
      <c r="L317" s="134"/>
      <c r="M317" s="134"/>
      <c r="N317" s="134"/>
      <c r="O317" s="134"/>
      <c r="P317" s="134"/>
      <c r="Q317" s="134"/>
      <c r="R317" s="134"/>
      <c r="S317" s="134"/>
      <c r="T317" s="134"/>
      <c r="U317" s="134"/>
      <c r="V317" s="134"/>
      <c r="W317" s="134"/>
      <c r="X317" s="134"/>
      <c r="Y317" s="134"/>
      <c r="Z317" s="134"/>
      <c r="AA317" s="134"/>
      <c r="AB317" s="134"/>
    </row>
    <row r="318" spans="1:45" ht="15" customHeight="1" x14ac:dyDescent="0.2">
      <c r="J318" s="179"/>
      <c r="K318" s="179"/>
      <c r="L318" s="179"/>
      <c r="M318" s="179"/>
      <c r="N318" s="179"/>
      <c r="O318" s="179"/>
      <c r="P318" s="179"/>
      <c r="Q318" s="180" t="s">
        <v>106</v>
      </c>
      <c r="R318" s="181"/>
      <c r="S318" s="181"/>
      <c r="T318" s="182"/>
      <c r="U318" s="180" t="s">
        <v>107</v>
      </c>
      <c r="V318" s="183"/>
      <c r="W318" s="183"/>
      <c r="X318" s="184"/>
      <c r="Y318" s="180" t="s">
        <v>32</v>
      </c>
      <c r="Z318" s="183"/>
      <c r="AA318" s="183"/>
      <c r="AB318" s="184"/>
    </row>
    <row r="319" spans="1:45" ht="15" customHeight="1" x14ac:dyDescent="0.2">
      <c r="J319" s="123" t="s">
        <v>98</v>
      </c>
      <c r="K319" s="123"/>
      <c r="L319" s="123"/>
      <c r="M319" s="123"/>
      <c r="N319" s="123"/>
      <c r="O319" s="123"/>
      <c r="P319" s="123"/>
      <c r="Q319" s="138">
        <f>Inputs!O5</f>
        <v>1.3560000000000001</v>
      </c>
      <c r="R319" s="138"/>
      <c r="S319" s="138"/>
      <c r="T319" s="138"/>
      <c r="U319" s="138" cm="1">
        <f t="array" ref="U319">INDEX(Inputs!O:O, MAX(IF(Inputs!O:O&lt;&gt;"", ROW(Inputs!O:O))))</f>
        <v>1.3560000000000001</v>
      </c>
      <c r="V319" s="138"/>
      <c r="W319" s="138"/>
      <c r="X319" s="138"/>
      <c r="Y319" s="138" cm="1">
        <f t="array" ref="Y319">INDEX(Inputs!O5:O59,
  SMALL(
    IF(Inputs!O5:O59&lt;&gt;"", ROW(Inputs!O5:O59)-ROW(Inputs!O5)+1),
    ROUNDUP(COUNTA(Inputs!O5:O59)/2,0)
  )
)</f>
        <v>20399.664000000001</v>
      </c>
      <c r="Z319" s="138"/>
      <c r="AA319" s="138"/>
      <c r="AB319" s="138"/>
      <c r="AP319" s="18"/>
      <c r="AQ319" s="18"/>
      <c r="AR319" s="18"/>
      <c r="AS319" s="18"/>
    </row>
    <row r="320" spans="1:45" ht="15" customHeight="1" x14ac:dyDescent="0.2">
      <c r="J320" s="175" t="s">
        <v>29</v>
      </c>
      <c r="K320" s="176"/>
      <c r="L320" s="176"/>
      <c r="M320" s="176"/>
      <c r="N320" s="176"/>
      <c r="O320" s="176"/>
      <c r="P320" s="177"/>
      <c r="Q320" s="138">
        <f>Inputs!R5</f>
        <v>1773.6480000000001</v>
      </c>
      <c r="R320" s="138"/>
      <c r="S320" s="138"/>
      <c r="T320" s="138"/>
      <c r="U320" s="138" cm="1">
        <f t="array" ref="U320">INDEX(Inputs!R:R, MAX(IF(Inputs!R:R&lt;&gt;"", ROW(Inputs!R:R))))</f>
        <v>1773.648000000001</v>
      </c>
      <c r="V320" s="138"/>
      <c r="W320" s="138"/>
      <c r="X320" s="138"/>
      <c r="Y320" s="138" cm="1">
        <f t="array" ref="Y320">INDEX(Inputs!R5:R59,
  SMALL(
    IF(Inputs!R5:R59&lt;&gt;"", ROW(Inputs!R5:R59)-ROW(Inputs!R5)+1),
    ROUNDUP(COUNTA(Inputs!R5:R59)/2,0)
  )
)</f>
        <v>22173.312000000002</v>
      </c>
      <c r="Z320" s="138"/>
      <c r="AA320" s="138"/>
      <c r="AB320" s="138"/>
    </row>
    <row r="321" spans="1:37" ht="15" customHeight="1" thickBot="1" x14ac:dyDescent="0.25">
      <c r="J321" s="123" t="s">
        <v>99</v>
      </c>
      <c r="K321" s="123"/>
      <c r="L321" s="123"/>
      <c r="M321" s="123"/>
      <c r="N321" s="123"/>
      <c r="O321" s="123"/>
      <c r="P321" s="123"/>
      <c r="Q321" s="138">
        <f>Inputs!U5</f>
        <v>12962.004000000001</v>
      </c>
      <c r="R321" s="138"/>
      <c r="S321" s="138"/>
      <c r="T321" s="138"/>
      <c r="U321" s="138" cm="1">
        <f t="array" ref="U321">INDEX(Inputs!U:U, MAX(IF(Inputs!U:U&lt;&gt;"", ROW(Inputs!U:U))))</f>
        <v>11188.356000000003</v>
      </c>
      <c r="V321" s="138"/>
      <c r="W321" s="138"/>
      <c r="X321" s="138"/>
      <c r="Y321" s="138" cm="1">
        <f t="array" ref="Y321">INDEX(Inputs!U5:U59,
  SMALL(
    IF(Inputs!U5:U59&lt;&gt;"", ROW(Inputs!U5:U59)-ROW(Inputs!U5)+1),
    ROUNDUP(COUNTA(Inputs!U5:U59)/2,0)
  )
)</f>
        <v>33361.668000000005</v>
      </c>
      <c r="Z321" s="138"/>
      <c r="AA321" s="138"/>
      <c r="AB321" s="138"/>
    </row>
    <row r="322" spans="1:37" thickTop="1" thickBot="1" x14ac:dyDescent="0.3">
      <c r="J322" s="145" t="s">
        <v>70</v>
      </c>
      <c r="K322" s="145"/>
      <c r="L322" s="145"/>
      <c r="M322" s="145"/>
      <c r="N322" s="145"/>
      <c r="O322" s="145"/>
      <c r="P322" s="145"/>
      <c r="Q322" s="146">
        <f>ABS(Q319)+ABS(Q320)+ABS(Q321)</f>
        <v>14737.008000000002</v>
      </c>
      <c r="R322" s="146"/>
      <c r="S322" s="146"/>
      <c r="T322" s="146"/>
      <c r="U322" s="146">
        <f t="shared" ref="U322" si="0">ABS(U319)+ABS(U320)+ABS(U321)</f>
        <v>12963.360000000004</v>
      </c>
      <c r="V322" s="146"/>
      <c r="W322" s="146"/>
      <c r="X322" s="146"/>
      <c r="Y322" s="146">
        <f t="shared" ref="Y322" si="1">ABS(Y319)+ABS(Y320)+ABS(Y321)</f>
        <v>75934.644</v>
      </c>
      <c r="Z322" s="146"/>
      <c r="AA322" s="146"/>
      <c r="AB322" s="146"/>
    </row>
    <row r="323" spans="1:37" ht="15" customHeight="1" thickTop="1" x14ac:dyDescent="0.2">
      <c r="J323" s="110" t="s">
        <v>71</v>
      </c>
      <c r="K323" s="110"/>
      <c r="L323" s="110"/>
      <c r="M323" s="110"/>
      <c r="N323" s="110"/>
      <c r="O323" s="110"/>
      <c r="P323" s="110"/>
      <c r="Q323" s="111">
        <f>Inputs!L5</f>
        <v>1.016</v>
      </c>
      <c r="R323" s="112"/>
      <c r="S323" s="112"/>
      <c r="T323" s="113"/>
      <c r="U323" s="111" cm="1">
        <f t="array" ref="U323">INDEX(Inputs!L:L, MAX(IF(Inputs!L:L&lt;&gt;"", ROW(Inputs!L:L))))</f>
        <v>1.016</v>
      </c>
      <c r="V323" s="112"/>
      <c r="W323" s="112"/>
      <c r="X323" s="113"/>
      <c r="Y323" s="111" cm="1">
        <f t="array" ref="Y323">INDEX(Inputs!L5:L59,
  SMALL(
    IF(Inputs!L5:L59&lt;&gt;"", ROW(Inputs!L5:L59)-ROW(Inputs!L5)+1),
    ROUNDUP(COUNTA(Inputs!L5:L59)/2,0)
  )
)</f>
        <v>0.60959999999999992</v>
      </c>
      <c r="Z323" s="112"/>
      <c r="AA323" s="112"/>
      <c r="AB323" s="113"/>
    </row>
    <row r="324" spans="1:37" ht="15" customHeight="1" x14ac:dyDescent="0.25">
      <c r="J324" s="123" t="s">
        <v>109</v>
      </c>
      <c r="K324" s="123"/>
      <c r="L324" s="123"/>
      <c r="M324" s="123"/>
      <c r="N324" s="123"/>
      <c r="O324" s="123"/>
      <c r="P324" s="123"/>
      <c r="Q324" s="122">
        <f>Q322*Q323/$W$152*$W$153/$W$154/1000</f>
        <v>40.257957186194581</v>
      </c>
      <c r="R324" s="122"/>
      <c r="S324" s="122"/>
      <c r="T324" s="122"/>
      <c r="U324" s="122">
        <f>U322*U323/$W$152*$W$153/$W$154/1000</f>
        <v>35.412777944425862</v>
      </c>
      <c r="V324" s="122"/>
      <c r="W324" s="122"/>
      <c r="X324" s="122"/>
      <c r="Y324" s="122">
        <f>Y322*Y323/$W$152*$W$153/$W$154/1000</f>
        <v>124.46109741275541</v>
      </c>
      <c r="Z324" s="122"/>
      <c r="AA324" s="122"/>
      <c r="AB324" s="122"/>
    </row>
    <row r="326" spans="1:37" ht="15" customHeight="1" x14ac:dyDescent="0.25">
      <c r="A326" s="14"/>
      <c r="B326" s="37"/>
      <c r="C326" s="26"/>
      <c r="D326" s="26"/>
      <c r="E326" s="16"/>
      <c r="F326" s="14"/>
      <c r="G326" s="36"/>
      <c r="H326" s="9"/>
      <c r="I326" s="9"/>
      <c r="J326" s="9"/>
      <c r="K326" s="9"/>
      <c r="L326" s="9"/>
      <c r="M326" s="12"/>
      <c r="N326" s="12"/>
      <c r="P326" s="12"/>
      <c r="V326" s="8" t="s">
        <v>80</v>
      </c>
      <c r="W326" s="128">
        <f>W175</f>
        <v>1171.5341991750245</v>
      </c>
      <c r="X326" s="128"/>
      <c r="Y326" s="128"/>
      <c r="Z326" s="128"/>
      <c r="AA326" s="128"/>
      <c r="AB326" s="36"/>
      <c r="AC326" s="36"/>
      <c r="AD326" s="14"/>
      <c r="AE326" s="15"/>
      <c r="AF326" s="15"/>
      <c r="AG326" s="15"/>
      <c r="AH326" s="15"/>
      <c r="AI326" s="15"/>
      <c r="AJ326" s="15"/>
      <c r="AK326" s="19" t="s">
        <v>68</v>
      </c>
    </row>
    <row r="327" spans="1:37" ht="15" customHeight="1" x14ac:dyDescent="0.2">
      <c r="A327" s="14"/>
      <c r="B327" s="37"/>
      <c r="C327" s="26"/>
      <c r="D327" s="26"/>
      <c r="E327" s="16"/>
      <c r="F327" s="14"/>
      <c r="G327" s="36"/>
      <c r="H327" s="9"/>
      <c r="I327" s="9"/>
      <c r="J327" s="9"/>
      <c r="K327" s="9"/>
      <c r="L327" s="9"/>
      <c r="M327" s="12"/>
      <c r="N327" s="12"/>
      <c r="P327" s="12"/>
      <c r="V327" s="8"/>
      <c r="W327" s="43"/>
      <c r="X327" s="43"/>
      <c r="Y327" s="43"/>
      <c r="Z327" s="43"/>
      <c r="AA327" s="43"/>
      <c r="AB327" s="36"/>
      <c r="AC327" s="36"/>
      <c r="AD327" s="14"/>
      <c r="AE327" s="15"/>
      <c r="AF327" s="15"/>
      <c r="AG327" s="15"/>
      <c r="AH327" s="15"/>
      <c r="AI327" s="15"/>
      <c r="AJ327" s="15"/>
      <c r="AK327" s="15"/>
    </row>
    <row r="328" spans="1:37" ht="15" customHeight="1" x14ac:dyDescent="0.2">
      <c r="E328" s="12"/>
      <c r="F328" s="12"/>
      <c r="G328" s="12"/>
      <c r="H328" s="12"/>
      <c r="I328" s="130" t="s">
        <v>27</v>
      </c>
      <c r="J328" s="130"/>
      <c r="K328" s="130"/>
      <c r="L328" s="130"/>
      <c r="M328" s="130"/>
      <c r="N328" s="130"/>
      <c r="O328" s="130"/>
      <c r="P328" s="130"/>
      <c r="Q328" s="130"/>
      <c r="R328" s="130"/>
      <c r="S328" s="130"/>
      <c r="T328" s="130"/>
      <c r="U328" s="130"/>
      <c r="V328" s="130"/>
      <c r="W328" s="130"/>
      <c r="X328" s="130"/>
      <c r="Y328" s="130"/>
      <c r="Z328" s="130"/>
      <c r="AA328" s="130"/>
      <c r="AB328" s="130"/>
      <c r="AC328" s="130"/>
    </row>
    <row r="329" spans="1:37" ht="15" customHeight="1" x14ac:dyDescent="0.2">
      <c r="D329" s="12"/>
      <c r="E329" s="12"/>
      <c r="F329" s="12"/>
      <c r="G329" s="12"/>
      <c r="H329" s="12"/>
      <c r="I329" s="130"/>
      <c r="J329" s="130"/>
      <c r="K329" s="130"/>
      <c r="L329" s="130"/>
      <c r="M329" s="130"/>
      <c r="N329" s="130"/>
      <c r="O329" s="130"/>
      <c r="P329" s="130"/>
      <c r="Q329" s="130"/>
      <c r="R329" s="130"/>
      <c r="S329" s="130"/>
      <c r="T329" s="130"/>
      <c r="U329" s="130"/>
      <c r="V329" s="130"/>
      <c r="W329" s="130"/>
      <c r="X329" s="130"/>
      <c r="Y329" s="130"/>
      <c r="Z329" s="130"/>
      <c r="AA329" s="130"/>
      <c r="AB329" s="130"/>
      <c r="AC329" s="130"/>
    </row>
    <row r="330" spans="1:37" ht="15" customHeight="1" x14ac:dyDescent="0.2">
      <c r="D330" s="12"/>
      <c r="E330" s="12"/>
      <c r="F330" s="12"/>
      <c r="G330" s="12"/>
      <c r="H330" s="12"/>
      <c r="I330" s="130"/>
      <c r="J330" s="130"/>
      <c r="K330" s="130"/>
      <c r="L330" s="130"/>
      <c r="M330" s="130"/>
      <c r="N330" s="130"/>
      <c r="O330" s="130"/>
      <c r="P330" s="130"/>
      <c r="Q330" s="130"/>
      <c r="R330" s="130"/>
      <c r="S330" s="130"/>
      <c r="T330" s="130"/>
      <c r="U330" s="130"/>
      <c r="V330" s="130"/>
      <c r="W330" s="130"/>
      <c r="X330" s="130"/>
      <c r="Y330" s="130"/>
      <c r="Z330" s="130"/>
      <c r="AA330" s="130"/>
      <c r="AB330" s="130"/>
      <c r="AC330" s="130"/>
    </row>
    <row r="331" spans="1:37" ht="15" customHeight="1" x14ac:dyDescent="0.2">
      <c r="I331" s="12"/>
      <c r="J331" s="12"/>
      <c r="K331" s="12"/>
      <c r="L331" s="12"/>
      <c r="M331" s="12"/>
      <c r="N331" s="12"/>
      <c r="O331" s="12"/>
      <c r="P331" s="12"/>
      <c r="Q331" s="12"/>
      <c r="R331" s="12"/>
      <c r="S331" s="12"/>
      <c r="T331" s="12"/>
      <c r="U331" s="12"/>
      <c r="V331" s="12"/>
      <c r="W331" s="12"/>
      <c r="X331" s="12"/>
      <c r="Y331" s="12"/>
      <c r="Z331" s="12"/>
      <c r="AA331" s="12"/>
      <c r="AB331" s="12"/>
      <c r="AC331" s="12"/>
    </row>
    <row r="332" spans="1:37" ht="15" customHeight="1" x14ac:dyDescent="0.2">
      <c r="C332" s="125" t="s">
        <v>100</v>
      </c>
      <c r="D332" s="126"/>
      <c r="E332" s="126"/>
      <c r="F332" s="126"/>
      <c r="G332" s="126"/>
      <c r="H332" s="126"/>
      <c r="I332" s="127" t="s">
        <v>101</v>
      </c>
      <c r="J332" s="127"/>
      <c r="K332" s="127"/>
      <c r="L332" s="127"/>
      <c r="M332" s="127"/>
      <c r="N332" s="127"/>
      <c r="O332" s="127"/>
      <c r="P332" s="127"/>
      <c r="Q332" s="127"/>
      <c r="R332" s="127"/>
      <c r="S332" s="127"/>
      <c r="T332" s="127"/>
      <c r="U332" s="127"/>
      <c r="V332" s="127"/>
      <c r="W332" s="127"/>
      <c r="X332" s="127"/>
      <c r="Y332" s="127"/>
      <c r="Z332" s="127"/>
      <c r="AA332" s="127"/>
      <c r="AB332" s="127"/>
      <c r="AC332" s="127"/>
    </row>
    <row r="333" spans="1:37" ht="15" customHeight="1" x14ac:dyDescent="0.2">
      <c r="C333" s="125"/>
      <c r="D333" s="126"/>
      <c r="E333" s="126"/>
      <c r="F333" s="126"/>
      <c r="G333" s="126"/>
      <c r="H333" s="126"/>
      <c r="I333" s="127"/>
      <c r="J333" s="127"/>
      <c r="K333" s="127"/>
      <c r="L333" s="127"/>
      <c r="M333" s="127"/>
      <c r="N333" s="127"/>
      <c r="O333" s="127"/>
      <c r="P333" s="127"/>
      <c r="Q333" s="127"/>
      <c r="R333" s="127"/>
      <c r="S333" s="127"/>
      <c r="T333" s="127"/>
      <c r="U333" s="127"/>
      <c r="V333" s="127"/>
      <c r="W333" s="127"/>
      <c r="X333" s="127"/>
      <c r="Y333" s="127"/>
      <c r="Z333" s="127"/>
      <c r="AA333" s="127"/>
      <c r="AB333" s="127"/>
      <c r="AC333" s="127"/>
    </row>
    <row r="334" spans="1:37" ht="15" customHeight="1" x14ac:dyDescent="0.2">
      <c r="D334" s="20"/>
    </row>
    <row r="335" spans="1:37" ht="15" customHeight="1" x14ac:dyDescent="0.25">
      <c r="H335" s="8"/>
      <c r="U335" s="18"/>
      <c r="V335" s="8" t="s">
        <v>129</v>
      </c>
      <c r="W335" s="128">
        <f>W326+Q$324</f>
        <v>1211.792156361219</v>
      </c>
      <c r="X335" s="128"/>
      <c r="Y335" s="128"/>
      <c r="Z335" s="128"/>
      <c r="AK335" s="19"/>
    </row>
    <row r="336" spans="1:37" ht="15" customHeight="1" x14ac:dyDescent="0.25">
      <c r="H336" s="8"/>
      <c r="I336" s="23"/>
      <c r="J336" s="23"/>
      <c r="K336" s="23"/>
      <c r="O336" s="21"/>
      <c r="P336" s="21"/>
      <c r="Q336" s="21"/>
      <c r="V336" s="8" t="s">
        <v>104</v>
      </c>
      <c r="W336" s="128">
        <f>$W$150*0.8*0.9</f>
        <v>1340.340817176</v>
      </c>
      <c r="X336" s="128"/>
      <c r="Y336" s="128"/>
      <c r="Z336" s="128"/>
      <c r="AK336" s="19" t="s">
        <v>28</v>
      </c>
    </row>
    <row r="337" spans="2:37" ht="15" customHeight="1" x14ac:dyDescent="0.2">
      <c r="H337" s="8"/>
      <c r="I337" s="23"/>
      <c r="J337" s="23"/>
      <c r="K337" s="23"/>
      <c r="O337" s="21"/>
      <c r="P337" s="21"/>
      <c r="Q337" s="21"/>
      <c r="V337" s="8" t="s">
        <v>105</v>
      </c>
      <c r="W337" s="129">
        <f>+W335/W336</f>
        <v>0.90409255678296541</v>
      </c>
      <c r="X337" s="129"/>
      <c r="Y337" s="129"/>
      <c r="Z337" s="129"/>
      <c r="AK337" s="40" t="s">
        <v>110</v>
      </c>
    </row>
    <row r="338" spans="2:37" ht="15" customHeight="1" x14ac:dyDescent="0.2">
      <c r="H338" s="8"/>
      <c r="I338" s="23"/>
      <c r="J338" s="23"/>
      <c r="K338" s="23"/>
      <c r="O338" s="21"/>
      <c r="P338" s="21"/>
      <c r="Q338" s="21"/>
    </row>
    <row r="339" spans="2:37" ht="15" customHeight="1" x14ac:dyDescent="0.25">
      <c r="H339" s="8"/>
      <c r="I339" s="23"/>
      <c r="J339" s="23"/>
      <c r="K339" s="23"/>
      <c r="O339" s="21"/>
      <c r="P339" s="21"/>
      <c r="Q339" s="21"/>
      <c r="U339" s="49"/>
      <c r="V339" s="8" t="s">
        <v>130</v>
      </c>
      <c r="W339" s="128">
        <f>W326+U$324</f>
        <v>1206.9469771194504</v>
      </c>
      <c r="X339" s="128"/>
      <c r="Y339" s="128"/>
      <c r="Z339" s="128"/>
    </row>
    <row r="340" spans="2:37" ht="15" customHeight="1" x14ac:dyDescent="0.25">
      <c r="H340" s="8"/>
      <c r="I340" s="23"/>
      <c r="J340" s="23"/>
      <c r="K340" s="23"/>
      <c r="O340" s="21"/>
      <c r="P340" s="21"/>
      <c r="Q340" s="21"/>
      <c r="U340" s="49"/>
      <c r="V340" s="8" t="s">
        <v>104</v>
      </c>
      <c r="W340" s="128">
        <f>$W$150*0.8*0.9</f>
        <v>1340.340817176</v>
      </c>
      <c r="X340" s="128"/>
      <c r="Y340" s="128"/>
      <c r="Z340" s="128"/>
      <c r="AK340" s="19" t="s">
        <v>28</v>
      </c>
    </row>
    <row r="341" spans="2:37" ht="15" customHeight="1" x14ac:dyDescent="0.2">
      <c r="H341" s="8"/>
      <c r="I341" s="23"/>
      <c r="J341" s="23"/>
      <c r="K341" s="23"/>
      <c r="O341" s="21"/>
      <c r="P341" s="21"/>
      <c r="Q341" s="21"/>
      <c r="U341" s="49"/>
      <c r="V341" s="8" t="s">
        <v>105</v>
      </c>
      <c r="W341" s="129">
        <f>+W339/W340</f>
        <v>0.90047767079301466</v>
      </c>
      <c r="X341" s="129"/>
      <c r="Y341" s="129"/>
      <c r="Z341" s="129"/>
      <c r="AK341" s="40" t="s">
        <v>111</v>
      </c>
    </row>
    <row r="342" spans="2:37" ht="15" customHeight="1" x14ac:dyDescent="0.2">
      <c r="H342" s="8"/>
      <c r="I342" s="23"/>
      <c r="J342" s="23"/>
      <c r="K342" s="23"/>
      <c r="O342" s="21"/>
      <c r="P342" s="21"/>
      <c r="Q342" s="21"/>
      <c r="U342" s="49"/>
      <c r="V342" s="8"/>
      <c r="W342" s="47"/>
      <c r="X342" s="47"/>
      <c r="Y342" s="47"/>
      <c r="Z342" s="47"/>
    </row>
    <row r="343" spans="2:37" ht="15" customHeight="1" x14ac:dyDescent="0.25">
      <c r="H343" s="8"/>
      <c r="I343" s="23"/>
      <c r="J343" s="23"/>
      <c r="K343" s="23"/>
      <c r="O343" s="21"/>
      <c r="P343" s="21"/>
      <c r="Q343" s="21"/>
      <c r="U343" s="18"/>
      <c r="V343" s="8" t="s">
        <v>131</v>
      </c>
      <c r="W343" s="128">
        <f>W326+Y$324</f>
        <v>1295.9952965877799</v>
      </c>
      <c r="X343" s="128"/>
      <c r="Y343" s="128"/>
      <c r="Z343" s="128"/>
    </row>
    <row r="344" spans="2:37" ht="15" customHeight="1" x14ac:dyDescent="0.25">
      <c r="H344" s="8"/>
      <c r="I344" s="23"/>
      <c r="J344" s="23"/>
      <c r="K344" s="23"/>
      <c r="O344" s="21"/>
      <c r="P344" s="21"/>
      <c r="Q344" s="21"/>
      <c r="U344" s="18"/>
      <c r="V344" s="8" t="s">
        <v>104</v>
      </c>
      <c r="W344" s="128">
        <f>$W$150*0.8*0.9</f>
        <v>1340.340817176</v>
      </c>
      <c r="X344" s="128"/>
      <c r="Y344" s="128"/>
      <c r="Z344" s="128"/>
      <c r="AK344" s="19" t="s">
        <v>28</v>
      </c>
    </row>
    <row r="345" spans="2:37" ht="15" customHeight="1" x14ac:dyDescent="0.2">
      <c r="H345" s="8"/>
      <c r="I345" s="23"/>
      <c r="J345" s="23"/>
      <c r="K345" s="23"/>
      <c r="O345" s="21"/>
      <c r="P345" s="21"/>
      <c r="Q345" s="21"/>
      <c r="U345" s="18"/>
      <c r="V345" s="8" t="s">
        <v>105</v>
      </c>
      <c r="W345" s="129">
        <f>+W343/W344</f>
        <v>0.96691474286245127</v>
      </c>
      <c r="X345" s="129"/>
      <c r="Y345" s="129"/>
      <c r="Z345" s="129"/>
      <c r="AK345" s="40" t="s">
        <v>112</v>
      </c>
    </row>
    <row r="346" spans="2:37" ht="15" customHeight="1" x14ac:dyDescent="0.2">
      <c r="H346" s="8"/>
      <c r="I346" s="23"/>
      <c r="J346" s="23"/>
      <c r="K346" s="23"/>
      <c r="O346" s="21"/>
      <c r="P346" s="21"/>
      <c r="Q346" s="21"/>
      <c r="U346" s="18"/>
    </row>
    <row r="347" spans="2:37" ht="15" customHeight="1" x14ac:dyDescent="0.2">
      <c r="E347" s="124" t="str">
        <f>IF(AND(W345&lt;1, W341&lt;1, W337&lt;1, W290&lt;1, W261&lt;1, W257&lt;1, W240&lt;1),
"Since the four criteria for stress in the strand are met, initial jacking stress is acceptable.",
"Since the four criteria for stress in the strand are not met, initial jacking stress is not acceptable.")</f>
        <v>Since the four criteria for stress in the strand are met, initial jacking stress is acceptable.</v>
      </c>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row>
    <row r="348" spans="2:37" ht="15" customHeight="1" x14ac:dyDescent="0.2">
      <c r="D348" s="22"/>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row>
    <row r="349" spans="2:37" ht="15" customHeight="1" x14ac:dyDescent="0.2">
      <c r="B349" s="1"/>
      <c r="C349" s="71"/>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2:37" ht="15" customHeight="1" x14ac:dyDescent="0.2">
      <c r="B350" s="1"/>
      <c r="C350" s="71"/>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2:37" ht="15" customHeight="1" x14ac:dyDescent="0.2">
      <c r="B351" s="1"/>
      <c r="C351" s="71"/>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2:37" ht="15" customHeight="1" x14ac:dyDescent="0.2">
      <c r="B352" s="1"/>
      <c r="C352" s="71"/>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37" ht="15" customHeight="1" x14ac:dyDescent="0.2">
      <c r="B353" s="1"/>
      <c r="C353" s="71"/>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37" ht="15" customHeight="1" x14ac:dyDescent="0.2">
      <c r="B354" s="1"/>
      <c r="C354" s="71"/>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37" ht="15" customHeight="1" x14ac:dyDescent="0.2">
      <c r="B355" s="1"/>
      <c r="C355" s="71"/>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37" ht="15" customHeight="1" x14ac:dyDescent="0.2">
      <c r="B356" s="1"/>
      <c r="C356" s="71"/>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37" ht="15" customHeight="1" x14ac:dyDescent="0.2">
      <c r="B357" s="1"/>
      <c r="C357" s="71"/>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37" ht="15" customHeight="1" x14ac:dyDescent="0.2">
      <c r="B358" s="1"/>
      <c r="C358" s="71"/>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37" ht="15" customHeight="1" x14ac:dyDescent="0.2">
      <c r="B359" s="1"/>
      <c r="C359" s="71"/>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37" ht="15" customHeight="1" x14ac:dyDescent="0.2">
      <c r="A360" s="14"/>
      <c r="B360" s="14"/>
      <c r="C360" s="170" t="s">
        <v>50</v>
      </c>
      <c r="D360" s="171"/>
      <c r="E360" s="171"/>
      <c r="F360" s="171"/>
      <c r="G360" s="172" t="s">
        <v>49</v>
      </c>
      <c r="H360" s="172"/>
      <c r="I360" s="172"/>
      <c r="J360" s="172"/>
      <c r="K360" s="172"/>
      <c r="L360" s="172"/>
      <c r="M360" s="172"/>
      <c r="N360" s="172"/>
      <c r="O360" s="172"/>
      <c r="P360" s="172"/>
      <c r="Q360" s="172"/>
      <c r="R360" s="172"/>
      <c r="S360" s="172"/>
      <c r="T360" s="172"/>
      <c r="U360" s="172"/>
      <c r="V360" s="172"/>
      <c r="W360" s="172"/>
      <c r="X360" s="172"/>
      <c r="Y360" s="172"/>
      <c r="Z360" s="172"/>
      <c r="AA360" s="172"/>
      <c r="AB360" s="172"/>
      <c r="AC360" s="172"/>
      <c r="AD360" s="14"/>
      <c r="AE360" s="15"/>
      <c r="AF360" s="15"/>
      <c r="AG360" s="15"/>
      <c r="AH360" s="15"/>
      <c r="AI360" s="15"/>
      <c r="AJ360" s="15"/>
      <c r="AK360" s="15"/>
    </row>
    <row r="361" spans="1:37" ht="15" customHeight="1" x14ac:dyDescent="0.2">
      <c r="A361" s="14"/>
      <c r="B361" s="14"/>
      <c r="C361" s="170"/>
      <c r="D361" s="171"/>
      <c r="E361" s="171"/>
      <c r="F361" s="171"/>
      <c r="G361" s="172"/>
      <c r="H361" s="172"/>
      <c r="I361" s="172"/>
      <c r="J361" s="172"/>
      <c r="K361" s="172"/>
      <c r="L361" s="172"/>
      <c r="M361" s="172"/>
      <c r="N361" s="172"/>
      <c r="O361" s="172"/>
      <c r="P361" s="172"/>
      <c r="Q361" s="172"/>
      <c r="R361" s="172"/>
      <c r="S361" s="172"/>
      <c r="T361" s="172"/>
      <c r="U361" s="172"/>
      <c r="V361" s="172"/>
      <c r="W361" s="172"/>
      <c r="X361" s="172"/>
      <c r="Y361" s="172"/>
      <c r="Z361" s="172"/>
      <c r="AA361" s="172"/>
      <c r="AB361" s="172"/>
      <c r="AC361" s="172"/>
      <c r="AD361" s="14"/>
      <c r="AE361" s="15"/>
      <c r="AF361" s="15"/>
      <c r="AG361" s="15"/>
      <c r="AH361" s="15"/>
      <c r="AI361" s="15"/>
      <c r="AJ361" s="15"/>
      <c r="AK361" s="15"/>
    </row>
    <row r="362" spans="1:37" ht="15" customHeight="1" x14ac:dyDescent="0.2">
      <c r="D362" s="22"/>
      <c r="E362" s="22"/>
      <c r="F362" s="22"/>
      <c r="G362" s="185" t="s">
        <v>141</v>
      </c>
      <c r="H362" s="185"/>
      <c r="I362" s="185"/>
      <c r="J362" s="185"/>
      <c r="K362" s="185"/>
      <c r="L362" s="185"/>
      <c r="M362" s="185"/>
      <c r="N362" s="185"/>
      <c r="O362" s="185"/>
      <c r="P362" s="185"/>
      <c r="Q362" s="185"/>
      <c r="R362" s="185"/>
      <c r="S362" s="185"/>
      <c r="T362" s="185"/>
      <c r="U362" s="185"/>
      <c r="V362" s="185"/>
      <c r="W362" s="185"/>
      <c r="X362" s="185"/>
      <c r="Y362" s="185"/>
      <c r="Z362" s="185"/>
      <c r="AA362" s="185"/>
      <c r="AB362" s="185"/>
      <c r="AC362" s="185"/>
    </row>
    <row r="363" spans="1:37" ht="15" customHeight="1" x14ac:dyDescent="0.2">
      <c r="D363" s="22"/>
      <c r="E363" s="22"/>
      <c r="F363" s="22"/>
      <c r="G363" s="185"/>
      <c r="H363" s="185"/>
      <c r="I363" s="185"/>
      <c r="J363" s="185"/>
      <c r="K363" s="185"/>
      <c r="L363" s="185"/>
      <c r="M363" s="185"/>
      <c r="N363" s="185"/>
      <c r="O363" s="185"/>
      <c r="P363" s="185"/>
      <c r="Q363" s="185"/>
      <c r="R363" s="185"/>
      <c r="S363" s="185"/>
      <c r="T363" s="185"/>
      <c r="U363" s="185"/>
      <c r="V363" s="185"/>
      <c r="W363" s="185"/>
      <c r="X363" s="185"/>
      <c r="Y363" s="185"/>
      <c r="Z363" s="185"/>
      <c r="AA363" s="185"/>
      <c r="AB363" s="185"/>
      <c r="AC363" s="185"/>
    </row>
    <row r="364" spans="1:37" ht="15" customHeight="1" x14ac:dyDescent="0.2">
      <c r="D364" s="22"/>
      <c r="E364" s="22"/>
      <c r="F364" s="22"/>
      <c r="G364" s="185"/>
      <c r="H364" s="185"/>
      <c r="I364" s="185"/>
      <c r="J364" s="185"/>
      <c r="K364" s="185"/>
      <c r="L364" s="185"/>
      <c r="M364" s="185"/>
      <c r="N364" s="185"/>
      <c r="O364" s="185"/>
      <c r="P364" s="185"/>
      <c r="Q364" s="185"/>
      <c r="R364" s="185"/>
      <c r="S364" s="185"/>
      <c r="T364" s="185"/>
      <c r="U364" s="185"/>
      <c r="V364" s="185"/>
      <c r="W364" s="185"/>
      <c r="X364" s="185"/>
      <c r="Y364" s="185"/>
      <c r="Z364" s="185"/>
      <c r="AA364" s="185"/>
      <c r="AB364" s="185"/>
      <c r="AC364" s="185"/>
    </row>
    <row r="365" spans="1:37" ht="15" customHeight="1" x14ac:dyDescent="0.2">
      <c r="D365" s="22"/>
      <c r="E365" s="22"/>
      <c r="F365" s="22"/>
      <c r="G365" s="185"/>
      <c r="H365" s="185"/>
      <c r="I365" s="185"/>
      <c r="J365" s="185"/>
      <c r="K365" s="185"/>
      <c r="L365" s="185"/>
      <c r="M365" s="185"/>
      <c r="N365" s="185"/>
      <c r="O365" s="185"/>
      <c r="P365" s="185"/>
      <c r="Q365" s="185"/>
      <c r="R365" s="185"/>
      <c r="S365" s="185"/>
      <c r="T365" s="185"/>
      <c r="U365" s="185"/>
      <c r="V365" s="185"/>
      <c r="W365" s="185"/>
      <c r="X365" s="185"/>
      <c r="Y365" s="185"/>
      <c r="Z365" s="185"/>
      <c r="AA365" s="185"/>
      <c r="AB365" s="185"/>
      <c r="AC365" s="185"/>
    </row>
    <row r="366" spans="1:37" ht="15" customHeight="1" x14ac:dyDescent="0.2">
      <c r="D366" s="22"/>
      <c r="E366" s="22"/>
      <c r="F366" s="22"/>
      <c r="G366" s="185"/>
      <c r="H366" s="185"/>
      <c r="I366" s="185"/>
      <c r="J366" s="185"/>
      <c r="K366" s="185"/>
      <c r="L366" s="185"/>
      <c r="M366" s="185"/>
      <c r="N366" s="185"/>
      <c r="O366" s="185"/>
      <c r="P366" s="185"/>
      <c r="Q366" s="185"/>
      <c r="R366" s="185"/>
      <c r="S366" s="185"/>
      <c r="T366" s="185"/>
      <c r="U366" s="185"/>
      <c r="V366" s="185"/>
      <c r="W366" s="185"/>
      <c r="X366" s="185"/>
      <c r="Y366" s="185"/>
      <c r="Z366" s="185"/>
      <c r="AA366" s="185"/>
      <c r="AB366" s="185"/>
      <c r="AC366" s="185"/>
    </row>
    <row r="367" spans="1:37" ht="15" customHeight="1" x14ac:dyDescent="0.2">
      <c r="D367" s="22"/>
      <c r="E367" s="22"/>
      <c r="F367" s="22"/>
      <c r="G367" s="185"/>
      <c r="H367" s="185"/>
      <c r="I367" s="185"/>
      <c r="J367" s="185"/>
      <c r="K367" s="185"/>
      <c r="L367" s="185"/>
      <c r="M367" s="185"/>
      <c r="N367" s="185"/>
      <c r="O367" s="185"/>
      <c r="P367" s="185"/>
      <c r="Q367" s="185"/>
      <c r="R367" s="185"/>
      <c r="S367" s="185"/>
      <c r="T367" s="185"/>
      <c r="U367" s="185"/>
      <c r="V367" s="185"/>
      <c r="W367" s="185"/>
      <c r="X367" s="185"/>
      <c r="Y367" s="185"/>
      <c r="Z367" s="185"/>
      <c r="AA367" s="185"/>
      <c r="AB367" s="185"/>
      <c r="AC367" s="185"/>
    </row>
    <row r="368" spans="1:37" ht="15" customHeight="1" x14ac:dyDescent="0.2">
      <c r="D368" s="22"/>
      <c r="E368" s="22"/>
      <c r="F368" s="22"/>
      <c r="G368" s="185"/>
      <c r="H368" s="185"/>
      <c r="I368" s="185"/>
      <c r="J368" s="185"/>
      <c r="K368" s="185"/>
      <c r="L368" s="185"/>
      <c r="M368" s="185"/>
      <c r="N368" s="185"/>
      <c r="O368" s="185"/>
      <c r="P368" s="185"/>
      <c r="Q368" s="185"/>
      <c r="R368" s="185"/>
      <c r="S368" s="185"/>
      <c r="T368" s="185"/>
      <c r="U368" s="185"/>
      <c r="V368" s="185"/>
      <c r="W368" s="185"/>
      <c r="X368" s="185"/>
      <c r="Y368" s="185"/>
      <c r="Z368" s="185"/>
      <c r="AA368" s="185"/>
      <c r="AB368" s="185"/>
      <c r="AC368" s="185"/>
    </row>
    <row r="369" spans="3:43" ht="15" customHeight="1" x14ac:dyDescent="0.2">
      <c r="D369" s="22"/>
      <c r="E369" s="22"/>
      <c r="F369" s="22"/>
      <c r="G369" s="185"/>
      <c r="H369" s="185"/>
      <c r="I369" s="185"/>
      <c r="J369" s="185"/>
      <c r="K369" s="185"/>
      <c r="L369" s="185"/>
      <c r="M369" s="185"/>
      <c r="N369" s="185"/>
      <c r="O369" s="185"/>
      <c r="P369" s="185"/>
      <c r="Q369" s="185"/>
      <c r="R369" s="185"/>
      <c r="S369" s="185"/>
      <c r="T369" s="185"/>
      <c r="U369" s="185"/>
      <c r="V369" s="185"/>
      <c r="W369" s="185"/>
      <c r="X369" s="185"/>
      <c r="Y369" s="185"/>
      <c r="Z369" s="185"/>
      <c r="AA369" s="185"/>
      <c r="AB369" s="185"/>
      <c r="AC369" s="185"/>
    </row>
    <row r="370" spans="3:43" ht="15" customHeight="1" x14ac:dyDescent="0.2">
      <c r="D370" s="22"/>
      <c r="E370" s="22"/>
      <c r="F370" s="22"/>
      <c r="G370" s="185"/>
      <c r="H370" s="185"/>
      <c r="I370" s="185"/>
      <c r="J370" s="185"/>
      <c r="K370" s="185"/>
      <c r="L370" s="185"/>
      <c r="M370" s="185"/>
      <c r="N370" s="185"/>
      <c r="O370" s="185"/>
      <c r="P370" s="185"/>
      <c r="Q370" s="185"/>
      <c r="R370" s="185"/>
      <c r="S370" s="185"/>
      <c r="T370" s="185"/>
      <c r="U370" s="185"/>
      <c r="V370" s="185"/>
      <c r="W370" s="185"/>
      <c r="X370" s="185"/>
      <c r="Y370" s="185"/>
      <c r="Z370" s="185"/>
      <c r="AA370" s="185"/>
      <c r="AB370" s="185"/>
      <c r="AC370" s="185"/>
    </row>
    <row r="371" spans="3:43" ht="15" customHeight="1" x14ac:dyDescent="0.2">
      <c r="D371" s="22"/>
      <c r="E371" s="22"/>
      <c r="F371" s="22"/>
      <c r="G371" s="185"/>
      <c r="H371" s="185"/>
      <c r="I371" s="185"/>
      <c r="J371" s="185"/>
      <c r="K371" s="185"/>
      <c r="L371" s="185"/>
      <c r="M371" s="185"/>
      <c r="N371" s="185"/>
      <c r="O371" s="185"/>
      <c r="P371" s="185"/>
      <c r="Q371" s="185"/>
      <c r="R371" s="185"/>
      <c r="S371" s="185"/>
      <c r="T371" s="185"/>
      <c r="U371" s="185"/>
      <c r="V371" s="185"/>
      <c r="W371" s="185"/>
      <c r="X371" s="185"/>
      <c r="Y371" s="185"/>
      <c r="Z371" s="185"/>
      <c r="AA371" s="185"/>
      <c r="AB371" s="185"/>
      <c r="AC371" s="185"/>
    </row>
    <row r="372" spans="3:43" ht="15" customHeight="1" x14ac:dyDescent="0.2">
      <c r="D372" s="22"/>
      <c r="E372" s="22"/>
      <c r="F372" s="22"/>
      <c r="G372" s="185"/>
      <c r="H372" s="185"/>
      <c r="I372" s="185"/>
      <c r="J372" s="185"/>
      <c r="K372" s="185"/>
      <c r="L372" s="185"/>
      <c r="M372" s="185"/>
      <c r="N372" s="185"/>
      <c r="O372" s="185"/>
      <c r="P372" s="185"/>
      <c r="Q372" s="185"/>
      <c r="R372" s="185"/>
      <c r="S372" s="185"/>
      <c r="T372" s="185"/>
      <c r="U372" s="185"/>
      <c r="V372" s="185"/>
      <c r="W372" s="185"/>
      <c r="X372" s="185"/>
      <c r="Y372" s="185"/>
      <c r="Z372" s="185"/>
      <c r="AA372" s="185"/>
      <c r="AB372" s="185"/>
      <c r="AC372" s="185"/>
    </row>
    <row r="373" spans="3:43" ht="15" customHeight="1" x14ac:dyDescent="0.3">
      <c r="C373" s="131"/>
      <c r="D373" s="132"/>
      <c r="E373" s="29"/>
      <c r="F373" s="30"/>
      <c r="G373" s="185"/>
      <c r="H373" s="185"/>
      <c r="I373" s="185"/>
      <c r="J373" s="185"/>
      <c r="K373" s="185"/>
      <c r="L373" s="185"/>
      <c r="M373" s="185"/>
      <c r="N373" s="185"/>
      <c r="O373" s="185"/>
      <c r="P373" s="185"/>
      <c r="Q373" s="185"/>
      <c r="R373" s="185"/>
      <c r="S373" s="185"/>
      <c r="T373" s="185"/>
      <c r="U373" s="185"/>
      <c r="V373" s="185"/>
      <c r="W373" s="185"/>
      <c r="X373" s="185"/>
      <c r="Y373" s="185"/>
      <c r="Z373" s="185"/>
      <c r="AA373" s="185"/>
      <c r="AB373" s="185"/>
      <c r="AC373" s="185"/>
    </row>
    <row r="375" spans="3:43" ht="15" customHeight="1" x14ac:dyDescent="0.2">
      <c r="F375" s="114" t="str">
        <f>"Table "&amp;Inputs!B3&amp;"-2: Post-Tensioning Strand Stress Limit Checks Along Beam"</f>
        <v>Table C.1-2: Post-Tensioning Strand Stress Limit Checks Along Beam</v>
      </c>
      <c r="G375" s="115"/>
      <c r="H375" s="115"/>
      <c r="I375" s="115"/>
      <c r="J375" s="115"/>
      <c r="K375" s="115"/>
      <c r="L375" s="115"/>
      <c r="M375" s="115"/>
      <c r="N375" s="115"/>
      <c r="O375" s="115"/>
      <c r="P375" s="115"/>
      <c r="Q375" s="115"/>
      <c r="R375" s="115"/>
      <c r="S375" s="115"/>
      <c r="T375" s="115"/>
      <c r="U375" s="115"/>
      <c r="V375" s="115"/>
      <c r="W375" s="115"/>
      <c r="X375" s="115"/>
      <c r="Y375" s="115"/>
      <c r="Z375" s="115"/>
      <c r="AA375" s="115"/>
      <c r="AB375" s="115"/>
      <c r="AC375" s="116"/>
    </row>
    <row r="376" spans="3:43" ht="15" customHeight="1" x14ac:dyDescent="0.25">
      <c r="F376" s="104" t="s">
        <v>162</v>
      </c>
      <c r="G376" s="105"/>
      <c r="H376" s="105"/>
      <c r="I376" s="105"/>
      <c r="J376" s="105" t="s">
        <v>161</v>
      </c>
      <c r="K376" s="105"/>
      <c r="L376" s="105"/>
      <c r="M376" s="105"/>
      <c r="N376" s="105" t="s">
        <v>169</v>
      </c>
      <c r="O376" s="105"/>
      <c r="P376" s="105"/>
      <c r="Q376" s="105"/>
      <c r="R376" s="117" t="s">
        <v>168</v>
      </c>
      <c r="S376" s="117"/>
      <c r="T376" s="117"/>
      <c r="U376" s="117"/>
      <c r="V376" s="120" t="s">
        <v>167</v>
      </c>
      <c r="W376" s="120"/>
      <c r="X376" s="120"/>
      <c r="Y376" s="120"/>
      <c r="Z376" s="120" t="s">
        <v>31</v>
      </c>
      <c r="AA376" s="120"/>
      <c r="AB376" s="120"/>
      <c r="AC376" s="192"/>
      <c r="AN376" s="54"/>
      <c r="AO376" s="53"/>
      <c r="AP376" s="53"/>
      <c r="AQ376" s="53"/>
    </row>
    <row r="377" spans="3:43" ht="15" customHeight="1" x14ac:dyDescent="0.2">
      <c r="F377" s="104"/>
      <c r="G377" s="105"/>
      <c r="H377" s="105"/>
      <c r="I377" s="105"/>
      <c r="J377" s="105"/>
      <c r="K377" s="105"/>
      <c r="L377" s="105"/>
      <c r="M377" s="105"/>
      <c r="N377" s="105"/>
      <c r="O377" s="105"/>
      <c r="P377" s="105"/>
      <c r="Q377" s="105"/>
      <c r="R377" s="117"/>
      <c r="S377" s="117"/>
      <c r="T377" s="117"/>
      <c r="U377" s="117"/>
      <c r="V377" s="120"/>
      <c r="W377" s="120"/>
      <c r="X377" s="120"/>
      <c r="Y377" s="120"/>
      <c r="Z377" s="120"/>
      <c r="AA377" s="120"/>
      <c r="AB377" s="120"/>
      <c r="AC377" s="192"/>
      <c r="AN377" s="53"/>
      <c r="AO377" s="53"/>
      <c r="AP377" s="53"/>
      <c r="AQ377" s="53"/>
    </row>
    <row r="378" spans="3:43" ht="15" customHeight="1" x14ac:dyDescent="0.2">
      <c r="F378" s="104"/>
      <c r="G378" s="105"/>
      <c r="H378" s="105"/>
      <c r="I378" s="105"/>
      <c r="J378" s="105"/>
      <c r="K378" s="105"/>
      <c r="L378" s="105"/>
      <c r="M378" s="105"/>
      <c r="N378" s="105"/>
      <c r="O378" s="105"/>
      <c r="P378" s="105"/>
      <c r="Q378" s="105"/>
      <c r="R378" s="117"/>
      <c r="S378" s="117"/>
      <c r="T378" s="117"/>
      <c r="U378" s="117"/>
      <c r="V378" s="120"/>
      <c r="W378" s="120"/>
      <c r="X378" s="120"/>
      <c r="Y378" s="120"/>
      <c r="Z378" s="120"/>
      <c r="AA378" s="120"/>
      <c r="AB378" s="120"/>
      <c r="AC378" s="192"/>
      <c r="AN378" s="53"/>
      <c r="AO378" s="53"/>
      <c r="AP378" s="53"/>
      <c r="AQ378" s="53"/>
    </row>
    <row r="379" spans="3:43" ht="15" customHeight="1" thickBot="1" x14ac:dyDescent="0.25">
      <c r="F379" s="106"/>
      <c r="G379" s="107"/>
      <c r="H379" s="107"/>
      <c r="I379" s="107"/>
      <c r="J379" s="107"/>
      <c r="K379" s="107"/>
      <c r="L379" s="107"/>
      <c r="M379" s="107"/>
      <c r="N379" s="107"/>
      <c r="O379" s="107"/>
      <c r="P379" s="107"/>
      <c r="Q379" s="107"/>
      <c r="R379" s="118"/>
      <c r="S379" s="118"/>
      <c r="T379" s="118"/>
      <c r="U379" s="118"/>
      <c r="V379" s="121"/>
      <c r="W379" s="121"/>
      <c r="X379" s="121"/>
      <c r="Y379" s="121"/>
      <c r="Z379" s="121"/>
      <c r="AA379" s="121"/>
      <c r="AB379" s="121"/>
      <c r="AC379" s="193"/>
      <c r="AD379" s="41"/>
      <c r="AE379" s="61"/>
      <c r="AF379" s="61"/>
      <c r="AG379" s="61"/>
      <c r="AH379" s="61"/>
      <c r="AI379" s="61"/>
      <c r="AJ379" s="61"/>
      <c r="AN379" s="53"/>
      <c r="AO379" s="53"/>
      <c r="AP379" s="53"/>
      <c r="AQ379" s="53"/>
    </row>
    <row r="380" spans="3:43" ht="15" customHeight="1" thickTop="1" x14ac:dyDescent="0.2">
      <c r="F380" s="108">
        <f>IF(ISNUMBER(Inputs!I5),Inputs!I5,"")</f>
        <v>0</v>
      </c>
      <c r="G380" s="109"/>
      <c r="H380" s="109"/>
      <c r="I380" s="109"/>
      <c r="J380" s="109">
        <f>IF(ISNUMBER(Inputs!L5),Inputs!L5,"")</f>
        <v>1.016</v>
      </c>
      <c r="K380" s="109"/>
      <c r="L380" s="109"/>
      <c r="M380" s="109"/>
      <c r="N380" s="109">
        <f>IF(ISNUMBER(Inputs!O5),SUM((Inputs!O5+Inputs!R5+Inputs!U5)*J380/$W$152*$W$153/$W$154)/1000,"")</f>
        <v>40.257957186194581</v>
      </c>
      <c r="O380" s="109"/>
      <c r="P380" s="109"/>
      <c r="Q380" s="109"/>
      <c r="R380" s="119">
        <f>IF(ISNUMBER(F380),$W$326+N380,"")</f>
        <v>1211.792156361219</v>
      </c>
      <c r="S380" s="119"/>
      <c r="T380" s="119"/>
      <c r="U380" s="119"/>
      <c r="V380" s="109">
        <f>IF(ISNUMBER(F380),0.8*$W$151,"")</f>
        <v>1340.3408171760002</v>
      </c>
      <c r="W380" s="109"/>
      <c r="X380" s="109"/>
      <c r="Y380" s="109"/>
      <c r="Z380" s="109">
        <f t="shared" ref="Z380:Z411" si="2">IF(ISNUMBER(F380),R380/V380,"")</f>
        <v>0.90409255678296518</v>
      </c>
      <c r="AA380" s="109"/>
      <c r="AB380" s="109"/>
      <c r="AC380" s="194"/>
      <c r="AN380" s="53"/>
      <c r="AO380" s="53"/>
      <c r="AP380" s="53"/>
      <c r="AQ380" s="53"/>
    </row>
    <row r="381" spans="3:43" ht="15" customHeight="1" x14ac:dyDescent="0.2">
      <c r="F381" s="103">
        <f>IF(ISNUMBER(Inputs!I6),Inputs!I6,"")</f>
        <v>0.30480000000000002</v>
      </c>
      <c r="G381" s="96"/>
      <c r="H381" s="96"/>
      <c r="I381" s="96"/>
      <c r="J381" s="96">
        <f>IF(ISNUMBER(Inputs!L6),Inputs!L6,"")</f>
        <v>0.99059999999999993</v>
      </c>
      <c r="K381" s="96"/>
      <c r="L381" s="96"/>
      <c r="M381" s="96"/>
      <c r="N381" s="96">
        <f>IF(ISNUMBER(Inputs!O6),SUM((Inputs!O6+Inputs!R6+Inputs!U6)*J381/$W$152*$W$153/$W$154)/1000,"")</f>
        <v>40.331394249243559</v>
      </c>
      <c r="O381" s="96"/>
      <c r="P381" s="96"/>
      <c r="Q381" s="96"/>
      <c r="R381" s="100">
        <f>IF(ISNUMBER(F381),$W$326+N381,"")</f>
        <v>1211.8655934242681</v>
      </c>
      <c r="S381" s="100"/>
      <c r="T381" s="100"/>
      <c r="U381" s="100"/>
      <c r="V381" s="96">
        <f>IF(ISNUMBER(F381),0.8*$W$151,"")</f>
        <v>1340.3408171760002</v>
      </c>
      <c r="W381" s="96"/>
      <c r="X381" s="96"/>
      <c r="Y381" s="96"/>
      <c r="Z381" s="96">
        <f t="shared" si="2"/>
        <v>0.90414734662604701</v>
      </c>
      <c r="AA381" s="96"/>
      <c r="AB381" s="96"/>
      <c r="AC381" s="97"/>
      <c r="AN381" s="53"/>
      <c r="AO381" s="53"/>
      <c r="AP381" s="53"/>
      <c r="AQ381" s="53"/>
    </row>
    <row r="382" spans="3:43" ht="15" customHeight="1" x14ac:dyDescent="0.2">
      <c r="F382" s="103">
        <f>IF(ISNUMBER(Inputs!I7),Inputs!I7,"")</f>
        <v>0.60960000000000003</v>
      </c>
      <c r="G382" s="96"/>
      <c r="H382" s="96"/>
      <c r="I382" s="96"/>
      <c r="J382" s="96">
        <f>IF(ISNUMBER(Inputs!L7),Inputs!L7,"")</f>
        <v>0.96519999999999995</v>
      </c>
      <c r="K382" s="96"/>
      <c r="L382" s="96"/>
      <c r="M382" s="96"/>
      <c r="N382" s="96">
        <f>IF(ISNUMBER(Inputs!O7),SUM((Inputs!O7+Inputs!R7+Inputs!U7)*J382/$W$152*$W$153/$W$154)/1000,"")</f>
        <v>40.35297159563752</v>
      </c>
      <c r="O382" s="96"/>
      <c r="P382" s="96"/>
      <c r="Q382" s="96"/>
      <c r="R382" s="100">
        <f t="shared" ref="R382:R399" si="3">IF(ISNUMBER(F382),$W$326+N382,"")</f>
        <v>1211.8871707706619</v>
      </c>
      <c r="S382" s="100"/>
      <c r="T382" s="100"/>
      <c r="U382" s="100"/>
      <c r="V382" s="96">
        <f t="shared" ref="V382:V402" si="4">IF(ISNUMBER(F382),0.8*$W$151,"")</f>
        <v>1340.3408171760002</v>
      </c>
      <c r="W382" s="96"/>
      <c r="X382" s="96"/>
      <c r="Y382" s="96"/>
      <c r="Z382" s="96">
        <f t="shared" si="2"/>
        <v>0.90416344502886903</v>
      </c>
      <c r="AA382" s="96"/>
      <c r="AB382" s="96"/>
      <c r="AC382" s="97"/>
      <c r="AN382" s="53"/>
      <c r="AO382" s="53"/>
      <c r="AP382" s="53"/>
      <c r="AQ382" s="53"/>
    </row>
    <row r="383" spans="3:43" ht="15" customHeight="1" x14ac:dyDescent="0.2">
      <c r="F383" s="103">
        <f>IF(ISNUMBER(Inputs!I8),Inputs!I8,"")</f>
        <v>0.9144000000000001</v>
      </c>
      <c r="G383" s="96"/>
      <c r="H383" s="96"/>
      <c r="I383" s="96"/>
      <c r="J383" s="96">
        <f>IF(ISNUMBER(Inputs!L8),Inputs!L8,"")</f>
        <v>0.93979999999999997</v>
      </c>
      <c r="K383" s="96"/>
      <c r="L383" s="96"/>
      <c r="M383" s="96"/>
      <c r="N383" s="96">
        <f>IF(ISNUMBER(Inputs!O8),SUM((Inputs!O8+Inputs!R8+Inputs!U8)*J383/$W$152*$W$153/$W$154)/1000,"")</f>
        <v>40.318984959901108</v>
      </c>
      <c r="O383" s="96"/>
      <c r="P383" s="96"/>
      <c r="Q383" s="96"/>
      <c r="R383" s="100">
        <f t="shared" si="3"/>
        <v>1211.8531841349256</v>
      </c>
      <c r="S383" s="100"/>
      <c r="T383" s="100"/>
      <c r="U383" s="100"/>
      <c r="V383" s="96">
        <f t="shared" si="4"/>
        <v>1340.3408171760002</v>
      </c>
      <c r="W383" s="96"/>
      <c r="X383" s="96"/>
      <c r="Y383" s="96"/>
      <c r="Z383" s="96">
        <f t="shared" si="2"/>
        <v>0.90413808831712772</v>
      </c>
      <c r="AA383" s="96"/>
      <c r="AB383" s="96"/>
      <c r="AC383" s="97"/>
      <c r="AN383" s="53"/>
      <c r="AO383" s="53"/>
      <c r="AP383" s="53"/>
      <c r="AQ383" s="53"/>
    </row>
    <row r="384" spans="3:43" ht="15" customHeight="1" x14ac:dyDescent="0.2">
      <c r="F384" s="103">
        <f>IF(ISNUMBER(Inputs!I9),Inputs!I9,"")</f>
        <v>1.2192000000000001</v>
      </c>
      <c r="G384" s="96"/>
      <c r="H384" s="96"/>
      <c r="I384" s="96"/>
      <c r="J384" s="96">
        <f>IF(ISNUMBER(Inputs!L9),Inputs!L9,"")</f>
        <v>0.91439999999999999</v>
      </c>
      <c r="K384" s="96"/>
      <c r="L384" s="96"/>
      <c r="M384" s="96"/>
      <c r="N384" s="96">
        <f>IF(ISNUMBER(Inputs!O9),SUM((Inputs!O9+Inputs!R9+Inputs!U9)*J384/$W$152*$W$153/$W$154)/1000,"")</f>
        <v>40.229434342034324</v>
      </c>
      <c r="O384" s="96"/>
      <c r="P384" s="96"/>
      <c r="Q384" s="96"/>
      <c r="R384" s="100">
        <f t="shared" si="3"/>
        <v>1211.7636335170587</v>
      </c>
      <c r="S384" s="100"/>
      <c r="T384" s="100"/>
      <c r="U384" s="100"/>
      <c r="V384" s="96">
        <f t="shared" si="4"/>
        <v>1340.3408171760002</v>
      </c>
      <c r="W384" s="96"/>
      <c r="X384" s="96"/>
      <c r="Y384" s="96"/>
      <c r="Z384" s="96">
        <f t="shared" si="2"/>
        <v>0.90407127649082253</v>
      </c>
      <c r="AA384" s="96"/>
      <c r="AB384" s="96"/>
      <c r="AC384" s="97"/>
      <c r="AN384" s="53"/>
      <c r="AO384" s="53"/>
      <c r="AP384" s="53"/>
      <c r="AQ384" s="53"/>
    </row>
    <row r="385" spans="6:43" ht="15" customHeight="1" x14ac:dyDescent="0.2">
      <c r="F385" s="103">
        <f>IF(ISNUMBER(Inputs!I10),Inputs!I10,"")</f>
        <v>1.524</v>
      </c>
      <c r="G385" s="96"/>
      <c r="H385" s="96"/>
      <c r="I385" s="96"/>
      <c r="J385" s="96">
        <f>IF(ISNUMBER(Inputs!L10),Inputs!L10,"")</f>
        <v>0.88900000000000001</v>
      </c>
      <c r="K385" s="96"/>
      <c r="L385" s="96"/>
      <c r="M385" s="96"/>
      <c r="N385" s="96">
        <f>IF(ISNUMBER(Inputs!O10),SUM((Inputs!O10+Inputs!R10+Inputs!U10)*J385/$W$152*$W$153/$W$154)/1000,"")</f>
        <v>43.001428803881858</v>
      </c>
      <c r="O385" s="96"/>
      <c r="P385" s="96"/>
      <c r="Q385" s="96"/>
      <c r="R385" s="100">
        <f t="shared" si="3"/>
        <v>1214.5356279789064</v>
      </c>
      <c r="S385" s="100"/>
      <c r="T385" s="100"/>
      <c r="U385" s="100"/>
      <c r="V385" s="96">
        <f t="shared" si="4"/>
        <v>1340.3408171760002</v>
      </c>
      <c r="W385" s="96"/>
      <c r="X385" s="96"/>
      <c r="Y385" s="96"/>
      <c r="Z385" s="96">
        <f t="shared" si="2"/>
        <v>0.90613940306454588</v>
      </c>
      <c r="AA385" s="96"/>
      <c r="AB385" s="96"/>
      <c r="AC385" s="97"/>
      <c r="AN385" s="53"/>
      <c r="AO385" s="53"/>
      <c r="AP385" s="53"/>
      <c r="AQ385" s="53"/>
    </row>
    <row r="386" spans="6:43" ht="15" customHeight="1" x14ac:dyDescent="0.2">
      <c r="F386" s="103">
        <f>IF(ISNUMBER(Inputs!I11),Inputs!I11,"")</f>
        <v>1.8288000000000002</v>
      </c>
      <c r="G386" s="96"/>
      <c r="H386" s="96"/>
      <c r="I386" s="96"/>
      <c r="J386" s="96">
        <f>IF(ISNUMBER(Inputs!L11),Inputs!L11,"")</f>
        <v>0.86359999999999992</v>
      </c>
      <c r="K386" s="96"/>
      <c r="L386" s="96"/>
      <c r="M386" s="96"/>
      <c r="N386" s="96">
        <f>IF(ISNUMBER(Inputs!O11),SUM((Inputs!O11+Inputs!R11+Inputs!U11)*J386/$W$152*$W$153/$W$154)/1000,"")</f>
        <v>45.551167337207893</v>
      </c>
      <c r="O386" s="96"/>
      <c r="P386" s="96"/>
      <c r="Q386" s="96"/>
      <c r="R386" s="100">
        <f t="shared" si="3"/>
        <v>1217.0853665122324</v>
      </c>
      <c r="S386" s="100"/>
      <c r="T386" s="100"/>
      <c r="U386" s="100"/>
      <c r="V386" s="96">
        <f t="shared" si="4"/>
        <v>1340.3408171760002</v>
      </c>
      <c r="W386" s="96"/>
      <c r="X386" s="96"/>
      <c r="Y386" s="96"/>
      <c r="Z386" s="96">
        <f t="shared" si="2"/>
        <v>0.90804170918001437</v>
      </c>
      <c r="AA386" s="96"/>
      <c r="AB386" s="96"/>
      <c r="AC386" s="97"/>
      <c r="AN386" s="53"/>
      <c r="AO386" s="53"/>
      <c r="AP386" s="53"/>
      <c r="AQ386" s="53"/>
    </row>
    <row r="387" spans="6:43" ht="15" customHeight="1" x14ac:dyDescent="0.2">
      <c r="F387" s="103">
        <f>IF(ISNUMBER(Inputs!I12),Inputs!I12,"")</f>
        <v>2.1335999999999999</v>
      </c>
      <c r="G387" s="96"/>
      <c r="H387" s="96"/>
      <c r="I387" s="96"/>
      <c r="J387" s="96">
        <f>IF(ISNUMBER(Inputs!L12),Inputs!L12,"")</f>
        <v>0.83819999999999995</v>
      </c>
      <c r="K387" s="96"/>
      <c r="L387" s="96"/>
      <c r="M387" s="96"/>
      <c r="N387" s="96">
        <f>IF(ISNUMBER(Inputs!O12),SUM((Inputs!O12+Inputs!R12+Inputs!U12)*J387/$W$152*$W$153/$W$154)/1000,"")</f>
        <v>46.961844236861239</v>
      </c>
      <c r="O387" s="96"/>
      <c r="P387" s="96"/>
      <c r="Q387" s="96"/>
      <c r="R387" s="100">
        <f t="shared" si="3"/>
        <v>1218.4960434118857</v>
      </c>
      <c r="S387" s="100"/>
      <c r="T387" s="100"/>
      <c r="U387" s="100"/>
      <c r="V387" s="96">
        <f t="shared" si="4"/>
        <v>1340.3408171760002</v>
      </c>
      <c r="W387" s="96"/>
      <c r="X387" s="96"/>
      <c r="Y387" s="96"/>
      <c r="Z387" s="96">
        <f t="shared" si="2"/>
        <v>0.90909418544692799</v>
      </c>
      <c r="AA387" s="96"/>
      <c r="AB387" s="96"/>
      <c r="AC387" s="97"/>
      <c r="AN387" s="53"/>
      <c r="AO387" s="53"/>
      <c r="AP387" s="53"/>
      <c r="AQ387" s="53"/>
    </row>
    <row r="388" spans="6:43" ht="15" customHeight="1" x14ac:dyDescent="0.2">
      <c r="F388" s="103">
        <f>IF(ISNUMBER(Inputs!I13),Inputs!I13,"")</f>
        <v>2.4384000000000001</v>
      </c>
      <c r="G388" s="96"/>
      <c r="H388" s="96"/>
      <c r="I388" s="96"/>
      <c r="J388" s="96">
        <f>IF(ISNUMBER(Inputs!L13),Inputs!L13,"")</f>
        <v>0.81279999999999997</v>
      </c>
      <c r="K388" s="96"/>
      <c r="L388" s="96"/>
      <c r="M388" s="96"/>
      <c r="N388" s="96">
        <f>IF(ISNUMBER(Inputs!O13),SUM((Inputs!O13+Inputs!R13+Inputs!U13)*J388/$W$152*$W$153/$W$154)/1000,"")</f>
        <v>49.983876618295461</v>
      </c>
      <c r="O388" s="96"/>
      <c r="P388" s="96"/>
      <c r="Q388" s="96"/>
      <c r="R388" s="100">
        <f t="shared" si="3"/>
        <v>1221.5180757933199</v>
      </c>
      <c r="S388" s="100"/>
      <c r="T388" s="100"/>
      <c r="U388" s="100"/>
      <c r="V388" s="96">
        <f t="shared" si="4"/>
        <v>1340.3408171760002</v>
      </c>
      <c r="W388" s="96"/>
      <c r="X388" s="96"/>
      <c r="Y388" s="96"/>
      <c r="Z388" s="96">
        <f t="shared" si="2"/>
        <v>0.91134886003618754</v>
      </c>
      <c r="AA388" s="96"/>
      <c r="AB388" s="96"/>
      <c r="AC388" s="97"/>
      <c r="AN388" s="53"/>
      <c r="AO388" s="53"/>
      <c r="AP388" s="53"/>
      <c r="AQ388" s="53"/>
    </row>
    <row r="389" spans="6:43" ht="15" customHeight="1" x14ac:dyDescent="0.2">
      <c r="F389" s="103">
        <f>IF(ISNUMBER(Inputs!I14),Inputs!I14,"")</f>
        <v>2.7432000000000003</v>
      </c>
      <c r="G389" s="96"/>
      <c r="H389" s="96"/>
      <c r="I389" s="96"/>
      <c r="J389" s="96">
        <f>IF(ISNUMBER(Inputs!L14),Inputs!L14,"")</f>
        <v>0.78739999999999999</v>
      </c>
      <c r="K389" s="96"/>
      <c r="L389" s="96"/>
      <c r="M389" s="96"/>
      <c r="N389" s="96">
        <f>IF(ISNUMBER(Inputs!O14),SUM((Inputs!O14+Inputs!R14+Inputs!U14)*J389/$W$152*$W$153/$W$154)/1000,"")</f>
        <v>57.034297704181895</v>
      </c>
      <c r="O389" s="96"/>
      <c r="P389" s="96"/>
      <c r="Q389" s="96"/>
      <c r="R389" s="100">
        <f t="shared" si="3"/>
        <v>1228.5684968792064</v>
      </c>
      <c r="S389" s="100"/>
      <c r="T389" s="100"/>
      <c r="U389" s="100"/>
      <c r="V389" s="96">
        <f t="shared" si="4"/>
        <v>1340.3408171760002</v>
      </c>
      <c r="W389" s="96"/>
      <c r="X389" s="96"/>
      <c r="Y389" s="96"/>
      <c r="Z389" s="96">
        <f t="shared" si="2"/>
        <v>0.91660903043131225</v>
      </c>
      <c r="AA389" s="96"/>
      <c r="AB389" s="96"/>
      <c r="AC389" s="97"/>
      <c r="AN389" s="53"/>
      <c r="AO389" s="53"/>
      <c r="AP389" s="53"/>
      <c r="AQ389" s="53"/>
    </row>
    <row r="390" spans="6:43" ht="15" customHeight="1" x14ac:dyDescent="0.2">
      <c r="F390" s="103">
        <f>IF(ISNUMBER(Inputs!I15),Inputs!I15,"")</f>
        <v>3.048</v>
      </c>
      <c r="G390" s="96"/>
      <c r="H390" s="96"/>
      <c r="I390" s="96"/>
      <c r="J390" s="96">
        <f>IF(ISNUMBER(Inputs!L15),Inputs!L15,"")</f>
        <v>0.76200000000000001</v>
      </c>
      <c r="K390" s="96"/>
      <c r="L390" s="96"/>
      <c r="M390" s="96"/>
      <c r="N390" s="96">
        <f>IF(ISNUMBER(Inputs!O15),SUM((Inputs!O15+Inputs!R15+Inputs!U15)*J390/$W$152*$W$153/$W$154)/1000,"")</f>
        <v>63.529078968764587</v>
      </c>
      <c r="O390" s="96"/>
      <c r="P390" s="96"/>
      <c r="Q390" s="96"/>
      <c r="R390" s="100">
        <f t="shared" si="3"/>
        <v>1235.0632781437891</v>
      </c>
      <c r="S390" s="100"/>
      <c r="T390" s="100"/>
      <c r="U390" s="100"/>
      <c r="V390" s="96">
        <f t="shared" si="4"/>
        <v>1340.3408171760002</v>
      </c>
      <c r="W390" s="96"/>
      <c r="X390" s="96"/>
      <c r="Y390" s="96"/>
      <c r="Z390" s="96">
        <f t="shared" si="2"/>
        <v>0.92145464968080049</v>
      </c>
      <c r="AA390" s="96"/>
      <c r="AB390" s="96"/>
      <c r="AC390" s="97"/>
      <c r="AN390" s="53"/>
      <c r="AO390" s="53"/>
      <c r="AP390" s="53"/>
      <c r="AQ390" s="53"/>
    </row>
    <row r="391" spans="6:43" ht="15" customHeight="1" x14ac:dyDescent="0.2">
      <c r="F391" s="103">
        <f>IF(ISNUMBER(Inputs!I16),Inputs!I16,"")</f>
        <v>3.3528000000000002</v>
      </c>
      <c r="G391" s="96"/>
      <c r="H391" s="96"/>
      <c r="I391" s="96"/>
      <c r="J391" s="96">
        <f>IF(ISNUMBER(Inputs!L16),Inputs!L16,"")</f>
        <v>0.73659999999999992</v>
      </c>
      <c r="K391" s="96"/>
      <c r="L391" s="96"/>
      <c r="M391" s="96"/>
      <c r="N391" s="96">
        <f>IF(ISNUMBER(Inputs!O16),SUM((Inputs!O16+Inputs!R16+Inputs!U16)*J391/$W$152*$W$153/$W$154)/1000,"")</f>
        <v>77.524997820947931</v>
      </c>
      <c r="O391" s="96"/>
      <c r="P391" s="96"/>
      <c r="Q391" s="96"/>
      <c r="R391" s="100">
        <f t="shared" si="3"/>
        <v>1249.0591969959723</v>
      </c>
      <c r="S391" s="100"/>
      <c r="T391" s="100"/>
      <c r="U391" s="100"/>
      <c r="V391" s="96">
        <f t="shared" si="4"/>
        <v>1340.3408171760002</v>
      </c>
      <c r="W391" s="96"/>
      <c r="X391" s="96"/>
      <c r="Y391" s="96"/>
      <c r="Z391" s="96">
        <f t="shared" si="2"/>
        <v>0.93189670939638203</v>
      </c>
      <c r="AA391" s="96"/>
      <c r="AB391" s="96"/>
      <c r="AC391" s="97"/>
      <c r="AN391" s="53"/>
      <c r="AO391" s="53"/>
      <c r="AP391" s="53"/>
      <c r="AQ391" s="53"/>
    </row>
    <row r="392" spans="6:43" ht="15" customHeight="1" x14ac:dyDescent="0.2">
      <c r="F392" s="103">
        <f>IF(ISNUMBER(Inputs!I17),Inputs!I17,"")</f>
        <v>3.6576000000000004</v>
      </c>
      <c r="G392" s="96"/>
      <c r="H392" s="96"/>
      <c r="I392" s="96"/>
      <c r="J392" s="96">
        <f>IF(ISNUMBER(Inputs!L17),Inputs!L17,"")</f>
        <v>0.71119999999999994</v>
      </c>
      <c r="K392" s="96"/>
      <c r="L392" s="96"/>
      <c r="M392" s="96"/>
      <c r="N392" s="96">
        <f>IF(ISNUMBER(Inputs!O17),SUM((Inputs!O17+Inputs!R17+Inputs!U17)*J392/$W$152*$W$153/$W$154)/1000,"")</f>
        <v>90.409637030523768</v>
      </c>
      <c r="O392" s="96"/>
      <c r="P392" s="96"/>
      <c r="Q392" s="96"/>
      <c r="R392" s="100">
        <f t="shared" si="3"/>
        <v>1261.9438362055482</v>
      </c>
      <c r="S392" s="100"/>
      <c r="T392" s="100"/>
      <c r="U392" s="100"/>
      <c r="V392" s="96">
        <f t="shared" si="4"/>
        <v>1340.3408171760002</v>
      </c>
      <c r="W392" s="96"/>
      <c r="X392" s="96"/>
      <c r="Y392" s="96"/>
      <c r="Z392" s="96">
        <f t="shared" si="2"/>
        <v>0.9415096668206907</v>
      </c>
      <c r="AA392" s="96"/>
      <c r="AB392" s="96"/>
      <c r="AC392" s="97"/>
      <c r="AN392" s="53"/>
      <c r="AO392" s="53"/>
      <c r="AP392" s="53"/>
      <c r="AQ392" s="53"/>
    </row>
    <row r="393" spans="6:43" ht="15" customHeight="1" x14ac:dyDescent="0.2">
      <c r="F393" s="103">
        <f>IF(ISNUMBER(Inputs!I18),Inputs!I18,"")</f>
        <v>3.9624000000000001</v>
      </c>
      <c r="G393" s="96"/>
      <c r="H393" s="96"/>
      <c r="I393" s="96"/>
      <c r="J393" s="96">
        <f>IF(ISNUMBER(Inputs!L18),Inputs!L18,"")</f>
        <v>0.68579999999999997</v>
      </c>
      <c r="K393" s="96"/>
      <c r="L393" s="96"/>
      <c r="M393" s="96"/>
      <c r="N393" s="96">
        <f>IF(ISNUMBER(Inputs!O18),SUM((Inputs!O18+Inputs!R18+Inputs!U18)*J393/$W$152*$W$153/$W$154)/1000,"")</f>
        <v>102.18299659749209</v>
      </c>
      <c r="O393" s="96"/>
      <c r="P393" s="96"/>
      <c r="Q393" s="96"/>
      <c r="R393" s="100">
        <f t="shared" si="3"/>
        <v>1273.7171957725166</v>
      </c>
      <c r="S393" s="100"/>
      <c r="T393" s="100"/>
      <c r="U393" s="100"/>
      <c r="V393" s="96">
        <f t="shared" si="4"/>
        <v>1340.3408171760002</v>
      </c>
      <c r="W393" s="96"/>
      <c r="X393" s="96"/>
      <c r="Y393" s="96"/>
      <c r="Z393" s="96">
        <f t="shared" si="2"/>
        <v>0.95029352195372607</v>
      </c>
      <c r="AA393" s="96"/>
      <c r="AB393" s="96"/>
      <c r="AC393" s="97"/>
      <c r="AN393" s="53"/>
      <c r="AO393" s="53"/>
      <c r="AP393" s="53"/>
      <c r="AQ393" s="53"/>
    </row>
    <row r="394" spans="6:43" ht="15" customHeight="1" x14ac:dyDescent="0.2">
      <c r="F394" s="103">
        <f>IF(ISNUMBER(Inputs!I19),Inputs!I19,"")</f>
        <v>4.2671999999999999</v>
      </c>
      <c r="G394" s="96"/>
      <c r="H394" s="96"/>
      <c r="I394" s="96"/>
      <c r="J394" s="96">
        <f>IF(ISNUMBER(Inputs!L19),Inputs!L19,"")</f>
        <v>0.66039999999999999</v>
      </c>
      <c r="K394" s="96"/>
      <c r="L394" s="96"/>
      <c r="M394" s="96"/>
      <c r="N394" s="96">
        <f>IF(ISNUMBER(Inputs!O19),SUM((Inputs!O19+Inputs!R19+Inputs!U19)*J394/$W$152*$W$153/$W$154)/1000,"")</f>
        <v>112.84507652185295</v>
      </c>
      <c r="O394" s="96"/>
      <c r="P394" s="96"/>
      <c r="Q394" s="96"/>
      <c r="R394" s="100">
        <f t="shared" si="3"/>
        <v>1284.3792756968774</v>
      </c>
      <c r="S394" s="100"/>
      <c r="T394" s="100"/>
      <c r="U394" s="100"/>
      <c r="V394" s="96">
        <f t="shared" si="4"/>
        <v>1340.3408171760002</v>
      </c>
      <c r="W394" s="96"/>
      <c r="X394" s="96"/>
      <c r="Y394" s="96"/>
      <c r="Z394" s="96">
        <f t="shared" si="2"/>
        <v>0.95824827479548846</v>
      </c>
      <c r="AA394" s="96"/>
      <c r="AB394" s="96"/>
      <c r="AC394" s="97"/>
      <c r="AN394" s="53"/>
      <c r="AO394" s="53"/>
      <c r="AP394" s="53"/>
      <c r="AQ394" s="53"/>
    </row>
    <row r="395" spans="6:43" ht="15" customHeight="1" x14ac:dyDescent="0.2">
      <c r="F395" s="103">
        <f>IF(ISNUMBER(Inputs!I20),Inputs!I20,"")</f>
        <v>4.5720000000000001</v>
      </c>
      <c r="G395" s="96"/>
      <c r="H395" s="96"/>
      <c r="I395" s="96"/>
      <c r="J395" s="96">
        <f>IF(ISNUMBER(Inputs!L20),Inputs!L20,"")</f>
        <v>0.63500000000000001</v>
      </c>
      <c r="K395" s="96"/>
      <c r="L395" s="96"/>
      <c r="M395" s="96"/>
      <c r="N395" s="96">
        <f>IF(ISNUMBER(Inputs!O20),SUM((Inputs!O20+Inputs!R20+Inputs!U20)*J395/$W$152*$W$153/$W$154)/1000,"")</f>
        <v>122.39587680360626</v>
      </c>
      <c r="O395" s="96"/>
      <c r="P395" s="96"/>
      <c r="Q395" s="96"/>
      <c r="R395" s="100">
        <f t="shared" si="3"/>
        <v>1293.9300759786306</v>
      </c>
      <c r="S395" s="100"/>
      <c r="T395" s="100"/>
      <c r="U395" s="100"/>
      <c r="V395" s="96">
        <f t="shared" si="4"/>
        <v>1340.3408171760002</v>
      </c>
      <c r="W395" s="96"/>
      <c r="X395" s="96"/>
      <c r="Y395" s="96"/>
      <c r="Z395" s="96">
        <f t="shared" si="2"/>
        <v>0.96537392534597755</v>
      </c>
      <c r="AA395" s="96"/>
      <c r="AB395" s="96"/>
      <c r="AC395" s="97"/>
      <c r="AN395" s="53"/>
      <c r="AO395" s="53"/>
      <c r="AP395" s="53"/>
      <c r="AQ395" s="53"/>
    </row>
    <row r="396" spans="6:43" ht="15" customHeight="1" x14ac:dyDescent="0.2">
      <c r="F396" s="103">
        <f>IF(ISNUMBER(Inputs!I21),Inputs!I21,"")</f>
        <v>4.8768000000000002</v>
      </c>
      <c r="G396" s="96"/>
      <c r="H396" s="96"/>
      <c r="I396" s="96"/>
      <c r="J396" s="96">
        <f>IF(ISNUMBER(Inputs!L21),Inputs!L21,"")</f>
        <v>0.60959999999999992</v>
      </c>
      <c r="K396" s="96"/>
      <c r="L396" s="96"/>
      <c r="M396" s="96"/>
      <c r="N396" s="96">
        <f>IF(ISNUMBER(Inputs!O21),SUM((Inputs!O21+Inputs!R21+Inputs!U21)*J396/$W$152*$W$153/$W$154)/1000,"")</f>
        <v>124.46109741275541</v>
      </c>
      <c r="O396" s="96"/>
      <c r="P396" s="96"/>
      <c r="Q396" s="96"/>
      <c r="R396" s="100">
        <f t="shared" si="3"/>
        <v>1295.9952965877799</v>
      </c>
      <c r="S396" s="100"/>
      <c r="T396" s="100"/>
      <c r="U396" s="100"/>
      <c r="V396" s="96">
        <f t="shared" si="4"/>
        <v>1340.3408171760002</v>
      </c>
      <c r="W396" s="96"/>
      <c r="X396" s="96"/>
      <c r="Y396" s="96"/>
      <c r="Z396" s="96">
        <f t="shared" si="2"/>
        <v>0.96691474286245116</v>
      </c>
      <c r="AA396" s="96"/>
      <c r="AB396" s="96"/>
      <c r="AC396" s="97"/>
      <c r="AN396" s="53"/>
      <c r="AO396" s="53"/>
      <c r="AP396" s="53"/>
      <c r="AQ396" s="53"/>
    </row>
    <row r="397" spans="6:43" ht="15" customHeight="1" x14ac:dyDescent="0.2">
      <c r="F397" s="103">
        <f>IF(ISNUMBER(Inputs!I22),Inputs!I22,"")</f>
        <v>5.1816000000000004</v>
      </c>
      <c r="G397" s="96"/>
      <c r="H397" s="96"/>
      <c r="I397" s="96"/>
      <c r="J397" s="96">
        <f>IF(ISNUMBER(Inputs!L22),Inputs!L22,"")</f>
        <v>0.63500000000000001</v>
      </c>
      <c r="K397" s="96"/>
      <c r="L397" s="96"/>
      <c r="M397" s="96"/>
      <c r="N397" s="96">
        <f>IF(ISNUMBER(Inputs!O22),SUM((Inputs!O22+Inputs!R22+Inputs!U22)*J397/$W$152*$W$153/$W$154)/1000,"")</f>
        <v>123.73867303842368</v>
      </c>
      <c r="O397" s="96"/>
      <c r="P397" s="96"/>
      <c r="Q397" s="96"/>
      <c r="R397" s="100">
        <f t="shared" si="3"/>
        <v>1295.2728722134482</v>
      </c>
      <c r="S397" s="100"/>
      <c r="T397" s="100"/>
      <c r="U397" s="100"/>
      <c r="V397" s="96">
        <f t="shared" si="4"/>
        <v>1340.3408171760002</v>
      </c>
      <c r="W397" s="96"/>
      <c r="X397" s="96"/>
      <c r="Y397" s="96"/>
      <c r="Z397" s="96">
        <f t="shared" si="2"/>
        <v>0.96637575728126601</v>
      </c>
      <c r="AA397" s="96"/>
      <c r="AB397" s="96"/>
      <c r="AC397" s="97"/>
      <c r="AN397" s="53"/>
      <c r="AO397" s="53"/>
      <c r="AP397" s="53"/>
      <c r="AQ397" s="53"/>
    </row>
    <row r="398" spans="6:43" ht="15" customHeight="1" x14ac:dyDescent="0.2">
      <c r="F398" s="103">
        <f>IF(ISNUMBER(Inputs!I23),Inputs!I23,"")</f>
        <v>5.4864000000000006</v>
      </c>
      <c r="G398" s="96"/>
      <c r="H398" s="96"/>
      <c r="I398" s="96"/>
      <c r="J398" s="96">
        <f>IF(ISNUMBER(Inputs!L23),Inputs!L23,"")</f>
        <v>0.66039999999999999</v>
      </c>
      <c r="K398" s="96"/>
      <c r="L398" s="96"/>
      <c r="M398" s="96"/>
      <c r="N398" s="96">
        <f>IF(ISNUMBER(Inputs!O23),SUM((Inputs!O23+Inputs!R23+Inputs!U23)*J398/$W$152*$W$153/$W$154)/1000,"")</f>
        <v>123.39112033019816</v>
      </c>
      <c r="O398" s="96"/>
      <c r="P398" s="96"/>
      <c r="Q398" s="96"/>
      <c r="R398" s="100">
        <f t="shared" si="3"/>
        <v>1294.9253195052227</v>
      </c>
      <c r="S398" s="100"/>
      <c r="T398" s="100"/>
      <c r="U398" s="100"/>
      <c r="V398" s="96">
        <f t="shared" si="4"/>
        <v>1340.3408171760002</v>
      </c>
      <c r="W398" s="96"/>
      <c r="X398" s="96"/>
      <c r="Y398" s="96"/>
      <c r="Z398" s="96">
        <f t="shared" si="2"/>
        <v>0.9661164555396704</v>
      </c>
      <c r="AA398" s="96"/>
      <c r="AB398" s="96"/>
      <c r="AC398" s="97"/>
      <c r="AN398" s="53"/>
      <c r="AO398" s="53"/>
      <c r="AP398" s="53"/>
      <c r="AQ398" s="53"/>
    </row>
    <row r="399" spans="6:43" ht="15" customHeight="1" x14ac:dyDescent="0.2">
      <c r="F399" s="103">
        <f>IF(ISNUMBER(Inputs!I24),Inputs!I24,"")</f>
        <v>5.7911999999999999</v>
      </c>
      <c r="G399" s="96"/>
      <c r="H399" s="96"/>
      <c r="I399" s="96"/>
      <c r="J399" s="96">
        <f>IF(ISNUMBER(Inputs!L24),Inputs!L24,"")</f>
        <v>0.68579999999999997</v>
      </c>
      <c r="K399" s="96"/>
      <c r="L399" s="96"/>
      <c r="M399" s="96"/>
      <c r="N399" s="96">
        <f>IF(ISNUMBER(Inputs!O24),SUM((Inputs!O24+Inputs!R24+Inputs!U24)*J399/$W$152*$W$153/$W$154)/1000,"")</f>
        <v>122.63609841968328</v>
      </c>
      <c r="O399" s="96"/>
      <c r="P399" s="96"/>
      <c r="Q399" s="96"/>
      <c r="R399" s="100">
        <f t="shared" si="3"/>
        <v>1294.1702975947078</v>
      </c>
      <c r="S399" s="100"/>
      <c r="T399" s="100"/>
      <c r="U399" s="100"/>
      <c r="V399" s="96">
        <f t="shared" si="4"/>
        <v>1340.3408171760002</v>
      </c>
      <c r="W399" s="96"/>
      <c r="X399" s="96"/>
      <c r="Y399" s="96"/>
      <c r="Z399" s="96">
        <f t="shared" si="2"/>
        <v>0.96555314962460792</v>
      </c>
      <c r="AA399" s="96"/>
      <c r="AB399" s="96"/>
      <c r="AC399" s="97"/>
      <c r="AN399" s="53"/>
      <c r="AO399" s="53"/>
      <c r="AP399" s="53"/>
      <c r="AQ399" s="53"/>
    </row>
    <row r="400" spans="6:43" ht="15" customHeight="1" x14ac:dyDescent="0.2">
      <c r="F400" s="103">
        <f>IF(ISNUMBER(Inputs!I25),Inputs!I25,"")</f>
        <v>6.0960000000000001</v>
      </c>
      <c r="G400" s="96"/>
      <c r="H400" s="96"/>
      <c r="I400" s="96"/>
      <c r="J400" s="96">
        <f>IF(ISNUMBER(Inputs!L25),Inputs!L25,"")</f>
        <v>0.71119999999999994</v>
      </c>
      <c r="K400" s="96"/>
      <c r="L400" s="96"/>
      <c r="M400" s="96"/>
      <c r="N400" s="96">
        <f>IF(ISNUMBER(Inputs!O25),SUM((Inputs!O25+Inputs!R25+Inputs!U25)*J400/$W$152*$W$153/$W$154)/1000,"")</f>
        <v>121.47360730687892</v>
      </c>
      <c r="O400" s="96"/>
      <c r="P400" s="96"/>
      <c r="Q400" s="96"/>
      <c r="R400" s="100">
        <f t="shared" ref="R400:R419" si="5">IF(ISNUMBER(F400),$W$326+N400,"")</f>
        <v>1293.0078064819033</v>
      </c>
      <c r="S400" s="100"/>
      <c r="T400" s="100"/>
      <c r="U400" s="100"/>
      <c r="V400" s="96">
        <f t="shared" si="4"/>
        <v>1340.3408171760002</v>
      </c>
      <c r="W400" s="96"/>
      <c r="X400" s="96"/>
      <c r="Y400" s="96"/>
      <c r="Z400" s="96">
        <f t="shared" si="2"/>
        <v>0.96468583953607856</v>
      </c>
      <c r="AA400" s="96"/>
      <c r="AB400" s="96"/>
      <c r="AC400" s="97"/>
      <c r="AN400" s="53"/>
      <c r="AO400" s="53"/>
      <c r="AP400" s="53"/>
      <c r="AQ400" s="53"/>
    </row>
    <row r="401" spans="6:43" ht="15" customHeight="1" x14ac:dyDescent="0.2">
      <c r="F401" s="103">
        <f>IF(ISNUMBER(Inputs!I26),Inputs!I26,"")</f>
        <v>6.4008000000000003</v>
      </c>
      <c r="G401" s="96"/>
      <c r="H401" s="96"/>
      <c r="I401" s="96"/>
      <c r="J401" s="96">
        <f>IF(ISNUMBER(Inputs!L26),Inputs!L26,"")</f>
        <v>0.73659999999999992</v>
      </c>
      <c r="K401" s="96"/>
      <c r="L401" s="96"/>
      <c r="M401" s="96"/>
      <c r="N401" s="96">
        <f>IF(ISNUMBER(Inputs!O26),SUM((Inputs!O26+Inputs!R26+Inputs!U26)*J401/$W$152*$W$153/$W$154)/1000,"")</f>
        <v>118.29229151000426</v>
      </c>
      <c r="O401" s="96"/>
      <c r="P401" s="96"/>
      <c r="Q401" s="96"/>
      <c r="R401" s="100">
        <f t="shared" si="5"/>
        <v>1289.8264906850288</v>
      </c>
      <c r="S401" s="100"/>
      <c r="T401" s="100"/>
      <c r="U401" s="100"/>
      <c r="V401" s="96">
        <f t="shared" si="4"/>
        <v>1340.3408171760002</v>
      </c>
      <c r="W401" s="96"/>
      <c r="X401" s="96"/>
      <c r="Y401" s="96"/>
      <c r="Z401" s="96">
        <f t="shared" si="2"/>
        <v>0.96231232695173652</v>
      </c>
      <c r="AA401" s="96"/>
      <c r="AB401" s="96"/>
      <c r="AC401" s="97"/>
      <c r="AN401" s="53"/>
      <c r="AO401" s="53"/>
      <c r="AP401" s="53"/>
      <c r="AQ401" s="53"/>
    </row>
    <row r="402" spans="6:43" ht="15" customHeight="1" x14ac:dyDescent="0.2">
      <c r="F402" s="103">
        <f>IF(ISNUMBER(Inputs!I27),Inputs!I27,"")</f>
        <v>6.7056000000000004</v>
      </c>
      <c r="G402" s="96"/>
      <c r="H402" s="96"/>
      <c r="I402" s="96"/>
      <c r="J402" s="96">
        <f>IF(ISNUMBER(Inputs!L27),Inputs!L27,"")</f>
        <v>0.76200000000000001</v>
      </c>
      <c r="K402" s="96"/>
      <c r="L402" s="96"/>
      <c r="M402" s="96"/>
      <c r="N402" s="96">
        <f>IF(ISNUMBER(Inputs!O27),SUM((Inputs!O27+Inputs!R27+Inputs!U27)*J402/$W$152*$W$153/$W$154)/1000,"")</f>
        <v>114.59237854657951</v>
      </c>
      <c r="O402" s="96"/>
      <c r="P402" s="96"/>
      <c r="Q402" s="96"/>
      <c r="R402" s="100">
        <f t="shared" si="5"/>
        <v>1286.126577721604</v>
      </c>
      <c r="S402" s="100"/>
      <c r="T402" s="100"/>
      <c r="U402" s="100"/>
      <c r="V402" s="96">
        <f t="shared" si="4"/>
        <v>1340.3408171760002</v>
      </c>
      <c r="W402" s="96"/>
      <c r="X402" s="96"/>
      <c r="Y402" s="96"/>
      <c r="Z402" s="96">
        <f t="shared" si="2"/>
        <v>0.95955189996480028</v>
      </c>
      <c r="AA402" s="96"/>
      <c r="AB402" s="96"/>
      <c r="AC402" s="97"/>
      <c r="AN402" s="53"/>
      <c r="AO402" s="53"/>
      <c r="AP402" s="53"/>
      <c r="AQ402" s="53"/>
    </row>
    <row r="403" spans="6:43" ht="15" customHeight="1" x14ac:dyDescent="0.2">
      <c r="F403" s="103">
        <f>IF(ISNUMBER(Inputs!I28),Inputs!I28,"")</f>
        <v>7.0104000000000006</v>
      </c>
      <c r="G403" s="96"/>
      <c r="H403" s="96"/>
      <c r="I403" s="96"/>
      <c r="J403" s="96">
        <f>IF(ISNUMBER(Inputs!L28),Inputs!L28,"")</f>
        <v>0.78739999999999999</v>
      </c>
      <c r="K403" s="96"/>
      <c r="L403" s="96"/>
      <c r="M403" s="96"/>
      <c r="N403" s="96">
        <f>IF(ISNUMBER(Inputs!O28),SUM((Inputs!O28+Inputs!R28+Inputs!U28)*J403/$W$152*$W$153/$W$154)/1000,"")</f>
        <v>113.81883530868778</v>
      </c>
      <c r="O403" s="96"/>
      <c r="P403" s="96"/>
      <c r="Q403" s="96"/>
      <c r="R403" s="100">
        <f t="shared" si="5"/>
        <v>1285.3530344837122</v>
      </c>
      <c r="S403" s="100"/>
      <c r="T403" s="100"/>
      <c r="U403" s="100"/>
      <c r="V403" s="96">
        <f>IF(ISNUMBER(F403),0.8*$W$151,"")</f>
        <v>1340.3408171760002</v>
      </c>
      <c r="W403" s="96"/>
      <c r="X403" s="96"/>
      <c r="Y403" s="96"/>
      <c r="Z403" s="96">
        <f t="shared" si="2"/>
        <v>0.95897477567821654</v>
      </c>
      <c r="AA403" s="96"/>
      <c r="AB403" s="96"/>
      <c r="AC403" s="97"/>
      <c r="AN403" s="53"/>
      <c r="AO403" s="53"/>
      <c r="AP403" s="53"/>
      <c r="AQ403" s="53"/>
    </row>
    <row r="404" spans="6:43" ht="15" customHeight="1" x14ac:dyDescent="0.2">
      <c r="F404" s="103">
        <f>IF(ISNUMBER(Inputs!I29),Inputs!I29,"")</f>
        <v>7.3152000000000008</v>
      </c>
      <c r="G404" s="96"/>
      <c r="H404" s="96"/>
      <c r="I404" s="96"/>
      <c r="J404" s="96">
        <f>IF(ISNUMBER(Inputs!L29),Inputs!L29,"")</f>
        <v>0.81279999999999997</v>
      </c>
      <c r="K404" s="96"/>
      <c r="L404" s="96"/>
      <c r="M404" s="96"/>
      <c r="N404" s="96">
        <f>IF(ISNUMBER(Inputs!O29),SUM((Inputs!O29+Inputs!R29+Inputs!U29)*J404/$W$152*$W$153/$W$154)/1000,"")</f>
        <v>111.56358588065272</v>
      </c>
      <c r="O404" s="96"/>
      <c r="P404" s="96"/>
      <c r="Q404" s="96"/>
      <c r="R404" s="100">
        <f t="shared" si="5"/>
        <v>1283.0977850556772</v>
      </c>
      <c r="S404" s="100"/>
      <c r="T404" s="100"/>
      <c r="U404" s="100"/>
      <c r="V404" s="96">
        <f t="shared" ref="V404:V419" si="6">IF(ISNUMBER(F404),0.8*$W$151,"")</f>
        <v>1340.3408171760002</v>
      </c>
      <c r="W404" s="96"/>
      <c r="X404" s="96"/>
      <c r="Y404" s="96"/>
      <c r="Z404" s="96">
        <f t="shared" si="2"/>
        <v>0.95729218166993535</v>
      </c>
      <c r="AA404" s="96"/>
      <c r="AB404" s="96"/>
      <c r="AC404" s="97"/>
      <c r="AN404" s="53"/>
      <c r="AO404" s="53"/>
      <c r="AP404" s="53"/>
      <c r="AQ404" s="53"/>
    </row>
    <row r="405" spans="6:43" ht="15" customHeight="1" x14ac:dyDescent="0.2">
      <c r="F405" s="103">
        <f>IF(ISNUMBER(Inputs!I30),Inputs!I30,"")</f>
        <v>7.62</v>
      </c>
      <c r="G405" s="96"/>
      <c r="H405" s="96"/>
      <c r="I405" s="96"/>
      <c r="J405" s="96">
        <f>IF(ISNUMBER(Inputs!L30),Inputs!L30,"")</f>
        <v>0.83819999999999995</v>
      </c>
      <c r="K405" s="96"/>
      <c r="L405" s="96"/>
      <c r="M405" s="96"/>
      <c r="N405" s="96">
        <f>IF(ISNUMBER(Inputs!O30),SUM((Inputs!O30+Inputs!R30+Inputs!U30)*J405/$W$152*$W$153/$W$154)/1000,"")</f>
        <v>107.40990039649652</v>
      </c>
      <c r="O405" s="96"/>
      <c r="P405" s="96"/>
      <c r="Q405" s="96"/>
      <c r="R405" s="100">
        <f t="shared" si="5"/>
        <v>1278.9440995715211</v>
      </c>
      <c r="S405" s="100"/>
      <c r="T405" s="100"/>
      <c r="U405" s="100"/>
      <c r="V405" s="96">
        <f t="shared" si="6"/>
        <v>1340.3408171760002</v>
      </c>
      <c r="W405" s="96"/>
      <c r="X405" s="96"/>
      <c r="Y405" s="96"/>
      <c r="Z405" s="96">
        <f t="shared" si="2"/>
        <v>0.95419320458072932</v>
      </c>
      <c r="AA405" s="96"/>
      <c r="AB405" s="96"/>
      <c r="AC405" s="97"/>
      <c r="AN405" s="53"/>
      <c r="AO405" s="53"/>
      <c r="AP405" s="53"/>
      <c r="AQ405" s="53"/>
    </row>
    <row r="406" spans="6:43" ht="15" customHeight="1" x14ac:dyDescent="0.2">
      <c r="F406" s="103">
        <f>IF(ISNUMBER(Inputs!I31),Inputs!I31,"")</f>
        <v>7.9248000000000003</v>
      </c>
      <c r="G406" s="96"/>
      <c r="H406" s="96"/>
      <c r="I406" s="96"/>
      <c r="J406" s="96">
        <f>IF(ISNUMBER(Inputs!L31),Inputs!L31,"")</f>
        <v>0.86359999999999992</v>
      </c>
      <c r="K406" s="96"/>
      <c r="L406" s="96"/>
      <c r="M406" s="96"/>
      <c r="N406" s="96">
        <f>IF(ISNUMBER(Inputs!O31),SUM((Inputs!O31+Inputs!R31+Inputs!U31)*J406/$W$152*$W$153/$W$154)/1000,"")</f>
        <v>103.42290685873145</v>
      </c>
      <c r="O406" s="96"/>
      <c r="P406" s="96"/>
      <c r="Q406" s="96"/>
      <c r="R406" s="100">
        <f t="shared" si="5"/>
        <v>1274.957106033756</v>
      </c>
      <c r="S406" s="100"/>
      <c r="T406" s="100"/>
      <c r="U406" s="100"/>
      <c r="V406" s="96">
        <f t="shared" si="6"/>
        <v>1340.3408171760002</v>
      </c>
      <c r="W406" s="96"/>
      <c r="X406" s="96"/>
      <c r="Y406" s="96"/>
      <c r="Z406" s="96">
        <f t="shared" si="2"/>
        <v>0.95121859283521415</v>
      </c>
      <c r="AA406" s="96"/>
      <c r="AB406" s="96"/>
      <c r="AC406" s="97"/>
      <c r="AN406" s="53"/>
      <c r="AO406" s="53"/>
      <c r="AP406" s="53"/>
      <c r="AQ406" s="53"/>
    </row>
    <row r="407" spans="6:43" ht="15" customHeight="1" x14ac:dyDescent="0.2">
      <c r="F407" s="103">
        <f>IF(ISNUMBER(Inputs!I32),Inputs!I32,"")</f>
        <v>8.2295999999999996</v>
      </c>
      <c r="G407" s="96"/>
      <c r="H407" s="96"/>
      <c r="I407" s="96"/>
      <c r="J407" s="96">
        <f>IF(ISNUMBER(Inputs!L32),Inputs!L32,"")</f>
        <v>0.88900000000000001</v>
      </c>
      <c r="K407" s="96"/>
      <c r="L407" s="96"/>
      <c r="M407" s="96"/>
      <c r="N407" s="96">
        <f>IF(ISNUMBER(Inputs!O32),SUM((Inputs!O32+Inputs!R32+Inputs!U32)*J407/$W$152*$W$153/$W$154)/1000,"")</f>
        <v>92.203334980329188</v>
      </c>
      <c r="O407" s="96"/>
      <c r="P407" s="96"/>
      <c r="Q407" s="96"/>
      <c r="R407" s="100">
        <f t="shared" si="5"/>
        <v>1263.7375341553536</v>
      </c>
      <c r="S407" s="100"/>
      <c r="T407" s="100"/>
      <c r="U407" s="100"/>
      <c r="V407" s="96">
        <f t="shared" si="6"/>
        <v>1340.3408171760002</v>
      </c>
      <c r="W407" s="96"/>
      <c r="X407" s="96"/>
      <c r="Y407" s="96"/>
      <c r="Z407" s="96">
        <f t="shared" si="2"/>
        <v>0.94284790701066312</v>
      </c>
      <c r="AA407" s="96"/>
      <c r="AB407" s="96"/>
      <c r="AC407" s="97"/>
      <c r="AN407" s="53"/>
      <c r="AO407" s="53"/>
      <c r="AP407" s="53"/>
      <c r="AQ407" s="53"/>
    </row>
    <row r="408" spans="6:43" ht="15" customHeight="1" x14ac:dyDescent="0.2">
      <c r="F408" s="103">
        <f>IF(ISNUMBER(Inputs!I33),Inputs!I33,"")</f>
        <v>8.5343999999999998</v>
      </c>
      <c r="G408" s="96"/>
      <c r="H408" s="96"/>
      <c r="I408" s="96"/>
      <c r="J408" s="96">
        <f>IF(ISNUMBER(Inputs!L33),Inputs!L33,"")</f>
        <v>0.91439999999999999</v>
      </c>
      <c r="K408" s="96"/>
      <c r="L408" s="96"/>
      <c r="M408" s="96"/>
      <c r="N408" s="96">
        <f>IF(ISNUMBER(Inputs!O33),SUM((Inputs!O33+Inputs!R33+Inputs!U33)*J408/$W$152*$W$153/$W$154)/1000,"")</f>
        <v>80.168824697348086</v>
      </c>
      <c r="O408" s="96"/>
      <c r="P408" s="96"/>
      <c r="Q408" s="96"/>
      <c r="R408" s="100">
        <f t="shared" si="5"/>
        <v>1251.7030238723726</v>
      </c>
      <c r="S408" s="100"/>
      <c r="T408" s="100"/>
      <c r="U408" s="100"/>
      <c r="V408" s="96">
        <f t="shared" si="6"/>
        <v>1340.3408171760002</v>
      </c>
      <c r="W408" s="96"/>
      <c r="X408" s="96"/>
      <c r="Y408" s="96"/>
      <c r="Z408" s="96">
        <f t="shared" si="2"/>
        <v>0.93386921283917845</v>
      </c>
      <c r="AA408" s="96"/>
      <c r="AB408" s="96"/>
      <c r="AC408" s="97"/>
      <c r="AN408" s="53"/>
      <c r="AO408" s="53"/>
      <c r="AP408" s="53"/>
      <c r="AQ408" s="53"/>
    </row>
    <row r="409" spans="6:43" ht="15" customHeight="1" x14ac:dyDescent="0.2">
      <c r="F409" s="103">
        <f>IF(ISNUMBER(Inputs!I34),Inputs!I34,"")</f>
        <v>8.8391999999999999</v>
      </c>
      <c r="G409" s="96"/>
      <c r="H409" s="96"/>
      <c r="I409" s="96"/>
      <c r="J409" s="96">
        <f>IF(ISNUMBER(Inputs!L34),Inputs!L34,"")</f>
        <v>0.93979999999999997</v>
      </c>
      <c r="K409" s="96"/>
      <c r="L409" s="96"/>
      <c r="M409" s="96"/>
      <c r="N409" s="96">
        <f>IF(ISNUMBER(Inputs!O34),SUM((Inputs!O34+Inputs!R34+Inputs!U34)*J409/$W$152*$W$153/$W$154)/1000,"")</f>
        <v>68.34730967920008</v>
      </c>
      <c r="O409" s="96"/>
      <c r="P409" s="96"/>
      <c r="Q409" s="96"/>
      <c r="R409" s="100">
        <f t="shared" si="5"/>
        <v>1239.8815088542246</v>
      </c>
      <c r="S409" s="100"/>
      <c r="T409" s="100"/>
      <c r="U409" s="100"/>
      <c r="V409" s="96">
        <f t="shared" si="6"/>
        <v>1340.3408171760002</v>
      </c>
      <c r="W409" s="96"/>
      <c r="X409" s="96"/>
      <c r="Y409" s="96"/>
      <c r="Z409" s="96">
        <f t="shared" si="2"/>
        <v>0.92504942994018791</v>
      </c>
      <c r="AA409" s="96"/>
      <c r="AB409" s="96"/>
      <c r="AC409" s="97"/>
      <c r="AN409" s="53"/>
      <c r="AO409" s="53"/>
      <c r="AP409" s="53"/>
      <c r="AQ409" s="53"/>
    </row>
    <row r="410" spans="6:43" ht="15" customHeight="1" x14ac:dyDescent="0.2">
      <c r="F410" s="103">
        <f>IF(ISNUMBER(Inputs!I35),Inputs!I35,"")</f>
        <v>9.1440000000000001</v>
      </c>
      <c r="G410" s="96"/>
      <c r="H410" s="96"/>
      <c r="I410" s="96"/>
      <c r="J410" s="96">
        <f>IF(ISNUMBER(Inputs!L35),Inputs!L35,"")</f>
        <v>0.96519999999999995</v>
      </c>
      <c r="K410" s="96"/>
      <c r="L410" s="96"/>
      <c r="M410" s="96"/>
      <c r="N410" s="96">
        <f>IF(ISNUMBER(Inputs!O35),SUM((Inputs!O35+Inputs!R35+Inputs!U35)*J410/$W$152*$W$153/$W$154)/1000,"")</f>
        <v>55.766420238603622</v>
      </c>
      <c r="O410" s="96"/>
      <c r="P410" s="96"/>
      <c r="Q410" s="96"/>
      <c r="R410" s="100">
        <f t="shared" si="5"/>
        <v>1227.3006194136281</v>
      </c>
      <c r="S410" s="100"/>
      <c r="T410" s="100"/>
      <c r="U410" s="100"/>
      <c r="V410" s="96">
        <f t="shared" si="6"/>
        <v>1340.3408171760002</v>
      </c>
      <c r="W410" s="96"/>
      <c r="X410" s="96"/>
      <c r="Y410" s="96"/>
      <c r="Z410" s="96">
        <f t="shared" si="2"/>
        <v>0.91566309380882727</v>
      </c>
      <c r="AA410" s="96"/>
      <c r="AB410" s="96"/>
      <c r="AC410" s="97"/>
      <c r="AN410" s="53"/>
      <c r="AO410" s="53"/>
      <c r="AP410" s="53"/>
      <c r="AQ410" s="53"/>
    </row>
    <row r="411" spans="6:43" ht="15" customHeight="1" x14ac:dyDescent="0.2">
      <c r="F411" s="103">
        <f>IF(ISNUMBER(Inputs!I36),Inputs!I36,"")</f>
        <v>9.4488000000000003</v>
      </c>
      <c r="G411" s="96"/>
      <c r="H411" s="96"/>
      <c r="I411" s="96"/>
      <c r="J411" s="96">
        <f>IF(ISNUMBER(Inputs!L36),Inputs!L36,"")</f>
        <v>0.99059999999999993</v>
      </c>
      <c r="K411" s="96"/>
      <c r="L411" s="96"/>
      <c r="M411" s="96"/>
      <c r="N411" s="96">
        <f>IF(ISNUMBER(Inputs!O36),SUM((Inputs!O36+Inputs!R36+Inputs!U36)*J411/$W$152*$W$153/$W$154)/1000,"")</f>
        <v>42.426156375558719</v>
      </c>
      <c r="O411" s="96"/>
      <c r="P411" s="96"/>
      <c r="Q411" s="96"/>
      <c r="R411" s="100">
        <f t="shared" si="5"/>
        <v>1213.9603555505832</v>
      </c>
      <c r="S411" s="100"/>
      <c r="T411" s="100"/>
      <c r="U411" s="100"/>
      <c r="V411" s="96">
        <f t="shared" si="6"/>
        <v>1340.3408171760002</v>
      </c>
      <c r="W411" s="96"/>
      <c r="X411" s="96"/>
      <c r="Y411" s="96"/>
      <c r="Z411" s="96">
        <f t="shared" si="2"/>
        <v>0.90571020444509676</v>
      </c>
      <c r="AA411" s="96"/>
      <c r="AB411" s="96"/>
      <c r="AC411" s="97"/>
      <c r="AN411" s="53"/>
      <c r="AO411" s="53"/>
      <c r="AP411" s="53"/>
      <c r="AQ411" s="53"/>
    </row>
    <row r="412" spans="6:43" ht="15" customHeight="1" x14ac:dyDescent="0.2">
      <c r="F412" s="103">
        <f>IF(ISNUMBER(Inputs!I37),Inputs!I37,"")</f>
        <v>9.7536000000000005</v>
      </c>
      <c r="G412" s="96"/>
      <c r="H412" s="96"/>
      <c r="I412" s="96"/>
      <c r="J412" s="96">
        <f>IF(ISNUMBER(Inputs!L37),Inputs!L37,"")</f>
        <v>1.016</v>
      </c>
      <c r="K412" s="96"/>
      <c r="L412" s="96"/>
      <c r="M412" s="96"/>
      <c r="N412" s="96">
        <f>IF(ISNUMBER(Inputs!O37),SUM((Inputs!O37+Inputs!R37+Inputs!U37)*J412/$W$152*$W$153/$W$154)/1000,"")</f>
        <v>35.412777944425862</v>
      </c>
      <c r="O412" s="96"/>
      <c r="P412" s="96"/>
      <c r="Q412" s="96"/>
      <c r="R412" s="100">
        <f t="shared" si="5"/>
        <v>1206.9469771194504</v>
      </c>
      <c r="S412" s="100"/>
      <c r="T412" s="100"/>
      <c r="U412" s="100"/>
      <c r="V412" s="96">
        <f t="shared" si="6"/>
        <v>1340.3408171760002</v>
      </c>
      <c r="W412" s="96"/>
      <c r="X412" s="96"/>
      <c r="Y412" s="96"/>
      <c r="Z412" s="96">
        <f t="shared" ref="Z412:Z434" si="7">IF(ISNUMBER(F412),R412/V412,"")</f>
        <v>0.90047767079301455</v>
      </c>
      <c r="AA412" s="96"/>
      <c r="AB412" s="96"/>
      <c r="AC412" s="97"/>
      <c r="AN412" s="53"/>
      <c r="AO412" s="53"/>
      <c r="AP412" s="53"/>
      <c r="AQ412" s="53"/>
    </row>
    <row r="413" spans="6:43" ht="15" customHeight="1" x14ac:dyDescent="0.2">
      <c r="F413" s="103" t="str">
        <f>IF(ISNUMBER(Inputs!I38),Inputs!I38,"")</f>
        <v/>
      </c>
      <c r="G413" s="96"/>
      <c r="H413" s="96"/>
      <c r="I413" s="96"/>
      <c r="J413" s="96" t="str">
        <f>IF(ISNUMBER(Inputs!L38),Inputs!L38,"")</f>
        <v/>
      </c>
      <c r="K413" s="96"/>
      <c r="L413" s="96"/>
      <c r="M413" s="96"/>
      <c r="N413" s="96" t="str">
        <f>IF(ISNUMBER(Inputs!O38),SUM((Inputs!O38+Inputs!R38+Inputs!U38)*J413/$W$152*$W$153/$W$154)/1000,"")</f>
        <v/>
      </c>
      <c r="O413" s="96"/>
      <c r="P413" s="96"/>
      <c r="Q413" s="96"/>
      <c r="R413" s="100" t="str">
        <f t="shared" si="5"/>
        <v/>
      </c>
      <c r="S413" s="100"/>
      <c r="T413" s="100"/>
      <c r="U413" s="100"/>
      <c r="V413" s="96" t="str">
        <f t="shared" si="6"/>
        <v/>
      </c>
      <c r="W413" s="96"/>
      <c r="X413" s="96"/>
      <c r="Y413" s="96"/>
      <c r="Z413" s="96" t="str">
        <f t="shared" si="7"/>
        <v/>
      </c>
      <c r="AA413" s="96"/>
      <c r="AB413" s="96"/>
      <c r="AC413" s="97"/>
      <c r="AN413" s="53"/>
      <c r="AO413" s="53"/>
      <c r="AP413" s="53"/>
      <c r="AQ413" s="53"/>
    </row>
    <row r="414" spans="6:43" ht="15" customHeight="1" x14ac:dyDescent="0.2">
      <c r="F414" s="103" t="str">
        <f>IF(ISNUMBER(Inputs!I39),Inputs!I39,"")</f>
        <v/>
      </c>
      <c r="G414" s="96"/>
      <c r="H414" s="96"/>
      <c r="I414" s="96"/>
      <c r="J414" s="96" t="str">
        <f>IF(ISNUMBER(Inputs!L39),Inputs!L39,"")</f>
        <v/>
      </c>
      <c r="K414" s="96"/>
      <c r="L414" s="96"/>
      <c r="M414" s="96"/>
      <c r="N414" s="96" t="str">
        <f>IF(ISNUMBER(Inputs!O39),SUM((Inputs!O39+Inputs!R39+Inputs!U39)*J414/$W$152*$W$153/$W$154)/1000,"")</f>
        <v/>
      </c>
      <c r="O414" s="96"/>
      <c r="P414" s="96"/>
      <c r="Q414" s="96"/>
      <c r="R414" s="100" t="str">
        <f t="shared" si="5"/>
        <v/>
      </c>
      <c r="S414" s="100"/>
      <c r="T414" s="100"/>
      <c r="U414" s="100"/>
      <c r="V414" s="96" t="str">
        <f t="shared" si="6"/>
        <v/>
      </c>
      <c r="W414" s="96"/>
      <c r="X414" s="96"/>
      <c r="Y414" s="96"/>
      <c r="Z414" s="96" t="str">
        <f t="shared" si="7"/>
        <v/>
      </c>
      <c r="AA414" s="96"/>
      <c r="AB414" s="96"/>
      <c r="AC414" s="97"/>
      <c r="AN414" s="53"/>
      <c r="AO414" s="53"/>
      <c r="AP414" s="53"/>
      <c r="AQ414" s="53"/>
    </row>
    <row r="415" spans="6:43" ht="15" customHeight="1" x14ac:dyDescent="0.2">
      <c r="F415" s="103" t="str">
        <f>IF(ISNUMBER(Inputs!I40),Inputs!I40,"")</f>
        <v/>
      </c>
      <c r="G415" s="96"/>
      <c r="H415" s="96"/>
      <c r="I415" s="96"/>
      <c r="J415" s="96" t="str">
        <f>IF(ISNUMBER(Inputs!L40),Inputs!L40,"")</f>
        <v/>
      </c>
      <c r="K415" s="96"/>
      <c r="L415" s="96"/>
      <c r="M415" s="96"/>
      <c r="N415" s="96" t="str">
        <f>IF(ISNUMBER(Inputs!O40),SUM((Inputs!O40+Inputs!R40+Inputs!U40)*J415/$W$152*$W$153/$W$154)/1000,"")</f>
        <v/>
      </c>
      <c r="O415" s="96"/>
      <c r="P415" s="96"/>
      <c r="Q415" s="96"/>
      <c r="R415" s="100" t="str">
        <f t="shared" si="5"/>
        <v/>
      </c>
      <c r="S415" s="100"/>
      <c r="T415" s="100"/>
      <c r="U415" s="100"/>
      <c r="V415" s="96" t="str">
        <f t="shared" si="6"/>
        <v/>
      </c>
      <c r="W415" s="96"/>
      <c r="X415" s="96"/>
      <c r="Y415" s="96"/>
      <c r="Z415" s="96" t="str">
        <f t="shared" si="7"/>
        <v/>
      </c>
      <c r="AA415" s="96"/>
      <c r="AB415" s="96"/>
      <c r="AC415" s="97"/>
      <c r="AN415" s="53"/>
      <c r="AO415" s="53"/>
      <c r="AP415" s="53"/>
      <c r="AQ415" s="53"/>
    </row>
    <row r="416" spans="6:43" ht="15" customHeight="1" x14ac:dyDescent="0.2">
      <c r="F416" s="103" t="str">
        <f>IF(ISNUMBER(Inputs!I41),Inputs!I41,"")</f>
        <v/>
      </c>
      <c r="G416" s="96"/>
      <c r="H416" s="96"/>
      <c r="I416" s="96"/>
      <c r="J416" s="96" t="str">
        <f>IF(ISNUMBER(Inputs!L41),Inputs!L41,"")</f>
        <v/>
      </c>
      <c r="K416" s="96"/>
      <c r="L416" s="96"/>
      <c r="M416" s="96"/>
      <c r="N416" s="96" t="str">
        <f>IF(ISNUMBER(Inputs!O41),SUM((Inputs!O41+Inputs!R41+Inputs!U41)*J416/$W$152*$W$153/$W$154)/1000,"")</f>
        <v/>
      </c>
      <c r="O416" s="96"/>
      <c r="P416" s="96"/>
      <c r="Q416" s="96"/>
      <c r="R416" s="100" t="str">
        <f t="shared" si="5"/>
        <v/>
      </c>
      <c r="S416" s="100"/>
      <c r="T416" s="100"/>
      <c r="U416" s="100"/>
      <c r="V416" s="96" t="str">
        <f t="shared" si="6"/>
        <v/>
      </c>
      <c r="W416" s="96"/>
      <c r="X416" s="96"/>
      <c r="Y416" s="96"/>
      <c r="Z416" s="96" t="str">
        <f t="shared" si="7"/>
        <v/>
      </c>
      <c r="AA416" s="96"/>
      <c r="AB416" s="96"/>
      <c r="AC416" s="97"/>
      <c r="AN416" s="53"/>
      <c r="AO416" s="53"/>
      <c r="AP416" s="53"/>
      <c r="AQ416" s="53"/>
    </row>
    <row r="417" spans="6:43" ht="15" customHeight="1" x14ac:dyDescent="0.2">
      <c r="F417" s="103" t="str">
        <f>IF(ISNUMBER(Inputs!I42),Inputs!I42,"")</f>
        <v/>
      </c>
      <c r="G417" s="96"/>
      <c r="H417" s="96"/>
      <c r="I417" s="96"/>
      <c r="J417" s="96" t="str">
        <f>IF(ISNUMBER(Inputs!L42),Inputs!L42,"")</f>
        <v/>
      </c>
      <c r="K417" s="96"/>
      <c r="L417" s="96"/>
      <c r="M417" s="96"/>
      <c r="N417" s="96" t="str">
        <f>IF(ISNUMBER(Inputs!O42),SUM((Inputs!O42+Inputs!R42+Inputs!U42)*J417/$W$152*$W$153/$W$154)/1000,"")</f>
        <v/>
      </c>
      <c r="O417" s="96"/>
      <c r="P417" s="96"/>
      <c r="Q417" s="96"/>
      <c r="R417" s="100" t="str">
        <f t="shared" si="5"/>
        <v/>
      </c>
      <c r="S417" s="100"/>
      <c r="T417" s="100"/>
      <c r="U417" s="100"/>
      <c r="V417" s="96" t="str">
        <f t="shared" si="6"/>
        <v/>
      </c>
      <c r="W417" s="96"/>
      <c r="X417" s="96"/>
      <c r="Y417" s="96"/>
      <c r="Z417" s="96" t="str">
        <f t="shared" si="7"/>
        <v/>
      </c>
      <c r="AA417" s="96"/>
      <c r="AB417" s="96"/>
      <c r="AC417" s="97"/>
      <c r="AN417" s="53"/>
      <c r="AO417" s="53"/>
      <c r="AP417" s="53"/>
      <c r="AQ417" s="53"/>
    </row>
    <row r="418" spans="6:43" ht="15" customHeight="1" x14ac:dyDescent="0.2">
      <c r="F418" s="103" t="str">
        <f>IF(ISNUMBER(Inputs!I43),Inputs!I43,"")</f>
        <v/>
      </c>
      <c r="G418" s="96"/>
      <c r="H418" s="96"/>
      <c r="I418" s="96"/>
      <c r="J418" s="96" t="str">
        <f>IF(ISNUMBER(Inputs!L43),Inputs!L43,"")</f>
        <v/>
      </c>
      <c r="K418" s="96"/>
      <c r="L418" s="96"/>
      <c r="M418" s="96"/>
      <c r="N418" s="96" t="str">
        <f>IF(ISNUMBER(Inputs!O43),SUM((Inputs!O43+Inputs!R43+Inputs!U43)*J418/$W$152*$W$153/$W$154)/1000,"")</f>
        <v/>
      </c>
      <c r="O418" s="96"/>
      <c r="P418" s="96"/>
      <c r="Q418" s="96"/>
      <c r="R418" s="100" t="str">
        <f t="shared" si="5"/>
        <v/>
      </c>
      <c r="S418" s="100"/>
      <c r="T418" s="100"/>
      <c r="U418" s="100"/>
      <c r="V418" s="96" t="str">
        <f t="shared" si="6"/>
        <v/>
      </c>
      <c r="W418" s="96"/>
      <c r="X418" s="96"/>
      <c r="Y418" s="96"/>
      <c r="Z418" s="96" t="str">
        <f t="shared" si="7"/>
        <v/>
      </c>
      <c r="AA418" s="96"/>
      <c r="AB418" s="96"/>
      <c r="AC418" s="97"/>
      <c r="AN418" s="53"/>
      <c r="AO418" s="53"/>
      <c r="AP418" s="53"/>
      <c r="AQ418" s="53"/>
    </row>
    <row r="419" spans="6:43" ht="15" customHeight="1" x14ac:dyDescent="0.2">
      <c r="F419" s="103" t="str">
        <f>IF(ISNUMBER(Inputs!I44),Inputs!I44,"")</f>
        <v/>
      </c>
      <c r="G419" s="96"/>
      <c r="H419" s="96"/>
      <c r="I419" s="96"/>
      <c r="J419" s="96" t="str">
        <f>IF(ISNUMBER(Inputs!L44),Inputs!L44,"")</f>
        <v/>
      </c>
      <c r="K419" s="96"/>
      <c r="L419" s="96"/>
      <c r="M419" s="96"/>
      <c r="N419" s="96" t="str">
        <f>IF(ISNUMBER(Inputs!O44),SUM((Inputs!O44+Inputs!R44+Inputs!U44)*J419/$W$152*$W$153/$W$154)/1000,"")</f>
        <v/>
      </c>
      <c r="O419" s="96"/>
      <c r="P419" s="96"/>
      <c r="Q419" s="96"/>
      <c r="R419" s="100" t="str">
        <f t="shared" si="5"/>
        <v/>
      </c>
      <c r="S419" s="100"/>
      <c r="T419" s="100"/>
      <c r="U419" s="100"/>
      <c r="V419" s="96" t="str">
        <f t="shared" si="6"/>
        <v/>
      </c>
      <c r="W419" s="96"/>
      <c r="X419" s="96"/>
      <c r="Y419" s="96"/>
      <c r="Z419" s="96" t="str">
        <f t="shared" si="7"/>
        <v/>
      </c>
      <c r="AA419" s="96"/>
      <c r="AB419" s="96"/>
      <c r="AC419" s="97"/>
      <c r="AN419" s="53"/>
      <c r="AO419" s="53"/>
      <c r="AP419" s="53"/>
      <c r="AQ419" s="53"/>
    </row>
    <row r="420" spans="6:43" ht="15" customHeight="1" x14ac:dyDescent="0.2">
      <c r="F420" s="103" t="str">
        <f>IF(ISNUMBER(Inputs!I45),Inputs!I45,"")</f>
        <v/>
      </c>
      <c r="G420" s="96"/>
      <c r="H420" s="96"/>
      <c r="I420" s="96"/>
      <c r="J420" s="96" t="str">
        <f>IF(ISNUMBER(Inputs!L45),Inputs!L45,"")</f>
        <v/>
      </c>
      <c r="K420" s="96"/>
      <c r="L420" s="96"/>
      <c r="M420" s="96"/>
      <c r="N420" s="96" t="str">
        <f>IF(ISNUMBER(Inputs!O45),SUM((Inputs!O45+Inputs!R45+Inputs!U45)*J420/$W$152*$W$153/$W$154)/1000,"")</f>
        <v/>
      </c>
      <c r="O420" s="96"/>
      <c r="P420" s="96"/>
      <c r="Q420" s="96"/>
      <c r="R420" s="100" t="str">
        <f>IF(ISNUMBER(F420),$W$326+N420,"")</f>
        <v/>
      </c>
      <c r="S420" s="100"/>
      <c r="T420" s="100"/>
      <c r="U420" s="100"/>
      <c r="V420" s="96" t="str">
        <f>IF(ISNUMBER(F420),0.8*$W$151,"")</f>
        <v/>
      </c>
      <c r="W420" s="96"/>
      <c r="X420" s="96"/>
      <c r="Y420" s="96"/>
      <c r="Z420" s="96" t="str">
        <f t="shared" si="7"/>
        <v/>
      </c>
      <c r="AA420" s="96"/>
      <c r="AB420" s="96"/>
      <c r="AC420" s="97"/>
      <c r="AN420" s="53"/>
      <c r="AO420" s="53"/>
      <c r="AP420" s="53"/>
      <c r="AQ420" s="53"/>
    </row>
    <row r="421" spans="6:43" ht="15" customHeight="1" x14ac:dyDescent="0.2">
      <c r="F421" s="103" t="str">
        <f>IF(ISNUMBER(Inputs!I46),Inputs!I46,"")</f>
        <v/>
      </c>
      <c r="G421" s="96"/>
      <c r="H421" s="96"/>
      <c r="I421" s="96"/>
      <c r="J421" s="96" t="str">
        <f>IF(ISNUMBER(Inputs!L46),Inputs!L46,"")</f>
        <v/>
      </c>
      <c r="K421" s="96"/>
      <c r="L421" s="96"/>
      <c r="M421" s="96"/>
      <c r="N421" s="96" t="str">
        <f>IF(ISNUMBER(Inputs!O46),SUM((Inputs!O46+Inputs!R46+Inputs!U46)*J421/$W$152*$W$153/$W$154)/1000,"")</f>
        <v/>
      </c>
      <c r="O421" s="96"/>
      <c r="P421" s="96"/>
      <c r="Q421" s="96"/>
      <c r="R421" s="100" t="str">
        <f t="shared" ref="R421:R434" si="8">IF(ISNUMBER(F421),$W$326+N421,"")</f>
        <v/>
      </c>
      <c r="S421" s="100"/>
      <c r="T421" s="100"/>
      <c r="U421" s="100"/>
      <c r="V421" s="96" t="str">
        <f t="shared" ref="V421:V434" si="9">IF(ISNUMBER(F421),0.8*$W$151,"")</f>
        <v/>
      </c>
      <c r="W421" s="96"/>
      <c r="X421" s="96"/>
      <c r="Y421" s="96"/>
      <c r="Z421" s="96" t="str">
        <f t="shared" si="7"/>
        <v/>
      </c>
      <c r="AA421" s="96"/>
      <c r="AB421" s="96"/>
      <c r="AC421" s="97"/>
      <c r="AN421" s="53"/>
      <c r="AO421" s="53"/>
      <c r="AP421" s="53"/>
      <c r="AQ421" s="53"/>
    </row>
    <row r="422" spans="6:43" ht="15" customHeight="1" x14ac:dyDescent="0.2">
      <c r="F422" s="103" t="str">
        <f>IF(ISNUMBER(Inputs!I47),Inputs!I47,"")</f>
        <v/>
      </c>
      <c r="G422" s="96"/>
      <c r="H422" s="96"/>
      <c r="I422" s="96"/>
      <c r="J422" s="96" t="str">
        <f>IF(ISNUMBER(Inputs!L47),Inputs!L47,"")</f>
        <v/>
      </c>
      <c r="K422" s="96"/>
      <c r="L422" s="96"/>
      <c r="M422" s="96"/>
      <c r="N422" s="96" t="str">
        <f>IF(ISNUMBER(Inputs!O47),SUM((Inputs!O47+Inputs!R47+Inputs!U47)*J422/$W$152*$W$153/$W$154)/1000,"")</f>
        <v/>
      </c>
      <c r="O422" s="96"/>
      <c r="P422" s="96"/>
      <c r="Q422" s="96"/>
      <c r="R422" s="100" t="str">
        <f t="shared" si="8"/>
        <v/>
      </c>
      <c r="S422" s="100"/>
      <c r="T422" s="100"/>
      <c r="U422" s="100"/>
      <c r="V422" s="96" t="str">
        <f t="shared" si="9"/>
        <v/>
      </c>
      <c r="W422" s="96"/>
      <c r="X422" s="96"/>
      <c r="Y422" s="96"/>
      <c r="Z422" s="96" t="str">
        <f t="shared" si="7"/>
        <v/>
      </c>
      <c r="AA422" s="96"/>
      <c r="AB422" s="96"/>
      <c r="AC422" s="97"/>
      <c r="AN422" s="53"/>
      <c r="AO422" s="53"/>
      <c r="AP422" s="53"/>
      <c r="AQ422" s="53"/>
    </row>
    <row r="423" spans="6:43" ht="15" customHeight="1" x14ac:dyDescent="0.2">
      <c r="F423" s="103" t="str">
        <f>IF(ISNUMBER(Inputs!I48),Inputs!I48,"")</f>
        <v/>
      </c>
      <c r="G423" s="96"/>
      <c r="H423" s="96"/>
      <c r="I423" s="96"/>
      <c r="J423" s="96" t="str">
        <f>IF(ISNUMBER(Inputs!L48),Inputs!L48,"")</f>
        <v/>
      </c>
      <c r="K423" s="96"/>
      <c r="L423" s="96"/>
      <c r="M423" s="96"/>
      <c r="N423" s="96" t="str">
        <f>IF(ISNUMBER(Inputs!O48),SUM((Inputs!O48+Inputs!R48+Inputs!U48)*J423/$W$152*$W$153/$W$154)/1000,"")</f>
        <v/>
      </c>
      <c r="O423" s="96"/>
      <c r="P423" s="96"/>
      <c r="Q423" s="96"/>
      <c r="R423" s="100" t="str">
        <f t="shared" si="8"/>
        <v/>
      </c>
      <c r="S423" s="100"/>
      <c r="T423" s="100"/>
      <c r="U423" s="100"/>
      <c r="V423" s="96" t="str">
        <f t="shared" si="9"/>
        <v/>
      </c>
      <c r="W423" s="96"/>
      <c r="X423" s="96"/>
      <c r="Y423" s="96"/>
      <c r="Z423" s="96" t="str">
        <f t="shared" si="7"/>
        <v/>
      </c>
      <c r="AA423" s="96"/>
      <c r="AB423" s="96"/>
      <c r="AC423" s="97"/>
      <c r="AN423" s="53"/>
      <c r="AO423" s="53"/>
      <c r="AP423" s="53"/>
      <c r="AQ423" s="53"/>
    </row>
    <row r="424" spans="6:43" ht="15" customHeight="1" x14ac:dyDescent="0.2">
      <c r="F424" s="103" t="str">
        <f>IF(ISNUMBER(Inputs!I49),Inputs!I49,"")</f>
        <v/>
      </c>
      <c r="G424" s="96"/>
      <c r="H424" s="96"/>
      <c r="I424" s="96"/>
      <c r="J424" s="96" t="str">
        <f>IF(ISNUMBER(Inputs!L49),Inputs!L49,"")</f>
        <v/>
      </c>
      <c r="K424" s="96"/>
      <c r="L424" s="96"/>
      <c r="M424" s="96"/>
      <c r="N424" s="96" t="str">
        <f>IF(ISNUMBER(Inputs!O49),SUM((Inputs!O49+Inputs!R49+Inputs!U49)*J424/$W$152*$W$153/$W$154)/1000,"")</f>
        <v/>
      </c>
      <c r="O424" s="96"/>
      <c r="P424" s="96"/>
      <c r="Q424" s="96"/>
      <c r="R424" s="100" t="str">
        <f t="shared" si="8"/>
        <v/>
      </c>
      <c r="S424" s="100"/>
      <c r="T424" s="100"/>
      <c r="U424" s="100"/>
      <c r="V424" s="96" t="str">
        <f t="shared" si="9"/>
        <v/>
      </c>
      <c r="W424" s="96"/>
      <c r="X424" s="96"/>
      <c r="Y424" s="96"/>
      <c r="Z424" s="96" t="str">
        <f t="shared" si="7"/>
        <v/>
      </c>
      <c r="AA424" s="96"/>
      <c r="AB424" s="96"/>
      <c r="AC424" s="97"/>
      <c r="AN424" s="53"/>
      <c r="AO424" s="53"/>
      <c r="AP424" s="53"/>
      <c r="AQ424" s="53"/>
    </row>
    <row r="425" spans="6:43" ht="15" customHeight="1" x14ac:dyDescent="0.2">
      <c r="F425" s="103" t="str">
        <f>IF(ISNUMBER(Inputs!I50),Inputs!I50,"")</f>
        <v/>
      </c>
      <c r="G425" s="96"/>
      <c r="H425" s="96"/>
      <c r="I425" s="96"/>
      <c r="J425" s="96" t="str">
        <f>IF(ISNUMBER(Inputs!L50),Inputs!L50,"")</f>
        <v/>
      </c>
      <c r="K425" s="96"/>
      <c r="L425" s="96"/>
      <c r="M425" s="96"/>
      <c r="N425" s="96" t="str">
        <f>IF(ISNUMBER(Inputs!O50),SUM((Inputs!O50+Inputs!R50+Inputs!U50)*J425/$W$152*$W$153/$W$154)/1000,"")</f>
        <v/>
      </c>
      <c r="O425" s="96"/>
      <c r="P425" s="96"/>
      <c r="Q425" s="96"/>
      <c r="R425" s="100" t="str">
        <f t="shared" si="8"/>
        <v/>
      </c>
      <c r="S425" s="100"/>
      <c r="T425" s="100"/>
      <c r="U425" s="100"/>
      <c r="V425" s="96" t="str">
        <f t="shared" si="9"/>
        <v/>
      </c>
      <c r="W425" s="96"/>
      <c r="X425" s="96"/>
      <c r="Y425" s="96"/>
      <c r="Z425" s="96" t="str">
        <f t="shared" si="7"/>
        <v/>
      </c>
      <c r="AA425" s="96"/>
      <c r="AB425" s="96"/>
      <c r="AC425" s="97"/>
      <c r="AN425" s="53"/>
      <c r="AO425" s="53"/>
      <c r="AP425" s="53"/>
      <c r="AQ425" s="53"/>
    </row>
    <row r="426" spans="6:43" ht="15" customHeight="1" x14ac:dyDescent="0.2">
      <c r="F426" s="103" t="str">
        <f>IF(ISNUMBER(Inputs!I51),Inputs!I51,"")</f>
        <v/>
      </c>
      <c r="G426" s="96"/>
      <c r="H426" s="96"/>
      <c r="I426" s="96"/>
      <c r="J426" s="96" t="str">
        <f>IF(ISNUMBER(Inputs!L51),Inputs!L51,"")</f>
        <v/>
      </c>
      <c r="K426" s="96"/>
      <c r="L426" s="96"/>
      <c r="M426" s="96"/>
      <c r="N426" s="96" t="str">
        <f>IF(ISNUMBER(Inputs!O51),SUM((Inputs!O51+Inputs!R51+Inputs!U51)*J426/$W$152*$W$153/$W$154)/1000,"")</f>
        <v/>
      </c>
      <c r="O426" s="96"/>
      <c r="P426" s="96"/>
      <c r="Q426" s="96"/>
      <c r="R426" s="100" t="str">
        <f t="shared" si="8"/>
        <v/>
      </c>
      <c r="S426" s="100"/>
      <c r="T426" s="100"/>
      <c r="U426" s="100"/>
      <c r="V426" s="96" t="str">
        <f t="shared" si="9"/>
        <v/>
      </c>
      <c r="W426" s="96"/>
      <c r="X426" s="96"/>
      <c r="Y426" s="96"/>
      <c r="Z426" s="96" t="str">
        <f t="shared" si="7"/>
        <v/>
      </c>
      <c r="AA426" s="96"/>
      <c r="AB426" s="96"/>
      <c r="AC426" s="97"/>
      <c r="AN426" s="53"/>
      <c r="AO426" s="53"/>
      <c r="AP426" s="53"/>
      <c r="AQ426" s="53"/>
    </row>
    <row r="427" spans="6:43" ht="15" customHeight="1" x14ac:dyDescent="0.2">
      <c r="F427" s="103" t="str">
        <f>IF(ISNUMBER(Inputs!I52),Inputs!I52,"")</f>
        <v/>
      </c>
      <c r="G427" s="96"/>
      <c r="H427" s="96"/>
      <c r="I427" s="96"/>
      <c r="J427" s="96" t="str">
        <f>IF(ISNUMBER(Inputs!L52),Inputs!L52,"")</f>
        <v/>
      </c>
      <c r="K427" s="96"/>
      <c r="L427" s="96"/>
      <c r="M427" s="96"/>
      <c r="N427" s="96" t="str">
        <f>IF(ISNUMBER(Inputs!O52),SUM((Inputs!O52+Inputs!R52+Inputs!U52)*J427/$W$152*$W$153/$W$154)/1000,"")</f>
        <v/>
      </c>
      <c r="O427" s="96"/>
      <c r="P427" s="96"/>
      <c r="Q427" s="96"/>
      <c r="R427" s="100" t="str">
        <f t="shared" si="8"/>
        <v/>
      </c>
      <c r="S427" s="100"/>
      <c r="T427" s="100"/>
      <c r="U427" s="100"/>
      <c r="V427" s="96" t="str">
        <f t="shared" si="9"/>
        <v/>
      </c>
      <c r="W427" s="96"/>
      <c r="X427" s="96"/>
      <c r="Y427" s="96"/>
      <c r="Z427" s="96" t="str">
        <f t="shared" si="7"/>
        <v/>
      </c>
      <c r="AA427" s="96"/>
      <c r="AB427" s="96"/>
      <c r="AC427" s="97"/>
      <c r="AN427" s="53"/>
      <c r="AO427" s="53"/>
      <c r="AP427" s="53"/>
      <c r="AQ427" s="53"/>
    </row>
    <row r="428" spans="6:43" ht="15" customHeight="1" x14ac:dyDescent="0.2">
      <c r="F428" s="103" t="str">
        <f>IF(ISNUMBER(Inputs!I53),Inputs!I53,"")</f>
        <v/>
      </c>
      <c r="G428" s="96"/>
      <c r="H428" s="96"/>
      <c r="I428" s="96"/>
      <c r="J428" s="96" t="str">
        <f>IF(ISNUMBER(Inputs!L53),Inputs!L53,"")</f>
        <v/>
      </c>
      <c r="K428" s="96"/>
      <c r="L428" s="96"/>
      <c r="M428" s="96"/>
      <c r="N428" s="96" t="str">
        <f>IF(ISNUMBER(Inputs!O53),SUM((Inputs!O53+Inputs!R53+Inputs!U53)*J428/$W$152*$W$153/$W$154)/1000,"")</f>
        <v/>
      </c>
      <c r="O428" s="96"/>
      <c r="P428" s="96"/>
      <c r="Q428" s="96"/>
      <c r="R428" s="100" t="str">
        <f t="shared" si="8"/>
        <v/>
      </c>
      <c r="S428" s="100"/>
      <c r="T428" s="100"/>
      <c r="U428" s="100"/>
      <c r="V428" s="96" t="str">
        <f t="shared" si="9"/>
        <v/>
      </c>
      <c r="W428" s="96"/>
      <c r="X428" s="96"/>
      <c r="Y428" s="96"/>
      <c r="Z428" s="96" t="str">
        <f t="shared" si="7"/>
        <v/>
      </c>
      <c r="AA428" s="96"/>
      <c r="AB428" s="96"/>
      <c r="AC428" s="97"/>
      <c r="AN428" s="53"/>
      <c r="AO428" s="53"/>
      <c r="AP428" s="53"/>
      <c r="AQ428" s="53"/>
    </row>
    <row r="429" spans="6:43" ht="15" customHeight="1" x14ac:dyDescent="0.2">
      <c r="F429" s="103" t="str">
        <f>IF(ISNUMBER(Inputs!I54),Inputs!I54,"")</f>
        <v/>
      </c>
      <c r="G429" s="96"/>
      <c r="H429" s="96"/>
      <c r="I429" s="96"/>
      <c r="J429" s="96" t="str">
        <f>IF(ISNUMBER(Inputs!L54),Inputs!L54,"")</f>
        <v/>
      </c>
      <c r="K429" s="96"/>
      <c r="L429" s="96"/>
      <c r="M429" s="96"/>
      <c r="N429" s="96" t="str">
        <f>IF(ISNUMBER(Inputs!O54),SUM((Inputs!O54+Inputs!R54+Inputs!U54)*J429/$W$152*$W$153/$W$154)/1000,"")</f>
        <v/>
      </c>
      <c r="O429" s="96"/>
      <c r="P429" s="96"/>
      <c r="Q429" s="96"/>
      <c r="R429" s="100" t="str">
        <f t="shared" si="8"/>
        <v/>
      </c>
      <c r="S429" s="100"/>
      <c r="T429" s="100"/>
      <c r="U429" s="100"/>
      <c r="V429" s="96" t="str">
        <f t="shared" si="9"/>
        <v/>
      </c>
      <c r="W429" s="96"/>
      <c r="X429" s="96"/>
      <c r="Y429" s="96"/>
      <c r="Z429" s="96" t="str">
        <f t="shared" si="7"/>
        <v/>
      </c>
      <c r="AA429" s="96"/>
      <c r="AB429" s="96"/>
      <c r="AC429" s="97"/>
      <c r="AN429" s="53"/>
      <c r="AO429" s="53"/>
      <c r="AP429" s="53"/>
      <c r="AQ429" s="53"/>
    </row>
    <row r="430" spans="6:43" ht="15" customHeight="1" x14ac:dyDescent="0.2">
      <c r="F430" s="103" t="str">
        <f>IF(ISNUMBER(Inputs!I55),Inputs!I55,"")</f>
        <v/>
      </c>
      <c r="G430" s="96"/>
      <c r="H430" s="96"/>
      <c r="I430" s="96"/>
      <c r="J430" s="96" t="str">
        <f>IF(ISNUMBER(Inputs!L55),Inputs!L55,"")</f>
        <v/>
      </c>
      <c r="K430" s="96"/>
      <c r="L430" s="96"/>
      <c r="M430" s="96"/>
      <c r="N430" s="96" t="str">
        <f>IF(ISNUMBER(Inputs!O55),SUM((Inputs!O55+Inputs!R55+Inputs!U55)*J430/$W$152*$W$153/$W$154)/1000,"")</f>
        <v/>
      </c>
      <c r="O430" s="96"/>
      <c r="P430" s="96"/>
      <c r="Q430" s="96"/>
      <c r="R430" s="100" t="str">
        <f t="shared" si="8"/>
        <v/>
      </c>
      <c r="S430" s="100"/>
      <c r="T430" s="100"/>
      <c r="U430" s="100"/>
      <c r="V430" s="96" t="str">
        <f t="shared" si="9"/>
        <v/>
      </c>
      <c r="W430" s="96"/>
      <c r="X430" s="96"/>
      <c r="Y430" s="96"/>
      <c r="Z430" s="96" t="str">
        <f t="shared" si="7"/>
        <v/>
      </c>
      <c r="AA430" s="96"/>
      <c r="AB430" s="96"/>
      <c r="AC430" s="97"/>
      <c r="AN430" s="53"/>
      <c r="AO430" s="53"/>
      <c r="AP430" s="53"/>
      <c r="AQ430" s="53"/>
    </row>
    <row r="431" spans="6:43" ht="15" customHeight="1" x14ac:dyDescent="0.2">
      <c r="F431" s="103" t="str">
        <f>IF(ISNUMBER(Inputs!I56),Inputs!I56,"")</f>
        <v/>
      </c>
      <c r="G431" s="96"/>
      <c r="H431" s="96"/>
      <c r="I431" s="96"/>
      <c r="J431" s="96" t="str">
        <f>IF(ISNUMBER(Inputs!L56),Inputs!L56,"")</f>
        <v/>
      </c>
      <c r="K431" s="96"/>
      <c r="L431" s="96"/>
      <c r="M431" s="96"/>
      <c r="N431" s="96" t="str">
        <f>IF(ISNUMBER(Inputs!O56),SUM((Inputs!O56+Inputs!R56+Inputs!U56)*J431/$W$152*$W$153/$W$154)/1000,"")</f>
        <v/>
      </c>
      <c r="O431" s="96"/>
      <c r="P431" s="96"/>
      <c r="Q431" s="96"/>
      <c r="R431" s="100" t="str">
        <f t="shared" si="8"/>
        <v/>
      </c>
      <c r="S431" s="100"/>
      <c r="T431" s="100"/>
      <c r="U431" s="100"/>
      <c r="V431" s="96" t="str">
        <f t="shared" si="9"/>
        <v/>
      </c>
      <c r="W431" s="96"/>
      <c r="X431" s="96"/>
      <c r="Y431" s="96"/>
      <c r="Z431" s="96" t="str">
        <f t="shared" si="7"/>
        <v/>
      </c>
      <c r="AA431" s="96"/>
      <c r="AB431" s="96"/>
      <c r="AC431" s="97"/>
      <c r="AN431" s="53"/>
      <c r="AO431" s="53"/>
      <c r="AP431" s="53"/>
      <c r="AQ431" s="53"/>
    </row>
    <row r="432" spans="6:43" ht="15" customHeight="1" x14ac:dyDescent="0.2">
      <c r="F432" s="103" t="str">
        <f>IF(ISNUMBER(Inputs!I57),Inputs!I57,"")</f>
        <v/>
      </c>
      <c r="G432" s="96"/>
      <c r="H432" s="96"/>
      <c r="I432" s="96"/>
      <c r="J432" s="96" t="str">
        <f>IF(ISNUMBER(Inputs!L57),Inputs!L57,"")</f>
        <v/>
      </c>
      <c r="K432" s="96"/>
      <c r="L432" s="96"/>
      <c r="M432" s="96"/>
      <c r="N432" s="96" t="str">
        <f>IF(ISNUMBER(Inputs!O57),SUM((Inputs!O57+Inputs!R57+Inputs!U57)*J432/$W$152*$W$153/$W$154)/1000,"")</f>
        <v/>
      </c>
      <c r="O432" s="96"/>
      <c r="P432" s="96"/>
      <c r="Q432" s="96"/>
      <c r="R432" s="100" t="str">
        <f t="shared" si="8"/>
        <v/>
      </c>
      <c r="S432" s="100"/>
      <c r="T432" s="100"/>
      <c r="U432" s="100"/>
      <c r="V432" s="96" t="str">
        <f t="shared" si="9"/>
        <v/>
      </c>
      <c r="W432" s="96"/>
      <c r="X432" s="96"/>
      <c r="Y432" s="96"/>
      <c r="Z432" s="96" t="str">
        <f t="shared" si="7"/>
        <v/>
      </c>
      <c r="AA432" s="96"/>
      <c r="AB432" s="96"/>
      <c r="AC432" s="97"/>
      <c r="AN432" s="53"/>
      <c r="AO432" s="53"/>
      <c r="AP432" s="53"/>
      <c r="AQ432" s="53"/>
    </row>
    <row r="433" spans="4:43" ht="15" customHeight="1" x14ac:dyDescent="0.2">
      <c r="F433" s="103" t="str">
        <f>IF(ISNUMBER(Inputs!I58),Inputs!I58,"")</f>
        <v/>
      </c>
      <c r="G433" s="96"/>
      <c r="H433" s="96"/>
      <c r="I433" s="96"/>
      <c r="J433" s="96" t="str">
        <f>IF(ISNUMBER(Inputs!L58),Inputs!L58,"")</f>
        <v/>
      </c>
      <c r="K433" s="96"/>
      <c r="L433" s="96"/>
      <c r="M433" s="96"/>
      <c r="N433" s="96" t="str">
        <f>IF(ISNUMBER(Inputs!O58),SUM((Inputs!O58+Inputs!R58+Inputs!U58)*J433/$W$152*$W$153/$W$154)/1000,"")</f>
        <v/>
      </c>
      <c r="O433" s="96"/>
      <c r="P433" s="96"/>
      <c r="Q433" s="96"/>
      <c r="R433" s="100" t="str">
        <f t="shared" si="8"/>
        <v/>
      </c>
      <c r="S433" s="100"/>
      <c r="T433" s="100"/>
      <c r="U433" s="100"/>
      <c r="V433" s="96" t="str">
        <f t="shared" si="9"/>
        <v/>
      </c>
      <c r="W433" s="96"/>
      <c r="X433" s="96"/>
      <c r="Y433" s="96"/>
      <c r="Z433" s="96" t="str">
        <f t="shared" si="7"/>
        <v/>
      </c>
      <c r="AA433" s="96"/>
      <c r="AB433" s="96"/>
      <c r="AC433" s="97"/>
      <c r="AN433" s="53"/>
      <c r="AO433" s="53"/>
      <c r="AP433" s="53"/>
      <c r="AQ433" s="53"/>
    </row>
    <row r="434" spans="4:43" ht="15" customHeight="1" x14ac:dyDescent="0.2">
      <c r="F434" s="102" t="str">
        <f>IF(ISNUMBER(Inputs!I59),Inputs!I59,"")</f>
        <v/>
      </c>
      <c r="G434" s="98"/>
      <c r="H434" s="98"/>
      <c r="I434" s="98"/>
      <c r="J434" s="98" t="str">
        <f>IF(ISNUMBER(Inputs!L59),Inputs!L59,"")</f>
        <v/>
      </c>
      <c r="K434" s="98"/>
      <c r="L434" s="98"/>
      <c r="M434" s="98"/>
      <c r="N434" s="98" t="str">
        <f>IF(ISNUMBER(Inputs!O59),SUM((Inputs!O59+Inputs!R59+Inputs!U59)*J434/$W$152*$W$153/$W$154)/1000,"")</f>
        <v/>
      </c>
      <c r="O434" s="98"/>
      <c r="P434" s="98"/>
      <c r="Q434" s="98"/>
      <c r="R434" s="101" t="str">
        <f t="shared" si="8"/>
        <v/>
      </c>
      <c r="S434" s="101"/>
      <c r="T434" s="101"/>
      <c r="U434" s="101"/>
      <c r="V434" s="98" t="str">
        <f t="shared" si="9"/>
        <v/>
      </c>
      <c r="W434" s="98"/>
      <c r="X434" s="98"/>
      <c r="Y434" s="98"/>
      <c r="Z434" s="98" t="str">
        <f t="shared" si="7"/>
        <v/>
      </c>
      <c r="AA434" s="98"/>
      <c r="AB434" s="98"/>
      <c r="AC434" s="99"/>
      <c r="AN434" s="53"/>
      <c r="AO434" s="53"/>
      <c r="AP434" s="53"/>
      <c r="AQ434" s="53"/>
    </row>
    <row r="435" spans="4:43" ht="15" customHeight="1" x14ac:dyDescent="0.2">
      <c r="Y435" s="42"/>
      <c r="Z435" s="42"/>
      <c r="AA435" s="42"/>
    </row>
    <row r="436" spans="4:43" ht="15" customHeight="1" x14ac:dyDescent="0.25">
      <c r="D436" s="21"/>
      <c r="E436" s="21"/>
      <c r="F436" s="21"/>
      <c r="G436" s="21"/>
      <c r="H436" s="21"/>
      <c r="I436" s="21"/>
      <c r="J436" s="21"/>
      <c r="K436" s="21"/>
      <c r="L436" s="21"/>
      <c r="M436" s="21"/>
      <c r="N436" s="21"/>
      <c r="O436" s="21"/>
      <c r="P436" s="21"/>
      <c r="Q436" s="21"/>
      <c r="R436" s="21"/>
      <c r="Y436" s="6"/>
      <c r="Z436" s="6"/>
      <c r="AA436" s="6"/>
    </row>
    <row r="437" spans="4:43" ht="15" customHeight="1" x14ac:dyDescent="0.25">
      <c r="D437" s="21"/>
      <c r="E437" s="21"/>
      <c r="F437" s="21"/>
      <c r="G437" s="21"/>
      <c r="H437" s="21"/>
      <c r="I437" s="21"/>
      <c r="J437" s="21"/>
      <c r="K437" s="21"/>
      <c r="L437" s="21"/>
      <c r="M437" s="21"/>
      <c r="N437" s="21"/>
      <c r="O437" s="21"/>
      <c r="P437" s="21"/>
      <c r="Q437" s="21"/>
      <c r="R437" s="21"/>
      <c r="Y437" s="6"/>
      <c r="Z437" s="6"/>
      <c r="AA437" s="6"/>
    </row>
    <row r="438" spans="4:43" ht="15" customHeight="1" x14ac:dyDescent="0.25">
      <c r="D438" s="21"/>
      <c r="E438" s="21"/>
      <c r="F438" s="21"/>
      <c r="G438" s="21"/>
      <c r="H438" s="21"/>
      <c r="I438" s="21"/>
      <c r="J438" s="21"/>
      <c r="K438" s="21"/>
      <c r="L438" s="21"/>
      <c r="M438" s="21"/>
      <c r="N438" s="21"/>
      <c r="O438" s="21"/>
      <c r="P438" s="21"/>
      <c r="Q438" s="21"/>
      <c r="R438" s="21"/>
      <c r="Y438" s="6"/>
      <c r="Z438" s="6"/>
      <c r="AA438" s="6"/>
    </row>
    <row r="439" spans="4:43" ht="15" customHeight="1" x14ac:dyDescent="0.25">
      <c r="D439" s="21"/>
      <c r="E439" s="21"/>
      <c r="F439" s="21"/>
      <c r="G439" s="21"/>
      <c r="H439" s="21"/>
      <c r="I439" s="21"/>
      <c r="J439" s="21"/>
      <c r="K439" s="21"/>
      <c r="L439" s="21"/>
      <c r="M439" s="21"/>
      <c r="N439" s="21"/>
      <c r="O439" s="21"/>
      <c r="P439" s="21"/>
      <c r="Q439" s="21"/>
      <c r="R439" s="21"/>
      <c r="Y439" s="6"/>
      <c r="Z439" s="6"/>
      <c r="AA439" s="6"/>
    </row>
    <row r="440" spans="4:43" ht="15" customHeight="1" x14ac:dyDescent="0.25">
      <c r="D440" s="21"/>
      <c r="E440" s="21"/>
      <c r="F440" s="21"/>
      <c r="G440" s="21"/>
      <c r="H440" s="21"/>
      <c r="I440" s="21"/>
      <c r="J440" s="21"/>
      <c r="K440" s="21"/>
      <c r="L440" s="21"/>
      <c r="M440" s="21"/>
      <c r="N440" s="21"/>
      <c r="O440" s="21"/>
      <c r="P440" s="21"/>
      <c r="Q440" s="21"/>
      <c r="R440" s="21"/>
      <c r="Y440" s="6"/>
      <c r="Z440" s="6"/>
      <c r="AA440" s="6"/>
    </row>
    <row r="441" spans="4:43" ht="15" customHeight="1" x14ac:dyDescent="0.25">
      <c r="D441" s="21"/>
      <c r="E441" s="21"/>
      <c r="F441" s="21"/>
      <c r="G441" s="21"/>
      <c r="H441" s="21"/>
      <c r="I441" s="21"/>
      <c r="J441" s="21"/>
      <c r="K441" s="21"/>
      <c r="L441" s="21"/>
      <c r="M441" s="21"/>
      <c r="N441" s="21"/>
      <c r="O441" s="21"/>
      <c r="P441" s="21"/>
      <c r="Q441" s="21"/>
      <c r="R441" s="21"/>
      <c r="Y441" s="6"/>
      <c r="Z441" s="6"/>
      <c r="AA441" s="6"/>
    </row>
    <row r="442" spans="4:43" ht="15" customHeight="1" x14ac:dyDescent="0.25">
      <c r="D442" s="21"/>
      <c r="E442" s="21"/>
      <c r="F442" s="21"/>
      <c r="G442" s="21"/>
      <c r="H442" s="21"/>
      <c r="I442" s="21"/>
      <c r="J442" s="21"/>
      <c r="K442" s="21"/>
      <c r="L442" s="21"/>
      <c r="M442" s="21"/>
      <c r="N442" s="21"/>
      <c r="O442" s="21"/>
      <c r="P442" s="21"/>
      <c r="Q442" s="21"/>
      <c r="R442" s="21"/>
      <c r="Y442" s="6"/>
      <c r="Z442" s="6"/>
      <c r="AA442" s="6"/>
    </row>
    <row r="443" spans="4:43" ht="15" customHeight="1" x14ac:dyDescent="0.25">
      <c r="D443" s="21"/>
      <c r="E443" s="21"/>
      <c r="F443" s="21"/>
      <c r="G443" s="21"/>
      <c r="H443" s="21"/>
      <c r="I443" s="21"/>
      <c r="J443" s="21"/>
      <c r="K443" s="21"/>
      <c r="L443" s="21"/>
      <c r="M443" s="21"/>
      <c r="N443" s="21"/>
      <c r="O443" s="21"/>
      <c r="P443" s="21"/>
      <c r="Q443" s="21"/>
      <c r="R443" s="21"/>
      <c r="Y443" s="6"/>
      <c r="Z443" s="6"/>
      <c r="AA443" s="6"/>
    </row>
    <row r="444" spans="4:43" ht="15" customHeight="1" x14ac:dyDescent="0.25">
      <c r="D444" s="21"/>
      <c r="E444" s="21"/>
      <c r="F444" s="21"/>
      <c r="G444" s="21"/>
      <c r="H444" s="21"/>
      <c r="I444" s="21"/>
      <c r="J444" s="21"/>
      <c r="K444" s="21"/>
      <c r="L444" s="21"/>
      <c r="M444" s="21"/>
      <c r="N444" s="21"/>
      <c r="O444" s="21"/>
      <c r="P444" s="21"/>
      <c r="Q444" s="21"/>
      <c r="R444" s="21"/>
      <c r="Y444" s="6"/>
      <c r="Z444" s="6"/>
      <c r="AA444" s="6"/>
    </row>
    <row r="445" spans="4:43" ht="15" customHeight="1" x14ac:dyDescent="0.25">
      <c r="D445" s="21"/>
      <c r="E445" s="21"/>
      <c r="F445" s="21"/>
      <c r="G445" s="21"/>
      <c r="H445" s="21"/>
      <c r="I445" s="21"/>
      <c r="J445" s="21"/>
      <c r="K445" s="21"/>
      <c r="L445" s="21"/>
      <c r="M445" s="21"/>
      <c r="N445" s="21"/>
      <c r="O445" s="21"/>
      <c r="P445" s="21"/>
      <c r="Q445" s="21"/>
      <c r="R445" s="21"/>
      <c r="Y445" s="6"/>
      <c r="Z445" s="6"/>
      <c r="AA445" s="6"/>
    </row>
    <row r="490" spans="3:30" ht="15" customHeight="1" x14ac:dyDescent="0.2">
      <c r="C490" s="196" t="str">
        <f>"Figure "&amp;Inputs!B3&amp;"-1:   Post-Tensioned Strand Stress Along Beam"</f>
        <v>Figure C.1-1:   Post-Tensioned Strand Stress Along Beam</v>
      </c>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row>
  </sheetData>
  <mergeCells count="489">
    <mergeCell ref="V408:Y408"/>
    <mergeCell ref="V409:Y409"/>
    <mergeCell ref="Z412:AC412"/>
    <mergeCell ref="Z413:AC413"/>
    <mergeCell ref="Z414:AC414"/>
    <mergeCell ref="Z415:AC415"/>
    <mergeCell ref="V433:Y433"/>
    <mergeCell ref="V434:Y434"/>
    <mergeCell ref="V416:Y416"/>
    <mergeCell ref="Z410:AC410"/>
    <mergeCell ref="Z411:AC411"/>
    <mergeCell ref="V410:Y410"/>
    <mergeCell ref="V411:Y411"/>
    <mergeCell ref="V412:Y412"/>
    <mergeCell ref="V413:Y413"/>
    <mergeCell ref="V414:Y414"/>
    <mergeCell ref="V415:Y415"/>
    <mergeCell ref="C490:AD490"/>
    <mergeCell ref="R425:U425"/>
    <mergeCell ref="R426:U426"/>
    <mergeCell ref="R414:U414"/>
    <mergeCell ref="R415:U415"/>
    <mergeCell ref="R416:U416"/>
    <mergeCell ref="R420:U420"/>
    <mergeCell ref="R421:U421"/>
    <mergeCell ref="R422:U422"/>
    <mergeCell ref="R423:U423"/>
    <mergeCell ref="R424:U424"/>
    <mergeCell ref="R417:U417"/>
    <mergeCell ref="R418:U418"/>
    <mergeCell ref="V417:Y417"/>
    <mergeCell ref="V418:Y418"/>
    <mergeCell ref="V419:Y419"/>
    <mergeCell ref="V429:Y429"/>
    <mergeCell ref="V430:Y430"/>
    <mergeCell ref="V431:Y431"/>
    <mergeCell ref="V432:Y432"/>
    <mergeCell ref="V420:Y420"/>
    <mergeCell ref="V421:Y421"/>
    <mergeCell ref="V422:Y422"/>
    <mergeCell ref="V423:Y423"/>
    <mergeCell ref="V424:Y424"/>
    <mergeCell ref="V425:Y425"/>
    <mergeCell ref="V426:Y426"/>
    <mergeCell ref="V427:Y427"/>
    <mergeCell ref="V428:Y428"/>
    <mergeCell ref="R419:U419"/>
    <mergeCell ref="V380:Y380"/>
    <mergeCell ref="Z376:AC379"/>
    <mergeCell ref="Z380:AC380"/>
    <mergeCell ref="J410:M410"/>
    <mergeCell ref="J411:M411"/>
    <mergeCell ref="J412:M412"/>
    <mergeCell ref="J413:M413"/>
    <mergeCell ref="J414:M414"/>
    <mergeCell ref="J415:M415"/>
    <mergeCell ref="N415:Q415"/>
    <mergeCell ref="V401:Y401"/>
    <mergeCell ref="V402:Y402"/>
    <mergeCell ref="V403:Y403"/>
    <mergeCell ref="V404:Y404"/>
    <mergeCell ref="V405:Y405"/>
    <mergeCell ref="V406:Y406"/>
    <mergeCell ref="V407:Y407"/>
    <mergeCell ref="Z402:AC402"/>
    <mergeCell ref="R398:U398"/>
    <mergeCell ref="R399:U399"/>
    <mergeCell ref="V398:Y398"/>
    <mergeCell ref="V399:Y399"/>
    <mergeCell ref="N405:Q405"/>
    <mergeCell ref="R402:U402"/>
    <mergeCell ref="G362:AC373"/>
    <mergeCell ref="G19:AC30"/>
    <mergeCell ref="C31:F32"/>
    <mergeCell ref="G31:AC32"/>
    <mergeCell ref="C52:F53"/>
    <mergeCell ref="G52:AC53"/>
    <mergeCell ref="C67:F68"/>
    <mergeCell ref="G67:AC68"/>
    <mergeCell ref="G69:AC79"/>
    <mergeCell ref="C80:F81"/>
    <mergeCell ref="G80:AC81"/>
    <mergeCell ref="G33:AC44"/>
    <mergeCell ref="G82:AC91"/>
    <mergeCell ref="C157:D158"/>
    <mergeCell ref="E157:AD158"/>
    <mergeCell ref="E177:AC180"/>
    <mergeCell ref="O262:Q262"/>
    <mergeCell ref="I262:K262"/>
    <mergeCell ref="C360:F361"/>
    <mergeCell ref="G360:AC361"/>
    <mergeCell ref="G198:AC204"/>
    <mergeCell ref="H205:AC206"/>
    <mergeCell ref="H207:AC208"/>
    <mergeCell ref="AH1:AK1"/>
    <mergeCell ref="AH2:AK2"/>
    <mergeCell ref="AH3:AK3"/>
    <mergeCell ref="AH4:AK4"/>
    <mergeCell ref="AH5:AK5"/>
    <mergeCell ref="U320:X320"/>
    <mergeCell ref="Y320:AB320"/>
    <mergeCell ref="J320:P320"/>
    <mergeCell ref="Q320:T320"/>
    <mergeCell ref="E96:AD97"/>
    <mergeCell ref="E98:AC100"/>
    <mergeCell ref="C101:F102"/>
    <mergeCell ref="G101:AC102"/>
    <mergeCell ref="E142:AC146"/>
    <mergeCell ref="C147:F148"/>
    <mergeCell ref="G147:AC148"/>
    <mergeCell ref="W240:Z240"/>
    <mergeCell ref="I292:AC293"/>
    <mergeCell ref="I244:AC251"/>
    <mergeCell ref="J318:P318"/>
    <mergeCell ref="Q318:T318"/>
    <mergeCell ref="U318:X318"/>
    <mergeCell ref="Y318:AB318"/>
    <mergeCell ref="G54:AC66"/>
    <mergeCell ref="J321:P321"/>
    <mergeCell ref="AE9:AK9"/>
    <mergeCell ref="A4:D4"/>
    <mergeCell ref="A5:D5"/>
    <mergeCell ref="A6:D6"/>
    <mergeCell ref="AD6:AG6"/>
    <mergeCell ref="AH6:AK6"/>
    <mergeCell ref="A8:AD9"/>
    <mergeCell ref="E10:AD11"/>
    <mergeCell ref="C10:D11"/>
    <mergeCell ref="C140:D141"/>
    <mergeCell ref="E140:AD141"/>
    <mergeCell ref="E12:AC16"/>
    <mergeCell ref="C17:F18"/>
    <mergeCell ref="G17:AC18"/>
    <mergeCell ref="C96:D97"/>
    <mergeCell ref="C196:F197"/>
    <mergeCell ref="G196:AC197"/>
    <mergeCell ref="C292:H293"/>
    <mergeCell ref="I294:AC304"/>
    <mergeCell ref="H209:AC210"/>
    <mergeCell ref="U283:AB286"/>
    <mergeCell ref="J322:P322"/>
    <mergeCell ref="Q322:T322"/>
    <mergeCell ref="U322:X322"/>
    <mergeCell ref="Q1:AC2"/>
    <mergeCell ref="E4:AC4"/>
    <mergeCell ref="E5:AC5"/>
    <mergeCell ref="W260:Z260"/>
    <mergeCell ref="W261:Z261"/>
    <mergeCell ref="W155:AC155"/>
    <mergeCell ref="W289:Z289"/>
    <mergeCell ref="W290:Z290"/>
    <mergeCell ref="E6:AC6"/>
    <mergeCell ref="U321:X321"/>
    <mergeCell ref="Y321:AB321"/>
    <mergeCell ref="Y322:AB322"/>
    <mergeCell ref="J319:P319"/>
    <mergeCell ref="G215:AC217"/>
    <mergeCell ref="C228:H229"/>
    <mergeCell ref="I228:AC229"/>
    <mergeCell ref="C242:H243"/>
    <mergeCell ref="I230:AC235"/>
    <mergeCell ref="W238:AA238"/>
    <mergeCell ref="H211:AC214"/>
    <mergeCell ref="C184:D185"/>
    <mergeCell ref="AD1:AG1"/>
    <mergeCell ref="AD2:AG2"/>
    <mergeCell ref="AD3:AG3"/>
    <mergeCell ref="AD4:AG4"/>
    <mergeCell ref="AD5:AG5"/>
    <mergeCell ref="W171:AC171"/>
    <mergeCell ref="T283:T286"/>
    <mergeCell ref="W288:Z288"/>
    <mergeCell ref="E159:AC169"/>
    <mergeCell ref="I274:AC281"/>
    <mergeCell ref="I242:AC243"/>
    <mergeCell ref="C272:H273"/>
    <mergeCell ref="I272:AC273"/>
    <mergeCell ref="W239:Z239"/>
    <mergeCell ref="E184:AD185"/>
    <mergeCell ref="E186:AC195"/>
    <mergeCell ref="R403:U403"/>
    <mergeCell ref="R404:U404"/>
    <mergeCell ref="F400:I400"/>
    <mergeCell ref="F401:I401"/>
    <mergeCell ref="R400:U400"/>
    <mergeCell ref="R401:U401"/>
    <mergeCell ref="V400:Y400"/>
    <mergeCell ref="F415:I415"/>
    <mergeCell ref="F416:I416"/>
    <mergeCell ref="J406:M406"/>
    <mergeCell ref="J407:M407"/>
    <mergeCell ref="J408:M408"/>
    <mergeCell ref="J409:M409"/>
    <mergeCell ref="F402:I402"/>
    <mergeCell ref="F403:I403"/>
    <mergeCell ref="F404:I404"/>
    <mergeCell ref="F405:I405"/>
    <mergeCell ref="J405:M405"/>
    <mergeCell ref="J416:M416"/>
    <mergeCell ref="F406:I406"/>
    <mergeCell ref="F407:I407"/>
    <mergeCell ref="F408:I408"/>
    <mergeCell ref="F409:I409"/>
    <mergeCell ref="F410:I410"/>
    <mergeCell ref="F411:I411"/>
    <mergeCell ref="F412:I412"/>
    <mergeCell ref="F413:I413"/>
    <mergeCell ref="F414:I414"/>
    <mergeCell ref="J418:M418"/>
    <mergeCell ref="J419:M419"/>
    <mergeCell ref="J420:M420"/>
    <mergeCell ref="N417:Q417"/>
    <mergeCell ref="N418:Q418"/>
    <mergeCell ref="N419:Q419"/>
    <mergeCell ref="N420:Q420"/>
    <mergeCell ref="N416:Q416"/>
    <mergeCell ref="N425:Q425"/>
    <mergeCell ref="N426:Q426"/>
    <mergeCell ref="F421:I421"/>
    <mergeCell ref="F422:I422"/>
    <mergeCell ref="F423:I423"/>
    <mergeCell ref="F424:I424"/>
    <mergeCell ref="J421:M421"/>
    <mergeCell ref="J422:M422"/>
    <mergeCell ref="J423:M423"/>
    <mergeCell ref="J424:M424"/>
    <mergeCell ref="N421:Q421"/>
    <mergeCell ref="N422:Q422"/>
    <mergeCell ref="N423:Q423"/>
    <mergeCell ref="N424:Q424"/>
    <mergeCell ref="F399:I399"/>
    <mergeCell ref="F429:I429"/>
    <mergeCell ref="F430:I430"/>
    <mergeCell ref="F431:I431"/>
    <mergeCell ref="F432:I432"/>
    <mergeCell ref="F433:I433"/>
    <mergeCell ref="J429:M429"/>
    <mergeCell ref="J430:M430"/>
    <mergeCell ref="J431:M431"/>
    <mergeCell ref="J432:M432"/>
    <mergeCell ref="J433:M433"/>
    <mergeCell ref="F425:I425"/>
    <mergeCell ref="F426:I426"/>
    <mergeCell ref="F427:I427"/>
    <mergeCell ref="F428:I428"/>
    <mergeCell ref="J425:M425"/>
    <mergeCell ref="J426:M426"/>
    <mergeCell ref="J427:M427"/>
    <mergeCell ref="J428:M428"/>
    <mergeCell ref="F417:I417"/>
    <mergeCell ref="F418:I418"/>
    <mergeCell ref="F419:I419"/>
    <mergeCell ref="F420:I420"/>
    <mergeCell ref="J417:M417"/>
    <mergeCell ref="F390:I390"/>
    <mergeCell ref="F391:I391"/>
    <mergeCell ref="F392:I392"/>
    <mergeCell ref="F393:I393"/>
    <mergeCell ref="F394:I394"/>
    <mergeCell ref="F395:I395"/>
    <mergeCell ref="F396:I396"/>
    <mergeCell ref="F397:I397"/>
    <mergeCell ref="F398:I398"/>
    <mergeCell ref="C373:D373"/>
    <mergeCell ref="J317:AB317"/>
    <mergeCell ref="W337:Z337"/>
    <mergeCell ref="W151:AC151"/>
    <mergeCell ref="W150:AC150"/>
    <mergeCell ref="AC283:AC286"/>
    <mergeCell ref="W152:AC152"/>
    <mergeCell ref="W153:AC153"/>
    <mergeCell ref="W154:AC154"/>
    <mergeCell ref="W175:AC175"/>
    <mergeCell ref="W174:AC174"/>
    <mergeCell ref="W173:AC173"/>
    <mergeCell ref="W172:AC172"/>
    <mergeCell ref="W255:Z255"/>
    <mergeCell ref="W256:Z256"/>
    <mergeCell ref="W257:Z257"/>
    <mergeCell ref="W259:Z259"/>
    <mergeCell ref="W326:AA326"/>
    <mergeCell ref="W335:Z335"/>
    <mergeCell ref="Q319:T319"/>
    <mergeCell ref="U319:X319"/>
    <mergeCell ref="Y319:AB319"/>
    <mergeCell ref="Q321:T321"/>
    <mergeCell ref="Y324:AB324"/>
    <mergeCell ref="J324:P324"/>
    <mergeCell ref="E347:AC348"/>
    <mergeCell ref="C332:H333"/>
    <mergeCell ref="I332:AC333"/>
    <mergeCell ref="W336:Z336"/>
    <mergeCell ref="W339:Z339"/>
    <mergeCell ref="W340:Z340"/>
    <mergeCell ref="W341:Z341"/>
    <mergeCell ref="W343:Z343"/>
    <mergeCell ref="W344:Z344"/>
    <mergeCell ref="W345:Z345"/>
    <mergeCell ref="I328:AC330"/>
    <mergeCell ref="J323:P323"/>
    <mergeCell ref="Q323:T323"/>
    <mergeCell ref="U323:X323"/>
    <mergeCell ref="Y323:AB323"/>
    <mergeCell ref="F375:AC375"/>
    <mergeCell ref="F382:I382"/>
    <mergeCell ref="F383:I383"/>
    <mergeCell ref="F384:I384"/>
    <mergeCell ref="F385:I385"/>
    <mergeCell ref="N376:Q379"/>
    <mergeCell ref="N380:Q380"/>
    <mergeCell ref="N381:Q381"/>
    <mergeCell ref="R381:U381"/>
    <mergeCell ref="V381:Y381"/>
    <mergeCell ref="Z381:AC381"/>
    <mergeCell ref="R376:U379"/>
    <mergeCell ref="R380:U380"/>
    <mergeCell ref="V376:Y379"/>
    <mergeCell ref="Z382:AC382"/>
    <mergeCell ref="Z383:AC383"/>
    <mergeCell ref="Z384:AC384"/>
    <mergeCell ref="Z385:AC385"/>
    <mergeCell ref="Q324:T324"/>
    <mergeCell ref="U324:X324"/>
    <mergeCell ref="F386:I386"/>
    <mergeCell ref="F387:I387"/>
    <mergeCell ref="F388:I388"/>
    <mergeCell ref="F389:I389"/>
    <mergeCell ref="F376:I379"/>
    <mergeCell ref="F380:I380"/>
    <mergeCell ref="F381:I381"/>
    <mergeCell ref="J376:M379"/>
    <mergeCell ref="J380:M380"/>
    <mergeCell ref="J381:M381"/>
    <mergeCell ref="F434:I434"/>
    <mergeCell ref="J382:M382"/>
    <mergeCell ref="J383:M383"/>
    <mergeCell ref="J384:M384"/>
    <mergeCell ref="J385:M385"/>
    <mergeCell ref="J386:M386"/>
    <mergeCell ref="J387:M387"/>
    <mergeCell ref="J388:M388"/>
    <mergeCell ref="J389:M389"/>
    <mergeCell ref="J390:M390"/>
    <mergeCell ref="J391:M391"/>
    <mergeCell ref="J392:M392"/>
    <mergeCell ref="J393:M393"/>
    <mergeCell ref="J394:M394"/>
    <mergeCell ref="J395:M395"/>
    <mergeCell ref="J396:M396"/>
    <mergeCell ref="J397:M397"/>
    <mergeCell ref="J398:M398"/>
    <mergeCell ref="J399:M399"/>
    <mergeCell ref="J400:M400"/>
    <mergeCell ref="J401:M401"/>
    <mergeCell ref="J402:M402"/>
    <mergeCell ref="J403:M403"/>
    <mergeCell ref="J404:M404"/>
    <mergeCell ref="J434:M434"/>
    <mergeCell ref="N382:Q382"/>
    <mergeCell ref="N383:Q383"/>
    <mergeCell ref="N384:Q384"/>
    <mergeCell ref="N385:Q385"/>
    <mergeCell ref="N386:Q386"/>
    <mergeCell ref="N387:Q387"/>
    <mergeCell ref="N388:Q388"/>
    <mergeCell ref="N389:Q389"/>
    <mergeCell ref="N390:Q390"/>
    <mergeCell ref="N391:Q391"/>
    <mergeCell ref="N392:Q392"/>
    <mergeCell ref="N393:Q393"/>
    <mergeCell ref="N394:Q394"/>
    <mergeCell ref="N395:Q395"/>
    <mergeCell ref="N396:Q396"/>
    <mergeCell ref="N397:Q397"/>
    <mergeCell ref="N398:Q398"/>
    <mergeCell ref="N399:Q399"/>
    <mergeCell ref="N400:Q400"/>
    <mergeCell ref="N401:Q401"/>
    <mergeCell ref="N402:Q402"/>
    <mergeCell ref="N403:Q403"/>
    <mergeCell ref="N404:Q404"/>
    <mergeCell ref="N406:Q406"/>
    <mergeCell ref="N407:Q407"/>
    <mergeCell ref="N408:Q408"/>
    <mergeCell ref="N409:Q409"/>
    <mergeCell ref="N410:Q410"/>
    <mergeCell ref="N411:Q411"/>
    <mergeCell ref="N412:Q412"/>
    <mergeCell ref="N413:Q413"/>
    <mergeCell ref="N414:Q414"/>
    <mergeCell ref="N427:Q427"/>
    <mergeCell ref="N428:Q428"/>
    <mergeCell ref="N429:Q429"/>
    <mergeCell ref="N430:Q430"/>
    <mergeCell ref="N431:Q431"/>
    <mergeCell ref="N432:Q432"/>
    <mergeCell ref="N433:Q433"/>
    <mergeCell ref="N434:Q434"/>
    <mergeCell ref="R382:U382"/>
    <mergeCell ref="R383:U383"/>
    <mergeCell ref="R384:U384"/>
    <mergeCell ref="R385:U385"/>
    <mergeCell ref="R386:U386"/>
    <mergeCell ref="R387:U387"/>
    <mergeCell ref="R388:U388"/>
    <mergeCell ref="R389:U389"/>
    <mergeCell ref="R390:U390"/>
    <mergeCell ref="R391:U391"/>
    <mergeCell ref="R392:U392"/>
    <mergeCell ref="R393:U393"/>
    <mergeCell ref="R394:U394"/>
    <mergeCell ref="R395:U395"/>
    <mergeCell ref="R396:U396"/>
    <mergeCell ref="R397:U397"/>
    <mergeCell ref="R405:U405"/>
    <mergeCell ref="R406:U406"/>
    <mergeCell ref="R407:U407"/>
    <mergeCell ref="R408:U408"/>
    <mergeCell ref="R409:U409"/>
    <mergeCell ref="R410:U410"/>
    <mergeCell ref="R411:U411"/>
    <mergeCell ref="R412:U412"/>
    <mergeCell ref="R413:U413"/>
    <mergeCell ref="R427:U427"/>
    <mergeCell ref="R428:U428"/>
    <mergeCell ref="R429:U429"/>
    <mergeCell ref="R430:U430"/>
    <mergeCell ref="R431:U431"/>
    <mergeCell ref="R432:U432"/>
    <mergeCell ref="R433:U433"/>
    <mergeCell ref="R434:U434"/>
    <mergeCell ref="V382:Y382"/>
    <mergeCell ref="V383:Y383"/>
    <mergeCell ref="V384:Y384"/>
    <mergeCell ref="V385:Y385"/>
    <mergeCell ref="V386:Y386"/>
    <mergeCell ref="V387:Y387"/>
    <mergeCell ref="V388:Y388"/>
    <mergeCell ref="V389:Y389"/>
    <mergeCell ref="V390:Y390"/>
    <mergeCell ref="V391:Y391"/>
    <mergeCell ref="V392:Y392"/>
    <mergeCell ref="V393:Y393"/>
    <mergeCell ref="V394:Y394"/>
    <mergeCell ref="V395:Y395"/>
    <mergeCell ref="V396:Y396"/>
    <mergeCell ref="V397:Y397"/>
    <mergeCell ref="Z386:AC386"/>
    <mergeCell ref="Z387:AC387"/>
    <mergeCell ref="Z388:AC388"/>
    <mergeCell ref="Z389:AC389"/>
    <mergeCell ref="Z390:AC390"/>
    <mergeCell ref="Z391:AC391"/>
    <mergeCell ref="Z392:AC392"/>
    <mergeCell ref="Z393:AC393"/>
    <mergeCell ref="Z394:AC394"/>
    <mergeCell ref="Z395:AC395"/>
    <mergeCell ref="Z396:AC396"/>
    <mergeCell ref="Z397:AC397"/>
    <mergeCell ref="Z398:AC398"/>
    <mergeCell ref="Z399:AC399"/>
    <mergeCell ref="Z400:AC400"/>
    <mergeCell ref="Z401:AC401"/>
    <mergeCell ref="Z403:AC403"/>
    <mergeCell ref="Z404:AC404"/>
    <mergeCell ref="Z405:AC405"/>
    <mergeCell ref="Z406:AC406"/>
    <mergeCell ref="Z407:AC407"/>
    <mergeCell ref="Z408:AC408"/>
    <mergeCell ref="Z409:AC409"/>
    <mergeCell ref="Z429:AC429"/>
    <mergeCell ref="Z430:AC430"/>
    <mergeCell ref="Z431:AC431"/>
    <mergeCell ref="Z432:AC432"/>
    <mergeCell ref="Z416:AC416"/>
    <mergeCell ref="Z417:AC417"/>
    <mergeCell ref="Z418:AC418"/>
    <mergeCell ref="Z419:AC419"/>
    <mergeCell ref="Z433:AC433"/>
    <mergeCell ref="Z434:AC434"/>
    <mergeCell ref="Z420:AC420"/>
    <mergeCell ref="Z421:AC421"/>
    <mergeCell ref="Z422:AC422"/>
    <mergeCell ref="Z423:AC423"/>
    <mergeCell ref="Z424:AC424"/>
    <mergeCell ref="Z425:AC425"/>
    <mergeCell ref="Z426:AC426"/>
    <mergeCell ref="Z427:AC427"/>
    <mergeCell ref="Z428:AC428"/>
  </mergeCells>
  <conditionalFormatting sqref="F380:M434">
    <cfRule type="notContainsBlanks" dxfId="5" priority="119">
      <formula>LEN(TRIM(F380))&gt;0</formula>
    </cfRule>
  </conditionalFormatting>
  <conditionalFormatting sqref="F381:AC434">
    <cfRule type="notContainsBlanks" dxfId="4" priority="118">
      <formula>LEN(TRIM(F381))&gt;0</formula>
    </cfRule>
  </conditionalFormatting>
  <conditionalFormatting sqref="Y435:AA445">
    <cfRule type="cellIs" dxfId="3" priority="116" operator="between">
      <formula>1.00000000001</formula>
      <formula>9999999999999</formula>
    </cfRule>
    <cfRule type="cellIs" dxfId="2" priority="117" operator="between">
      <formula>0.000001</formula>
      <formula>0.9999999</formula>
    </cfRule>
  </conditionalFormatting>
  <conditionalFormatting sqref="Z380:Z434">
    <cfRule type="cellIs" dxfId="1" priority="112" operator="between">
      <formula>1.0000000001</formula>
      <formula>999999999999999</formula>
    </cfRule>
    <cfRule type="cellIs" dxfId="0" priority="115" operator="between">
      <formula>0.000001</formula>
      <formula>0.9999999</formula>
    </cfRule>
  </conditionalFormatting>
  <printOptions horizontalCentered="1"/>
  <pageMargins left="0.25" right="0.25" top="0.3" bottom="0.3" header="0.3"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4">
    <tabColor rgb="FFC00000"/>
  </sheetPr>
  <dimension ref="A1:B33"/>
  <sheetViews>
    <sheetView workbookViewId="0">
      <selection activeCell="C16" sqref="C16"/>
    </sheetView>
  </sheetViews>
  <sheetFormatPr defaultRowHeight="15" x14ac:dyDescent="0.25"/>
  <cols>
    <col min="1" max="1" width="55.140625" bestFit="1" customWidth="1"/>
  </cols>
  <sheetData>
    <row r="1" spans="1:2" x14ac:dyDescent="0.25">
      <c r="A1" s="18" t="s">
        <v>170</v>
      </c>
      <c r="B1" s="1"/>
    </row>
    <row r="2" spans="1:2" x14ac:dyDescent="0.25">
      <c r="A2" s="1"/>
      <c r="B2" s="1"/>
    </row>
    <row r="3" spans="1:2" x14ac:dyDescent="0.25">
      <c r="A3" s="18" t="str">
        <f>Calculation!I228</f>
        <v>Stress Prior to Anchorage Seating</v>
      </c>
      <c r="B3" s="21"/>
    </row>
    <row r="4" spans="1:2" x14ac:dyDescent="0.25">
      <c r="A4" s="8" t="str">
        <f>Calculation!V238</f>
        <v>Eff. Post-Tensioning Stress at Jacking End, fpe.jack =</v>
      </c>
      <c r="B4" s="68">
        <f>Calculation!W238</f>
        <v>1298.8218987795051</v>
      </c>
    </row>
    <row r="5" spans="1:2" x14ac:dyDescent="0.25">
      <c r="A5" s="8" t="str">
        <f>Calculation!V239</f>
        <v>Stress Limit Prior to Anchorage Seating, fps.jack.lim =</v>
      </c>
      <c r="B5" s="68">
        <f>Calculation!W239</f>
        <v>1507.883419323</v>
      </c>
    </row>
    <row r="6" spans="1:2" x14ac:dyDescent="0.25">
      <c r="A6" s="8" t="str">
        <f>Calculation!V240</f>
        <v>Stress Limit Prior to Seating DC Ratio, DC =</v>
      </c>
      <c r="B6" s="23">
        <f>Calculation!W240</f>
        <v>0.8613543209876543</v>
      </c>
    </row>
    <row r="7" spans="1:2" x14ac:dyDescent="0.25">
      <c r="A7" s="1"/>
      <c r="B7" s="1"/>
    </row>
    <row r="8" spans="1:2" x14ac:dyDescent="0.25">
      <c r="A8" s="1">
        <f>[1]Calculation!I234</f>
        <v>0</v>
      </c>
      <c r="B8" s="1"/>
    </row>
    <row r="9" spans="1:2" x14ac:dyDescent="0.25">
      <c r="A9" s="8" t="str">
        <f>Calculation!V255</f>
        <v>Eff. Post-Tensioning Stress at Jacking End, fpe.jack =</v>
      </c>
      <c r="B9" s="68">
        <f>Calculation!W255</f>
        <v>1298.8218987795051</v>
      </c>
    </row>
    <row r="10" spans="1:2" x14ac:dyDescent="0.25">
      <c r="A10" s="8" t="str">
        <f>Calculation!V256</f>
        <v>Stress Limit Immediately After Anchorage Set, fpu.jack.lim =</v>
      </c>
      <c r="B10" s="68">
        <f>Calculation!W256</f>
        <v>1303.10912781</v>
      </c>
    </row>
    <row r="11" spans="1:2" x14ac:dyDescent="0.25">
      <c r="A11" s="8" t="str">
        <f>Calculation!V257</f>
        <v>Stress Limit Immediately After Anchorage Set DC Ratio, DC =</v>
      </c>
      <c r="B11" s="23">
        <f>Calculation!W257</f>
        <v>0.99670999999999998</v>
      </c>
    </row>
    <row r="12" spans="1:2" x14ac:dyDescent="0.25">
      <c r="A12" s="1"/>
      <c r="B12" s="1"/>
    </row>
    <row r="13" spans="1:2" x14ac:dyDescent="0.25">
      <c r="A13" s="8" t="str">
        <f>Calculation!V259</f>
        <v>Eff. Post-Tensioning Stress at Non-Jacking End, fpe.njack =</v>
      </c>
      <c r="B13" s="68">
        <f>Calculation!W259</f>
        <v>1216.2569044414636</v>
      </c>
    </row>
    <row r="14" spans="1:2" x14ac:dyDescent="0.25">
      <c r="A14" s="8" t="str">
        <f>Calculation!V260</f>
        <v>Stress Limit Immediately After Anchorage Set, fpu.jack.lim =</v>
      </c>
      <c r="B14" s="68">
        <f>Calculation!W260</f>
        <v>1303.10912781</v>
      </c>
    </row>
    <row r="15" spans="1:2" x14ac:dyDescent="0.25">
      <c r="A15" s="8" t="str">
        <f>Calculation!V261</f>
        <v>Stress Limit Immediately After Anchorage Set DC Ratio, DC =</v>
      </c>
      <c r="B15" s="23">
        <f>Calculation!W261</f>
        <v>0.93335000000000001</v>
      </c>
    </row>
    <row r="16" spans="1:2" x14ac:dyDescent="0.25">
      <c r="A16" s="1"/>
      <c r="B16" s="1"/>
    </row>
    <row r="17" spans="1:2" x14ac:dyDescent="0.25">
      <c r="A17" s="1" t="str">
        <f>Calculation!I272</f>
        <v>Stress Prior to Anchorage Seating</v>
      </c>
      <c r="B17" s="1"/>
    </row>
    <row r="18" spans="1:2" x14ac:dyDescent="0.25">
      <c r="A18" s="8" t="str">
        <f>Calculation!V288</f>
        <v>Eff. Post-Tensioning Stress at End Seating, fpe.seat =</v>
      </c>
      <c r="B18" s="68">
        <f>Calculation!W288</f>
        <v>1366.049298683223</v>
      </c>
    </row>
    <row r="19" spans="1:2" x14ac:dyDescent="0.25">
      <c r="A19" s="8" t="str">
        <f>Calculation!V289</f>
        <v>Stress Limit Prior to Anchorage Seating, fpu.seat.lim =</v>
      </c>
      <c r="B19" s="68">
        <f>Calculation!W289</f>
        <v>1377.5725065419999</v>
      </c>
    </row>
    <row r="20" spans="1:2" x14ac:dyDescent="0.25">
      <c r="A20" s="8" t="str">
        <f>Calculation!V290</f>
        <v>Stress Limit Prior to Anchorage Seating DC Ratio, DC =</v>
      </c>
      <c r="B20" s="23">
        <f>Calculation!W290</f>
        <v>0.99163513513513524</v>
      </c>
    </row>
    <row r="21" spans="1:2" x14ac:dyDescent="0.25">
      <c r="A21" s="1"/>
      <c r="B21" s="21"/>
    </row>
    <row r="22" spans="1:2" x14ac:dyDescent="0.25">
      <c r="A22" s="1">
        <f>[1]Calculation!I276</f>
        <v>0</v>
      </c>
      <c r="B22" s="1"/>
    </row>
    <row r="23" spans="1:2" x14ac:dyDescent="0.25">
      <c r="A23" s="8" t="str">
        <f>Calculation!V335</f>
        <v>Eff. Post-Tensioning Stress at End of Span in Service, fpe.service.L1 =</v>
      </c>
      <c r="B23" s="68">
        <f>Calculation!W335</f>
        <v>1211.792156361219</v>
      </c>
    </row>
    <row r="24" spans="1:2" x14ac:dyDescent="0.25">
      <c r="A24" s="8" t="str">
        <f>Calculation!V336</f>
        <v>Stress Limit Prior to Anchorage Seating in Service, fpu.service.lim =</v>
      </c>
      <c r="B24" s="68">
        <f>Calculation!W336</f>
        <v>1340.340817176</v>
      </c>
    </row>
    <row r="25" spans="1:2" x14ac:dyDescent="0.25">
      <c r="A25" s="8" t="str">
        <f>Calculation!V337</f>
        <v>Stress Limit Prior to Anchorage Seating in Service DC Ratio, DC =</v>
      </c>
      <c r="B25" s="23">
        <f>Calculation!W337</f>
        <v>0.90409255678296541</v>
      </c>
    </row>
    <row r="26" spans="1:2" x14ac:dyDescent="0.25">
      <c r="A26" s="8"/>
      <c r="B26" s="8"/>
    </row>
    <row r="27" spans="1:2" x14ac:dyDescent="0.25">
      <c r="A27" s="8" t="str">
        <f>Calculation!V339</f>
        <v>Eff. Post-Tensioning Stress at Start of Span in Service, fpe.service.L2 =</v>
      </c>
      <c r="B27" s="68">
        <f>Calculation!W339</f>
        <v>1206.9469771194504</v>
      </c>
    </row>
    <row r="28" spans="1:2" x14ac:dyDescent="0.25">
      <c r="A28" s="8" t="str">
        <f>Calculation!V340</f>
        <v>Stress Limit Prior to Anchorage Seating in Service, fpu.service.lim =</v>
      </c>
      <c r="B28" s="68">
        <f>Calculation!W340</f>
        <v>1340.340817176</v>
      </c>
    </row>
    <row r="29" spans="1:2" x14ac:dyDescent="0.25">
      <c r="A29" s="8" t="str">
        <f>Calculation!V341</f>
        <v>Stress Limit Prior to Anchorage Seating in Service DC Ratio, DC =</v>
      </c>
      <c r="B29" s="23">
        <f>Calculation!W341</f>
        <v>0.90047767079301466</v>
      </c>
    </row>
    <row r="30" spans="1:2" x14ac:dyDescent="0.25">
      <c r="A30" s="8"/>
      <c r="B30" s="8"/>
    </row>
    <row r="31" spans="1:2" x14ac:dyDescent="0.25">
      <c r="A31" s="8" t="str">
        <f>Calculation!V343</f>
        <v>Eff. Post-Tensioning Stress at Midspan in Service, fpe.service.L3=</v>
      </c>
      <c r="B31" s="68">
        <f>Calculation!W343</f>
        <v>1295.9952965877799</v>
      </c>
    </row>
    <row r="32" spans="1:2" x14ac:dyDescent="0.25">
      <c r="A32" s="8" t="str">
        <f>Calculation!V344</f>
        <v>Stress Limit Prior to Anchorage Seating in Service, fpu.service.lim =</v>
      </c>
      <c r="B32" s="68">
        <f>Calculation!W344</f>
        <v>1340.340817176</v>
      </c>
    </row>
    <row r="33" spans="1:2" x14ac:dyDescent="0.25">
      <c r="A33" s="8" t="str">
        <f>Calculation!V345</f>
        <v>Stress Limit Prior to Anchorage Seating in Service DC Ratio, DC =</v>
      </c>
      <c r="B33" s="23">
        <f>Calculation!W345</f>
        <v>0.96691474286245127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8"/>
  <sheetViews>
    <sheetView zoomScale="175" zoomScaleNormal="175" workbookViewId="0">
      <selection activeCell="B12" sqref="B12"/>
    </sheetView>
  </sheetViews>
  <sheetFormatPr defaultColWidth="9.140625" defaultRowHeight="12" x14ac:dyDescent="0.2"/>
  <cols>
    <col min="1" max="1" width="9.140625" style="4"/>
    <col min="2" max="16384" width="9.140625" style="1"/>
  </cols>
  <sheetData>
    <row r="1" spans="1:2" x14ac:dyDescent="0.2">
      <c r="A1" s="4" t="s">
        <v>10</v>
      </c>
    </row>
    <row r="2" spans="1:2" x14ac:dyDescent="0.2">
      <c r="A2" s="4">
        <v>1</v>
      </c>
      <c r="B2" s="1" t="s">
        <v>11</v>
      </c>
    </row>
    <row r="3" spans="1:2" x14ac:dyDescent="0.2">
      <c r="A3" s="4">
        <v>2</v>
      </c>
      <c r="B3" s="1" t="s">
        <v>12</v>
      </c>
    </row>
    <row r="4" spans="1:2" x14ac:dyDescent="0.2">
      <c r="A4" s="4">
        <v>3</v>
      </c>
      <c r="B4" s="1" t="s">
        <v>13</v>
      </c>
    </row>
    <row r="5" spans="1:2" x14ac:dyDescent="0.2">
      <c r="A5" s="4">
        <v>4</v>
      </c>
      <c r="B5" s="1" t="s">
        <v>14</v>
      </c>
    </row>
    <row r="6" spans="1:2" x14ac:dyDescent="0.2">
      <c r="A6" s="4">
        <v>5</v>
      </c>
      <c r="B6" s="1" t="s">
        <v>15</v>
      </c>
    </row>
    <row r="7" spans="1:2" x14ac:dyDescent="0.2">
      <c r="A7" s="4">
        <v>6</v>
      </c>
      <c r="B7" s="1" t="s">
        <v>16</v>
      </c>
    </row>
    <row r="8" spans="1:2" x14ac:dyDescent="0.2">
      <c r="A8" s="4">
        <v>7</v>
      </c>
      <c r="B8" s="1" t="s">
        <v>33</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D4DDEA-49B8-45A4-A47F-B580E4062F8B}">
  <ds:schemaRefs>
    <ds:schemaRef ds:uri="http://schemas.microsoft.com/office/2006/metadata/properties"/>
    <ds:schemaRef ds:uri="http://schemas.microsoft.com/office/infopath/2007/PartnerControls"/>
    <ds:schemaRef ds:uri="0f960519-5caf-4de2-84f0-f6d58d38b748"/>
    <ds:schemaRef ds:uri="c3a8d1a6-0167-4884-a8b2-3d72a0b3493c"/>
  </ds:schemaRefs>
</ds:datastoreItem>
</file>

<file path=customXml/itemProps2.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73CA07-0DA4-4597-B98F-F9970D277B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Guidance and Scope</vt:lpstr>
      <vt:lpstr>Inputs</vt:lpstr>
      <vt:lpstr>Calculation</vt:lpstr>
      <vt:lpstr>Outputs</vt:lpstr>
      <vt:lpstr>Template Notes</vt:lpstr>
      <vt:lpstr>f.b</vt:lpstr>
      <vt:lpstr>M.b</vt:lpstr>
      <vt:lpstr>M.LL</vt:lpstr>
      <vt:lpstr>M.ws</vt:lpstr>
      <vt:lpstr>Calculation!Print_Titles</vt:lpstr>
      <vt:lpstr>TEMPLATE_VERSION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2026-04-23T07:59:04Z</cp:lastPrinted>
  <dcterms:created xsi:type="dcterms:W3CDTF">2020-09-18T21:42:55Z</dcterms:created>
  <dcterms:modified xsi:type="dcterms:W3CDTF">2026-04-27T13:50:41Z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