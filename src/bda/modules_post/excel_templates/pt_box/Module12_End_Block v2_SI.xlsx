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372" documentId="8_{C96485AD-04C2-492D-83ED-357066535723}" xr6:coauthVersionLast="47" xr6:coauthVersionMax="47" xr10:uidLastSave="{D84A9CA4-E4CC-4D89-9DB1-D5786E5299CD}"/>
  <bookViews>
    <workbookView xWindow="-120" yWindow="-120" windowWidth="29040" windowHeight="17520" tabRatio="771" activeTab="1" xr2:uid="{E7D07648-CE90-4923-BA5E-0E2E5FD3C650}"/>
  </bookViews>
  <sheets>
    <sheet name="Guidance and Scope" sheetId="11" r:id="rId1"/>
    <sheet name="Inputs" sheetId="9" r:id="rId2"/>
    <sheet name="Calculation" sheetId="7" r:id="rId3"/>
    <sheet name="Outputs" sheetId="10" r:id="rId4"/>
    <sheet name="Template Notes" sheetId="12" r:id="rId5"/>
  </sheets>
  <definedNames>
    <definedName name="A.ps">Calculation!$X$245</definedName>
    <definedName name="b.s">Calculation!$X$270</definedName>
    <definedName name="b.w1">Calculation!$X$147</definedName>
    <definedName name="b.w2">Calculation!$X$148</definedName>
    <definedName name="BS.F11">Calculation!$X$310</definedName>
    <definedName name="BS.F12">Calculation!$X$311</definedName>
    <definedName name="BS.F13">Calculation!$X$312</definedName>
    <definedName name="BS.F14">Calculation!$X$313</definedName>
    <definedName name="c.g._bot">Calculation!$X$327</definedName>
    <definedName name="c.g._spc_tendons">Calculation!$X$326</definedName>
    <definedName name="c.g._top">Calculation!$X$328</definedName>
    <definedName name="c.g.comb.">Calculation!$X$306</definedName>
    <definedName name="c.g.ext.f">Calculation!$X$292</definedName>
    <definedName name="c.g.int.f">Calculation!$X$297</definedName>
    <definedName name="c.g.overhang">Calculation!$X$287</definedName>
    <definedName name="c.g.web">Calculation!$X$302</definedName>
    <definedName name="CG.BS">Calculation!$X$314</definedName>
    <definedName name="CG.OFW">Calculation!$X$307</definedName>
    <definedName name="CG.TS">Calculation!$X$282</definedName>
    <definedName name="Comb.F">Calculation!$X$305</definedName>
    <definedName name="D.bs">Calculation!$X$152</definedName>
    <definedName name="e.genzone">Calculation!$X$261</definedName>
    <definedName name="EF.F5">Calculation!$X$290</definedName>
    <definedName name="EF.F6">Calculation!$X$291</definedName>
    <definedName name="f.s">Calculation!$X$268</definedName>
    <definedName name="fci">Calculation!$X$456</definedName>
    <definedName name="First_Tie_TOP_SLAB">IF(Calculation!XEE1="","-",  ( SUMPRODUCT(Calculation!XEZ$556:INDEX(Calculation!XEZ:XEZ,ROW()-1), Calculation!XEU$556:INDEX(Calculation!XEU:XEU,ROW()-1) - INDEX(Calculation!XEU:XEU,ROW())) - Calculation!XEU$509 * SUMPRODUCT(Calculation!XEJ$556:INDEX(Calculation!XEJ:XEJ,ROW()-1) - INDEX(Calculation!XEU:XEU,ROW()))  ) / (Calculation!XER$556 - Calculation!XEG$556) )</definedName>
    <definedName name="fpu">Calculation!$X$246</definedName>
    <definedName name="fy">Calculation!$X$428</definedName>
    <definedName name="H.bs">Calculation!$X$158</definedName>
    <definedName name="H.o">Calculation!$X$159</definedName>
    <definedName name="H.ts">Calculation!$X$156</definedName>
    <definedName name="Hf.ext">Calculation!$X$277</definedName>
    <definedName name="Hf.int">Calculation!$X$275</definedName>
    <definedName name="Hw.ext">Calculation!$X$674</definedName>
    <definedName name="IF.F7">Calculation!$X$295</definedName>
    <definedName name="IF.F8">Calculation!$X$296</definedName>
    <definedName name="J.5_y_Coord">Calculation!$X$322</definedName>
    <definedName name="J.7_x_Coord">Calculation!$X$332</definedName>
    <definedName name="J.7_y_Coord">Calculation!$X$331</definedName>
    <definedName name="J.8_x_Coord">Calculation!$X$336</definedName>
    <definedName name="J.8_y_Coord">Calculation!$X$335</definedName>
    <definedName name="L.A">Calculation!$X$149</definedName>
    <definedName name="L.anchorage">Calculation!$X$206</definedName>
    <definedName name="L.b">Calculation!$X$151</definedName>
    <definedName name="L.bf">Calculation!$X$157</definedName>
    <definedName name="L.bs">Calculation!$X$153</definedName>
    <definedName name="L.CL1">Calculation!$X$144</definedName>
    <definedName name="L.CL2">Calculation!$X$145</definedName>
    <definedName name="L.ds">Calculation!$X$155</definedName>
    <definedName name="L.F">Calculation!$X$146</definedName>
    <definedName name="L.Gz">Calculation!$X$214</definedName>
    <definedName name="L.Lz">Calculation!$X$207</definedName>
    <definedName name="L.oh">Calculation!$X$160</definedName>
    <definedName name="L.s">Calculation!$X$154</definedName>
    <definedName name="m.I">Calculation!$X$222</definedName>
    <definedName name="N.B">Calculation!$X$432</definedName>
    <definedName name="N.B1">Calculation!$X$762</definedName>
    <definedName name="N.BT">Calculation!$X$251</definedName>
    <definedName name="N.S">Calculation!$X$442</definedName>
    <definedName name="N.T1">Calculation!$X$586</definedName>
    <definedName name="N.T2">Calculation!$X$595</definedName>
    <definedName name="N.TT">Calculation!$X$250</definedName>
    <definedName name="N.web">Calculation!$X$143</definedName>
    <definedName name="No.bundle.Bott">Calculation!$X$763</definedName>
    <definedName name="No.bundle.Top.first">Calculation!$X$587</definedName>
    <definedName name="No.bundle.Top.second">Calculation!$X$596</definedName>
    <definedName name="No.str">Calculation!$X$244</definedName>
    <definedName name="O.F3">Calculation!$X$285</definedName>
    <definedName name="O.F4">Calculation!$X$286</definedName>
    <definedName name="o.s">Calculation!$X$267</definedName>
    <definedName name="P.uh">Calculation!$X$248</definedName>
    <definedName name="P.uh_b">Calculation!$X$254</definedName>
    <definedName name="P.uh_t">Calculation!$X$252</definedName>
    <definedName name="P.uv">Calculation!$X$249</definedName>
    <definedName name="P.uv_b">Calculation!$X$255</definedName>
    <definedName name="P.uv_t">Calculation!$X$253</definedName>
    <definedName name="_xlnm.Print_Titles" localSheetId="2">Calculation!$1:$7</definedName>
    <definedName name="Pu">Calculation!$X$247</definedName>
    <definedName name="S.a">Calculation!$X$221</definedName>
    <definedName name="S.h">Calculation!$X$212</definedName>
    <definedName name="s.s">Calculation!$X$266</definedName>
    <definedName name="S.w">Calculation!$X$213</definedName>
    <definedName name="Second_Tie_TOP_SLAB" comment="Second Tie Forces calculation">IF(   INDEX(Calculation!$H:$H, ROW()+1)="",   Calculation!$AM$556,   IF(     INDEX(Calculation!$H:$H, ROW())="",     "-",     (       -(          SUMPRODUCT(            Calculation!$AC$556:INDEX(Calculation!$AC:$AC, IF(ROW()+1=162,161,ROW())),            Calculation!$X$556:INDEX(Calculation!$X:$X,   IF(ROW()+1=162,161,ROW()))          )          - IF(ROW()+1=162, INDEX(Calculation!$M:$M,161), INDEX(Calculation!$M:$M, ROW())) *            SUM(Calculation!$AC$556:INDEX(Calculation!$AC:$AC, IF(ROW()+1=162,161,ROW())))        )       + IF(           ROW()+1&gt;=163,           Calculation!$X$509*(             SUM(Calculation!$M$556:INDEX(Calculation!$M:$M, IF(ROW()+1=162,161,ROW())))             - IF(ROW()+1=162, INDEX(Calculation!$M:$M,161), INDEX(Calculation!$M:$M, ROW())) *               ROWS(Calculation!$M$556:INDEX(Calculation!$M:$M, IF(ROW()+1=162,161,ROW())))           ),           0         )     )     / IF(         ROW()+1=162,         INDEX(Calculation!$U:$U,161) - INDEX(Calculation!$J:$J,161),         INDEX(Calculation!$U:$U,ROW()+1) - INDEX(Calculation!$J:$J,ROW()+1)       )   ) )</definedName>
    <definedName name="t.s">Calculation!$X$265</definedName>
    <definedName name="tb.s">Calculation!$X$269</definedName>
    <definedName name="TEMPLATE_VERSION">Inputs!$P$1</definedName>
    <definedName name="TS.F1">Calculation!$X$280</definedName>
    <definedName name="TS.F2">Calculation!$X$281</definedName>
    <definedName name="TW.fw">Calculation!$X$220</definedName>
    <definedName name="W.F10">Calculation!$X$301</definedName>
    <definedName name="W.F9">Calculation!$X$300</definedName>
    <definedName name="W.fw">Calculation!$X$219</definedName>
    <definedName name="W.lz">Calculation!$X$205</definedName>
    <definedName name="Wf.int">Calculation!$X$276</definedName>
    <definedName name="X.B">Calculation!$X$431</definedName>
    <definedName name="X.B1">Calculation!$X$761</definedName>
    <definedName name="X.S">Calculation!$X$441</definedName>
    <definedName name="X.T1">Calculation!$X$585</definedName>
    <definedName name="X.T2">Calculation!$X$594</definedName>
    <definedName name="y.b2.9">Calculation!$X$199</definedName>
    <definedName name="y.bf">Calculation!$X$223</definedName>
    <definedName name="y.tf">Calculation!$X$224</definedName>
    <definedName name="α">Calculation!$X$200</definedName>
    <definedName name="β">Calculation!$X$150</definedName>
    <definedName name="ϕ.t">Calculation!$X$427</definedName>
    <definedName name="ϕc">Calculation!$X$457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2" i="7" l="1"/>
  <c r="H753" i="7"/>
  <c r="X598" i="7" a="1"/>
  <c r="X598" i="7" s="1"/>
  <c r="X589" i="7" a="1"/>
  <c r="X589" i="7" s="1"/>
  <c r="H557" i="7"/>
  <c r="H558" i="7"/>
  <c r="H559" i="7"/>
  <c r="H560" i="7"/>
  <c r="H561" i="7"/>
  <c r="H562" i="7"/>
  <c r="H563" i="7"/>
  <c r="H564" i="7"/>
  <c r="H565" i="7"/>
  <c r="H566" i="7"/>
  <c r="H567" i="7"/>
  <c r="H568" i="7"/>
  <c r="H569" i="7"/>
  <c r="H570" i="7"/>
  <c r="H571" i="7"/>
  <c r="H572" i="7"/>
  <c r="H573" i="7"/>
  <c r="H574" i="7"/>
  <c r="H575" i="7"/>
  <c r="H576" i="7"/>
  <c r="H556" i="7"/>
  <c r="X442" i="7"/>
  <c r="X434" i="7" a="1"/>
  <c r="X434" i="7" s="1"/>
  <c r="B37" i="9"/>
  <c r="X245" i="7"/>
  <c r="B36" i="9"/>
  <c r="X765" i="7" a="1"/>
  <c r="X765" i="7" s="1"/>
  <c r="B26" i="10" s="1"/>
  <c r="X444" i="7" a="1"/>
  <c r="X444" i="7" s="1"/>
  <c r="X556" i="7"/>
  <c r="U556" i="7"/>
  <c r="G505" i="7"/>
  <c r="O16" i="9" l="1"/>
  <c r="O15" i="9"/>
  <c r="O14" i="9"/>
  <c r="O13" i="9"/>
  <c r="O12" i="9"/>
  <c r="I18" i="9"/>
  <c r="I17" i="9"/>
  <c r="I16" i="9"/>
  <c r="I15" i="9"/>
  <c r="I14" i="9"/>
  <c r="I13" i="9"/>
  <c r="I12" i="9"/>
  <c r="B56" i="9"/>
  <c r="B50" i="9"/>
  <c r="B45" i="9"/>
  <c r="B43" i="9"/>
  <c r="B42" i="9"/>
  <c r="B41" i="9"/>
  <c r="B40" i="9"/>
  <c r="B33" i="9"/>
  <c r="B34" i="9"/>
  <c r="B32" i="9"/>
  <c r="B31" i="9"/>
  <c r="B30" i="9"/>
  <c r="B29" i="9"/>
  <c r="B28" i="9"/>
  <c r="B27" i="9"/>
  <c r="B26" i="9"/>
  <c r="B25" i="9"/>
  <c r="B24" i="9"/>
  <c r="B23" i="9"/>
  <c r="B22" i="9"/>
  <c r="B21" i="9"/>
  <c r="B20" i="9"/>
  <c r="B19" i="9"/>
  <c r="B16" i="9"/>
  <c r="B18" i="9"/>
  <c r="B15" i="9"/>
  <c r="B14" i="9"/>
  <c r="B13" i="9"/>
  <c r="B12" i="9"/>
  <c r="B11" i="9"/>
  <c r="AX739" i="7" l="1"/>
  <c r="BB724" i="7"/>
  <c r="H666" i="7"/>
  <c r="AX562" i="7"/>
  <c r="BB549" i="7"/>
  <c r="G512" i="7"/>
  <c r="H534" i="7"/>
  <c r="AV465" i="7"/>
  <c r="I391" i="7"/>
  <c r="AU335" i="7"/>
  <c r="BA178" i="7"/>
  <c r="BA164" i="7"/>
  <c r="AE178" i="7"/>
  <c r="E178" i="7"/>
  <c r="H552" i="7"/>
  <c r="X275" i="7" l="1"/>
  <c r="AE159" i="7"/>
  <c r="X212" i="7"/>
  <c r="A8" i="7"/>
  <c r="P563" i="7" l="1"/>
  <c r="P564" i="7"/>
  <c r="P565" i="7"/>
  <c r="P566" i="7"/>
  <c r="P567" i="7"/>
  <c r="P568" i="7"/>
  <c r="P569" i="7"/>
  <c r="P570" i="7"/>
  <c r="P571" i="7"/>
  <c r="P572" i="7"/>
  <c r="P573" i="7"/>
  <c r="P574" i="7"/>
  <c r="P575" i="7"/>
  <c r="P576" i="7"/>
  <c r="X587" i="7" l="1"/>
  <c r="X596" i="7"/>
  <c r="X763" i="7"/>
  <c r="E6" i="7"/>
  <c r="X277" i="7"/>
  <c r="BW5" i="7"/>
  <c r="BW3" i="7"/>
  <c r="J753" i="7"/>
  <c r="P561" i="7"/>
  <c r="P560" i="7"/>
  <c r="P559" i="7"/>
  <c r="P558" i="7"/>
  <c r="P557" i="7"/>
  <c r="P556" i="7"/>
  <c r="P562" i="7"/>
  <c r="X762" i="7"/>
  <c r="X761" i="7"/>
  <c r="X674" i="7"/>
  <c r="X595" i="7"/>
  <c r="X594" i="7"/>
  <c r="X586" i="7"/>
  <c r="X585" i="7"/>
  <c r="X457" i="7"/>
  <c r="X456" i="7"/>
  <c r="X441" i="7"/>
  <c r="B7" i="10" s="1"/>
  <c r="X432" i="7"/>
  <c r="X431" i="7"/>
  <c r="X428" i="7"/>
  <c r="X427" i="7"/>
  <c r="X326" i="7"/>
  <c r="X276" i="7"/>
  <c r="X251" i="7"/>
  <c r="X250" i="7"/>
  <c r="X246" i="7"/>
  <c r="X247" i="7" s="1"/>
  <c r="X244" i="7"/>
  <c r="X224" i="7"/>
  <c r="X223" i="7"/>
  <c r="X222" i="7"/>
  <c r="X221" i="7"/>
  <c r="X213" i="7"/>
  <c r="X206" i="7"/>
  <c r="X205" i="7"/>
  <c r="X160" i="7"/>
  <c r="X159" i="7"/>
  <c r="X158" i="7"/>
  <c r="X157" i="7"/>
  <c r="X156" i="7"/>
  <c r="X155" i="7"/>
  <c r="X154" i="7"/>
  <c r="X153" i="7"/>
  <c r="X152" i="7"/>
  <c r="X150" i="7"/>
  <c r="X149" i="7"/>
  <c r="X148" i="7"/>
  <c r="X147" i="7"/>
  <c r="X146" i="7"/>
  <c r="X145" i="7"/>
  <c r="X144" i="7"/>
  <c r="X143" i="7"/>
  <c r="B39" i="9"/>
  <c r="B38" i="9"/>
  <c r="AC752" i="7"/>
  <c r="AC753" i="7"/>
  <c r="X752" i="7"/>
  <c r="X753" i="7"/>
  <c r="U752" i="7"/>
  <c r="U753" i="7"/>
  <c r="S752" i="7"/>
  <c r="AA752" i="7" s="1"/>
  <c r="S753" i="7"/>
  <c r="AA753" i="7" s="1"/>
  <c r="M753" i="7"/>
  <c r="AK576" i="7"/>
  <c r="X327" i="7" l="1"/>
  <c r="X328" i="7" s="1"/>
  <c r="M556" i="7"/>
  <c r="J556" i="7"/>
  <c r="B21" i="10"/>
  <c r="B17" i="10"/>
  <c r="X557" i="7"/>
  <c r="X559" i="7"/>
  <c r="X558" i="7"/>
  <c r="AF556" i="7"/>
  <c r="AC566" i="7"/>
  <c r="AC567" i="7"/>
  <c r="AC568" i="7"/>
  <c r="AC569" i="7"/>
  <c r="AC570" i="7"/>
  <c r="AC571" i="7"/>
  <c r="AC572" i="7"/>
  <c r="AC573" i="7"/>
  <c r="AC574" i="7"/>
  <c r="AC575" i="7"/>
  <c r="AC576" i="7"/>
  <c r="AC563" i="7"/>
  <c r="AC564" i="7"/>
  <c r="AC565" i="7"/>
  <c r="X562" i="7"/>
  <c r="X561" i="7"/>
  <c r="X560" i="7"/>
  <c r="X576" i="7"/>
  <c r="X563" i="7"/>
  <c r="X564" i="7"/>
  <c r="X565" i="7"/>
  <c r="X566" i="7"/>
  <c r="X567" i="7"/>
  <c r="X568" i="7"/>
  <c r="X569" i="7"/>
  <c r="X570" i="7"/>
  <c r="X571" i="7"/>
  <c r="X572" i="7"/>
  <c r="X573" i="7"/>
  <c r="X574" i="7"/>
  <c r="X575" i="7"/>
  <c r="U563" i="7"/>
  <c r="U564" i="7"/>
  <c r="U565" i="7"/>
  <c r="U566" i="7"/>
  <c r="U567" i="7"/>
  <c r="U568" i="7"/>
  <c r="U569" i="7"/>
  <c r="U570" i="7"/>
  <c r="U571" i="7"/>
  <c r="U572" i="7"/>
  <c r="U573" i="7"/>
  <c r="U574" i="7"/>
  <c r="U575" i="7"/>
  <c r="U576" i="7"/>
  <c r="AF575" i="7"/>
  <c r="AF562" i="7"/>
  <c r="AF563" i="7"/>
  <c r="M567" i="7"/>
  <c r="M568" i="7"/>
  <c r="M569" i="7"/>
  <c r="M570" i="7"/>
  <c r="M571" i="7"/>
  <c r="M572" i="7"/>
  <c r="M573" i="7"/>
  <c r="AF574" i="7"/>
  <c r="X677" i="7"/>
  <c r="X676" i="7"/>
  <c r="X675" i="7"/>
  <c r="P733" i="7" s="1"/>
  <c r="B3" i="10"/>
  <c r="X207" i="7"/>
  <c r="X453" i="7" s="1" a="1"/>
  <c r="X453" i="7" s="1"/>
  <c r="X454" i="7" s="1"/>
  <c r="X458" i="7"/>
  <c r="B12" i="10" s="1"/>
  <c r="X455" i="7" l="1"/>
  <c r="B10" i="10" s="1"/>
  <c r="M733" i="7"/>
  <c r="P734" i="7"/>
  <c r="H733" i="7" s="1"/>
  <c r="J575" i="7"/>
  <c r="J574" i="7"/>
  <c r="J573" i="7"/>
  <c r="J572" i="7"/>
  <c r="J571" i="7"/>
  <c r="M575" i="7"/>
  <c r="M574" i="7"/>
  <c r="AM576" i="7" a="1"/>
  <c r="AM576" i="7" s="1"/>
  <c r="AH576" i="7" a="1"/>
  <c r="AH576" i="7" s="1"/>
  <c r="M576" i="7"/>
  <c r="AF573" i="7"/>
  <c r="M566" i="7"/>
  <c r="AF566" i="7"/>
  <c r="M564" i="7"/>
  <c r="AH564" i="7" a="1"/>
  <c r="AH564" i="7" s="1"/>
  <c r="AF576" i="7"/>
  <c r="AF571" i="7"/>
  <c r="AF570" i="7"/>
  <c r="J570" i="7"/>
  <c r="J569" i="7"/>
  <c r="J576" i="7"/>
  <c r="AF572" i="7"/>
  <c r="AF569" i="7"/>
  <c r="J567" i="7"/>
  <c r="AF568" i="7"/>
  <c r="AF567" i="7"/>
  <c r="M565" i="7"/>
  <c r="AF565" i="7"/>
  <c r="M563" i="7"/>
  <c r="AF564" i="7"/>
  <c r="J568" i="7"/>
  <c r="AM575" i="7" a="1"/>
  <c r="AM575" i="7" s="1"/>
  <c r="AH575" i="7" a="1"/>
  <c r="AH575" i="7" s="1"/>
  <c r="J562" i="7"/>
  <c r="J566" i="7"/>
  <c r="J565" i="7"/>
  <c r="J564" i="7"/>
  <c r="J563" i="7"/>
  <c r="M562" i="7"/>
  <c r="AC464" i="7"/>
  <c r="P735" i="7" l="1"/>
  <c r="H734" i="7" s="1"/>
  <c r="AF560" i="7"/>
  <c r="P736" i="7" l="1"/>
  <c r="H735" i="7" s="1"/>
  <c r="X733" i="7"/>
  <c r="M559" i="7"/>
  <c r="AF559" i="7"/>
  <c r="M558" i="7"/>
  <c r="AF558" i="7"/>
  <c r="M561" i="7"/>
  <c r="AF561" i="7"/>
  <c r="M557" i="7"/>
  <c r="AF557" i="7"/>
  <c r="M560" i="7"/>
  <c r="S556" i="7" a="1"/>
  <c r="S556" i="7" s="1"/>
  <c r="S557" i="7" s="1"/>
  <c r="P737" i="7" l="1"/>
  <c r="H736" i="7" s="1"/>
  <c r="S558" i="7"/>
  <c r="AK556" i="7"/>
  <c r="AA557" i="7"/>
  <c r="AH556" i="7"/>
  <c r="AA556" i="7"/>
  <c r="P738" i="7" l="1"/>
  <c r="H737" i="7" s="1"/>
  <c r="S559" i="7"/>
  <c r="AK557" i="7"/>
  <c r="AA558" i="7"/>
  <c r="P739" i="7" l="1"/>
  <c r="H738" i="7" s="1"/>
  <c r="S560" i="7"/>
  <c r="AK558" i="7"/>
  <c r="AA559" i="7"/>
  <c r="P740" i="7" l="1"/>
  <c r="H739" i="7" s="1"/>
  <c r="X735" i="7"/>
  <c r="S561" i="7"/>
  <c r="AK559" i="7"/>
  <c r="AA560" i="7"/>
  <c r="P741" i="7" l="1"/>
  <c r="H740" i="7" s="1"/>
  <c r="S562" i="7"/>
  <c r="AK560" i="7"/>
  <c r="AA561" i="7"/>
  <c r="P742" i="7" l="1"/>
  <c r="H741" i="7" s="1"/>
  <c r="X737" i="7"/>
  <c r="S563" i="7"/>
  <c r="AK561" i="7"/>
  <c r="AA562" i="7"/>
  <c r="AC738" i="7" l="1"/>
  <c r="X738" i="7"/>
  <c r="P743" i="7"/>
  <c r="H742" i="7" s="1"/>
  <c r="U562" i="7"/>
  <c r="U733" i="7"/>
  <c r="J561" i="7"/>
  <c r="J558" i="7"/>
  <c r="S564" i="7"/>
  <c r="AK562" i="7"/>
  <c r="AA563" i="7"/>
  <c r="X199" i="7"/>
  <c r="X440" i="7"/>
  <c r="X443" i="7" s="1"/>
  <c r="X214" i="7"/>
  <c r="U557" i="7"/>
  <c r="U558" i="7"/>
  <c r="U561" i="7"/>
  <c r="U560" i="7"/>
  <c r="U559" i="7"/>
  <c r="J559" i="7"/>
  <c r="J560" i="7"/>
  <c r="J557" i="7"/>
  <c r="B6" i="10" l="1"/>
  <c r="B8" i="10" s="1"/>
  <c r="AC739" i="7"/>
  <c r="X739" i="7"/>
  <c r="P744" i="7"/>
  <c r="H743" i="7" s="1"/>
  <c r="X200" i="7"/>
  <c r="S565" i="7"/>
  <c r="AK563" i="7"/>
  <c r="AA564" i="7"/>
  <c r="BW4" i="7"/>
  <c r="BW6" i="7"/>
  <c r="E5" i="7"/>
  <c r="E4" i="7"/>
  <c r="X151" i="7" l="1"/>
  <c r="X261" i="7" s="1"/>
  <c r="X249" i="7"/>
  <c r="AC740" i="7"/>
  <c r="X740" i="7"/>
  <c r="P745" i="7"/>
  <c r="AC742" i="7"/>
  <c r="X742" i="7"/>
  <c r="AU386" i="7"/>
  <c r="AJ386" i="7"/>
  <c r="X332" i="7"/>
  <c r="X336" i="7"/>
  <c r="X219" i="7"/>
  <c r="X220" i="7" s="1"/>
  <c r="X248" i="7"/>
  <c r="S566" i="7"/>
  <c r="S567" i="7" s="1"/>
  <c r="AK564" i="7"/>
  <c r="AA565" i="7"/>
  <c r="X335" i="7"/>
  <c r="X331" i="7"/>
  <c r="X462" i="7" a="1"/>
  <c r="X462" i="7" s="1"/>
  <c r="X463" i="7" s="1"/>
  <c r="X741" i="7" l="1"/>
  <c r="H744" i="7"/>
  <c r="X464" i="7"/>
  <c r="B11" i="10" s="1"/>
  <c r="B13" i="10" s="1"/>
  <c r="X270" i="7"/>
  <c r="X269" i="7"/>
  <c r="X268" i="7"/>
  <c r="X267" i="7"/>
  <c r="X266" i="7"/>
  <c r="X265" i="7"/>
  <c r="X280" i="7" s="1"/>
  <c r="X255" i="7"/>
  <c r="AU382" i="7" s="1"/>
  <c r="X253" i="7"/>
  <c r="X254" i="7"/>
  <c r="AU381" i="7" s="1"/>
  <c r="X252" i="7"/>
  <c r="AJ381" i="7" s="1"/>
  <c r="AC741" i="7"/>
  <c r="P746" i="7"/>
  <c r="H745" i="7" s="1"/>
  <c r="AC743" i="7"/>
  <c r="X743" i="7"/>
  <c r="AJ382" i="7"/>
  <c r="AK566" i="7"/>
  <c r="S568" i="7"/>
  <c r="AA567" i="7"/>
  <c r="AK565" i="7"/>
  <c r="AA566" i="7"/>
  <c r="X465" i="7"/>
  <c r="AB464" i="7"/>
  <c r="X290" i="7" l="1"/>
  <c r="X286" i="7"/>
  <c r="X300" i="7"/>
  <c r="X295" i="7"/>
  <c r="X285" i="7"/>
  <c r="X281" i="7"/>
  <c r="X296" i="7"/>
  <c r="X291" i="7"/>
  <c r="X312" i="7"/>
  <c r="X310" i="7"/>
  <c r="X301" i="7"/>
  <c r="X311" i="7"/>
  <c r="X313" i="7"/>
  <c r="X287" i="7"/>
  <c r="X282" i="7"/>
  <c r="P747" i="7"/>
  <c r="H746" i="7" s="1"/>
  <c r="X744" i="7"/>
  <c r="AC744" i="7"/>
  <c r="AK567" i="7"/>
  <c r="S569" i="7"/>
  <c r="AA568" i="7"/>
  <c r="X305" i="7" l="1"/>
  <c r="X367" i="7"/>
  <c r="X670" i="7" s="1"/>
  <c r="P748" i="7"/>
  <c r="H747" i="7" s="1"/>
  <c r="AC745" i="7"/>
  <c r="X745" i="7"/>
  <c r="AK568" i="7"/>
  <c r="S570" i="7"/>
  <c r="AA569" i="7"/>
  <c r="X365" i="7"/>
  <c r="X314" i="7"/>
  <c r="Y381" i="7" s="1"/>
  <c r="AU385" i="7" s="1"/>
  <c r="X292" i="7"/>
  <c r="X297" i="7"/>
  <c r="X302" i="7"/>
  <c r="X366" i="7"/>
  <c r="N381" i="7"/>
  <c r="AJ384" i="7" s="1"/>
  <c r="X306" i="7" l="1"/>
  <c r="X509" i="7"/>
  <c r="X510" i="7"/>
  <c r="P749" i="7"/>
  <c r="H748" i="7" s="1"/>
  <c r="X746" i="7"/>
  <c r="AC746" i="7"/>
  <c r="AK569" i="7"/>
  <c r="S571" i="7"/>
  <c r="AA570" i="7"/>
  <c r="X673" i="7"/>
  <c r="AC735" i="7" s="1"/>
  <c r="X307" i="7"/>
  <c r="BF381" i="7"/>
  <c r="Y382" i="7"/>
  <c r="AU383" i="7" s="1"/>
  <c r="N382" i="7"/>
  <c r="N383" i="7" s="1"/>
  <c r="BF382" i="7" s="1"/>
  <c r="P750" i="7" l="1"/>
  <c r="H749" i="7" s="1"/>
  <c r="X747" i="7"/>
  <c r="AC747" i="7"/>
  <c r="AK570" i="7"/>
  <c r="S572" i="7"/>
  <c r="AA571" i="7"/>
  <c r="AC556" i="7"/>
  <c r="AC557" i="7"/>
  <c r="AC558" i="7"/>
  <c r="AC559" i="7"/>
  <c r="AC560" i="7"/>
  <c r="AC561" i="7"/>
  <c r="AC562" i="7"/>
  <c r="X322" i="7"/>
  <c r="AJ385" i="7" s="1"/>
  <c r="Y383" i="7"/>
  <c r="BF383" i="7" s="1"/>
  <c r="X429" i="7" s="1"/>
  <c r="X430" i="7" s="1"/>
  <c r="X433" i="7" s="1"/>
  <c r="AJ383" i="7"/>
  <c r="B2" i="10" l="1"/>
  <c r="B4" i="10" s="1"/>
  <c r="AM559" i="7" a="1"/>
  <c r="AM559" i="7" s="1"/>
  <c r="AH559" i="7" a="1"/>
  <c r="AH559" i="7" s="1"/>
  <c r="AH560" i="7" a="1"/>
  <c r="AH560" i="7" s="1"/>
  <c r="AH561" i="7" a="1"/>
  <c r="AH561" i="7" s="1"/>
  <c r="P751" i="7"/>
  <c r="H750" i="7" s="1"/>
  <c r="AC748" i="7"/>
  <c r="X748" i="7"/>
  <c r="AM572" i="7" a="1"/>
  <c r="AM572" i="7" s="1"/>
  <c r="AH562" i="7" a="1"/>
  <c r="AH562" i="7" s="1"/>
  <c r="AH568" i="7" a="1"/>
  <c r="AH568" i="7" s="1"/>
  <c r="AM567" i="7" a="1"/>
  <c r="AM567" i="7" s="1"/>
  <c r="AH567" i="7" a="1"/>
  <c r="AH567" i="7" s="1"/>
  <c r="AM571" i="7" a="1"/>
  <c r="AM571" i="7" s="1"/>
  <c r="AH565" i="7" a="1"/>
  <c r="AH565" i="7" s="1"/>
  <c r="AM566" i="7" a="1"/>
  <c r="AM566" i="7" s="1"/>
  <c r="AH574" i="7" a="1"/>
  <c r="AH574" i="7" s="1"/>
  <c r="AM570" i="7" a="1"/>
  <c r="AM570" i="7" s="1"/>
  <c r="AH570" i="7" a="1"/>
  <c r="AH570" i="7" s="1"/>
  <c r="AH572" i="7" a="1"/>
  <c r="AH572" i="7" s="1"/>
  <c r="AM568" i="7" a="1"/>
  <c r="AM568" i="7" s="1"/>
  <c r="AM573" i="7" a="1"/>
  <c r="AM573" i="7" s="1"/>
  <c r="AH573" i="7" a="1"/>
  <c r="AH573" i="7" s="1"/>
  <c r="AH571" i="7" a="1"/>
  <c r="AH571" i="7" s="1"/>
  <c r="AM569" i="7" a="1"/>
  <c r="AM569" i="7" s="1"/>
  <c r="AH569" i="7" a="1"/>
  <c r="AH569" i="7" s="1"/>
  <c r="AH563" i="7" a="1"/>
  <c r="AH563" i="7" s="1"/>
  <c r="AH566" i="7" a="1"/>
  <c r="AH566" i="7" s="1"/>
  <c r="AK571" i="7"/>
  <c r="S573" i="7"/>
  <c r="AA572" i="7"/>
  <c r="AM556" i="7" a="1"/>
  <c r="AM556" i="7" s="1"/>
  <c r="AM560" i="7" a="1"/>
  <c r="AM560" i="7" s="1"/>
  <c r="AM557" i="7" a="1"/>
  <c r="AM557" i="7" s="1"/>
  <c r="AM558" i="7" a="1"/>
  <c r="AM558" i="7" s="1"/>
  <c r="AH558" i="7" a="1"/>
  <c r="AH558" i="7" s="1"/>
  <c r="AH557" i="7" a="1"/>
  <c r="AH557" i="7" s="1"/>
  <c r="BF386" i="7"/>
  <c r="AU384" i="7"/>
  <c r="BF388" i="7" s="1"/>
  <c r="BF387" i="7"/>
  <c r="X588" i="7" l="1" a="1"/>
  <c r="X588" i="7" s="1"/>
  <c r="B16" i="10" s="1"/>
  <c r="B18" i="10" s="1"/>
  <c r="AM564" i="7" a="1"/>
  <c r="AM564" i="7" s="1"/>
  <c r="AM565" i="7" a="1"/>
  <c r="AM565" i="7" s="1"/>
  <c r="P752" i="7"/>
  <c r="H751" i="7" s="1"/>
  <c r="AC749" i="7"/>
  <c r="X749" i="7"/>
  <c r="AM562" i="7" a="1"/>
  <c r="AM562" i="7" s="1"/>
  <c r="AM561" i="7" a="1"/>
  <c r="AM561" i="7" s="1"/>
  <c r="AM563" i="7" a="1"/>
  <c r="AM563" i="7" s="1"/>
  <c r="AM574" i="7" a="1"/>
  <c r="AM574" i="7" s="1"/>
  <c r="AK572" i="7"/>
  <c r="S574" i="7"/>
  <c r="AA573" i="7"/>
  <c r="AU387" i="7"/>
  <c r="BF385" i="7" s="1"/>
  <c r="AJ387" i="7"/>
  <c r="AJ388" i="7" s="1"/>
  <c r="X597" i="7" l="1" a="1"/>
  <c r="X597" i="7" s="1"/>
  <c r="B20" i="10" s="1"/>
  <c r="B22" i="10" s="1"/>
  <c r="P753" i="7"/>
  <c r="H752" i="7" s="1"/>
  <c r="X750" i="7"/>
  <c r="AC750" i="7"/>
  <c r="AK573" i="7"/>
  <c r="S575" i="7"/>
  <c r="AA574" i="7"/>
  <c r="AU388" i="7"/>
  <c r="BF384" i="7"/>
  <c r="J752" i="7" l="1"/>
  <c r="X751" i="7"/>
  <c r="AC751" i="7"/>
  <c r="AK574" i="7"/>
  <c r="S576" i="7"/>
  <c r="AA575" i="7"/>
  <c r="J742" i="7"/>
  <c r="J751" i="7"/>
  <c r="J750" i="7"/>
  <c r="J748" i="7"/>
  <c r="J747" i="7"/>
  <c r="J745" i="7"/>
  <c r="J744" i="7"/>
  <c r="J735" i="7"/>
  <c r="M744" i="7"/>
  <c r="U743" i="7"/>
  <c r="J736" i="7"/>
  <c r="M746" i="7"/>
  <c r="U745" i="7"/>
  <c r="J740" i="7"/>
  <c r="M751" i="7"/>
  <c r="U750" i="7"/>
  <c r="J749" i="7"/>
  <c r="U736" i="7"/>
  <c r="J737" i="7"/>
  <c r="J746" i="7"/>
  <c r="M752" i="7"/>
  <c r="U751" i="7"/>
  <c r="M745" i="7"/>
  <c r="U744" i="7"/>
  <c r="M749" i="7"/>
  <c r="U748" i="7"/>
  <c r="U740" i="7"/>
  <c r="M741" i="7"/>
  <c r="J741" i="7"/>
  <c r="J743" i="7"/>
  <c r="U739" i="7"/>
  <c r="M740" i="7"/>
  <c r="U749" i="7"/>
  <c r="M750" i="7"/>
  <c r="M747" i="7"/>
  <c r="U746" i="7"/>
  <c r="U735" i="7"/>
  <c r="U741" i="7"/>
  <c r="M742" i="7"/>
  <c r="M748" i="7"/>
  <c r="U747" i="7"/>
  <c r="U742" i="7"/>
  <c r="M743" i="7"/>
  <c r="U734" i="7"/>
  <c r="J734" i="7"/>
  <c r="U737" i="7"/>
  <c r="AK575" i="7" l="1"/>
  <c r="AA576" i="7"/>
  <c r="AF734" i="7"/>
  <c r="AF735" i="7"/>
  <c r="J733" i="7"/>
  <c r="J738" i="7"/>
  <c r="M734" i="7" l="1"/>
  <c r="AH733" i="7"/>
  <c r="AF733" i="7"/>
  <c r="X671" i="7"/>
  <c r="X672" i="7" s="1"/>
  <c r="M737" i="7"/>
  <c r="M736" i="7"/>
  <c r="M738" i="7"/>
  <c r="M735" i="7"/>
  <c r="AC736" i="7" l="1"/>
  <c r="AC737" i="7"/>
  <c r="AC734" i="7"/>
  <c r="X685" i="7" s="1"/>
  <c r="AC733" i="7"/>
  <c r="AK733" i="7"/>
  <c r="AM733" i="7"/>
  <c r="AM734" i="7" l="1"/>
  <c r="X734" i="7"/>
  <c r="AH734" i="7" s="1"/>
  <c r="X736" i="7"/>
  <c r="AM735" i="7" l="1"/>
  <c r="AH735" i="7"/>
  <c r="X764" i="7" s="1" a="1"/>
  <c r="X764" i="7" s="1"/>
  <c r="M739" i="7"/>
  <c r="U738" i="7"/>
  <c r="J739" i="7"/>
  <c r="B25" i="10" l="1"/>
  <c r="B27" i="10" s="1"/>
  <c r="S733" i="7" a="1"/>
  <c r="S733" i="7" s="1"/>
  <c r="AA733" i="7" s="1"/>
  <c r="S734" i="7" l="1"/>
  <c r="AK734" i="7" s="1"/>
  <c r="S735" i="7" l="1"/>
  <c r="S736" i="7" s="1"/>
  <c r="AA734" i="7"/>
  <c r="AK735" i="7" l="1"/>
  <c r="AA735" i="7"/>
  <c r="AA736" i="7"/>
  <c r="S737" i="7"/>
  <c r="AA737" i="7" l="1"/>
  <c r="S738" i="7"/>
  <c r="AA738" i="7" l="1"/>
  <c r="S739" i="7"/>
  <c r="AA739" i="7" l="1"/>
  <c r="S740" i="7"/>
  <c r="AA740" i="7" l="1"/>
  <c r="S741" i="7"/>
  <c r="AA741" i="7" l="1"/>
  <c r="S742" i="7"/>
  <c r="AA742" i="7" l="1"/>
  <c r="S743" i="7"/>
  <c r="AA743" i="7" l="1"/>
  <c r="S744" i="7"/>
  <c r="AA744" i="7" l="1"/>
  <c r="S745" i="7"/>
  <c r="AA745" i="7" l="1"/>
  <c r="S746" i="7"/>
  <c r="AA746" i="7" l="1"/>
  <c r="S747" i="7"/>
  <c r="AA747" i="7" l="1"/>
  <c r="S748" i="7"/>
  <c r="AA748" i="7" l="1"/>
  <c r="S749" i="7"/>
  <c r="AA749" i="7" l="1"/>
  <c r="S750" i="7"/>
  <c r="AA750" i="7" l="1"/>
  <c r="S751" i="7"/>
  <c r="AA751"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<sst xmlns="http://schemas.openxmlformats.org/spreadsheetml/2006/main" count="739" uniqueCount="539">
  <si>
    <t>Project Name</t>
  </si>
  <si>
    <t>North Connector Bridge</t>
  </si>
  <si>
    <t>Jacobs Project Number</t>
  </si>
  <si>
    <t>COMPUTATION SHEET</t>
  </si>
  <si>
    <t>Page:</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</si>
  <si>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</si>
  <si>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</si>
  <si>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</si>
  <si>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</si>
  <si>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</si>
  <si>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</si>
  <si>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</si>
  <si>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</si>
  <si>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</si>
  <si>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</si>
  <si>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</si>
  <si>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</si>
  <si>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</si>
  <si>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</si>
  <si>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References</t>
  </si>
  <si>
    <t>AASHTO, 10th</t>
  </si>
  <si>
    <t>Section</t>
  </si>
  <si>
    <t>Originator</t>
  </si>
  <si>
    <t>TG</t>
  </si>
  <si>
    <t>Date</t>
  </si>
  <si>
    <t>Checker</t>
  </si>
  <si>
    <t>SB</t>
  </si>
  <si>
    <t>Revision No.</t>
  </si>
  <si>
    <r>
      <t xml:space="preserve">Web Flare Length, </t>
    </r>
    <r>
      <rPr>
        <i/>
        <sz val="9"/>
        <color theme="1"/>
        <rFont val="Jacobs Chronos"/>
        <family val="2"/>
      </rPr>
      <t>L</t>
    </r>
    <r>
      <rPr>
        <i/>
        <vertAlign val="subscript"/>
        <sz val="9"/>
        <color theme="1"/>
        <rFont val="Jacobs Chronos"/>
        <family val="2"/>
      </rPr>
      <t>F</t>
    </r>
    <r>
      <rPr>
        <sz val="9"/>
        <color theme="1"/>
        <rFont val="Jacobs Chronos"/>
        <family val="2"/>
      </rPr>
      <t xml:space="preserve"> =</t>
    </r>
  </si>
  <si>
    <r>
      <t xml:space="preserve">Beginning Web Flare Width, </t>
    </r>
    <r>
      <rPr>
        <i/>
        <sz val="9"/>
        <color theme="1"/>
        <rFont val="Jacobs Chronos"/>
        <family val="2"/>
      </rPr>
      <t>b</t>
    </r>
    <r>
      <rPr>
        <i/>
        <vertAlign val="subscript"/>
        <sz val="9"/>
        <color theme="1"/>
        <rFont val="Jacobs Chronos"/>
        <family val="2"/>
      </rPr>
      <t>w1</t>
    </r>
    <r>
      <rPr>
        <sz val="9"/>
        <color theme="1"/>
        <rFont val="Jacobs Chronos"/>
        <family val="2"/>
      </rPr>
      <t xml:space="preserve"> =</t>
    </r>
  </si>
  <si>
    <r>
      <t xml:space="preserve">Ending Web Flare Width, </t>
    </r>
    <r>
      <rPr>
        <i/>
        <sz val="9"/>
        <color theme="1"/>
        <rFont val="Jacobs Chronos"/>
        <family val="2"/>
      </rPr>
      <t>b</t>
    </r>
    <r>
      <rPr>
        <i/>
        <vertAlign val="subscript"/>
        <sz val="9"/>
        <color theme="1"/>
        <rFont val="Jacobs Chronos"/>
        <family val="2"/>
      </rPr>
      <t>w2</t>
    </r>
    <r>
      <rPr>
        <sz val="9"/>
        <color theme="1"/>
        <rFont val="Jacobs Chronos"/>
        <family val="2"/>
      </rPr>
      <t xml:space="preserve"> =</t>
    </r>
  </si>
  <si>
    <r>
      <t xml:space="preserve">Bottom Length of Anchore Blockout, </t>
    </r>
    <r>
      <rPr>
        <i/>
        <sz val="9"/>
        <color theme="1"/>
        <rFont val="Jacobs Chronos"/>
        <family val="2"/>
      </rPr>
      <t>L</t>
    </r>
    <r>
      <rPr>
        <i/>
        <vertAlign val="subscript"/>
        <sz val="9"/>
        <color theme="1"/>
        <rFont val="Jacobs Chronos"/>
        <family val="2"/>
      </rPr>
      <t>A</t>
    </r>
    <r>
      <rPr>
        <sz val="9"/>
        <color theme="1"/>
        <rFont val="Jacobs Chronos"/>
        <family val="2"/>
      </rPr>
      <t xml:space="preserve"> =</t>
    </r>
  </si>
  <si>
    <r>
      <t xml:space="preserve">Stirrup Size for Bursting, </t>
    </r>
    <r>
      <rPr>
        <i/>
        <sz val="9"/>
        <color theme="1"/>
        <rFont val="Jacobs Chronos"/>
        <family val="2"/>
      </rPr>
      <t>X</t>
    </r>
    <r>
      <rPr>
        <i/>
        <vertAlign val="subscript"/>
        <sz val="9"/>
        <color theme="1"/>
        <rFont val="Jacobs Chronos"/>
        <family val="2"/>
      </rPr>
      <t>B</t>
    </r>
    <r>
      <rPr>
        <sz val="9"/>
        <color theme="1"/>
        <rFont val="Jacobs Chronos"/>
        <family val="2"/>
      </rPr>
      <t xml:space="preserve"> =</t>
    </r>
  </si>
  <si>
    <t>Res. Factor for Tensile Rebar in Anchorage Zones, ϕ.t =</t>
  </si>
  <si>
    <r>
      <t xml:space="preserve">Length of Local Zone, </t>
    </r>
    <r>
      <rPr>
        <i/>
        <sz val="9"/>
        <color theme="1"/>
        <rFont val="Jacobs Chronos"/>
        <family val="2"/>
      </rPr>
      <t>L</t>
    </r>
    <r>
      <rPr>
        <i/>
        <vertAlign val="subscript"/>
        <sz val="9"/>
        <color theme="1"/>
        <rFont val="Jacobs Chronos"/>
        <family val="2"/>
      </rPr>
      <t>Lz</t>
    </r>
    <r>
      <rPr>
        <sz val="9"/>
        <color theme="1"/>
        <rFont val="Jacobs Chronos"/>
        <family val="2"/>
      </rPr>
      <t xml:space="preserve"> =</t>
    </r>
  </si>
  <si>
    <r>
      <t xml:space="preserve">Length of General Zone (same as anchorage zone), </t>
    </r>
    <r>
      <rPr>
        <i/>
        <sz val="9"/>
        <color theme="1"/>
        <rFont val="Jacobs Chronos"/>
        <family val="2"/>
      </rPr>
      <t>L</t>
    </r>
    <r>
      <rPr>
        <i/>
        <vertAlign val="subscript"/>
        <sz val="9"/>
        <color theme="1"/>
        <rFont val="Jacobs Chronos"/>
        <family val="2"/>
      </rPr>
      <t>Gz</t>
    </r>
    <r>
      <rPr>
        <sz val="9"/>
        <color theme="1"/>
        <rFont val="Jacobs Chronos"/>
        <family val="2"/>
      </rPr>
      <t xml:space="preserve"> =</t>
    </r>
  </si>
  <si>
    <r>
      <t>Front of Diaphragm to CL of Bridge Abut</t>
    </r>
    <r>
      <rPr>
        <vertAlign val="subscript"/>
        <sz val="9"/>
        <color theme="1"/>
        <rFont val="Jacobs Chronos"/>
        <family val="2"/>
      </rPr>
      <t>,</t>
    </r>
    <r>
      <rPr>
        <sz val="9"/>
        <color theme="1"/>
        <rFont val="Jacobs Chronos"/>
        <family val="2"/>
      </rPr>
      <t xml:space="preserve"> </t>
    </r>
    <r>
      <rPr>
        <i/>
        <sz val="9"/>
        <color theme="1"/>
        <rFont val="Jacobs Chronos"/>
        <family val="2"/>
      </rPr>
      <t>L</t>
    </r>
    <r>
      <rPr>
        <i/>
        <vertAlign val="subscript"/>
        <sz val="9"/>
        <color theme="1"/>
        <rFont val="Jacobs Chronos"/>
        <family val="2"/>
      </rPr>
      <t>CL1</t>
    </r>
    <r>
      <rPr>
        <sz val="9"/>
        <color theme="1"/>
        <rFont val="Jacobs Chronos"/>
        <family val="2"/>
      </rPr>
      <t xml:space="preserve"> =</t>
    </r>
  </si>
  <si>
    <r>
      <t>Back of Diaphragm to CL of Bridge Abut</t>
    </r>
    <r>
      <rPr>
        <vertAlign val="subscript"/>
        <sz val="9"/>
        <color theme="1"/>
        <rFont val="Jacobs Chronos"/>
        <family val="2"/>
      </rPr>
      <t>,</t>
    </r>
    <r>
      <rPr>
        <sz val="9"/>
        <color theme="1"/>
        <rFont val="Jacobs Chronos"/>
        <family val="2"/>
      </rPr>
      <t xml:space="preserve"> </t>
    </r>
    <r>
      <rPr>
        <i/>
        <sz val="9"/>
        <color theme="1"/>
        <rFont val="Jacobs Chronos"/>
        <family val="2"/>
      </rPr>
      <t>L</t>
    </r>
    <r>
      <rPr>
        <i/>
        <vertAlign val="subscript"/>
        <sz val="9"/>
        <color theme="1"/>
        <rFont val="Jacobs Chronos"/>
        <family val="2"/>
      </rPr>
      <t>CL2</t>
    </r>
    <r>
      <rPr>
        <sz val="9"/>
        <color theme="1"/>
        <rFont val="Jacobs Chronos"/>
        <family val="2"/>
      </rPr>
      <t xml:space="preserve"> =</t>
    </r>
  </si>
  <si>
    <t>deg</t>
  </si>
  <si>
    <r>
      <t xml:space="preserve">Total Jacking Force, </t>
    </r>
    <r>
      <rPr>
        <i/>
        <sz val="9"/>
        <color theme="1"/>
        <rFont val="Jacobs Chronos"/>
        <family val="2"/>
      </rPr>
      <t>P</t>
    </r>
    <r>
      <rPr>
        <i/>
        <vertAlign val="subscript"/>
        <sz val="9"/>
        <color theme="1"/>
        <rFont val="Jacobs Chronos"/>
        <family val="2"/>
      </rPr>
      <t>u</t>
    </r>
    <r>
      <rPr>
        <sz val="9"/>
        <color theme="1"/>
        <rFont val="Jacobs Chronos"/>
        <family val="2"/>
      </rPr>
      <t xml:space="preserve"> =</t>
    </r>
  </si>
  <si>
    <r>
      <t xml:space="preserve">Tensile Strength, </t>
    </r>
    <r>
      <rPr>
        <i/>
        <sz val="9"/>
        <color theme="1"/>
        <rFont val="Jacobs Chronos"/>
        <family val="2"/>
      </rPr>
      <t>f</t>
    </r>
    <r>
      <rPr>
        <i/>
        <vertAlign val="subscript"/>
        <sz val="9"/>
        <color theme="1"/>
        <rFont val="Jacobs Chronos"/>
        <family val="2"/>
      </rPr>
      <t>pu</t>
    </r>
    <r>
      <rPr>
        <sz val="9"/>
        <color theme="1"/>
        <rFont val="Jacobs Chronos"/>
        <family val="2"/>
      </rPr>
      <t xml:space="preserve"> =</t>
    </r>
  </si>
  <si>
    <r>
      <t xml:space="preserve">Aera of Strand, </t>
    </r>
    <r>
      <rPr>
        <i/>
        <sz val="9"/>
        <color theme="1"/>
        <rFont val="Jacobs Chronos"/>
        <family val="2"/>
      </rPr>
      <t>A</t>
    </r>
    <r>
      <rPr>
        <i/>
        <vertAlign val="subscript"/>
        <sz val="9"/>
        <color theme="1"/>
        <rFont val="Jacobs Chronos"/>
        <family val="2"/>
      </rPr>
      <t>ps</t>
    </r>
    <r>
      <rPr>
        <sz val="9"/>
        <color theme="1"/>
        <rFont val="Jacobs Chronos"/>
        <family val="2"/>
      </rPr>
      <t xml:space="preserve"> =</t>
    </r>
  </si>
  <si>
    <r>
      <t xml:space="preserve">Span Length, </t>
    </r>
    <r>
      <rPr>
        <i/>
        <sz val="9"/>
        <color theme="1"/>
        <rFont val="Jacobs Chronos"/>
        <family val="2"/>
      </rPr>
      <t>L</t>
    </r>
    <r>
      <rPr>
        <i/>
        <vertAlign val="subscript"/>
        <sz val="9"/>
        <color theme="1"/>
        <rFont val="Jacobs Chronos"/>
        <family val="2"/>
      </rPr>
      <t>s</t>
    </r>
    <r>
      <rPr>
        <sz val="9"/>
        <color theme="1"/>
        <rFont val="Jacobs Chronos"/>
        <family val="2"/>
      </rPr>
      <t xml:space="preserve"> =</t>
    </r>
  </si>
  <si>
    <r>
      <t xml:space="preserve">Horizontal Total Tendon Force, </t>
    </r>
    <r>
      <rPr>
        <i/>
        <sz val="9"/>
        <color theme="1"/>
        <rFont val="Jacobs Chronos"/>
        <family val="2"/>
      </rPr>
      <t>P</t>
    </r>
    <r>
      <rPr>
        <i/>
        <vertAlign val="subscript"/>
        <sz val="9"/>
        <color theme="1"/>
        <rFont val="Jacobs Chronos"/>
        <family val="2"/>
      </rPr>
      <t xml:space="preserve">uh </t>
    </r>
    <r>
      <rPr>
        <sz val="9"/>
        <color theme="1"/>
        <rFont val="Jacobs Chronos"/>
        <family val="2"/>
      </rPr>
      <t>=</t>
    </r>
  </si>
  <si>
    <r>
      <t xml:space="preserve">Eccentricity at the End of Anchor Zone, </t>
    </r>
    <r>
      <rPr>
        <i/>
        <sz val="9"/>
        <color theme="1"/>
        <rFont val="Jacobs Chronos"/>
        <family val="2"/>
      </rPr>
      <t>e</t>
    </r>
    <r>
      <rPr>
        <i/>
        <vertAlign val="subscript"/>
        <sz val="9"/>
        <color theme="1"/>
        <rFont val="Jacobs Chronos"/>
        <family val="2"/>
      </rPr>
      <t>genzone</t>
    </r>
    <r>
      <rPr>
        <sz val="9"/>
        <color theme="1"/>
        <rFont val="Jacobs Chronos"/>
        <family val="2"/>
      </rPr>
      <t xml:space="preserve"> =</t>
    </r>
  </si>
  <si>
    <t>Overhang</t>
  </si>
  <si>
    <t>Top Slab</t>
  </si>
  <si>
    <t>Force 1 =</t>
  </si>
  <si>
    <t>Force 2 =</t>
  </si>
  <si>
    <t>Force 3 =</t>
  </si>
  <si>
    <t>Force 4 =</t>
  </si>
  <si>
    <t>Exterior Fillets</t>
  </si>
  <si>
    <t>Force 5 =</t>
  </si>
  <si>
    <t>Force 6 =</t>
  </si>
  <si>
    <t>Interior Fillets</t>
  </si>
  <si>
    <t>Force 7 =</t>
  </si>
  <si>
    <t>Force 8 =</t>
  </si>
  <si>
    <t>Force 9 =</t>
  </si>
  <si>
    <t>Force 10 =</t>
  </si>
  <si>
    <t>Force =</t>
  </si>
  <si>
    <t>Bottom Slab</t>
  </si>
  <si>
    <t>Force 11 =</t>
  </si>
  <si>
    <t>Force 12 =</t>
  </si>
  <si>
    <t>Force 13 =</t>
  </si>
  <si>
    <t>Force 14 =</t>
  </si>
  <si>
    <r>
      <t xml:space="preserve">Top Slab Width, </t>
    </r>
    <r>
      <rPr>
        <i/>
        <sz val="9"/>
        <color theme="1"/>
        <rFont val="Jacobs Chronos"/>
        <family val="2"/>
      </rPr>
      <t>L</t>
    </r>
    <r>
      <rPr>
        <i/>
        <vertAlign val="subscript"/>
        <sz val="9"/>
        <color theme="1"/>
        <rFont val="Jacobs Chronos"/>
        <family val="2"/>
      </rPr>
      <t>ds</t>
    </r>
    <r>
      <rPr>
        <sz val="9"/>
        <color theme="1"/>
        <rFont val="Jacobs Chronos"/>
        <family val="2"/>
      </rPr>
      <t xml:space="preserve"> =</t>
    </r>
  </si>
  <si>
    <r>
      <t xml:space="preserve">Bottom Slab Width, </t>
    </r>
    <r>
      <rPr>
        <i/>
        <sz val="9"/>
        <color theme="1"/>
        <rFont val="Jacobs Chronos"/>
        <family val="2"/>
      </rPr>
      <t>L</t>
    </r>
    <r>
      <rPr>
        <i/>
        <vertAlign val="subscript"/>
        <sz val="9"/>
        <color theme="1"/>
        <rFont val="Jacobs Chronos"/>
        <family val="2"/>
      </rPr>
      <t>bf</t>
    </r>
    <r>
      <rPr>
        <sz val="9"/>
        <color theme="1"/>
        <rFont val="Jacobs Chronos"/>
        <family val="2"/>
      </rPr>
      <t xml:space="preserve"> =</t>
    </r>
  </si>
  <si>
    <r>
      <t xml:space="preserve">Overhang Width, </t>
    </r>
    <r>
      <rPr>
        <i/>
        <sz val="9"/>
        <color theme="1"/>
        <rFont val="Jacobs Chronos"/>
        <family val="2"/>
      </rPr>
      <t>L</t>
    </r>
    <r>
      <rPr>
        <i/>
        <vertAlign val="subscript"/>
        <sz val="9"/>
        <color theme="1"/>
        <rFont val="Jacobs Chronos"/>
        <family val="2"/>
      </rPr>
      <t>oh</t>
    </r>
    <r>
      <rPr>
        <sz val="9"/>
        <color theme="1"/>
        <rFont val="Jacobs Chronos"/>
        <family val="2"/>
      </rPr>
      <t xml:space="preserve"> =</t>
    </r>
  </si>
  <si>
    <t>y-Coord =</t>
  </si>
  <si>
    <t>Joint 5</t>
  </si>
  <si>
    <t>x-Coord =</t>
  </si>
  <si>
    <t>Joint 7</t>
  </si>
  <si>
    <t>Joint 8</t>
  </si>
  <si>
    <t>F1 =</t>
  </si>
  <si>
    <t>F2 =</t>
  </si>
  <si>
    <t>F3 =</t>
  </si>
  <si>
    <t>F9 =</t>
  </si>
  <si>
    <t>F6 =</t>
  </si>
  <si>
    <t>F4 =</t>
  </si>
  <si>
    <t>F5 =</t>
  </si>
  <si>
    <r>
      <t>P</t>
    </r>
    <r>
      <rPr>
        <i/>
        <vertAlign val="subscript"/>
        <sz val="9"/>
        <color theme="1"/>
        <rFont val="Jacobs Chronos"/>
        <family val="2"/>
      </rPr>
      <t>x1</t>
    </r>
    <r>
      <rPr>
        <sz val="9"/>
        <color theme="1"/>
        <rFont val="Jacobs Chronos"/>
        <family val="2"/>
      </rPr>
      <t xml:space="preserve"> =</t>
    </r>
  </si>
  <si>
    <r>
      <t>P</t>
    </r>
    <r>
      <rPr>
        <i/>
        <vertAlign val="subscript"/>
        <sz val="9"/>
        <color theme="1"/>
        <rFont val="Jacobs Chronos"/>
        <family val="2"/>
      </rPr>
      <t>y1</t>
    </r>
    <r>
      <rPr>
        <sz val="9"/>
        <color theme="1"/>
        <rFont val="Jacobs Chronos"/>
        <family val="2"/>
      </rPr>
      <t xml:space="preserve"> =</t>
    </r>
  </si>
  <si>
    <t>F7 =</t>
  </si>
  <si>
    <t>F10 =</t>
  </si>
  <si>
    <r>
      <t>P</t>
    </r>
    <r>
      <rPr>
        <i/>
        <vertAlign val="subscript"/>
        <sz val="9"/>
        <color theme="1"/>
        <rFont val="Jacobs Chronos"/>
        <family val="2"/>
      </rPr>
      <t>x2</t>
    </r>
    <r>
      <rPr>
        <sz val="9"/>
        <color theme="1"/>
        <rFont val="Jacobs Chronos"/>
        <family val="2"/>
      </rPr>
      <t xml:space="preserve"> =</t>
    </r>
  </si>
  <si>
    <r>
      <t>P</t>
    </r>
    <r>
      <rPr>
        <i/>
        <vertAlign val="subscript"/>
        <sz val="9"/>
        <color theme="1"/>
        <rFont val="Jacobs Chronos"/>
        <family val="2"/>
      </rPr>
      <t>y2</t>
    </r>
    <r>
      <rPr>
        <sz val="9"/>
        <color theme="1"/>
        <rFont val="Jacobs Chronos"/>
        <family val="2"/>
      </rPr>
      <t xml:space="preserve"> =</t>
    </r>
  </si>
  <si>
    <t>F8 =</t>
  </si>
  <si>
    <r>
      <t>Θ</t>
    </r>
    <r>
      <rPr>
        <i/>
        <vertAlign val="subscript"/>
        <sz val="9"/>
        <color theme="1"/>
        <rFont val="Jacobs Chronos"/>
        <family val="2"/>
      </rPr>
      <t>10</t>
    </r>
    <r>
      <rPr>
        <sz val="9"/>
        <color theme="1"/>
        <rFont val="Jacobs Chronos"/>
        <family val="2"/>
      </rPr>
      <t xml:space="preserve"> =</t>
    </r>
  </si>
  <si>
    <r>
      <t>Θ</t>
    </r>
    <r>
      <rPr>
        <i/>
        <vertAlign val="subscript"/>
        <sz val="9"/>
        <color theme="1"/>
        <rFont val="Jacobs Chronos"/>
        <family val="2"/>
      </rPr>
      <t>9</t>
    </r>
    <r>
      <rPr>
        <sz val="9"/>
        <color theme="1"/>
        <rFont val="Jacobs Chronos"/>
        <family val="2"/>
      </rPr>
      <t xml:space="preserve"> =</t>
    </r>
  </si>
  <si>
    <r>
      <t>Θ</t>
    </r>
    <r>
      <rPr>
        <i/>
        <vertAlign val="subscript"/>
        <sz val="9"/>
        <color theme="1"/>
        <rFont val="Jacobs Chronos"/>
        <family val="2"/>
      </rPr>
      <t>8</t>
    </r>
    <r>
      <rPr>
        <sz val="9"/>
        <color theme="1"/>
        <rFont val="Jacobs Chronos"/>
        <family val="2"/>
      </rPr>
      <t xml:space="preserve"> =</t>
    </r>
  </si>
  <si>
    <r>
      <t>Θ</t>
    </r>
    <r>
      <rPr>
        <i/>
        <vertAlign val="subscript"/>
        <sz val="9"/>
        <color theme="1"/>
        <rFont val="Jacobs Chronos"/>
        <family val="2"/>
      </rPr>
      <t>7</t>
    </r>
    <r>
      <rPr>
        <sz val="9"/>
        <color theme="1"/>
        <rFont val="Jacobs Chronos"/>
        <family val="2"/>
      </rPr>
      <t xml:space="preserve"> =</t>
    </r>
  </si>
  <si>
    <r>
      <t>Θ</t>
    </r>
    <r>
      <rPr>
        <i/>
        <vertAlign val="subscript"/>
        <sz val="9"/>
        <color theme="1"/>
        <rFont val="Jacobs Chronos"/>
        <family val="2"/>
      </rPr>
      <t>6</t>
    </r>
    <r>
      <rPr>
        <sz val="9"/>
        <color theme="1"/>
        <rFont val="Jacobs Chronos"/>
        <family val="2"/>
      </rPr>
      <t xml:space="preserve"> =</t>
    </r>
  </si>
  <si>
    <r>
      <t>Θ</t>
    </r>
    <r>
      <rPr>
        <i/>
        <vertAlign val="subscript"/>
        <sz val="9"/>
        <color theme="1"/>
        <rFont val="Jacobs Chronos"/>
        <family val="2"/>
      </rPr>
      <t>2</t>
    </r>
    <r>
      <rPr>
        <sz val="9"/>
        <color theme="1"/>
        <rFont val="Jacobs Chronos"/>
        <family val="2"/>
      </rPr>
      <t xml:space="preserve"> =</t>
    </r>
  </si>
  <si>
    <t>Vertical Tensile Force per Web =</t>
  </si>
  <si>
    <t>Max vertical tensile force in Web =</t>
  </si>
  <si>
    <t>#</t>
  </si>
  <si>
    <r>
      <t xml:space="preserve">Number of Bursting Stirrups, </t>
    </r>
    <r>
      <rPr>
        <i/>
        <sz val="9"/>
        <color theme="1"/>
        <rFont val="Jacobs Chronos"/>
        <family val="2"/>
      </rPr>
      <t>N</t>
    </r>
    <r>
      <rPr>
        <i/>
        <vertAlign val="subscript"/>
        <sz val="9"/>
        <color theme="1"/>
        <rFont val="Jacobs Chronos"/>
        <family val="2"/>
      </rPr>
      <t>B</t>
    </r>
    <r>
      <rPr>
        <sz val="9"/>
        <color theme="1"/>
        <rFont val="Jacobs Chronos"/>
        <family val="2"/>
      </rPr>
      <t xml:space="preserve"> =</t>
    </r>
  </si>
  <si>
    <r>
      <t xml:space="preserve">Reinforcing Size for Spalling, </t>
    </r>
    <r>
      <rPr>
        <i/>
        <sz val="9"/>
        <color theme="1"/>
        <rFont val="Jacobs Chronos"/>
        <family val="2"/>
      </rPr>
      <t>X</t>
    </r>
    <r>
      <rPr>
        <i/>
        <vertAlign val="subscript"/>
        <sz val="9"/>
        <color theme="1"/>
        <rFont val="Jacobs Chronos"/>
        <family val="2"/>
      </rPr>
      <t>S</t>
    </r>
    <r>
      <rPr>
        <sz val="9"/>
        <color theme="1"/>
        <rFont val="Jacobs Chronos"/>
        <family val="2"/>
      </rPr>
      <t xml:space="preserve"> =</t>
    </r>
  </si>
  <si>
    <r>
      <t xml:space="preserve">Number of Spalling Bars, </t>
    </r>
    <r>
      <rPr>
        <i/>
        <sz val="9"/>
        <color theme="1"/>
        <rFont val="Jacobs Chronos"/>
        <family val="2"/>
      </rPr>
      <t>N</t>
    </r>
    <r>
      <rPr>
        <i/>
        <vertAlign val="subscript"/>
        <sz val="9"/>
        <color theme="1"/>
        <rFont val="Jacobs Chronos"/>
        <family val="2"/>
      </rPr>
      <t>S</t>
    </r>
    <r>
      <rPr>
        <sz val="9"/>
        <color theme="1"/>
        <rFont val="Jacobs Chronos"/>
        <family val="2"/>
      </rPr>
      <t xml:space="preserve"> =</t>
    </r>
  </si>
  <si>
    <r>
      <t xml:space="preserve">Steel Yield Strength, </t>
    </r>
    <r>
      <rPr>
        <i/>
        <sz val="9"/>
        <color theme="1"/>
        <rFont val="Jacobs Chronos"/>
        <family val="2"/>
      </rPr>
      <t>f</t>
    </r>
    <r>
      <rPr>
        <i/>
        <vertAlign val="subscript"/>
        <sz val="9"/>
        <color theme="1"/>
        <rFont val="Jacobs Chronos"/>
        <family val="2"/>
      </rPr>
      <t>y</t>
    </r>
    <r>
      <rPr>
        <sz val="9"/>
        <color theme="1"/>
        <rFont val="Jacobs Chronos"/>
        <family val="2"/>
      </rPr>
      <t xml:space="preserve"> =</t>
    </r>
  </si>
  <si>
    <r>
      <rPr>
        <sz val="9"/>
        <color theme="1"/>
        <rFont val="Jacobs Chronos"/>
        <family val="2"/>
      </rPr>
      <t xml:space="preserve">Res Facor for Concrete Comp in Anch Zone, </t>
    </r>
    <r>
      <rPr>
        <i/>
        <sz val="9"/>
        <color theme="1"/>
        <rFont val="Jacobs Chronos"/>
        <family val="2"/>
      </rPr>
      <t>ϕ</t>
    </r>
    <r>
      <rPr>
        <i/>
        <vertAlign val="subscript"/>
        <sz val="9"/>
        <color theme="1"/>
        <rFont val="Jacobs Chronos"/>
        <family val="2"/>
      </rPr>
      <t>c</t>
    </r>
    <r>
      <rPr>
        <i/>
        <sz val="9"/>
        <color theme="1"/>
        <rFont val="Jacobs Chronos"/>
        <family val="2"/>
      </rPr>
      <t xml:space="preserve"> </t>
    </r>
    <r>
      <rPr>
        <sz val="9"/>
        <color theme="1"/>
        <rFont val="Jacobs Chronos"/>
        <family val="2"/>
      </rPr>
      <t>=</t>
    </r>
  </si>
  <si>
    <r>
      <t xml:space="preserve">Top Slab Zone 1 Trans Rebar Size, </t>
    </r>
    <r>
      <rPr>
        <i/>
        <sz val="9"/>
        <color theme="1"/>
        <rFont val="Jacobs Chronos"/>
        <family val="2"/>
      </rPr>
      <t>X</t>
    </r>
    <r>
      <rPr>
        <i/>
        <vertAlign val="subscript"/>
        <sz val="9"/>
        <color theme="1"/>
        <rFont val="Jacobs Chronos"/>
        <family val="2"/>
      </rPr>
      <t>T1</t>
    </r>
    <r>
      <rPr>
        <sz val="9"/>
        <color theme="1"/>
        <rFont val="Jacobs Chronos"/>
        <family val="2"/>
      </rPr>
      <t xml:space="preserve"> =</t>
    </r>
  </si>
  <si>
    <r>
      <t xml:space="preserve">Top Slab Zone 2 Trans Rebar Size, </t>
    </r>
    <r>
      <rPr>
        <i/>
        <sz val="9"/>
        <color theme="1"/>
        <rFont val="Jacobs Chronos"/>
        <family val="2"/>
      </rPr>
      <t>X</t>
    </r>
    <r>
      <rPr>
        <i/>
        <vertAlign val="subscript"/>
        <sz val="9"/>
        <color theme="1"/>
        <rFont val="Jacobs Chronos"/>
        <family val="2"/>
      </rPr>
      <t>T2</t>
    </r>
    <r>
      <rPr>
        <sz val="9"/>
        <color theme="1"/>
        <rFont val="Jacobs Chronos"/>
        <family val="2"/>
      </rPr>
      <t xml:space="preserve"> =</t>
    </r>
  </si>
  <si>
    <r>
      <t xml:space="preserve">Bottom Slab Zone 1 Trans Rebar Size, </t>
    </r>
    <r>
      <rPr>
        <i/>
        <sz val="9"/>
        <color theme="1"/>
        <rFont val="Jacobs Chronos"/>
        <family val="2"/>
      </rPr>
      <t>X</t>
    </r>
    <r>
      <rPr>
        <i/>
        <vertAlign val="subscript"/>
        <sz val="9"/>
        <color theme="1"/>
        <rFont val="Jacobs Chronos"/>
        <family val="2"/>
      </rPr>
      <t>B1</t>
    </r>
    <r>
      <rPr>
        <sz val="9"/>
        <color theme="1"/>
        <rFont val="Jacobs Chronos"/>
        <family val="2"/>
      </rPr>
      <t xml:space="preserve"> =</t>
    </r>
  </si>
  <si>
    <r>
      <t xml:space="preserve">Vertical Total Tendon Force, </t>
    </r>
    <r>
      <rPr>
        <i/>
        <sz val="9"/>
        <color theme="1"/>
        <rFont val="Jacobs Chronos"/>
        <family val="2"/>
      </rPr>
      <t>P</t>
    </r>
    <r>
      <rPr>
        <i/>
        <vertAlign val="subscript"/>
        <sz val="9"/>
        <color theme="1"/>
        <rFont val="Jacobs Chronos"/>
        <family val="2"/>
      </rPr>
      <t>uv</t>
    </r>
    <r>
      <rPr>
        <sz val="9"/>
        <color theme="1"/>
        <rFont val="Jacobs Chronos"/>
        <family val="2"/>
      </rPr>
      <t xml:space="preserve"> =</t>
    </r>
  </si>
  <si>
    <t>No.</t>
  </si>
  <si>
    <t>Spalling Force =</t>
  </si>
  <si>
    <r>
      <t xml:space="preserve">Required Aera of Reinforcement, </t>
    </r>
    <r>
      <rPr>
        <i/>
        <sz val="9"/>
        <color theme="1"/>
        <rFont val="Jacobs Chronos"/>
        <family val="2"/>
      </rPr>
      <t>A</t>
    </r>
    <r>
      <rPr>
        <i/>
        <vertAlign val="subscript"/>
        <sz val="9"/>
        <color theme="1"/>
        <rFont val="Jacobs Chronos"/>
        <family val="2"/>
      </rPr>
      <t>s.req</t>
    </r>
    <r>
      <rPr>
        <sz val="9"/>
        <color theme="1"/>
        <rFont val="Jacobs Chronos"/>
        <family val="2"/>
      </rPr>
      <t xml:space="preserve"> =</t>
    </r>
  </si>
  <si>
    <r>
      <t xml:space="preserve">Provided Aera of Reinforcement, </t>
    </r>
    <r>
      <rPr>
        <i/>
        <sz val="9"/>
        <color theme="1"/>
        <rFont val="Jacobs Chronos"/>
        <family val="2"/>
      </rPr>
      <t>A</t>
    </r>
    <r>
      <rPr>
        <i/>
        <vertAlign val="subscript"/>
        <sz val="9"/>
        <color theme="1"/>
        <rFont val="Jacobs Chronos"/>
        <family val="2"/>
      </rPr>
      <t>s.prov</t>
    </r>
    <r>
      <rPr>
        <sz val="9"/>
        <color theme="1"/>
        <rFont val="Jacobs Chronos"/>
        <family val="2"/>
      </rPr>
      <t xml:space="preserve"> =</t>
    </r>
  </si>
  <si>
    <t>Local zone / General zone Interface Width =</t>
  </si>
  <si>
    <t>Allowable stress =</t>
  </si>
  <si>
    <r>
      <t xml:space="preserve">Final Concrete Strength, </t>
    </r>
    <r>
      <rPr>
        <i/>
        <sz val="9"/>
        <color theme="1"/>
        <rFont val="Jacobs Chronos"/>
        <family val="2"/>
      </rPr>
      <t>f'</t>
    </r>
    <r>
      <rPr>
        <i/>
        <vertAlign val="subscript"/>
        <sz val="9"/>
        <color theme="1"/>
        <rFont val="Jacobs Chronos"/>
        <family val="2"/>
      </rPr>
      <t>ci</t>
    </r>
    <r>
      <rPr>
        <sz val="9"/>
        <color theme="1"/>
        <rFont val="Jacobs Chronos"/>
        <family val="2"/>
      </rPr>
      <t xml:space="preserve"> =</t>
    </r>
  </si>
  <si>
    <t>Joint</t>
  </si>
  <si>
    <t>First tie tensile reinforcement requirement:</t>
  </si>
  <si>
    <r>
      <t xml:space="preserve">Number of Top Slab Zone 1 Trans Rebar, </t>
    </r>
    <r>
      <rPr>
        <i/>
        <sz val="9"/>
        <color theme="1"/>
        <rFont val="Jacobs Chronos"/>
        <family val="2"/>
      </rPr>
      <t>N</t>
    </r>
    <r>
      <rPr>
        <i/>
        <vertAlign val="subscript"/>
        <sz val="9"/>
        <color theme="1"/>
        <rFont val="Jacobs Chronos"/>
        <family val="2"/>
      </rPr>
      <t>T1</t>
    </r>
    <r>
      <rPr>
        <sz val="9"/>
        <color theme="1"/>
        <rFont val="Jacobs Chronos"/>
        <family val="2"/>
      </rPr>
      <t xml:space="preserve"> =</t>
    </r>
  </si>
  <si>
    <r>
      <t xml:space="preserve">Number of Top Slab Zone 2 Trans Rebar, </t>
    </r>
    <r>
      <rPr>
        <i/>
        <sz val="9"/>
        <color theme="1"/>
        <rFont val="Jacobs Chronos"/>
        <family val="2"/>
      </rPr>
      <t>N</t>
    </r>
    <r>
      <rPr>
        <i/>
        <vertAlign val="subscript"/>
        <sz val="9"/>
        <color theme="1"/>
        <rFont val="Jacobs Chronos"/>
        <family val="2"/>
      </rPr>
      <t>T2</t>
    </r>
    <r>
      <rPr>
        <sz val="9"/>
        <color theme="1"/>
        <rFont val="Jacobs Chronos"/>
        <family val="2"/>
      </rPr>
      <t xml:space="preserve"> =</t>
    </r>
  </si>
  <si>
    <t>Second tie tensile reinforcement requirement:</t>
  </si>
  <si>
    <t>Exterior Width of Bottom Slab =</t>
  </si>
  <si>
    <r>
      <t xml:space="preserve">Number of Bottom Slab Zone 1 Trans Reabr, </t>
    </r>
    <r>
      <rPr>
        <i/>
        <sz val="9"/>
        <color theme="1"/>
        <rFont val="Jacobs Chronos"/>
        <family val="2"/>
      </rPr>
      <t>N</t>
    </r>
    <r>
      <rPr>
        <i/>
        <vertAlign val="subscript"/>
        <sz val="9"/>
        <color theme="1"/>
        <rFont val="Jacobs Chronos"/>
        <family val="2"/>
      </rPr>
      <t>B1</t>
    </r>
    <r>
      <rPr>
        <sz val="9"/>
        <color theme="1"/>
        <rFont val="Jacobs Chronos"/>
        <family val="2"/>
      </rPr>
      <t xml:space="preserve"> =</t>
    </r>
  </si>
  <si>
    <r>
      <t xml:space="preserve">Number of internal webs, </t>
    </r>
    <r>
      <rPr>
        <i/>
        <sz val="9"/>
        <color theme="1"/>
        <rFont val="Jacobs Chronos"/>
        <family val="2"/>
      </rPr>
      <t>N</t>
    </r>
    <r>
      <rPr>
        <i/>
        <vertAlign val="subscript"/>
        <sz val="9"/>
        <color theme="1"/>
        <rFont val="Jacobs Chronos"/>
        <family val="2"/>
      </rPr>
      <t>web</t>
    </r>
    <r>
      <rPr>
        <sz val="9"/>
        <color theme="1"/>
        <rFont val="Jacobs Chronos"/>
        <family val="2"/>
      </rPr>
      <t xml:space="preserve"> =</t>
    </r>
  </si>
  <si>
    <r>
      <t xml:space="preserve">Angle at which exterior web is placed </t>
    </r>
    <r>
      <rPr>
        <i/>
        <sz val="9"/>
        <color theme="1"/>
        <rFont val="Jacobs Chronos"/>
        <family val="2"/>
      </rPr>
      <t>β</t>
    </r>
    <r>
      <rPr>
        <sz val="9"/>
        <color theme="1"/>
        <rFont val="Jacobs Chronos"/>
        <family val="2"/>
      </rPr>
      <t xml:space="preserve"> =</t>
    </r>
  </si>
  <si>
    <r>
      <t xml:space="preserve">Distance from Face of the Blockout to the Bridge Abutment CL </t>
    </r>
    <r>
      <rPr>
        <i/>
        <sz val="9"/>
        <color theme="1"/>
        <rFont val="Jacobs Chronos"/>
        <family val="2"/>
      </rPr>
      <t>L</t>
    </r>
    <r>
      <rPr>
        <i/>
        <vertAlign val="subscript"/>
        <sz val="9"/>
        <color theme="1"/>
        <rFont val="Jacobs Chronos"/>
        <family val="2"/>
      </rPr>
      <t>b</t>
    </r>
    <r>
      <rPr>
        <sz val="9"/>
        <color theme="1"/>
        <rFont val="Jacobs Chronos"/>
        <family val="2"/>
      </rPr>
      <t xml:space="preserve"> =</t>
    </r>
  </si>
  <si>
    <r>
      <t xml:space="preserve">Maximum Width of Local Zone, </t>
    </r>
    <r>
      <rPr>
        <i/>
        <sz val="9"/>
        <color theme="1"/>
        <rFont val="Jacobs Chronos"/>
        <family val="2"/>
      </rPr>
      <t>W</t>
    </r>
    <r>
      <rPr>
        <i/>
        <vertAlign val="subscript"/>
        <sz val="9"/>
        <color theme="1"/>
        <rFont val="Jacobs Chronos"/>
        <family val="2"/>
      </rPr>
      <t>lz</t>
    </r>
    <r>
      <rPr>
        <sz val="9"/>
        <color theme="1"/>
        <rFont val="Jacobs Chronos"/>
        <family val="2"/>
      </rPr>
      <t xml:space="preserve"> =</t>
    </r>
  </si>
  <si>
    <r>
      <t xml:space="preserve">Section Height, </t>
    </r>
    <r>
      <rPr>
        <i/>
        <sz val="9"/>
        <color theme="1"/>
        <rFont val="Jacobs Chronos"/>
        <family val="2"/>
      </rPr>
      <t>S</t>
    </r>
    <r>
      <rPr>
        <i/>
        <vertAlign val="subscript"/>
        <sz val="9"/>
        <color theme="1"/>
        <rFont val="Jacobs Chronos"/>
        <family val="2"/>
      </rPr>
      <t>h</t>
    </r>
    <r>
      <rPr>
        <sz val="9"/>
        <color theme="1"/>
        <rFont val="Jacobs Chronos"/>
        <family val="2"/>
      </rPr>
      <t xml:space="preserve"> =</t>
    </r>
  </si>
  <si>
    <r>
      <t xml:space="preserve">Section Width, </t>
    </r>
    <r>
      <rPr>
        <i/>
        <sz val="9"/>
        <color theme="1"/>
        <rFont val="Jacobs Chronos"/>
        <family val="2"/>
      </rPr>
      <t>S</t>
    </r>
    <r>
      <rPr>
        <i/>
        <vertAlign val="subscript"/>
        <sz val="9"/>
        <color theme="1"/>
        <rFont val="Jacobs Chronos"/>
        <family val="2"/>
      </rPr>
      <t>w</t>
    </r>
    <r>
      <rPr>
        <sz val="9"/>
        <color theme="1"/>
        <rFont val="Jacobs Chronos"/>
        <family val="2"/>
      </rPr>
      <t xml:space="preserve"> =</t>
    </r>
  </si>
  <si>
    <r>
      <t xml:space="preserve">Web Flare Width, </t>
    </r>
    <r>
      <rPr>
        <i/>
        <sz val="9"/>
        <color theme="1"/>
        <rFont val="Jacobs Chronos"/>
        <family val="2"/>
      </rPr>
      <t>W</t>
    </r>
    <r>
      <rPr>
        <i/>
        <vertAlign val="subscript"/>
        <sz val="9"/>
        <color theme="1"/>
        <rFont val="Jacobs Chronos"/>
        <family val="2"/>
      </rPr>
      <t>fw</t>
    </r>
    <r>
      <rPr>
        <sz val="9"/>
        <color theme="1"/>
        <rFont val="Jacobs Chronos"/>
        <family val="2"/>
      </rPr>
      <t xml:space="preserve"> =</t>
    </r>
  </si>
  <si>
    <r>
      <t xml:space="preserve">Total Web Flare Width, </t>
    </r>
    <r>
      <rPr>
        <i/>
        <sz val="9"/>
        <color theme="1"/>
        <rFont val="Jacobs Chronos"/>
        <family val="2"/>
      </rPr>
      <t>TW</t>
    </r>
    <r>
      <rPr>
        <i/>
        <vertAlign val="subscript"/>
        <sz val="9"/>
        <color theme="1"/>
        <rFont val="Jacobs Chronos"/>
        <family val="2"/>
      </rPr>
      <t>fw</t>
    </r>
    <r>
      <rPr>
        <sz val="9"/>
        <color theme="1"/>
        <rFont val="Jacobs Chronos"/>
        <family val="2"/>
      </rPr>
      <t xml:space="preserve"> =</t>
    </r>
  </si>
  <si>
    <r>
      <t xml:space="preserve">Area of section, </t>
    </r>
    <r>
      <rPr>
        <i/>
        <sz val="9"/>
        <color theme="1"/>
        <rFont val="Jacobs Chronos"/>
        <family val="2"/>
      </rPr>
      <t>S</t>
    </r>
    <r>
      <rPr>
        <i/>
        <vertAlign val="subscript"/>
        <sz val="9"/>
        <color theme="1"/>
        <rFont val="Jacobs Chronos"/>
        <family val="2"/>
      </rPr>
      <t>a</t>
    </r>
    <r>
      <rPr>
        <sz val="9"/>
        <color theme="1"/>
        <rFont val="Jacobs Chronos"/>
        <family val="2"/>
      </rPr>
      <t xml:space="preserve"> =</t>
    </r>
  </si>
  <si>
    <r>
      <t xml:space="preserve">Moment of Interia </t>
    </r>
    <r>
      <rPr>
        <i/>
        <sz val="9"/>
        <color theme="1"/>
        <rFont val="Jacobs Chronos"/>
        <family val="2"/>
      </rPr>
      <t>m</t>
    </r>
    <r>
      <rPr>
        <i/>
        <vertAlign val="subscript"/>
        <sz val="9"/>
        <color theme="1"/>
        <rFont val="Jacobs Chronos"/>
        <family val="2"/>
      </rPr>
      <t>I</t>
    </r>
    <r>
      <rPr>
        <sz val="9"/>
        <color theme="1"/>
        <rFont val="Jacobs Chronos"/>
        <family val="2"/>
      </rPr>
      <t xml:space="preserve"> =</t>
    </r>
  </si>
  <si>
    <r>
      <t xml:space="preserve">Distance to Bottom Fiber, </t>
    </r>
    <r>
      <rPr>
        <i/>
        <sz val="9"/>
        <color theme="1"/>
        <rFont val="Jacobs Chronos"/>
        <family val="2"/>
      </rPr>
      <t>y</t>
    </r>
    <r>
      <rPr>
        <i/>
        <vertAlign val="subscript"/>
        <sz val="9"/>
        <color theme="1"/>
        <rFont val="Jacobs Chronos"/>
        <family val="2"/>
      </rPr>
      <t>bf</t>
    </r>
    <r>
      <rPr>
        <sz val="9"/>
        <color theme="1"/>
        <rFont val="Jacobs Chronos"/>
        <family val="2"/>
      </rPr>
      <t xml:space="preserve"> =</t>
    </r>
  </si>
  <si>
    <r>
      <t xml:space="preserve">Distance to Top Fiber, </t>
    </r>
    <r>
      <rPr>
        <i/>
        <sz val="9"/>
        <color theme="1"/>
        <rFont val="Jacobs Chronos"/>
        <family val="2"/>
      </rPr>
      <t>y</t>
    </r>
    <r>
      <rPr>
        <i/>
        <vertAlign val="subscript"/>
        <sz val="9"/>
        <color theme="1"/>
        <rFont val="Jacobs Chronos"/>
        <family val="2"/>
      </rPr>
      <t>tf</t>
    </r>
    <r>
      <rPr>
        <sz val="9"/>
        <color theme="1"/>
        <rFont val="Jacobs Chronos"/>
        <family val="2"/>
      </rPr>
      <t xml:space="preserve"> =</t>
    </r>
  </si>
  <si>
    <r>
      <t xml:space="preserve">Beggining of Strands Bending counting from Bearing CL, </t>
    </r>
    <r>
      <rPr>
        <i/>
        <sz val="9"/>
        <color theme="1"/>
        <rFont val="Jacobs Chronos"/>
        <family val="2"/>
      </rPr>
      <t>L</t>
    </r>
    <r>
      <rPr>
        <i/>
        <vertAlign val="subscript"/>
        <sz val="9"/>
        <color theme="1"/>
        <rFont val="Jacobs Chronos"/>
        <family val="2"/>
      </rPr>
      <t>bs</t>
    </r>
    <r>
      <rPr>
        <sz val="9"/>
        <color theme="1"/>
        <rFont val="Jacobs Chronos"/>
        <family val="2"/>
      </rPr>
      <t xml:space="preserve"> =</t>
    </r>
  </si>
  <si>
    <t>Angle of Anchorage Device, α =</t>
  </si>
  <si>
    <r>
      <t xml:space="preserve">Number of Strands in Top Tendon, </t>
    </r>
    <r>
      <rPr>
        <i/>
        <sz val="9"/>
        <color theme="1"/>
        <rFont val="Jacobs Chronos"/>
        <family val="2"/>
      </rPr>
      <t>N</t>
    </r>
    <r>
      <rPr>
        <i/>
        <vertAlign val="subscript"/>
        <sz val="9"/>
        <color theme="1"/>
        <rFont val="Jacobs Chronos"/>
        <family val="2"/>
      </rPr>
      <t>TT</t>
    </r>
    <r>
      <rPr>
        <sz val="9"/>
        <color theme="1"/>
        <rFont val="Jacobs Chronos"/>
        <family val="2"/>
      </rPr>
      <t xml:space="preserve"> =</t>
    </r>
  </si>
  <si>
    <r>
      <t xml:space="preserve">Number of Strands in Bottom Tendon, </t>
    </r>
    <r>
      <rPr>
        <i/>
        <sz val="9"/>
        <color theme="1"/>
        <rFont val="Jacobs Chronos"/>
        <family val="2"/>
      </rPr>
      <t>N</t>
    </r>
    <r>
      <rPr>
        <i/>
        <vertAlign val="subscript"/>
        <sz val="9"/>
        <color theme="1"/>
        <rFont val="Jacobs Chronos"/>
        <family val="2"/>
      </rPr>
      <t>BT</t>
    </r>
    <r>
      <rPr>
        <sz val="9"/>
        <color theme="1"/>
        <rFont val="Jacobs Chronos"/>
        <family val="2"/>
      </rPr>
      <t xml:space="preserve"> =</t>
    </r>
  </si>
  <si>
    <r>
      <t xml:space="preserve">Top, </t>
    </r>
    <r>
      <rPr>
        <i/>
        <sz val="9"/>
        <color theme="1"/>
        <rFont val="Jacobs Chronos"/>
        <family val="2"/>
      </rPr>
      <t>t</t>
    </r>
    <r>
      <rPr>
        <i/>
        <vertAlign val="subscript"/>
        <sz val="9"/>
        <color theme="1"/>
        <rFont val="Jacobs Chronos"/>
        <family val="2"/>
      </rPr>
      <t>s</t>
    </r>
    <r>
      <rPr>
        <sz val="9"/>
        <color theme="1"/>
        <rFont val="Jacobs Chronos"/>
        <family val="2"/>
      </rPr>
      <t xml:space="preserve"> =</t>
    </r>
  </si>
  <si>
    <r>
      <t xml:space="preserve">Soffit, </t>
    </r>
    <r>
      <rPr>
        <i/>
        <sz val="9"/>
        <color theme="1"/>
        <rFont val="Jacobs Chronos"/>
        <family val="2"/>
      </rPr>
      <t>s</t>
    </r>
    <r>
      <rPr>
        <i/>
        <vertAlign val="subscript"/>
        <sz val="9"/>
        <color theme="1"/>
        <rFont val="Jacobs Chronos"/>
        <family val="2"/>
      </rPr>
      <t>s</t>
    </r>
    <r>
      <rPr>
        <sz val="9"/>
        <color theme="1"/>
        <rFont val="Jacobs Chronos"/>
        <family val="2"/>
      </rPr>
      <t xml:space="preserve"> =</t>
    </r>
  </si>
  <si>
    <r>
      <t xml:space="preserve">Overhang, </t>
    </r>
    <r>
      <rPr>
        <i/>
        <sz val="9"/>
        <color theme="1"/>
        <rFont val="Jacobs Chronos"/>
        <family val="2"/>
      </rPr>
      <t>o</t>
    </r>
    <r>
      <rPr>
        <i/>
        <vertAlign val="subscript"/>
        <sz val="9"/>
        <color theme="1"/>
        <rFont val="Jacobs Chronos"/>
        <family val="2"/>
      </rPr>
      <t>s</t>
    </r>
    <r>
      <rPr>
        <sz val="9"/>
        <color theme="1"/>
        <rFont val="Jacobs Chronos"/>
        <family val="2"/>
      </rPr>
      <t xml:space="preserve"> =</t>
    </r>
  </si>
  <si>
    <r>
      <t xml:space="preserve">Top Bot, </t>
    </r>
    <r>
      <rPr>
        <i/>
        <sz val="9"/>
        <color theme="1"/>
        <rFont val="Jacobs Chronos"/>
        <family val="2"/>
      </rPr>
      <t>tb</t>
    </r>
    <r>
      <rPr>
        <i/>
        <vertAlign val="subscript"/>
        <sz val="9"/>
        <color theme="1"/>
        <rFont val="Jacobs Chronos"/>
        <family val="2"/>
      </rPr>
      <t>s</t>
    </r>
    <r>
      <rPr>
        <sz val="9"/>
        <color theme="1"/>
        <rFont val="Jacobs Chronos"/>
        <family val="2"/>
      </rPr>
      <t xml:space="preserve"> =</t>
    </r>
  </si>
  <si>
    <r>
      <t xml:space="preserve">Bottom, </t>
    </r>
    <r>
      <rPr>
        <i/>
        <sz val="9"/>
        <color theme="1"/>
        <rFont val="Jacobs Chronos"/>
        <family val="2"/>
      </rPr>
      <t>b</t>
    </r>
    <r>
      <rPr>
        <i/>
        <vertAlign val="subscript"/>
        <sz val="9"/>
        <color theme="1"/>
        <rFont val="Jacobs Chronos"/>
        <family val="2"/>
      </rPr>
      <t>s</t>
    </r>
    <r>
      <rPr>
        <sz val="9"/>
        <color theme="1"/>
        <rFont val="Jacobs Chronos"/>
        <family val="2"/>
      </rPr>
      <t xml:space="preserve"> =</t>
    </r>
  </si>
  <si>
    <r>
      <t xml:space="preserve">Top Slab Thickness, </t>
    </r>
    <r>
      <rPr>
        <i/>
        <sz val="9"/>
        <color theme="1"/>
        <rFont val="Jacobs Chronos"/>
        <family val="2"/>
      </rPr>
      <t>H</t>
    </r>
    <r>
      <rPr>
        <i/>
        <vertAlign val="subscript"/>
        <sz val="9"/>
        <color theme="1"/>
        <rFont val="Jacobs Chronos"/>
        <family val="2"/>
      </rPr>
      <t>ts</t>
    </r>
    <r>
      <rPr>
        <sz val="9"/>
        <color theme="1"/>
        <rFont val="Jacobs Chronos"/>
        <family val="2"/>
      </rPr>
      <t xml:space="preserve"> =</t>
    </r>
  </si>
  <si>
    <r>
      <t xml:space="preserve">Bottom Slab Thickness, </t>
    </r>
    <r>
      <rPr>
        <i/>
        <sz val="9"/>
        <color theme="1"/>
        <rFont val="Jacobs Chronos"/>
        <family val="2"/>
      </rPr>
      <t>H</t>
    </r>
    <r>
      <rPr>
        <i/>
        <vertAlign val="subscript"/>
        <sz val="9"/>
        <color theme="1"/>
        <rFont val="Jacobs Chronos"/>
        <family val="2"/>
      </rPr>
      <t>bs</t>
    </r>
    <r>
      <rPr>
        <sz val="9"/>
        <color theme="1"/>
        <rFont val="Jacobs Chronos"/>
        <family val="2"/>
      </rPr>
      <t xml:space="preserve"> =</t>
    </r>
  </si>
  <si>
    <r>
      <t xml:space="preserve">Overhang Thickness, </t>
    </r>
    <r>
      <rPr>
        <i/>
        <sz val="9"/>
        <color theme="1"/>
        <rFont val="Jacobs Chronos"/>
        <family val="2"/>
      </rPr>
      <t>H</t>
    </r>
    <r>
      <rPr>
        <i/>
        <vertAlign val="subscript"/>
        <sz val="9"/>
        <color theme="1"/>
        <rFont val="Jacobs Chronos"/>
        <family val="2"/>
      </rPr>
      <t>o</t>
    </r>
    <r>
      <rPr>
        <sz val="9"/>
        <color theme="1"/>
        <rFont val="Jacobs Chronos"/>
        <family val="2"/>
      </rPr>
      <t xml:space="preserve"> =</t>
    </r>
  </si>
  <si>
    <r>
      <t xml:space="preserve">Exterior Web Thickness, </t>
    </r>
    <r>
      <rPr>
        <i/>
        <sz val="9"/>
        <color theme="1"/>
        <rFont val="Jacobs Chronos"/>
        <family val="2"/>
      </rPr>
      <t>H</t>
    </r>
    <r>
      <rPr>
        <i/>
        <vertAlign val="subscript"/>
        <sz val="9"/>
        <color theme="1"/>
        <rFont val="Jacobs Chronos"/>
        <family val="2"/>
      </rPr>
      <t>w_ext</t>
    </r>
    <r>
      <rPr>
        <sz val="9"/>
        <color theme="1"/>
        <rFont val="Jacobs Chronos"/>
        <family val="2"/>
      </rPr>
      <t xml:space="preserve"> =</t>
    </r>
  </si>
  <si>
    <r>
      <t xml:space="preserve">Interior Fillet Width, </t>
    </r>
    <r>
      <rPr>
        <i/>
        <sz val="9"/>
        <color theme="1"/>
        <rFont val="Jacobs Chronos"/>
        <family val="2"/>
      </rPr>
      <t>W</t>
    </r>
    <r>
      <rPr>
        <i/>
        <vertAlign val="subscript"/>
        <sz val="9"/>
        <color theme="1"/>
        <rFont val="Jacobs Chronos"/>
        <family val="2"/>
      </rPr>
      <t>f_int</t>
    </r>
    <r>
      <rPr>
        <sz val="9"/>
        <color theme="1"/>
        <rFont val="Jacobs Chronos"/>
        <family val="2"/>
      </rPr>
      <t xml:space="preserve"> =</t>
    </r>
  </si>
  <si>
    <r>
      <t xml:space="preserve">Interior Fillet Height, </t>
    </r>
    <r>
      <rPr>
        <i/>
        <sz val="9"/>
        <color theme="1"/>
        <rFont val="Jacobs Chronos"/>
        <family val="2"/>
      </rPr>
      <t>H</t>
    </r>
    <r>
      <rPr>
        <i/>
        <vertAlign val="subscript"/>
        <sz val="9"/>
        <color theme="1"/>
        <rFont val="Jacobs Chronos"/>
        <family val="2"/>
      </rPr>
      <t>f_int</t>
    </r>
    <r>
      <rPr>
        <sz val="9"/>
        <color theme="1"/>
        <rFont val="Jacobs Chronos"/>
        <family val="2"/>
      </rPr>
      <t xml:space="preserve"> =</t>
    </r>
  </si>
  <si>
    <r>
      <t xml:space="preserve">Exterior Fillet Thickness, </t>
    </r>
    <r>
      <rPr>
        <i/>
        <sz val="9"/>
        <color theme="1"/>
        <rFont val="Jacobs Chronos"/>
        <family val="2"/>
      </rPr>
      <t>H</t>
    </r>
    <r>
      <rPr>
        <i/>
        <vertAlign val="subscript"/>
        <sz val="9"/>
        <color theme="1"/>
        <rFont val="Jacobs Chronos"/>
        <family val="2"/>
      </rPr>
      <t>f_ext</t>
    </r>
    <r>
      <rPr>
        <sz val="9"/>
        <color theme="1"/>
        <rFont val="Jacobs Chronos"/>
        <family val="2"/>
      </rPr>
      <t xml:space="preserve"> =</t>
    </r>
  </si>
  <si>
    <t>c.g. combination =</t>
  </si>
  <si>
    <r>
      <t xml:space="preserve">Length of Anchorage Device Confining Reinforcement, </t>
    </r>
    <r>
      <rPr>
        <i/>
        <sz val="9"/>
        <color theme="1"/>
        <rFont val="Jacobs Chronos"/>
        <family val="2"/>
      </rPr>
      <t>L</t>
    </r>
    <r>
      <rPr>
        <i/>
        <vertAlign val="subscript"/>
        <sz val="9"/>
        <color theme="1"/>
        <rFont val="Jacobs Chronos"/>
        <family val="2"/>
      </rPr>
      <t>anchorage</t>
    </r>
    <r>
      <rPr>
        <sz val="9"/>
        <color theme="1"/>
        <rFont val="Jacobs Chronos"/>
        <family val="2"/>
      </rPr>
      <t xml:space="preserve"> =</t>
    </r>
  </si>
  <si>
    <r>
      <rPr>
        <sz val="9"/>
        <color theme="1"/>
        <rFont val="Jacobs Chronos"/>
        <family val="2"/>
      </rPr>
      <t>Min Distance from Bottom Slab to CL of Strands at Midspan,</t>
    </r>
    <r>
      <rPr>
        <i/>
        <sz val="9"/>
        <color theme="1"/>
        <rFont val="Jacobs Chronos"/>
        <family val="2"/>
      </rPr>
      <t xml:space="preserve"> D</t>
    </r>
    <r>
      <rPr>
        <i/>
        <vertAlign val="subscript"/>
        <sz val="9"/>
        <color theme="1"/>
        <rFont val="Jacobs Chronos"/>
        <family val="2"/>
      </rPr>
      <t>bs</t>
    </r>
    <r>
      <rPr>
        <sz val="9"/>
        <color theme="1"/>
        <rFont val="Jacobs Chronos"/>
        <family val="2"/>
      </rPr>
      <t xml:space="preserve"> =</t>
    </r>
  </si>
  <si>
    <r>
      <t xml:space="preserve">Horizontal Top Tendon Force, </t>
    </r>
    <r>
      <rPr>
        <i/>
        <sz val="9"/>
        <color theme="1"/>
        <rFont val="Jacobs Chronos"/>
        <family val="2"/>
      </rPr>
      <t>P</t>
    </r>
    <r>
      <rPr>
        <i/>
        <vertAlign val="subscript"/>
        <sz val="9"/>
        <color theme="1"/>
        <rFont val="Jacobs Chronos"/>
        <family val="2"/>
      </rPr>
      <t>uh_t</t>
    </r>
    <r>
      <rPr>
        <sz val="9"/>
        <color theme="1"/>
        <rFont val="Jacobs Chronos"/>
        <family val="2"/>
      </rPr>
      <t>=</t>
    </r>
  </si>
  <si>
    <r>
      <t xml:space="preserve">Vertical Top Tendon Force, </t>
    </r>
    <r>
      <rPr>
        <i/>
        <sz val="9"/>
        <color theme="1"/>
        <rFont val="Jacobs Chronos"/>
        <family val="2"/>
      </rPr>
      <t>P</t>
    </r>
    <r>
      <rPr>
        <i/>
        <vertAlign val="subscript"/>
        <sz val="9"/>
        <color theme="1"/>
        <rFont val="Jacobs Chronos"/>
        <family val="2"/>
      </rPr>
      <t>uv_t</t>
    </r>
    <r>
      <rPr>
        <sz val="9"/>
        <color theme="1"/>
        <rFont val="Jacobs Chronos"/>
        <family val="2"/>
      </rPr>
      <t xml:space="preserve"> =</t>
    </r>
  </si>
  <si>
    <r>
      <t xml:space="preserve">Horizontal Bottom Tendon Force, </t>
    </r>
    <r>
      <rPr>
        <i/>
        <sz val="9"/>
        <color theme="1"/>
        <rFont val="Jacobs Chronos"/>
        <family val="2"/>
      </rPr>
      <t>P</t>
    </r>
    <r>
      <rPr>
        <i/>
        <vertAlign val="subscript"/>
        <sz val="9"/>
        <color theme="1"/>
        <rFont val="Jacobs Chronos"/>
        <family val="2"/>
      </rPr>
      <t>uh_b</t>
    </r>
    <r>
      <rPr>
        <sz val="9"/>
        <color theme="1"/>
        <rFont val="Jacobs Chronos"/>
        <family val="2"/>
      </rPr>
      <t xml:space="preserve"> =</t>
    </r>
  </si>
  <si>
    <r>
      <t xml:space="preserve">Vertical Bottom Tendon Force, </t>
    </r>
    <r>
      <rPr>
        <i/>
        <sz val="9"/>
        <color theme="1"/>
        <rFont val="Jacobs Chronos"/>
        <family val="2"/>
      </rPr>
      <t>P</t>
    </r>
    <r>
      <rPr>
        <i/>
        <vertAlign val="subscript"/>
        <sz val="9"/>
        <color theme="1"/>
        <rFont val="Jacobs Chronos"/>
        <family val="2"/>
      </rPr>
      <t>uv_b</t>
    </r>
    <r>
      <rPr>
        <sz val="9"/>
        <color theme="1"/>
        <rFont val="Jacobs Chronos"/>
        <family val="2"/>
      </rPr>
      <t xml:space="preserve"> =</t>
    </r>
  </si>
  <si>
    <r>
      <rPr>
        <sz val="9"/>
        <color theme="1"/>
        <rFont val="Jacobs Chronos"/>
        <family val="2"/>
      </rPr>
      <t>Distance of Straight Strands near the anchorage device,</t>
    </r>
    <r>
      <rPr>
        <i/>
        <sz val="9"/>
        <color theme="1"/>
        <rFont val="Jacobs Chronos"/>
        <family val="2"/>
      </rPr>
      <t xml:space="preserve"> y</t>
    </r>
    <r>
      <rPr>
        <i/>
        <vertAlign val="subscript"/>
        <sz val="9"/>
        <color theme="1"/>
        <rFont val="Jacobs Chronos"/>
        <family val="2"/>
      </rPr>
      <t>b2.9</t>
    </r>
    <r>
      <rPr>
        <sz val="9"/>
        <color theme="1"/>
        <rFont val="Jacobs Chronos"/>
        <family val="2"/>
      </rPr>
      <t xml:space="preserve"> =</t>
    </r>
  </si>
  <si>
    <t>11. Web Bursting Design</t>
  </si>
  <si>
    <t>12. Spaling Reinforcing</t>
  </si>
  <si>
    <t>13. Concrete Stresses</t>
  </si>
  <si>
    <t>14. Top Slab Analysis</t>
  </si>
  <si>
    <t>15. Bottom Slab Analysis</t>
  </si>
  <si>
    <t>To maintain equilibrium the first interior joint must be located at the center of gravity of the assumed load.</t>
  </si>
  <si>
    <r>
      <t xml:space="preserve">Interior Uniform Load at Bottom Slab, </t>
    </r>
    <r>
      <rPr>
        <i/>
        <sz val="9"/>
        <color theme="1"/>
        <rFont val="Jacobs Chronos"/>
        <family val="2"/>
      </rPr>
      <t>W</t>
    </r>
    <r>
      <rPr>
        <i/>
        <vertAlign val="subscript"/>
        <sz val="9"/>
        <color theme="1"/>
        <rFont val="Jacobs Chronos"/>
        <family val="2"/>
      </rPr>
      <t>int</t>
    </r>
    <r>
      <rPr>
        <sz val="9"/>
        <color theme="1"/>
        <rFont val="Jacobs Chronos"/>
        <family val="2"/>
      </rPr>
      <t xml:space="preserve"> =</t>
    </r>
  </si>
  <si>
    <r>
      <t xml:space="preserve">Exterior Uniform Load at Bottom Slab, </t>
    </r>
    <r>
      <rPr>
        <i/>
        <sz val="9"/>
        <color theme="1"/>
        <rFont val="Jacobs Chronos"/>
        <family val="2"/>
      </rPr>
      <t>W</t>
    </r>
    <r>
      <rPr>
        <i/>
        <vertAlign val="subscript"/>
        <sz val="9"/>
        <color theme="1"/>
        <rFont val="Jacobs Chronos"/>
        <family val="2"/>
      </rPr>
      <t>ext</t>
    </r>
    <r>
      <rPr>
        <sz val="9"/>
        <color theme="1"/>
        <rFont val="Jacobs Chronos"/>
        <family val="2"/>
      </rPr>
      <t xml:space="preserve"> =</t>
    </r>
  </si>
  <si>
    <t>Note: Max number of spacing is 21</t>
  </si>
  <si>
    <r>
      <t>in</t>
    </r>
    <r>
      <rPr>
        <vertAlign val="superscript"/>
        <sz val="9"/>
        <color theme="1"/>
        <rFont val="Jacobs Chronos"/>
        <family val="2"/>
      </rPr>
      <t>2</t>
    </r>
  </si>
  <si>
    <t>Discontinuity</t>
  </si>
  <si>
    <t xml:space="preserve">AASHTO 5.9.5.6.5 </t>
  </si>
  <si>
    <t>AASHTO 5.9.5.6.3</t>
  </si>
  <si>
    <t>AASHTO 5.8.4.4.1</t>
  </si>
  <si>
    <t>AASHTO 5.14.3</t>
  </si>
  <si>
    <t>AASHTO 3.4.3.2</t>
  </si>
  <si>
    <t>AASHTO 5.5.4.2</t>
  </si>
  <si>
    <t>AASHTO 5.9.5.6.5b</t>
  </si>
  <si>
    <r>
      <rPr>
        <sz val="9"/>
        <color theme="1"/>
        <rFont val="Jacobs Chronos"/>
        <family val="2"/>
      </rPr>
      <t>Concrete Stresses at the Local/General Zone,</t>
    </r>
    <r>
      <rPr>
        <i/>
        <sz val="9"/>
        <color theme="1"/>
        <rFont val="Jacobs Chronos"/>
        <family val="2"/>
      </rPr>
      <t xml:space="preserve"> f</t>
    </r>
    <r>
      <rPr>
        <i/>
        <vertAlign val="subscript"/>
        <sz val="9"/>
        <color theme="1"/>
        <rFont val="Jacobs Chronos"/>
        <family val="2"/>
      </rPr>
      <t>ci_L.G</t>
    </r>
    <r>
      <rPr>
        <sz val="9"/>
        <color theme="1"/>
        <rFont val="Jacobs Chronos"/>
        <family val="2"/>
      </rPr>
      <t xml:space="preserve"> =</t>
    </r>
  </si>
  <si>
    <r>
      <rPr>
        <sz val="9"/>
        <color theme="1"/>
        <rFont val="Jacobs Chronos"/>
        <family val="2"/>
      </rPr>
      <t>Concrete Stresses at the End of Diaphragm,</t>
    </r>
    <r>
      <rPr>
        <i/>
        <sz val="9"/>
        <color theme="1"/>
        <rFont val="Jacobs Chronos"/>
        <family val="2"/>
      </rPr>
      <t xml:space="preserve"> f</t>
    </r>
    <r>
      <rPr>
        <i/>
        <vertAlign val="subscript"/>
        <sz val="9"/>
        <color theme="1"/>
        <rFont val="Jacobs Chronos"/>
        <family val="2"/>
      </rPr>
      <t>ci_ED</t>
    </r>
    <r>
      <rPr>
        <sz val="9"/>
        <color theme="1"/>
        <rFont val="Jacobs Chronos"/>
        <family val="2"/>
      </rPr>
      <t xml:space="preserve"> =</t>
    </r>
  </si>
  <si>
    <t>Force No.</t>
  </si>
  <si>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</si>
  <si>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t>C.1</t>
  </si>
  <si>
    <t>Notation</t>
  </si>
  <si>
    <t>Introduction</t>
  </si>
  <si>
    <t>Geometry Definitions</t>
  </si>
  <si>
    <t>1.1.</t>
  </si>
  <si>
    <t>4.1.</t>
  </si>
  <si>
    <t>Determine Section Properties</t>
  </si>
  <si>
    <t>Anchorage Zone Parameters</t>
  </si>
  <si>
    <t>Determine External Loads</t>
  </si>
  <si>
    <t>Anchor Zone Stresses</t>
  </si>
  <si>
    <t>Anchorage Zones and Section Properties</t>
  </si>
  <si>
    <t>Determine Local Zone Length</t>
  </si>
  <si>
    <t>Determine General Zone Length</t>
  </si>
  <si>
    <t>Determine General Zone Stress Distribution</t>
  </si>
  <si>
    <t>Determine Forces at End of Anchorage Zone</t>
  </si>
  <si>
    <t>The Stress acting on each interface are determined as follows:</t>
  </si>
  <si>
    <t>Strut-and-Tie Model</t>
  </si>
  <si>
    <t>Solve for Member Forces</t>
  </si>
  <si>
    <t xml:space="preserve">
Member 1 Member 3 carry the applied forces at the end of the anchorage zone.   Member 3 has both a vertical and horizontal component.</t>
  </si>
  <si>
    <t xml:space="preserve">
The remainder of the member forces must be calculated by equating the sum of the node equal to zero in both the vertical and horizontal directions.</t>
  </si>
  <si>
    <t>Anchorage Zone Design</t>
  </si>
  <si>
    <t>Web Bursting Reinforcing</t>
  </si>
  <si>
    <t>Spalling Reinforcing</t>
  </si>
  <si>
    <t>Concrete Stresses</t>
  </si>
  <si>
    <t>Concrete Stress at End of Diaphragm Check =</t>
  </si>
  <si>
    <r>
      <t>Res</t>
    </r>
    <r>
      <rPr>
        <sz val="9"/>
        <color theme="1"/>
        <rFont val="Jacobs Chronos"/>
        <family val="2"/>
      </rPr>
      <t xml:space="preserve"> Factor for Tensile Rebar in Anchorage Zones, ϕ</t>
    </r>
    <r>
      <rPr>
        <i/>
        <vertAlign val="subscript"/>
        <sz val="9"/>
        <color theme="1"/>
        <rFont val="Jacobs Chronos"/>
        <family val="2"/>
      </rPr>
      <t>t</t>
    </r>
    <r>
      <rPr>
        <sz val="9"/>
        <color theme="1"/>
        <rFont val="Jacobs Chronos"/>
        <family val="2"/>
      </rPr>
      <t xml:space="preserve"> =</t>
    </r>
  </si>
  <si>
    <t xml:space="preserve">
From the anchorage head to the interface with between the local and general zone, the stress is assumed to spread at a 1:3 angle.</t>
  </si>
  <si>
    <t>The concrete must also be checked at the end of the diaphragm where the width of the spread is limited to the width of the web member.</t>
  </si>
  <si>
    <r>
      <t xml:space="preserve">Height of spread stresses at the end of Diaphragm, </t>
    </r>
    <r>
      <rPr>
        <i/>
        <sz val="9"/>
        <color theme="1"/>
        <rFont val="Jacobs Chronos"/>
        <family val="2"/>
      </rPr>
      <t>H</t>
    </r>
    <r>
      <rPr>
        <sz val="9"/>
        <color theme="1"/>
        <rFont val="Jacobs Chronos"/>
        <family val="2"/>
      </rPr>
      <t xml:space="preserve"> =</t>
    </r>
  </si>
  <si>
    <r>
      <t xml:space="preserve">A free body diagram is created by cutting the model through members 1, 8, and 19.  The forces are summed about Joint 8 to determine </t>
    </r>
    <r>
      <rPr>
        <i/>
        <sz val="9"/>
        <color theme="1"/>
        <rFont val="Jacobs Chronos"/>
        <family val="2"/>
      </rPr>
      <t>F</t>
    </r>
    <r>
      <rPr>
        <i/>
        <vertAlign val="subscript"/>
        <sz val="9"/>
        <color theme="1"/>
        <rFont val="Jacobs Chronos"/>
        <family val="2"/>
      </rPr>
      <t>1</t>
    </r>
    <r>
      <rPr>
        <sz val="9"/>
        <color theme="1"/>
        <rFont val="Jacobs Chronos"/>
        <family val="2"/>
      </rPr>
      <t>:</t>
    </r>
  </si>
  <si>
    <r>
      <t>Design Note:</t>
    </r>
    <r>
      <rPr>
        <sz val="9"/>
        <color theme="1"/>
        <rFont val="Jacobs Chronos"/>
        <family val="2"/>
      </rPr>
      <t xml:space="preserve">  The figure shows a strut-and-tie model constructed for the top slab of a bridge with 6 webs; the joint naming can be extended for bridges with additional webs.</t>
    </r>
  </si>
  <si>
    <t>Top Slab Design</t>
  </si>
  <si>
    <t>The transverse reinforcement requirements for the slab interior spans are sized to resist the forces developed in the second tensile tie as follows:</t>
  </si>
  <si>
    <t xml:space="preserve">
The transverse reinforcement requirements in the slab overhang are sized to resist the forces developed in the first tensile tie as follows:</t>
  </si>
  <si>
    <t>Bottom Slab Design</t>
  </si>
  <si>
    <r>
      <t>Design Note:</t>
    </r>
    <r>
      <rPr>
        <sz val="9"/>
        <color theme="1"/>
        <rFont val="Jacobs Chronos"/>
        <family val="2"/>
      </rPr>
      <t xml:space="preserve">  The figure shows a strut-and-tie model constructed for the bottom slab of a bridge with 6 webs; the joint naming can be extended for bridges with additional webs.</t>
    </r>
  </si>
  <si>
    <t xml:space="preserve">
The bottom slab must also disperse the concentrated forces from the webs to the slab. A strut-and-tie model (Figure C.1-12) is  created with one set of nodes at the web bottom slab interface 33 inches from the anchors and the other set half the web spacing  away.  At the end of the general zone the stresses can be uniformly distributed with nodes placed between the webs and the edge of deck.
For the bottom slab, the assumption of a uniformly distributed stress is not appropriate due to the sloping exterior web and the absence of a bottom cantilever. A more realistic assumption is that the forces carried by the two exterior webs are distributed from the slab edge up to a point located midway between the second and third webs. The total force in the bottom slab is therefore divided equally among the webs, making the force applied at each web the total bottom‑slab force divided by the number of webs. The forces applied at the remaining joints are determined by multiplying the uniform load by the corresponding tributary distance. </t>
  </si>
  <si>
    <r>
      <t xml:space="preserve">Dist. from Edge of Bot. Slab to CL of Ext. Web, </t>
    </r>
    <r>
      <rPr>
        <i/>
        <sz val="9"/>
        <color theme="1"/>
        <rFont val="Jacobs Chronos"/>
        <family val="2"/>
      </rPr>
      <t>L</t>
    </r>
    <r>
      <rPr>
        <i/>
        <vertAlign val="subscript"/>
        <sz val="9"/>
        <color theme="1"/>
        <rFont val="Jacobs Chronos"/>
        <family val="2"/>
      </rPr>
      <t>e_CL</t>
    </r>
    <r>
      <rPr>
        <sz val="9"/>
        <color theme="1"/>
        <rFont val="Jacobs Chronos"/>
        <family val="2"/>
      </rPr>
      <t xml:space="preserve"> =</t>
    </r>
  </si>
  <si>
    <r>
      <t xml:space="preserve">Dist. from CL of Edge of Bot. Slab to End of Slab, </t>
    </r>
    <r>
      <rPr>
        <i/>
        <sz val="9"/>
        <color theme="1"/>
        <rFont val="Jacobs Chronos"/>
        <family val="2"/>
      </rPr>
      <t>L</t>
    </r>
    <r>
      <rPr>
        <i/>
        <vertAlign val="subscript"/>
        <sz val="9"/>
        <color theme="1"/>
        <rFont val="Jacobs Chronos"/>
        <family val="2"/>
      </rPr>
      <t>CL_e</t>
    </r>
    <r>
      <rPr>
        <sz val="9"/>
        <color theme="1"/>
        <rFont val="Jacobs Chronos"/>
        <family val="2"/>
      </rPr>
      <t xml:space="preserve"> =</t>
    </r>
  </si>
  <si>
    <t>We begin calculating the forces in the bottom slab using the following parameters:</t>
  </si>
  <si>
    <t>The calculations for the y‑coordinates of the two exterior webs is non-standard; the location is calculated as follows:</t>
  </si>
  <si>
    <t>y- Coordinate, exterior joint on second tie:</t>
  </si>
  <si>
    <t>y- Coordinate, joint after exterior one on second tie:</t>
  </si>
  <si>
    <r>
      <t xml:space="preserve">Note:  To determine the second‑to‑last joint, </t>
    </r>
    <r>
      <rPr>
        <i/>
        <sz val="9"/>
        <color theme="1"/>
        <rFont val="Jacobs Chronos"/>
        <family val="2"/>
      </rPr>
      <t>spc</t>
    </r>
    <r>
      <rPr>
        <i/>
        <vertAlign val="subscript"/>
        <sz val="9"/>
        <color theme="1"/>
        <rFont val="Jacobs Chronos"/>
        <family val="2"/>
      </rPr>
      <t>n</t>
    </r>
    <r>
      <rPr>
        <i/>
        <vertAlign val="superscript"/>
        <sz val="9"/>
        <color theme="1"/>
        <rFont val="Jacobs Chronos"/>
        <family val="2"/>
      </rPr>
      <t>*</t>
    </r>
    <r>
      <rPr>
        <i/>
        <sz val="9"/>
        <color theme="1"/>
        <rFont val="Jacobs Chronos"/>
        <family val="2"/>
      </rPr>
      <t xml:space="preserve">, </t>
    </r>
    <r>
      <rPr>
        <sz val="9"/>
        <color theme="1"/>
        <rFont val="Jacobs Chronos"/>
        <family val="2"/>
      </rPr>
      <t>the value must be obtained by subtracting the spacing count excluding the last two intervals.</t>
    </r>
  </si>
  <si>
    <t>Similarly to the analysis of the top slab, a full strut‑and‑tie analysis is not carried out. In the subsequent calculations, a simplified method is used.  A free body diagram is created by cutting the model through members 1, 7, and 16.  The forces are summed about Joint 7 to determine F1:</t>
  </si>
  <si>
    <r>
      <t xml:space="preserve">Next, a free body diagram is constructed by cutting the model through members 1, 7, and 18; forces are summed about Joint 7 to determine </t>
    </r>
    <r>
      <rPr>
        <i/>
        <sz val="9"/>
        <color theme="1"/>
        <rFont val="Jacobs Chronos"/>
        <family val="2"/>
      </rPr>
      <t>F</t>
    </r>
    <r>
      <rPr>
        <i/>
        <vertAlign val="subscript"/>
        <sz val="9"/>
        <color theme="1"/>
        <rFont val="Jacobs Chronos"/>
        <family val="2"/>
      </rPr>
      <t>18</t>
    </r>
    <r>
      <rPr>
        <sz val="9"/>
        <color theme="1"/>
        <rFont val="Jacobs Chronos"/>
        <family val="2"/>
      </rPr>
      <t>:</t>
    </r>
  </si>
  <si>
    <r>
      <t xml:space="preserve">Next, a free body diagram is constructed by cutting the model through members 2, 8, and 16; forces are summed about Joint 2 to determine </t>
    </r>
    <r>
      <rPr>
        <i/>
        <sz val="9"/>
        <color theme="1"/>
        <rFont val="Jacobs Chronos"/>
        <family val="2"/>
      </rPr>
      <t>F</t>
    </r>
    <r>
      <rPr>
        <i/>
        <vertAlign val="subscript"/>
        <sz val="9"/>
        <color theme="1"/>
        <rFont val="Jacobs Chronos"/>
        <family val="2"/>
      </rPr>
      <t>16</t>
    </r>
    <r>
      <rPr>
        <sz val="9"/>
        <color theme="1"/>
        <rFont val="Jacobs Chronos"/>
        <family val="2"/>
      </rPr>
      <t>:</t>
    </r>
  </si>
  <si>
    <t>The remaining forces are calculated in the table below using statics.</t>
  </si>
  <si>
    <t>Top Slab Transverse Reinforcement Requirements</t>
  </si>
  <si>
    <t>Bottom Slab Transverse Reinforcement Requirements</t>
  </si>
  <si>
    <t xml:space="preserve">
Only the first tie is subjected to tension forces.  The required reinforcement is calculated only for zones in tension, the regions where compression occurs are not checked.  The required transverse steel in the bottom slab is as follows:</t>
  </si>
  <si>
    <t>•</t>
  </si>
  <si>
    <t>Geometric definition of the local zone, general zone, and overall anchorage zone,</t>
  </si>
  <si>
    <t>Determination of section properties at the end of the anchorage zone accounting for web flaring,</t>
  </si>
  <si>
    <t>Resolution of post‑tensioning forces into horizontal and vertical components,</t>
  </si>
  <si>
    <t>Evaluation of stress distributions and corresponding forces in the top slab, webs, fillets, and bottom slab,</t>
  </si>
  <si>
    <t>Design checks for bursting reinforcement, spalling reinforcement, and concrete compressive stresses.</t>
  </si>
  <si>
    <t>This calculation is implemented in a spreadsheet format intended to provide a transparent, traceable, and repeatable design procedure consistent with established AASHTO LRFD examples and commonly accepted bridge engineering practice.</t>
  </si>
  <si>
    <t>1.2.</t>
  </si>
  <si>
    <t>Assumed Tendon Geometry Near Anchorage</t>
  </si>
  <si>
    <t>Tendons are assumed to be straight near the anchorage device, consistent with post‑tensioning hardware and trumpet geometry. Parabolic or deviated tendon behavior beyond the anchorage zone is not considered in this portion of the analysis.</t>
  </si>
  <si>
    <t>Local Zone Concrete Capacity</t>
  </si>
  <si>
    <t>Concrete stresses within the local zone immediately ahead of the anchorage device are not checked in detail. It is assumed that anchorage hardware, confining reinforcement, and testing provided by the post‑tensioning system supplier satisfy AASHTO requirements. Concrete stress checks are performed only at the local zone / general zone interface and at critical geometric discontinuities.</t>
  </si>
  <si>
    <t>Simplified Slab Distribution Assumptions</t>
  </si>
  <si>
    <t>For the top and bottom slabs, simplified load distribution assumptions are used to generate the strut‑and‑tie models. Full elasticity‑based slab behavior is not evaluated. The bottom slab model specifically assumes non‑uniform distribution due to the sloped exterior web and absence of a bottom cantilever.</t>
  </si>
  <si>
    <t>Material Behavior</t>
  </si>
  <si>
    <t>Reinforcing steel is assumed to behave elastically up to yield with yielding permitted in tension ties. Concrete is assumed to remain uncracked in compression struts. Long‑term effects such as creep, shrinkage, relaxation, and time‑dependent redistribution of stresses are not directly evaluated.</t>
  </si>
  <si>
    <t>Bridge Configuration</t>
  </si>
  <si>
    <t>The spreadsheet is formulated for multicell box girders with flared webs and discrete anchorage groupings. Application to significantly different geometries, atypical anchorage layouts, or external post‑tensioning systems may require modification of the model.</t>
  </si>
  <si>
    <t>1.3.</t>
  </si>
  <si>
    <t xml:space="preserve">
This calculation presents the design of the end block (anchorage zone) for a post‑tensioned multicell concrete box girder bridge, in accordance with the AASHTO LRFD Bridge Design Specifications, 10th Edition. The end block is required to safely transfer the highly concentrated post‑tensioning anchorage forces into the bridge superstructure while maintaining acceptable concrete stresses and providing adequate reinforcement to resist tensile splitting and bursting forces.
Within the anchorage zone, the standard assumption that plane sections remain plane is not valid due to the nonlinear stress flow caused by the concentrated prestressing forces. Accordingly, this calculation evaluates the anchorage zone using the strut‑and‑tie modeling approach, which is explicitly permitted by AASHTO LRFD for disturbed regions (D‑regions) and is well suited for complex stress distributions occurring near prestressing anchorages.
The analysis includes:</t>
  </si>
  <si>
    <t>Design Limitations</t>
  </si>
  <si>
    <t xml:space="preserve">
The design methodology and spreadsheet are subject to the following limitations:</t>
  </si>
  <si>
    <t>Selection of Strut‑and‑Tie Method</t>
  </si>
  <si>
    <t>The strut‑and‑tie method was selected over refined elastic stress analysis and approximate methods because it more accurately represents the force flow in the anchorage region of box girders. Approximate methods may not adequately capture the I‑shaped behavior of the cross section, while refined elastic analyses can become unnecessarily complex for routine bridge design.  
For slab strut‑and‑tie models, a complete nodal equilibrium solution is not performed. Instead, free‑body diagrams and moment equilibrium are used to determine critical tension tie forces. This approach is consistent with the referenced LRFD example and provides sufficient accuracy for reinforcement design while maintaining calculation efficiency.</t>
  </si>
  <si>
    <t>Definition of Local / General Zones and Concrete Stress Checks</t>
  </si>
  <si>
    <t>Local zone dimensions are based on anchorage hardware and confining reinforcement requirements, while the general zone is governed by the maximum depth or width of the section. The chosen lengths are consistent with AASHTO LRFD limits.  Several simplifications—such as assuming uniform distribution at the end of the general zone and using widened web dimensions—introduce conservatism into the design. 
Concrete stress limits are evaluated using factored prestressing forces and resistance factors appropriate for anchorage zones. The stress‑spreading assumption of a 1:3 slope is used to assess stresses at the local/general zone interface and at the diaphragm discontinuity, providing a conservative but practical approach.</t>
  </si>
  <si>
    <t xml:space="preserve">
This section defines the geometry required for analysis of the anchorage zone of the post‑tensioned multicell box girder. The anchorage zone is the region of the structure through which the concentrated prestressing forces introduced by the anchorage devices spread into a more uniform stress distribution across the section. Within this region, conventional beam theory assumptions are not valid, and the stress state must be evaluated using strut‑and‑tie principles.
The anchorage zone is subdivided into the local zone and the general zone in accordance with AASHTO LRFD provisions. The local zone is defined as the region immediately surrounding the anchorage device and confining reinforcement, where high compressive stresses dominate. The general zone extends beyond the local zone and includes areas subjected to tensile stresses due to force dispersion and geometry changes. Accurate definition of these zones is required to establish the limits of stress checks and the regions where reinforcement design is governed by anchorage‑related forces.
Section properties used in subsequent stress and force calculations are determined at the end of the anchorage zone, where stresses are assumed to be sufficiently distributed to permit classical sectional analysis. Due to the presence of flared webs and varying geometry in this region, section dimensions, area, centroidal distances, and moments of inertia are explicitly calculated rather than assumed constant. These properties form the basis for determining stress distributions, resultant forces in individual components of the cross section, and the inputs required for development of the strut‑and‑tie models used in later sections.</t>
  </si>
  <si>
    <t xml:space="preserve">
This section determines the stresses and resulting forces within the anchorage zone due to the factored post‑tensioning forces applied at the anchorage devices. At the end of the anchorage zone, stresses are assumed to be sufficiently distributed such that classical sectional analysis may be used to evaluate the stress state across the cross section, while equilibrium is maintained with the applied prestressing forces.  The total factored prestressing force applied is resolved into horizontal and vertical components based on the assumed straight tendon geometry near the anchorage. These components are further distributed between the top and bottom tendons in proportion to the number of strands anchored at each location. The resulting forces represent the externally applied loads acting on the anchorage zone and serve as the basis for subsequent stress calculations.
Using the section properties determined at the end of the anchorage zone, stresses are calculated along key interfaces of the cross section, including the top slab, overhang, fillets, web, and bottom slab. The stresses are computed assuming linear elastic behavior and are evaluated at distances measured from the centroid of the section to capture the effects of eccentricity in the applied prestressing force.  The calculated stress distribution is then converted into resultant forces and centers of gravity for each component of the cross section. These forces are grouped into logical structural components—top slab, overhang, fillet, web, and bottom slab—so that equilibrium of the section can be verified and meaningful load paths can be established.  The sum of these internal forces is checked against the externally applied prestressing forces to confirm global equilibrium.
The forces and load resultants obtained in this section provide the required inputs for the strut‑and‑tie modeling performed in subsequent sections. These models are used to evaluate tensile force demands, design anchorage‑zone reinforcement, and verify concrete stress limits beyond the local zone.</t>
  </si>
  <si>
    <t xml:space="preserve">
This section presents the design checks for the anchorage zone based on the member forces obtained from the strut‑and‑tie analysis. The anchorage zone must be detailed to safely resist the tensile and compressive forces generated by the dispersion of concentrated post‑tensioning forces into the surrounding concrete. Design is performed in accordance with AASHTO LRFD requirements for anchorage zones, using factored prestressing forces and appropriate resistance factors.
The anchorage zone design consists of three primary components:</t>
  </si>
  <si>
    <t>design of bursting reinforcement within the webs,</t>
  </si>
  <si>
    <t>design of spalling reinforcement between adjacent anchorages, and</t>
  </si>
  <si>
    <t>verification of concrete compressive stresses outside the local zone.</t>
  </si>
  <si>
    <t xml:space="preserve">
Bursting forces are generated by transverse tensile stresses that develop as the prestressing force spreads through the concrete. These forces are resisted by transverse reinforcement placed within the web and centered about the tension ties identified in the strut‑and‑tie model. The maximum tensile force in the relevant tie is selected as the governing demand, divided by the number of webs, and used to determine the required area of bursting reinforcement assuming yielding of the reinforcing steel.
Spalling forces occur near the anchorage face due to localized stress concentrations and interaction between closely spaced anchorages. Where the strut‑and‑tie model does not explicitly capture these effects, the minimum spalling force requirements specified by AASHTO LRFD are applied. The required spalling reinforcement is proportioned to resist a prescribed fraction of the total factored prestressing force per web and is detailed near the anchorage face.
Following reinforcement design, concrete compressive stresses are checked at critical locations beyond the local zone. Stresses at the local zone / general zone interface and at geometric discontinuities, such as the end of the diaphragm, are calculated assuming a conservative spreading of stresses at a 1:3 slope from the anchorage head. The resulting stresses are compared to allowable limits based on the initial concrete strength and applicable resistance factors.</t>
  </si>
  <si>
    <t xml:space="preserve">
The top slab within the anchorage zone must distribute the concentrated forces transferred from the webs into a uniform stress distribution across the full deck width. Due to the proximity to the anchorage device, this region is considered a disturbed region, and conventional beam theory is not applicable. Accordingly, the top slab is analyzed using a strut‑and‑tie modeling approach consistent with AASHTO LRFD provisions for anchorage zones.  A strut‑and‑tie model is constructed with a first row of nodes located at the web–top slab interface at a specified distance from the anchorage and a second row of nodes located half a web spacing away, representing the location where stresses are assumed to be uniformly distributed at the end of the general zone. Concentrated forces equal to the top‑slab force divided by the number of webs are applied at the web nodes, while a uniformly distributed load is applied to represent force spreading across the slab width.  Rather than performing a complete nodal equilibrium solution for the entire model, a simplified method is used to determine the critical tension tie forces. This method involves isolating free‑body diagrams at selected sections of the model, summing moments about chosen joints, and dividing by the distance between nodes to obtain the tensile forces in the slab ties. 
The resulting tension forces are grouped into distinct top slab design zones, corresponding to regions near the overhang and interior slab. Transverse reinforcement is then designed for each zone based on the governing tie force, assuming yielding of the reinforcing steel. The top slab design is considered satisfactory when the provided transverse reinforcement meets or exceeds the required area in all zones subjected to tension.</t>
  </si>
  <si>
    <t xml:space="preserve">
Similar to the top slab, the bottom slab must distribute concentrated forces from the webs into the surrounding slab while maintaining equilibrium and acceptable stress levels. A strut‑and‑tie model is used to evaluate force flow in the bottom slab anchorage region; however, the modeling assumptions differ due to geometric and structural considerations unique to the bottom slab.  Because of the sloped exterior webs and the absence of a bottom cantilever, the assumption of a uniformly distributed bottom‑slab stress across the full width is not appropriate. Instead, a nonuniform force distribution is assumed in which forces carried by the exterior webs spread inward from the slab edge to a location midway between adjacent interior webs. Interior regions of the slab are assumed to carry a different uniform load consistent with tributary width assumptions.
The strut‑and‑tie model includes nodes at the web–bottom slab interface near the anchorage and corresponding nodes at the end of the general zone. Concentrated forces are applied at the web nodes, and distributed loads representing the assumed slab force distribution are applied to the remaining nodes. As with the top slab analysis, simplified free‑body diagrams are used to determine the critical tension tie forces by enforcing moment equilibrium across selected sections of the model.
Only regions of the bottom slab subjected to tensile forces are designed for transverse reinforcement; areas remaining in compression are not checked for reinforcement demand. The required transverse steel area is calculated based on the maximum tensile tie force, assuming yielding of the reinforcing steel. Reinforcement is detailed symmetrically about the controlling tie location to ensure adequate force transfer and crack control.  The bottom slab design is considered acceptable when the provided transverse reinforcement exceeds the required area in all tension regions identified by the strut‑and‑tie analysis.</t>
  </si>
  <si>
    <r>
      <rPr>
        <sz val="9"/>
        <color theme="1"/>
        <rFont val="Jacobs Chronos"/>
        <family val="2"/>
      </rPr>
      <t xml:space="preserve">Top Slab Center of Gravity, </t>
    </r>
    <r>
      <rPr>
        <i/>
        <sz val="9"/>
        <color theme="1"/>
        <rFont val="Jacobs Chronos"/>
        <family val="2"/>
      </rPr>
      <t>CG</t>
    </r>
    <r>
      <rPr>
        <i/>
        <vertAlign val="subscript"/>
        <sz val="9"/>
        <color theme="1"/>
        <rFont val="Jacobs Chronos"/>
        <family val="2"/>
      </rPr>
      <t>TS</t>
    </r>
    <r>
      <rPr>
        <sz val="9"/>
        <color theme="1"/>
        <rFont val="Jacobs Chronos"/>
        <family val="2"/>
      </rPr>
      <t xml:space="preserve"> =</t>
    </r>
  </si>
  <si>
    <r>
      <t xml:space="preserve">Exterior Fillets Center of Gravity, </t>
    </r>
    <r>
      <rPr>
        <i/>
        <sz val="9"/>
        <color theme="1"/>
        <rFont val="Jacobs Chronos"/>
        <family val="2"/>
      </rPr>
      <t>CG</t>
    </r>
    <r>
      <rPr>
        <i/>
        <vertAlign val="subscript"/>
        <sz val="9"/>
        <color theme="1"/>
        <rFont val="Jacobs Chronos"/>
        <family val="2"/>
      </rPr>
      <t>FE</t>
    </r>
    <r>
      <rPr>
        <sz val="9"/>
        <color theme="1"/>
        <rFont val="Jacobs Chronos"/>
        <family val="2"/>
      </rPr>
      <t xml:space="preserve"> =</t>
    </r>
  </si>
  <si>
    <r>
      <t xml:space="preserve">Interior Fillets Center of Gravity, </t>
    </r>
    <r>
      <rPr>
        <i/>
        <sz val="9"/>
        <color theme="1"/>
        <rFont val="Jacobs Chronos"/>
        <family val="2"/>
      </rPr>
      <t>CG</t>
    </r>
    <r>
      <rPr>
        <i/>
        <vertAlign val="subscript"/>
        <sz val="9"/>
        <color theme="1"/>
        <rFont val="Jacobs Chronos"/>
        <family val="2"/>
      </rPr>
      <t>FI</t>
    </r>
    <r>
      <rPr>
        <sz val="9"/>
        <color theme="1"/>
        <rFont val="Jacobs Chronos"/>
        <family val="2"/>
      </rPr>
      <t xml:space="preserve"> =</t>
    </r>
  </si>
  <si>
    <r>
      <t xml:space="preserve">Web Center of Gravity, </t>
    </r>
    <r>
      <rPr>
        <i/>
        <sz val="9"/>
        <color theme="1"/>
        <rFont val="Jacobs Chronos"/>
        <family val="2"/>
      </rPr>
      <t>CG</t>
    </r>
    <r>
      <rPr>
        <i/>
        <vertAlign val="subscript"/>
        <sz val="9"/>
        <color theme="1"/>
        <rFont val="Jacobs Chronos"/>
        <family val="2"/>
      </rPr>
      <t>W</t>
    </r>
    <r>
      <rPr>
        <sz val="9"/>
        <color theme="1"/>
        <rFont val="Jacobs Chronos"/>
        <family val="2"/>
      </rPr>
      <t xml:space="preserve"> =</t>
    </r>
  </si>
  <si>
    <t>Combination of Overhang, Fillets, and Web</t>
  </si>
  <si>
    <r>
      <rPr>
        <sz val="9"/>
        <color theme="1"/>
        <rFont val="Jacobs Chronos"/>
        <family val="2"/>
      </rPr>
      <t xml:space="preserve">Overhang, Fillets, and Web Center of Gravity, </t>
    </r>
    <r>
      <rPr>
        <i/>
        <sz val="9"/>
        <color theme="1"/>
        <rFont val="Jacobs Chronos"/>
        <family val="2"/>
      </rPr>
      <t>CG</t>
    </r>
    <r>
      <rPr>
        <i/>
        <vertAlign val="subscript"/>
        <sz val="9"/>
        <color theme="1"/>
        <rFont val="Jacobs Chronos"/>
        <family val="2"/>
      </rPr>
      <t>OFW</t>
    </r>
    <r>
      <rPr>
        <sz val="9"/>
        <color theme="1"/>
        <rFont val="Jacobs Chronos"/>
        <family val="2"/>
      </rPr>
      <t xml:space="preserve"> =</t>
    </r>
  </si>
  <si>
    <t xml:space="preserve">
Using the calculated Center of Gravity as the y-coordinate, the strut-and-tie model can be created. Joints 1, 2 and 3 are located at the end of the Anchorage Zone.</t>
  </si>
  <si>
    <t>Due to unequal number of strands in each tendon, use the following assumed tendon center of gravity at the anchorage:</t>
  </si>
  <si>
    <r>
      <t xml:space="preserve">Tendon Center of Gravity Spacing, </t>
    </r>
    <r>
      <rPr>
        <i/>
        <sz val="9"/>
        <color theme="1"/>
        <rFont val="Jacobs Chronos"/>
        <family val="2"/>
      </rPr>
      <t>CG</t>
    </r>
    <r>
      <rPr>
        <i/>
        <vertAlign val="subscript"/>
        <sz val="9"/>
        <color theme="1"/>
        <rFont val="Jacobs Chronos"/>
        <family val="2"/>
      </rPr>
      <t>Ten</t>
    </r>
    <r>
      <rPr>
        <sz val="9"/>
        <color theme="1"/>
        <rFont val="Jacobs Chronos"/>
        <family val="2"/>
      </rPr>
      <t xml:space="preserve"> =</t>
    </r>
  </si>
  <si>
    <t>Bottom Tendons Center of Gravity =</t>
  </si>
  <si>
    <t>Top Tendons Center of Gravity =</t>
  </si>
  <si>
    <r>
      <t xml:space="preserve">Beginning of Strands Bending counting from Bearing CL, </t>
    </r>
    <r>
      <rPr>
        <i/>
        <sz val="9"/>
        <color theme="1"/>
        <rFont val="Jacobs Chronos"/>
        <family val="2"/>
      </rPr>
      <t>L</t>
    </r>
    <r>
      <rPr>
        <i/>
        <vertAlign val="subscript"/>
        <sz val="9"/>
        <color theme="1"/>
        <rFont val="Jacobs Chronos"/>
        <family val="2"/>
      </rPr>
      <t>bs</t>
    </r>
    <r>
      <rPr>
        <sz val="9"/>
        <color theme="1"/>
        <rFont val="Jacobs Chronos"/>
        <family val="2"/>
      </rPr>
      <t xml:space="preserve"> =</t>
    </r>
  </si>
  <si>
    <r>
      <t xml:space="preserve">Number of Strands, </t>
    </r>
    <r>
      <rPr>
        <i/>
        <sz val="9"/>
        <color theme="1"/>
        <rFont val="Jacobs Chronos"/>
        <family val="2"/>
      </rPr>
      <t>No.</t>
    </r>
    <r>
      <rPr>
        <i/>
        <vertAlign val="subscript"/>
        <sz val="9"/>
        <color theme="1"/>
        <rFont val="Jacobs Chronos"/>
        <family val="2"/>
      </rPr>
      <t>str</t>
    </r>
    <r>
      <rPr>
        <sz val="9"/>
        <color theme="1"/>
        <rFont val="Jacobs Chronos"/>
        <family val="2"/>
      </rPr>
      <t xml:space="preserve"> =</t>
    </r>
  </si>
  <si>
    <r>
      <t xml:space="preserve">Overhang Center of Gravity, </t>
    </r>
    <r>
      <rPr>
        <i/>
        <sz val="9"/>
        <color theme="1"/>
        <rFont val="Jacobs Chronos"/>
        <family val="2"/>
      </rPr>
      <t>CG</t>
    </r>
    <r>
      <rPr>
        <i/>
        <vertAlign val="subscript"/>
        <sz val="9"/>
        <color theme="1"/>
        <rFont val="Jacobs Chronos"/>
        <family val="2"/>
      </rPr>
      <t>OH</t>
    </r>
    <r>
      <rPr>
        <vertAlign val="subscript"/>
        <sz val="9"/>
        <color theme="1"/>
        <rFont val="Jacobs Chronos"/>
        <family val="2"/>
      </rPr>
      <t xml:space="preserve"> </t>
    </r>
    <r>
      <rPr>
        <sz val="9"/>
        <color theme="1"/>
        <rFont val="Jacobs Chronos"/>
        <family val="2"/>
      </rPr>
      <t>=</t>
    </r>
  </si>
  <si>
    <r>
      <rPr>
        <sz val="9"/>
        <color theme="1"/>
        <rFont val="Jacobs Chronos"/>
        <family val="2"/>
      </rPr>
      <t xml:space="preserve">Res Factor for Concrete Comp in Anch Zone, </t>
    </r>
    <r>
      <rPr>
        <i/>
        <sz val="9"/>
        <color theme="1"/>
        <rFont val="Jacobs Chronos"/>
        <family val="2"/>
      </rPr>
      <t>ϕ</t>
    </r>
    <r>
      <rPr>
        <i/>
        <vertAlign val="subscript"/>
        <sz val="9"/>
        <color theme="1"/>
        <rFont val="Jacobs Chronos"/>
        <family val="2"/>
      </rPr>
      <t>c</t>
    </r>
    <r>
      <rPr>
        <i/>
        <sz val="9"/>
        <color theme="1"/>
        <rFont val="Jacobs Chronos"/>
        <family val="2"/>
      </rPr>
      <t xml:space="preserve"> </t>
    </r>
    <r>
      <rPr>
        <sz val="9"/>
        <color theme="1"/>
        <rFont val="Jacobs Chronos"/>
        <family val="2"/>
      </rPr>
      <t>=</t>
    </r>
  </si>
  <si>
    <r>
      <rPr>
        <sz val="9"/>
        <color theme="1"/>
        <rFont val="Jacobs Chronos"/>
        <family val="2"/>
      </rPr>
      <t xml:space="preserve">Force applied to each web, </t>
    </r>
    <r>
      <rPr>
        <i/>
        <sz val="9"/>
        <color theme="1"/>
        <rFont val="Jacobs Chronos"/>
        <family val="2"/>
      </rPr>
      <t>P</t>
    </r>
    <r>
      <rPr>
        <i/>
        <vertAlign val="subscript"/>
        <sz val="9"/>
        <color theme="1"/>
        <rFont val="Jacobs Chronos"/>
        <family val="2"/>
      </rPr>
      <t>web</t>
    </r>
    <r>
      <rPr>
        <sz val="9"/>
        <color theme="1"/>
        <rFont val="Jacobs Chronos"/>
        <family val="2"/>
      </rPr>
      <t xml:space="preserve"> =</t>
    </r>
  </si>
  <si>
    <r>
      <t xml:space="preserve">Half of Ext. Web Width Taken Parallel to Slab, </t>
    </r>
    <r>
      <rPr>
        <i/>
        <sz val="9"/>
        <color theme="1"/>
        <rFont val="Jacobs Chronos"/>
        <family val="2"/>
      </rPr>
      <t>W</t>
    </r>
    <r>
      <rPr>
        <i/>
        <vertAlign val="subscript"/>
        <sz val="9"/>
        <color theme="1"/>
        <rFont val="Jacobs Chronos"/>
        <family val="2"/>
      </rPr>
      <t>ew/2</t>
    </r>
    <r>
      <rPr>
        <sz val="9"/>
        <color theme="1"/>
        <rFont val="Jacobs Chronos"/>
        <family val="2"/>
      </rPr>
      <t xml:space="preserve"> =</t>
    </r>
  </si>
  <si>
    <r>
      <t xml:space="preserve">Number of Bottom Slab Zone 1 Trans Rebar, </t>
    </r>
    <r>
      <rPr>
        <i/>
        <sz val="9"/>
        <color theme="1"/>
        <rFont val="Jacobs Chronos"/>
        <family val="2"/>
      </rPr>
      <t>N</t>
    </r>
    <r>
      <rPr>
        <i/>
        <vertAlign val="subscript"/>
        <sz val="9"/>
        <color theme="1"/>
        <rFont val="Jacobs Chronos"/>
        <family val="2"/>
      </rPr>
      <t>B1</t>
    </r>
    <r>
      <rPr>
        <sz val="9"/>
        <color theme="1"/>
        <rFont val="Jacobs Chronos"/>
        <family val="2"/>
      </rPr>
      <t xml:space="preserve"> =</t>
    </r>
  </si>
  <si>
    <t>Construction and solution of strut‑and‑tie models for the anchorage zone, top slab, and bottom slab,</t>
  </si>
  <si>
    <t xml:space="preserve">
The nomenclature  used throughout this calculation tool is described in this section.</t>
  </si>
  <si>
    <t>2.1.</t>
  </si>
  <si>
    <t>Description of Variables</t>
  </si>
  <si>
    <r>
      <t>N</t>
    </r>
    <r>
      <rPr>
        <i/>
        <vertAlign val="subscript"/>
        <sz val="9"/>
        <color theme="1"/>
        <rFont val="Jacobs Chronos"/>
        <family val="2"/>
      </rPr>
      <t>web</t>
    </r>
    <r>
      <rPr>
        <i/>
        <sz val="9"/>
        <color theme="1"/>
        <rFont val="Jacobs Chronos"/>
        <family val="2"/>
      </rPr>
      <t xml:space="preserve"> =</t>
    </r>
  </si>
  <si>
    <r>
      <rPr>
        <i/>
        <sz val="9"/>
        <color theme="1"/>
        <rFont val="Jacobs Chronos"/>
        <family val="2"/>
      </rPr>
      <t>L</t>
    </r>
    <r>
      <rPr>
        <i/>
        <vertAlign val="subscript"/>
        <sz val="9"/>
        <color theme="1"/>
        <rFont val="Jacobs Chronos"/>
        <family val="2"/>
      </rPr>
      <t>CL1</t>
    </r>
    <r>
      <rPr>
        <sz val="9"/>
        <color theme="1"/>
        <rFont val="Jacobs Chronos"/>
        <family val="2"/>
      </rPr>
      <t xml:space="preserve"> =</t>
    </r>
  </si>
  <si>
    <r>
      <rPr>
        <i/>
        <sz val="9"/>
        <color theme="1"/>
        <rFont val="Jacobs Chronos"/>
        <family val="2"/>
      </rPr>
      <t>L</t>
    </r>
    <r>
      <rPr>
        <i/>
        <vertAlign val="subscript"/>
        <sz val="9"/>
        <color theme="1"/>
        <rFont val="Jacobs Chronos"/>
        <family val="2"/>
      </rPr>
      <t>CL2</t>
    </r>
    <r>
      <rPr>
        <sz val="9"/>
        <color theme="1"/>
        <rFont val="Jacobs Chronos"/>
        <family val="2"/>
      </rPr>
      <t xml:space="preserve"> =</t>
    </r>
  </si>
  <si>
    <r>
      <rPr>
        <i/>
        <sz val="9"/>
        <color theme="1"/>
        <rFont val="Jacobs Chronos"/>
        <family val="2"/>
      </rPr>
      <t>L</t>
    </r>
    <r>
      <rPr>
        <i/>
        <vertAlign val="subscript"/>
        <sz val="9"/>
        <color theme="1"/>
        <rFont val="Jacobs Chronos"/>
        <family val="2"/>
      </rPr>
      <t>F</t>
    </r>
    <r>
      <rPr>
        <sz val="9"/>
        <color theme="1"/>
        <rFont val="Jacobs Chronos"/>
        <family val="2"/>
      </rPr>
      <t xml:space="preserve"> =</t>
    </r>
  </si>
  <si>
    <r>
      <rPr>
        <i/>
        <sz val="9"/>
        <color theme="1"/>
        <rFont val="Jacobs Chronos"/>
        <family val="2"/>
      </rPr>
      <t>b</t>
    </r>
    <r>
      <rPr>
        <i/>
        <vertAlign val="subscript"/>
        <sz val="9"/>
        <color theme="1"/>
        <rFont val="Jacobs Chronos"/>
        <family val="2"/>
      </rPr>
      <t>w1</t>
    </r>
    <r>
      <rPr>
        <sz val="9"/>
        <color theme="1"/>
        <rFont val="Jacobs Chronos"/>
        <family val="2"/>
      </rPr>
      <t xml:space="preserve"> =</t>
    </r>
  </si>
  <si>
    <r>
      <rPr>
        <i/>
        <sz val="9"/>
        <color theme="1"/>
        <rFont val="Jacobs Chronos"/>
        <family val="2"/>
      </rPr>
      <t>b</t>
    </r>
    <r>
      <rPr>
        <i/>
        <vertAlign val="subscript"/>
        <sz val="9"/>
        <color theme="1"/>
        <rFont val="Jacobs Chronos"/>
        <family val="2"/>
      </rPr>
      <t>w2</t>
    </r>
    <r>
      <rPr>
        <sz val="9"/>
        <color theme="1"/>
        <rFont val="Jacobs Chronos"/>
        <family val="2"/>
      </rPr>
      <t xml:space="preserve"> =</t>
    </r>
  </si>
  <si>
    <r>
      <rPr>
        <i/>
        <sz val="9"/>
        <color theme="1"/>
        <rFont val="Jacobs Chronos"/>
        <family val="2"/>
      </rPr>
      <t>L</t>
    </r>
    <r>
      <rPr>
        <i/>
        <vertAlign val="subscript"/>
        <sz val="9"/>
        <color theme="1"/>
        <rFont val="Jacobs Chronos"/>
        <family val="2"/>
      </rPr>
      <t>A</t>
    </r>
    <r>
      <rPr>
        <sz val="9"/>
        <color theme="1"/>
        <rFont val="Jacobs Chronos"/>
        <family val="2"/>
      </rPr>
      <t xml:space="preserve"> =</t>
    </r>
  </si>
  <si>
    <r>
      <rPr>
        <i/>
        <sz val="9"/>
        <color theme="1"/>
        <rFont val="Jacobs Chronos"/>
        <family val="2"/>
      </rPr>
      <t>β</t>
    </r>
    <r>
      <rPr>
        <sz val="9"/>
        <color theme="1"/>
        <rFont val="Jacobs Chronos"/>
        <family val="2"/>
      </rPr>
      <t xml:space="preserve"> =</t>
    </r>
  </si>
  <si>
    <r>
      <rPr>
        <i/>
        <sz val="9"/>
        <color theme="1"/>
        <rFont val="Jacobs Chronos"/>
        <family val="2"/>
      </rPr>
      <t>L</t>
    </r>
    <r>
      <rPr>
        <i/>
        <vertAlign val="subscript"/>
        <sz val="9"/>
        <color theme="1"/>
        <rFont val="Jacobs Chronos"/>
        <family val="2"/>
      </rPr>
      <t>b</t>
    </r>
    <r>
      <rPr>
        <sz val="9"/>
        <color theme="1"/>
        <rFont val="Jacobs Chronos"/>
        <family val="2"/>
      </rPr>
      <t xml:space="preserve"> =</t>
    </r>
  </si>
  <si>
    <r>
      <t>D</t>
    </r>
    <r>
      <rPr>
        <i/>
        <vertAlign val="subscript"/>
        <sz val="9"/>
        <color theme="1"/>
        <rFont val="Jacobs Chronos"/>
        <family val="2"/>
      </rPr>
      <t>bs</t>
    </r>
    <r>
      <rPr>
        <sz val="9"/>
        <color theme="1"/>
        <rFont val="Jacobs Chronos"/>
        <family val="2"/>
      </rPr>
      <t xml:space="preserve"> =</t>
    </r>
  </si>
  <si>
    <r>
      <rPr>
        <i/>
        <sz val="9"/>
        <color theme="1"/>
        <rFont val="Jacobs Chronos"/>
        <family val="2"/>
      </rPr>
      <t>L</t>
    </r>
    <r>
      <rPr>
        <i/>
        <vertAlign val="subscript"/>
        <sz val="9"/>
        <color theme="1"/>
        <rFont val="Jacobs Chronos"/>
        <family val="2"/>
      </rPr>
      <t>bs</t>
    </r>
    <r>
      <rPr>
        <sz val="9"/>
        <color theme="1"/>
        <rFont val="Jacobs Chronos"/>
        <family val="2"/>
      </rPr>
      <t xml:space="preserve"> =</t>
    </r>
  </si>
  <si>
    <r>
      <rPr>
        <i/>
        <sz val="9"/>
        <color theme="1"/>
        <rFont val="Jacobs Chronos"/>
        <family val="2"/>
      </rPr>
      <t>L</t>
    </r>
    <r>
      <rPr>
        <i/>
        <vertAlign val="subscript"/>
        <sz val="9"/>
        <color theme="1"/>
        <rFont val="Jacobs Chronos"/>
        <family val="2"/>
      </rPr>
      <t>s</t>
    </r>
    <r>
      <rPr>
        <sz val="9"/>
        <color theme="1"/>
        <rFont val="Jacobs Chronos"/>
        <family val="2"/>
      </rPr>
      <t xml:space="preserve"> =</t>
    </r>
  </si>
  <si>
    <r>
      <rPr>
        <i/>
        <sz val="9"/>
        <color theme="1"/>
        <rFont val="Jacobs Chronos"/>
        <family val="2"/>
      </rPr>
      <t>L</t>
    </r>
    <r>
      <rPr>
        <i/>
        <vertAlign val="subscript"/>
        <sz val="9"/>
        <color theme="1"/>
        <rFont val="Jacobs Chronos"/>
        <family val="2"/>
      </rPr>
      <t>ds</t>
    </r>
    <r>
      <rPr>
        <sz val="9"/>
        <color theme="1"/>
        <rFont val="Jacobs Chronos"/>
        <family val="2"/>
      </rPr>
      <t xml:space="preserve"> =</t>
    </r>
  </si>
  <si>
    <r>
      <rPr>
        <i/>
        <sz val="9"/>
        <color theme="1"/>
        <rFont val="Jacobs Chronos"/>
        <family val="2"/>
      </rPr>
      <t>H</t>
    </r>
    <r>
      <rPr>
        <i/>
        <vertAlign val="subscript"/>
        <sz val="9"/>
        <color theme="1"/>
        <rFont val="Jacobs Chronos"/>
        <family val="2"/>
      </rPr>
      <t>ts</t>
    </r>
    <r>
      <rPr>
        <sz val="9"/>
        <color theme="1"/>
        <rFont val="Jacobs Chronos"/>
        <family val="2"/>
      </rPr>
      <t xml:space="preserve"> =</t>
    </r>
  </si>
  <si>
    <r>
      <rPr>
        <i/>
        <sz val="9"/>
        <color theme="1"/>
        <rFont val="Jacobs Chronos"/>
        <family val="2"/>
      </rPr>
      <t>L</t>
    </r>
    <r>
      <rPr>
        <i/>
        <vertAlign val="subscript"/>
        <sz val="9"/>
        <color theme="1"/>
        <rFont val="Jacobs Chronos"/>
        <family val="2"/>
      </rPr>
      <t>bf</t>
    </r>
    <r>
      <rPr>
        <sz val="9"/>
        <color theme="1"/>
        <rFont val="Jacobs Chronos"/>
        <family val="2"/>
      </rPr>
      <t xml:space="preserve"> =</t>
    </r>
  </si>
  <si>
    <r>
      <rPr>
        <i/>
        <sz val="9"/>
        <color theme="1"/>
        <rFont val="Jacobs Chronos"/>
        <family val="2"/>
      </rPr>
      <t>H</t>
    </r>
    <r>
      <rPr>
        <i/>
        <vertAlign val="subscript"/>
        <sz val="9"/>
        <color theme="1"/>
        <rFont val="Jacobs Chronos"/>
        <family val="2"/>
      </rPr>
      <t>bs</t>
    </r>
    <r>
      <rPr>
        <sz val="9"/>
        <color theme="1"/>
        <rFont val="Jacobs Chronos"/>
        <family val="2"/>
      </rPr>
      <t xml:space="preserve"> =</t>
    </r>
  </si>
  <si>
    <r>
      <rPr>
        <i/>
        <sz val="9"/>
        <color theme="1"/>
        <rFont val="Jacobs Chronos"/>
        <family val="2"/>
      </rPr>
      <t>H</t>
    </r>
    <r>
      <rPr>
        <i/>
        <vertAlign val="subscript"/>
        <sz val="9"/>
        <color theme="1"/>
        <rFont val="Jacobs Chronos"/>
        <family val="2"/>
      </rPr>
      <t>o</t>
    </r>
    <r>
      <rPr>
        <sz val="9"/>
        <color theme="1"/>
        <rFont val="Jacobs Chronos"/>
        <family val="2"/>
      </rPr>
      <t xml:space="preserve"> =</t>
    </r>
  </si>
  <si>
    <r>
      <rPr>
        <i/>
        <sz val="9"/>
        <color theme="1"/>
        <rFont val="Jacobs Chronos"/>
        <family val="2"/>
      </rPr>
      <t>L</t>
    </r>
    <r>
      <rPr>
        <i/>
        <vertAlign val="subscript"/>
        <sz val="9"/>
        <color theme="1"/>
        <rFont val="Jacobs Chronos"/>
        <family val="2"/>
      </rPr>
      <t>oh</t>
    </r>
    <r>
      <rPr>
        <sz val="9"/>
        <color theme="1"/>
        <rFont val="Jacobs Chronos"/>
        <family val="2"/>
      </rPr>
      <t xml:space="preserve"> =</t>
    </r>
  </si>
  <si>
    <r>
      <t>y</t>
    </r>
    <r>
      <rPr>
        <i/>
        <vertAlign val="subscript"/>
        <sz val="9"/>
        <color theme="1"/>
        <rFont val="Jacobs Chronos"/>
        <family val="2"/>
      </rPr>
      <t>b2.9</t>
    </r>
    <r>
      <rPr>
        <sz val="9"/>
        <color theme="1"/>
        <rFont val="Jacobs Chronos"/>
        <family val="2"/>
      </rPr>
      <t xml:space="preserve"> =</t>
    </r>
  </si>
  <si>
    <t>α =</t>
  </si>
  <si>
    <r>
      <rPr>
        <i/>
        <sz val="9"/>
        <color theme="1"/>
        <rFont val="Jacobs Chronos"/>
        <family val="2"/>
      </rPr>
      <t>W</t>
    </r>
    <r>
      <rPr>
        <i/>
        <vertAlign val="subscript"/>
        <sz val="9"/>
        <color theme="1"/>
        <rFont val="Jacobs Chronos"/>
        <family val="2"/>
      </rPr>
      <t>lz</t>
    </r>
    <r>
      <rPr>
        <sz val="9"/>
        <color theme="1"/>
        <rFont val="Jacobs Chronos"/>
        <family val="2"/>
      </rPr>
      <t xml:space="preserve"> =</t>
    </r>
  </si>
  <si>
    <r>
      <rPr>
        <i/>
        <sz val="9"/>
        <color theme="1"/>
        <rFont val="Jacobs Chronos"/>
        <family val="2"/>
      </rPr>
      <t>L</t>
    </r>
    <r>
      <rPr>
        <i/>
        <vertAlign val="subscript"/>
        <sz val="9"/>
        <color theme="1"/>
        <rFont val="Jacobs Chronos"/>
        <family val="2"/>
      </rPr>
      <t>anchorage</t>
    </r>
    <r>
      <rPr>
        <sz val="9"/>
        <color theme="1"/>
        <rFont val="Jacobs Chronos"/>
        <family val="2"/>
      </rPr>
      <t xml:space="preserve"> =</t>
    </r>
  </si>
  <si>
    <r>
      <rPr>
        <i/>
        <sz val="9"/>
        <color theme="1"/>
        <rFont val="Jacobs Chronos"/>
        <family val="2"/>
      </rPr>
      <t>L</t>
    </r>
    <r>
      <rPr>
        <i/>
        <vertAlign val="subscript"/>
        <sz val="9"/>
        <color theme="1"/>
        <rFont val="Jacobs Chronos"/>
        <family val="2"/>
      </rPr>
      <t>Lz</t>
    </r>
    <r>
      <rPr>
        <sz val="9"/>
        <color theme="1"/>
        <rFont val="Jacobs Chronos"/>
        <family val="2"/>
      </rPr>
      <t xml:space="preserve"> =</t>
    </r>
  </si>
  <si>
    <r>
      <rPr>
        <i/>
        <sz val="9"/>
        <color theme="1"/>
        <rFont val="Jacobs Chronos"/>
        <family val="2"/>
      </rPr>
      <t>S</t>
    </r>
    <r>
      <rPr>
        <i/>
        <vertAlign val="subscript"/>
        <sz val="9"/>
        <color theme="1"/>
        <rFont val="Jacobs Chronos"/>
        <family val="2"/>
      </rPr>
      <t>h</t>
    </r>
    <r>
      <rPr>
        <sz val="9"/>
        <color theme="1"/>
        <rFont val="Jacobs Chronos"/>
        <family val="2"/>
      </rPr>
      <t xml:space="preserve"> =</t>
    </r>
  </si>
  <si>
    <r>
      <rPr>
        <i/>
        <sz val="9"/>
        <color theme="1"/>
        <rFont val="Jacobs Chronos"/>
        <family val="2"/>
      </rPr>
      <t>S</t>
    </r>
    <r>
      <rPr>
        <i/>
        <vertAlign val="subscript"/>
        <sz val="9"/>
        <color theme="1"/>
        <rFont val="Jacobs Chronos"/>
        <family val="2"/>
      </rPr>
      <t>w</t>
    </r>
    <r>
      <rPr>
        <sz val="9"/>
        <color theme="1"/>
        <rFont val="Jacobs Chronos"/>
        <family val="2"/>
      </rPr>
      <t xml:space="preserve"> =</t>
    </r>
  </si>
  <si>
    <r>
      <rPr>
        <i/>
        <sz val="9"/>
        <color theme="1"/>
        <rFont val="Jacobs Chronos"/>
        <family val="2"/>
      </rPr>
      <t>L</t>
    </r>
    <r>
      <rPr>
        <i/>
        <vertAlign val="subscript"/>
        <sz val="9"/>
        <color theme="1"/>
        <rFont val="Jacobs Chronos"/>
        <family val="2"/>
      </rPr>
      <t>Gz</t>
    </r>
    <r>
      <rPr>
        <sz val="9"/>
        <color theme="1"/>
        <rFont val="Jacobs Chronos"/>
        <family val="2"/>
      </rPr>
      <t xml:space="preserve"> =</t>
    </r>
  </si>
  <si>
    <r>
      <rPr>
        <i/>
        <sz val="9"/>
        <color theme="1"/>
        <rFont val="Jacobs Chronos"/>
        <family val="2"/>
      </rPr>
      <t>W</t>
    </r>
    <r>
      <rPr>
        <i/>
        <vertAlign val="subscript"/>
        <sz val="9"/>
        <color theme="1"/>
        <rFont val="Jacobs Chronos"/>
        <family val="2"/>
      </rPr>
      <t>fw</t>
    </r>
    <r>
      <rPr>
        <sz val="9"/>
        <color theme="1"/>
        <rFont val="Jacobs Chronos"/>
        <family val="2"/>
      </rPr>
      <t xml:space="preserve"> =</t>
    </r>
  </si>
  <si>
    <r>
      <rPr>
        <i/>
        <sz val="9"/>
        <color theme="1"/>
        <rFont val="Jacobs Chronos"/>
        <family val="2"/>
      </rPr>
      <t>TW</t>
    </r>
    <r>
      <rPr>
        <i/>
        <vertAlign val="subscript"/>
        <sz val="9"/>
        <color theme="1"/>
        <rFont val="Jacobs Chronos"/>
        <family val="2"/>
      </rPr>
      <t>fw</t>
    </r>
    <r>
      <rPr>
        <sz val="9"/>
        <color theme="1"/>
        <rFont val="Jacobs Chronos"/>
        <family val="2"/>
      </rPr>
      <t xml:space="preserve"> =</t>
    </r>
  </si>
  <si>
    <r>
      <rPr>
        <i/>
        <sz val="9"/>
        <color theme="1"/>
        <rFont val="Jacobs Chronos"/>
        <family val="2"/>
      </rPr>
      <t>S</t>
    </r>
    <r>
      <rPr>
        <i/>
        <vertAlign val="subscript"/>
        <sz val="9"/>
        <color theme="1"/>
        <rFont val="Jacobs Chronos"/>
        <family val="2"/>
      </rPr>
      <t>a</t>
    </r>
    <r>
      <rPr>
        <sz val="9"/>
        <color theme="1"/>
        <rFont val="Jacobs Chronos"/>
        <family val="2"/>
      </rPr>
      <t xml:space="preserve"> =</t>
    </r>
  </si>
  <si>
    <r>
      <rPr>
        <i/>
        <sz val="9"/>
        <color theme="1"/>
        <rFont val="Jacobs Chronos"/>
        <family val="2"/>
      </rPr>
      <t>m</t>
    </r>
    <r>
      <rPr>
        <i/>
        <vertAlign val="subscript"/>
        <sz val="9"/>
        <color theme="1"/>
        <rFont val="Jacobs Chronos"/>
        <family val="2"/>
      </rPr>
      <t>I</t>
    </r>
    <r>
      <rPr>
        <sz val="9"/>
        <color theme="1"/>
        <rFont val="Jacobs Chronos"/>
        <family val="2"/>
      </rPr>
      <t xml:space="preserve"> =</t>
    </r>
  </si>
  <si>
    <r>
      <rPr>
        <i/>
        <sz val="9"/>
        <color theme="1"/>
        <rFont val="Jacobs Chronos"/>
        <family val="2"/>
      </rPr>
      <t>y</t>
    </r>
    <r>
      <rPr>
        <i/>
        <vertAlign val="subscript"/>
        <sz val="9"/>
        <color theme="1"/>
        <rFont val="Jacobs Chronos"/>
        <family val="2"/>
      </rPr>
      <t>bf</t>
    </r>
    <r>
      <rPr>
        <sz val="9"/>
        <color theme="1"/>
        <rFont val="Jacobs Chronos"/>
        <family val="2"/>
      </rPr>
      <t xml:space="preserve"> =</t>
    </r>
  </si>
  <si>
    <r>
      <rPr>
        <i/>
        <sz val="9"/>
        <color theme="1"/>
        <rFont val="Jacobs Chronos"/>
        <family val="2"/>
      </rPr>
      <t>y</t>
    </r>
    <r>
      <rPr>
        <i/>
        <vertAlign val="subscript"/>
        <sz val="9"/>
        <color theme="1"/>
        <rFont val="Jacobs Chronos"/>
        <family val="2"/>
      </rPr>
      <t>tf</t>
    </r>
    <r>
      <rPr>
        <sz val="9"/>
        <color theme="1"/>
        <rFont val="Jacobs Chronos"/>
        <family val="2"/>
      </rPr>
      <t xml:space="preserve"> =</t>
    </r>
  </si>
  <si>
    <r>
      <rPr>
        <i/>
        <sz val="9"/>
        <color theme="1"/>
        <rFont val="Jacobs Chronos"/>
        <family val="2"/>
      </rPr>
      <t>No.</t>
    </r>
    <r>
      <rPr>
        <i/>
        <vertAlign val="subscript"/>
        <sz val="9"/>
        <color theme="1"/>
        <rFont val="Jacobs Chronos"/>
        <family val="2"/>
      </rPr>
      <t>str</t>
    </r>
    <r>
      <rPr>
        <sz val="9"/>
        <color theme="1"/>
        <rFont val="Jacobs Chronos"/>
        <family val="2"/>
      </rPr>
      <t xml:space="preserve"> =</t>
    </r>
  </si>
  <si>
    <r>
      <rPr>
        <i/>
        <sz val="9"/>
        <color theme="1"/>
        <rFont val="Jacobs Chronos"/>
        <family val="2"/>
      </rPr>
      <t>A</t>
    </r>
    <r>
      <rPr>
        <i/>
        <vertAlign val="subscript"/>
        <sz val="9"/>
        <color theme="1"/>
        <rFont val="Jacobs Chronos"/>
        <family val="2"/>
      </rPr>
      <t>ps</t>
    </r>
    <r>
      <rPr>
        <sz val="9"/>
        <color theme="1"/>
        <rFont val="Jacobs Chronos"/>
        <family val="2"/>
      </rPr>
      <t xml:space="preserve"> =</t>
    </r>
  </si>
  <si>
    <r>
      <rPr>
        <i/>
        <sz val="9"/>
        <color theme="1"/>
        <rFont val="Jacobs Chronos"/>
        <family val="2"/>
      </rPr>
      <t>f</t>
    </r>
    <r>
      <rPr>
        <i/>
        <vertAlign val="subscript"/>
        <sz val="9"/>
        <color theme="1"/>
        <rFont val="Jacobs Chronos"/>
        <family val="2"/>
      </rPr>
      <t>pu</t>
    </r>
    <r>
      <rPr>
        <sz val="9"/>
        <color theme="1"/>
        <rFont val="Jacobs Chronos"/>
        <family val="2"/>
      </rPr>
      <t xml:space="preserve"> =</t>
    </r>
  </si>
  <si>
    <r>
      <rPr>
        <i/>
        <sz val="9"/>
        <color theme="1"/>
        <rFont val="Jacobs Chronos"/>
        <family val="2"/>
      </rPr>
      <t>P</t>
    </r>
    <r>
      <rPr>
        <i/>
        <vertAlign val="subscript"/>
        <sz val="9"/>
        <color theme="1"/>
        <rFont val="Jacobs Chronos"/>
        <family val="2"/>
      </rPr>
      <t>u</t>
    </r>
    <r>
      <rPr>
        <sz val="9"/>
        <color theme="1"/>
        <rFont val="Jacobs Chronos"/>
        <family val="2"/>
      </rPr>
      <t xml:space="preserve"> =</t>
    </r>
  </si>
  <si>
    <r>
      <rPr>
        <i/>
        <sz val="9"/>
        <color theme="1"/>
        <rFont val="Jacobs Chronos"/>
        <family val="2"/>
      </rPr>
      <t>P</t>
    </r>
    <r>
      <rPr>
        <i/>
        <vertAlign val="subscript"/>
        <sz val="9"/>
        <color theme="1"/>
        <rFont val="Jacobs Chronos"/>
        <family val="2"/>
      </rPr>
      <t xml:space="preserve">uh </t>
    </r>
    <r>
      <rPr>
        <sz val="9"/>
        <color theme="1"/>
        <rFont val="Jacobs Chronos"/>
        <family val="2"/>
      </rPr>
      <t>=</t>
    </r>
  </si>
  <si>
    <r>
      <rPr>
        <i/>
        <sz val="9"/>
        <color theme="1"/>
        <rFont val="Jacobs Chronos"/>
        <family val="2"/>
      </rPr>
      <t>P</t>
    </r>
    <r>
      <rPr>
        <i/>
        <vertAlign val="subscript"/>
        <sz val="9"/>
        <color theme="1"/>
        <rFont val="Jacobs Chronos"/>
        <family val="2"/>
      </rPr>
      <t>uv</t>
    </r>
    <r>
      <rPr>
        <sz val="9"/>
        <color theme="1"/>
        <rFont val="Jacobs Chronos"/>
        <family val="2"/>
      </rPr>
      <t xml:space="preserve"> =</t>
    </r>
  </si>
  <si>
    <r>
      <rPr>
        <i/>
        <sz val="9"/>
        <color theme="1"/>
        <rFont val="Jacobs Chronos"/>
        <family val="2"/>
      </rPr>
      <t>N</t>
    </r>
    <r>
      <rPr>
        <i/>
        <vertAlign val="subscript"/>
        <sz val="9"/>
        <color theme="1"/>
        <rFont val="Jacobs Chronos"/>
        <family val="2"/>
      </rPr>
      <t>TT</t>
    </r>
    <r>
      <rPr>
        <sz val="9"/>
        <color theme="1"/>
        <rFont val="Jacobs Chronos"/>
        <family val="2"/>
      </rPr>
      <t xml:space="preserve"> =</t>
    </r>
  </si>
  <si>
    <r>
      <rPr>
        <i/>
        <sz val="9"/>
        <color theme="1"/>
        <rFont val="Jacobs Chronos"/>
        <family val="2"/>
      </rPr>
      <t>N</t>
    </r>
    <r>
      <rPr>
        <i/>
        <vertAlign val="subscript"/>
        <sz val="9"/>
        <color theme="1"/>
        <rFont val="Jacobs Chronos"/>
        <family val="2"/>
      </rPr>
      <t>BT</t>
    </r>
    <r>
      <rPr>
        <sz val="9"/>
        <color theme="1"/>
        <rFont val="Jacobs Chronos"/>
        <family val="2"/>
      </rPr>
      <t xml:space="preserve"> =</t>
    </r>
  </si>
  <si>
    <r>
      <rPr>
        <i/>
        <sz val="9"/>
        <color theme="1"/>
        <rFont val="Jacobs Chronos"/>
        <family val="2"/>
      </rPr>
      <t>P</t>
    </r>
    <r>
      <rPr>
        <i/>
        <vertAlign val="subscript"/>
        <sz val="9"/>
        <color theme="1"/>
        <rFont val="Jacobs Chronos"/>
        <family val="2"/>
      </rPr>
      <t>uh_t</t>
    </r>
    <r>
      <rPr>
        <sz val="9"/>
        <color theme="1"/>
        <rFont val="Jacobs Chronos"/>
        <family val="2"/>
      </rPr>
      <t>=</t>
    </r>
  </si>
  <si>
    <r>
      <rPr>
        <i/>
        <sz val="9"/>
        <color theme="1"/>
        <rFont val="Jacobs Chronos"/>
        <family val="2"/>
      </rPr>
      <t>P</t>
    </r>
    <r>
      <rPr>
        <i/>
        <vertAlign val="subscript"/>
        <sz val="9"/>
        <color theme="1"/>
        <rFont val="Jacobs Chronos"/>
        <family val="2"/>
      </rPr>
      <t>uv_t</t>
    </r>
    <r>
      <rPr>
        <sz val="9"/>
        <color theme="1"/>
        <rFont val="Jacobs Chronos"/>
        <family val="2"/>
      </rPr>
      <t xml:space="preserve"> =</t>
    </r>
  </si>
  <si>
    <r>
      <rPr>
        <i/>
        <sz val="9"/>
        <color theme="1"/>
        <rFont val="Jacobs Chronos"/>
        <family val="2"/>
      </rPr>
      <t>P</t>
    </r>
    <r>
      <rPr>
        <i/>
        <vertAlign val="subscript"/>
        <sz val="9"/>
        <color theme="1"/>
        <rFont val="Jacobs Chronos"/>
        <family val="2"/>
      </rPr>
      <t>uh_b</t>
    </r>
    <r>
      <rPr>
        <sz val="9"/>
        <color theme="1"/>
        <rFont val="Jacobs Chronos"/>
        <family val="2"/>
      </rPr>
      <t xml:space="preserve"> =</t>
    </r>
  </si>
  <si>
    <r>
      <rPr>
        <i/>
        <sz val="9"/>
        <color theme="1"/>
        <rFont val="Jacobs Chronos"/>
        <family val="2"/>
      </rPr>
      <t>P</t>
    </r>
    <r>
      <rPr>
        <i/>
        <vertAlign val="subscript"/>
        <sz val="9"/>
        <color theme="1"/>
        <rFont val="Jacobs Chronos"/>
        <family val="2"/>
      </rPr>
      <t>uv_b</t>
    </r>
    <r>
      <rPr>
        <sz val="9"/>
        <color theme="1"/>
        <rFont val="Jacobs Chronos"/>
        <family val="2"/>
      </rPr>
      <t xml:space="preserve"> =</t>
    </r>
  </si>
  <si>
    <r>
      <rPr>
        <i/>
        <sz val="9"/>
        <color theme="1"/>
        <rFont val="Jacobs Chronos"/>
        <family val="2"/>
      </rPr>
      <t>t</t>
    </r>
    <r>
      <rPr>
        <i/>
        <vertAlign val="subscript"/>
        <sz val="9"/>
        <color theme="1"/>
        <rFont val="Jacobs Chronos"/>
        <family val="2"/>
      </rPr>
      <t>s</t>
    </r>
    <r>
      <rPr>
        <sz val="9"/>
        <color theme="1"/>
        <rFont val="Jacobs Chronos"/>
        <family val="2"/>
      </rPr>
      <t xml:space="preserve"> =</t>
    </r>
  </si>
  <si>
    <r>
      <rPr>
        <i/>
        <sz val="9"/>
        <color theme="1"/>
        <rFont val="Jacobs Chronos"/>
        <family val="2"/>
      </rPr>
      <t>s</t>
    </r>
    <r>
      <rPr>
        <i/>
        <vertAlign val="subscript"/>
        <sz val="9"/>
        <color theme="1"/>
        <rFont val="Jacobs Chronos"/>
        <family val="2"/>
      </rPr>
      <t>s</t>
    </r>
    <r>
      <rPr>
        <sz val="9"/>
        <color theme="1"/>
        <rFont val="Jacobs Chronos"/>
        <family val="2"/>
      </rPr>
      <t xml:space="preserve"> =</t>
    </r>
  </si>
  <si>
    <r>
      <rPr>
        <i/>
        <sz val="9"/>
        <color theme="1"/>
        <rFont val="Jacobs Chronos"/>
        <family val="2"/>
      </rPr>
      <t>o</t>
    </r>
    <r>
      <rPr>
        <i/>
        <vertAlign val="subscript"/>
        <sz val="9"/>
        <color theme="1"/>
        <rFont val="Jacobs Chronos"/>
        <family val="2"/>
      </rPr>
      <t>s</t>
    </r>
    <r>
      <rPr>
        <sz val="9"/>
        <color theme="1"/>
        <rFont val="Jacobs Chronos"/>
        <family val="2"/>
      </rPr>
      <t xml:space="preserve"> =</t>
    </r>
  </si>
  <si>
    <r>
      <rPr>
        <i/>
        <sz val="9"/>
        <color theme="1"/>
        <rFont val="Jacobs Chronos"/>
        <family val="2"/>
      </rPr>
      <t>tb</t>
    </r>
    <r>
      <rPr>
        <i/>
        <vertAlign val="subscript"/>
        <sz val="9"/>
        <color theme="1"/>
        <rFont val="Jacobs Chronos"/>
        <family val="2"/>
      </rPr>
      <t>s</t>
    </r>
    <r>
      <rPr>
        <sz val="9"/>
        <color theme="1"/>
        <rFont val="Jacobs Chronos"/>
        <family val="2"/>
      </rPr>
      <t xml:space="preserve"> =</t>
    </r>
  </si>
  <si>
    <r>
      <rPr>
        <i/>
        <sz val="9"/>
        <color theme="1"/>
        <rFont val="Jacobs Chronos"/>
        <family val="2"/>
      </rPr>
      <t>b</t>
    </r>
    <r>
      <rPr>
        <i/>
        <vertAlign val="subscript"/>
        <sz val="9"/>
        <color theme="1"/>
        <rFont val="Jacobs Chronos"/>
        <family val="2"/>
      </rPr>
      <t>s</t>
    </r>
    <r>
      <rPr>
        <sz val="9"/>
        <color theme="1"/>
        <rFont val="Jacobs Chronos"/>
        <family val="2"/>
      </rPr>
      <t xml:space="preserve"> =</t>
    </r>
  </si>
  <si>
    <r>
      <rPr>
        <i/>
        <sz val="9"/>
        <color theme="1"/>
        <rFont val="Jacobs Chronos"/>
        <family val="2"/>
      </rPr>
      <t>H</t>
    </r>
    <r>
      <rPr>
        <i/>
        <vertAlign val="subscript"/>
        <sz val="9"/>
        <color theme="1"/>
        <rFont val="Jacobs Chronos"/>
        <family val="2"/>
      </rPr>
      <t>f_int</t>
    </r>
    <r>
      <rPr>
        <sz val="9"/>
        <color theme="1"/>
        <rFont val="Jacobs Chronos"/>
        <family val="2"/>
      </rPr>
      <t xml:space="preserve"> =</t>
    </r>
  </si>
  <si>
    <r>
      <rPr>
        <i/>
        <sz val="9"/>
        <color theme="1"/>
        <rFont val="Jacobs Chronos"/>
        <family val="2"/>
      </rPr>
      <t>W</t>
    </r>
    <r>
      <rPr>
        <i/>
        <vertAlign val="subscript"/>
        <sz val="9"/>
        <color theme="1"/>
        <rFont val="Jacobs Chronos"/>
        <family val="2"/>
      </rPr>
      <t>f_int</t>
    </r>
    <r>
      <rPr>
        <sz val="9"/>
        <color theme="1"/>
        <rFont val="Jacobs Chronos"/>
        <family val="2"/>
      </rPr>
      <t xml:space="preserve"> =</t>
    </r>
  </si>
  <si>
    <r>
      <rPr>
        <i/>
        <sz val="9"/>
        <color theme="1"/>
        <rFont val="Jacobs Chronos"/>
        <family val="2"/>
      </rPr>
      <t>H</t>
    </r>
    <r>
      <rPr>
        <i/>
        <vertAlign val="subscript"/>
        <sz val="9"/>
        <color theme="1"/>
        <rFont val="Jacobs Chronos"/>
        <family val="2"/>
      </rPr>
      <t>f_ext</t>
    </r>
    <r>
      <rPr>
        <sz val="9"/>
        <color theme="1"/>
        <rFont val="Jacobs Chronos"/>
        <family val="2"/>
      </rPr>
      <t xml:space="preserve"> =</t>
    </r>
  </si>
  <si>
    <r>
      <t>CG</t>
    </r>
    <r>
      <rPr>
        <i/>
        <vertAlign val="subscript"/>
        <sz val="9"/>
        <color theme="1"/>
        <rFont val="Jacobs Chronos"/>
        <family val="2"/>
      </rPr>
      <t>TS</t>
    </r>
    <r>
      <rPr>
        <sz val="9"/>
        <color theme="1"/>
        <rFont val="Jacobs Chronos"/>
        <family val="2"/>
      </rPr>
      <t xml:space="preserve"> =</t>
    </r>
  </si>
  <si>
    <r>
      <rPr>
        <i/>
        <sz val="9"/>
        <color theme="1"/>
        <rFont val="Jacobs Chronos"/>
        <family val="2"/>
      </rPr>
      <t>CG</t>
    </r>
    <r>
      <rPr>
        <i/>
        <vertAlign val="subscript"/>
        <sz val="9"/>
        <color theme="1"/>
        <rFont val="Jacobs Chronos"/>
        <family val="2"/>
      </rPr>
      <t>OH</t>
    </r>
    <r>
      <rPr>
        <vertAlign val="subscript"/>
        <sz val="9"/>
        <color theme="1"/>
        <rFont val="Jacobs Chronos"/>
        <family val="2"/>
      </rPr>
      <t xml:space="preserve"> </t>
    </r>
    <r>
      <rPr>
        <sz val="9"/>
        <color theme="1"/>
        <rFont val="Jacobs Chronos"/>
        <family val="2"/>
      </rPr>
      <t>=</t>
    </r>
  </si>
  <si>
    <r>
      <rPr>
        <i/>
        <sz val="9"/>
        <color theme="1"/>
        <rFont val="Jacobs Chronos"/>
        <family val="2"/>
      </rPr>
      <t>CG</t>
    </r>
    <r>
      <rPr>
        <i/>
        <vertAlign val="subscript"/>
        <sz val="9"/>
        <color theme="1"/>
        <rFont val="Jacobs Chronos"/>
        <family val="2"/>
      </rPr>
      <t>FE</t>
    </r>
    <r>
      <rPr>
        <sz val="9"/>
        <color theme="1"/>
        <rFont val="Jacobs Chronos"/>
        <family val="2"/>
      </rPr>
      <t xml:space="preserve"> =</t>
    </r>
  </si>
  <si>
    <r>
      <rPr>
        <i/>
        <sz val="9"/>
        <color theme="1"/>
        <rFont val="Jacobs Chronos"/>
        <family val="2"/>
      </rPr>
      <t>CG</t>
    </r>
    <r>
      <rPr>
        <i/>
        <vertAlign val="subscript"/>
        <sz val="9"/>
        <color theme="1"/>
        <rFont val="Jacobs Chronos"/>
        <family val="2"/>
      </rPr>
      <t>FI</t>
    </r>
    <r>
      <rPr>
        <sz val="9"/>
        <color theme="1"/>
        <rFont val="Jacobs Chronos"/>
        <family val="2"/>
      </rPr>
      <t xml:space="preserve"> =</t>
    </r>
  </si>
  <si>
    <r>
      <rPr>
        <i/>
        <sz val="9"/>
        <color theme="1"/>
        <rFont val="Jacobs Chronos"/>
        <family val="2"/>
      </rPr>
      <t>CG</t>
    </r>
    <r>
      <rPr>
        <i/>
        <vertAlign val="subscript"/>
        <sz val="9"/>
        <color theme="1"/>
        <rFont val="Jacobs Chronos"/>
        <family val="2"/>
      </rPr>
      <t>W</t>
    </r>
    <r>
      <rPr>
        <sz val="9"/>
        <color theme="1"/>
        <rFont val="Jacobs Chronos"/>
        <family val="2"/>
      </rPr>
      <t xml:space="preserve"> =</t>
    </r>
  </si>
  <si>
    <r>
      <t>CG</t>
    </r>
    <r>
      <rPr>
        <i/>
        <vertAlign val="subscript"/>
        <sz val="9"/>
        <color theme="1"/>
        <rFont val="Jacobs Chronos"/>
        <family val="2"/>
      </rPr>
      <t>OFW</t>
    </r>
    <r>
      <rPr>
        <sz val="9"/>
        <color theme="1"/>
        <rFont val="Jacobs Chronos"/>
        <family val="2"/>
      </rPr>
      <t xml:space="preserve"> =</t>
    </r>
  </si>
  <si>
    <r>
      <t>CG</t>
    </r>
    <r>
      <rPr>
        <i/>
        <vertAlign val="subscript"/>
        <sz val="9"/>
        <color theme="1"/>
        <rFont val="Jacobs Chronos"/>
        <family val="2"/>
      </rPr>
      <t>BS</t>
    </r>
    <r>
      <rPr>
        <sz val="9"/>
        <color theme="1"/>
        <rFont val="Jacobs Chronos"/>
        <family val="2"/>
      </rPr>
      <t xml:space="preserve"> =</t>
    </r>
  </si>
  <si>
    <r>
      <rPr>
        <i/>
        <sz val="9"/>
        <color theme="1"/>
        <rFont val="Jacobs Chronos"/>
        <family val="2"/>
      </rPr>
      <t>CG</t>
    </r>
    <r>
      <rPr>
        <i/>
        <vertAlign val="subscript"/>
        <sz val="9"/>
        <color theme="1"/>
        <rFont val="Jacobs Chronos"/>
        <family val="2"/>
      </rPr>
      <t>Ten</t>
    </r>
    <r>
      <rPr>
        <sz val="9"/>
        <color theme="1"/>
        <rFont val="Jacobs Chronos"/>
        <family val="2"/>
      </rPr>
      <t xml:space="preserve"> =</t>
    </r>
  </si>
  <si>
    <r>
      <rPr>
        <sz val="9"/>
        <color theme="1"/>
        <rFont val="Jacobs Chronos"/>
        <family val="2"/>
      </rPr>
      <t>ϕ</t>
    </r>
    <r>
      <rPr>
        <i/>
        <vertAlign val="subscript"/>
        <sz val="9"/>
        <color theme="1"/>
        <rFont val="Jacobs Chronos"/>
        <family val="2"/>
      </rPr>
      <t>t</t>
    </r>
    <r>
      <rPr>
        <sz val="9"/>
        <color theme="1"/>
        <rFont val="Jacobs Chronos"/>
        <family val="2"/>
      </rPr>
      <t xml:space="preserve"> =</t>
    </r>
  </si>
  <si>
    <r>
      <rPr>
        <i/>
        <sz val="9"/>
        <color theme="1"/>
        <rFont val="Jacobs Chronos"/>
        <family val="2"/>
      </rPr>
      <t>f</t>
    </r>
    <r>
      <rPr>
        <i/>
        <vertAlign val="subscript"/>
        <sz val="9"/>
        <color theme="1"/>
        <rFont val="Jacobs Chronos"/>
        <family val="2"/>
      </rPr>
      <t>y</t>
    </r>
    <r>
      <rPr>
        <sz val="9"/>
        <color theme="1"/>
        <rFont val="Jacobs Chronos"/>
        <family val="2"/>
      </rPr>
      <t xml:space="preserve"> =</t>
    </r>
  </si>
  <si>
    <r>
      <rPr>
        <i/>
        <sz val="9"/>
        <color theme="1"/>
        <rFont val="Jacobs Chronos"/>
        <family val="2"/>
      </rPr>
      <t>X</t>
    </r>
    <r>
      <rPr>
        <i/>
        <vertAlign val="subscript"/>
        <sz val="9"/>
        <color theme="1"/>
        <rFont val="Jacobs Chronos"/>
        <family val="2"/>
      </rPr>
      <t>B</t>
    </r>
    <r>
      <rPr>
        <sz val="9"/>
        <color theme="1"/>
        <rFont val="Jacobs Chronos"/>
        <family val="2"/>
      </rPr>
      <t xml:space="preserve"> =</t>
    </r>
  </si>
  <si>
    <r>
      <rPr>
        <i/>
        <sz val="9"/>
        <color theme="1"/>
        <rFont val="Jacobs Chronos"/>
        <family val="2"/>
      </rPr>
      <t>N</t>
    </r>
    <r>
      <rPr>
        <i/>
        <vertAlign val="subscript"/>
        <sz val="9"/>
        <color theme="1"/>
        <rFont val="Jacobs Chronos"/>
        <family val="2"/>
      </rPr>
      <t>B</t>
    </r>
    <r>
      <rPr>
        <sz val="9"/>
        <color theme="1"/>
        <rFont val="Jacobs Chronos"/>
        <family val="2"/>
      </rPr>
      <t xml:space="preserve"> =</t>
    </r>
  </si>
  <si>
    <r>
      <rPr>
        <i/>
        <sz val="9"/>
        <color theme="1"/>
        <rFont val="Jacobs Chronos"/>
        <family val="2"/>
      </rPr>
      <t>A</t>
    </r>
    <r>
      <rPr>
        <i/>
        <vertAlign val="subscript"/>
        <sz val="9"/>
        <color theme="1"/>
        <rFont val="Jacobs Chronos"/>
        <family val="2"/>
      </rPr>
      <t>s.req</t>
    </r>
    <r>
      <rPr>
        <sz val="9"/>
        <color theme="1"/>
        <rFont val="Jacobs Chronos"/>
        <family val="2"/>
      </rPr>
      <t xml:space="preserve"> =</t>
    </r>
  </si>
  <si>
    <r>
      <rPr>
        <i/>
        <sz val="9"/>
        <color theme="1"/>
        <rFont val="Jacobs Chronos"/>
        <family val="2"/>
      </rPr>
      <t>A</t>
    </r>
    <r>
      <rPr>
        <i/>
        <vertAlign val="subscript"/>
        <sz val="9"/>
        <color theme="1"/>
        <rFont val="Jacobs Chronos"/>
        <family val="2"/>
      </rPr>
      <t>s.prov</t>
    </r>
    <r>
      <rPr>
        <sz val="9"/>
        <color theme="1"/>
        <rFont val="Jacobs Chronos"/>
        <family val="2"/>
      </rPr>
      <t xml:space="preserve"> =</t>
    </r>
  </si>
  <si>
    <r>
      <rPr>
        <i/>
        <sz val="9"/>
        <color theme="1"/>
        <rFont val="Jacobs Chronos"/>
        <family val="2"/>
      </rPr>
      <t>N</t>
    </r>
    <r>
      <rPr>
        <i/>
        <vertAlign val="subscript"/>
        <sz val="9"/>
        <color theme="1"/>
        <rFont val="Jacobs Chronos"/>
        <family val="2"/>
      </rPr>
      <t>S</t>
    </r>
    <r>
      <rPr>
        <sz val="9"/>
        <color theme="1"/>
        <rFont val="Jacobs Chronos"/>
        <family val="2"/>
      </rPr>
      <t xml:space="preserve"> =</t>
    </r>
  </si>
  <si>
    <r>
      <rPr>
        <i/>
        <sz val="9"/>
        <color theme="1"/>
        <rFont val="Jacobs Chronos"/>
        <family val="2"/>
      </rPr>
      <t>X</t>
    </r>
    <r>
      <rPr>
        <i/>
        <vertAlign val="subscript"/>
        <sz val="9"/>
        <color theme="1"/>
        <rFont val="Jacobs Chronos"/>
        <family val="2"/>
      </rPr>
      <t>S</t>
    </r>
    <r>
      <rPr>
        <sz val="9"/>
        <color theme="1"/>
        <rFont val="Jacobs Chronos"/>
        <family val="2"/>
      </rPr>
      <t xml:space="preserve"> =</t>
    </r>
  </si>
  <si>
    <r>
      <t>f</t>
    </r>
    <r>
      <rPr>
        <i/>
        <vertAlign val="subscript"/>
        <sz val="9"/>
        <color theme="1"/>
        <rFont val="Jacobs Chronos"/>
        <family val="2"/>
      </rPr>
      <t>ci_L.G</t>
    </r>
    <r>
      <rPr>
        <sz val="9"/>
        <color theme="1"/>
        <rFont val="Jacobs Chronos"/>
        <family val="2"/>
      </rPr>
      <t xml:space="preserve"> =</t>
    </r>
  </si>
  <si>
    <r>
      <rPr>
        <i/>
        <sz val="9"/>
        <color theme="1"/>
        <rFont val="Jacobs Chronos"/>
        <family val="2"/>
      </rPr>
      <t>f'</t>
    </r>
    <r>
      <rPr>
        <i/>
        <vertAlign val="subscript"/>
        <sz val="9"/>
        <color theme="1"/>
        <rFont val="Jacobs Chronos"/>
        <family val="2"/>
      </rPr>
      <t>ci</t>
    </r>
    <r>
      <rPr>
        <sz val="9"/>
        <color theme="1"/>
        <rFont val="Jacobs Chronos"/>
        <family val="2"/>
      </rPr>
      <t xml:space="preserve"> =</t>
    </r>
  </si>
  <si>
    <r>
      <t>ϕ</t>
    </r>
    <r>
      <rPr>
        <i/>
        <vertAlign val="subscript"/>
        <sz val="9"/>
        <color theme="1"/>
        <rFont val="Jacobs Chronos"/>
        <family val="2"/>
      </rPr>
      <t>c</t>
    </r>
    <r>
      <rPr>
        <i/>
        <sz val="9"/>
        <color theme="1"/>
        <rFont val="Jacobs Chronos"/>
        <family val="2"/>
      </rPr>
      <t xml:space="preserve"> </t>
    </r>
    <r>
      <rPr>
        <sz val="9"/>
        <color theme="1"/>
        <rFont val="Jacobs Chronos"/>
        <family val="2"/>
      </rPr>
      <t>=</t>
    </r>
  </si>
  <si>
    <r>
      <rPr>
        <i/>
        <sz val="9"/>
        <color theme="1"/>
        <rFont val="Jacobs Chronos"/>
        <family val="2"/>
      </rPr>
      <t>D</t>
    </r>
    <r>
      <rPr>
        <sz val="9"/>
        <color theme="1"/>
        <rFont val="Jacobs Chronos"/>
        <family val="2"/>
      </rPr>
      <t xml:space="preserve"> =</t>
    </r>
  </si>
  <si>
    <r>
      <rPr>
        <i/>
        <sz val="9"/>
        <color theme="1"/>
        <rFont val="Jacobs Chronos"/>
        <family val="2"/>
      </rPr>
      <t>H</t>
    </r>
    <r>
      <rPr>
        <sz val="9"/>
        <color theme="1"/>
        <rFont val="Jacobs Chronos"/>
        <family val="2"/>
      </rPr>
      <t xml:space="preserve"> =</t>
    </r>
  </si>
  <si>
    <r>
      <t>f</t>
    </r>
    <r>
      <rPr>
        <i/>
        <vertAlign val="subscript"/>
        <sz val="9"/>
        <color theme="1"/>
        <rFont val="Jacobs Chronos"/>
        <family val="2"/>
      </rPr>
      <t>ci_ED</t>
    </r>
    <r>
      <rPr>
        <sz val="9"/>
        <color theme="1"/>
        <rFont val="Jacobs Chronos"/>
        <family val="2"/>
      </rPr>
      <t xml:space="preserve"> =</t>
    </r>
  </si>
  <si>
    <r>
      <rPr>
        <i/>
        <sz val="9"/>
        <color theme="1"/>
        <rFont val="Jacobs Chronos"/>
        <family val="2"/>
      </rPr>
      <t>X</t>
    </r>
    <r>
      <rPr>
        <i/>
        <vertAlign val="subscript"/>
        <sz val="9"/>
        <color theme="1"/>
        <rFont val="Jacobs Chronos"/>
        <family val="2"/>
      </rPr>
      <t>T1</t>
    </r>
    <r>
      <rPr>
        <sz val="9"/>
        <color theme="1"/>
        <rFont val="Jacobs Chronos"/>
        <family val="2"/>
      </rPr>
      <t xml:space="preserve"> =</t>
    </r>
  </si>
  <si>
    <r>
      <rPr>
        <i/>
        <sz val="9"/>
        <color theme="1"/>
        <rFont val="Jacobs Chronos"/>
        <family val="2"/>
      </rPr>
      <t>N</t>
    </r>
    <r>
      <rPr>
        <i/>
        <vertAlign val="subscript"/>
        <sz val="9"/>
        <color theme="1"/>
        <rFont val="Jacobs Chronos"/>
        <family val="2"/>
      </rPr>
      <t>T1</t>
    </r>
    <r>
      <rPr>
        <sz val="9"/>
        <color theme="1"/>
        <rFont val="Jacobs Chronos"/>
        <family val="2"/>
      </rPr>
      <t xml:space="preserve"> =</t>
    </r>
  </si>
  <si>
    <r>
      <rPr>
        <i/>
        <sz val="9"/>
        <color theme="1"/>
        <rFont val="Jacobs Chronos"/>
        <family val="2"/>
      </rPr>
      <t>X</t>
    </r>
    <r>
      <rPr>
        <i/>
        <vertAlign val="subscript"/>
        <sz val="9"/>
        <color theme="1"/>
        <rFont val="Jacobs Chronos"/>
        <family val="2"/>
      </rPr>
      <t>T2</t>
    </r>
    <r>
      <rPr>
        <sz val="9"/>
        <color theme="1"/>
        <rFont val="Jacobs Chronos"/>
        <family val="2"/>
      </rPr>
      <t xml:space="preserve"> =</t>
    </r>
  </si>
  <si>
    <r>
      <rPr>
        <i/>
        <sz val="9"/>
        <color theme="1"/>
        <rFont val="Jacobs Chronos"/>
        <family val="2"/>
      </rPr>
      <t>N</t>
    </r>
    <r>
      <rPr>
        <i/>
        <vertAlign val="subscript"/>
        <sz val="9"/>
        <color theme="1"/>
        <rFont val="Jacobs Chronos"/>
        <family val="2"/>
      </rPr>
      <t>T2</t>
    </r>
    <r>
      <rPr>
        <sz val="9"/>
        <color theme="1"/>
        <rFont val="Jacobs Chronos"/>
        <family val="2"/>
      </rPr>
      <t xml:space="preserve"> =</t>
    </r>
  </si>
  <si>
    <r>
      <t>P</t>
    </r>
    <r>
      <rPr>
        <i/>
        <vertAlign val="subscript"/>
        <sz val="9"/>
        <color theme="1"/>
        <rFont val="Jacobs Chronos"/>
        <family val="2"/>
      </rPr>
      <t>web</t>
    </r>
    <r>
      <rPr>
        <sz val="9"/>
        <color theme="1"/>
        <rFont val="Jacobs Chronos"/>
        <family val="2"/>
      </rPr>
      <t xml:space="preserve"> =</t>
    </r>
  </si>
  <si>
    <r>
      <rPr>
        <i/>
        <sz val="9"/>
        <color theme="1"/>
        <rFont val="Jacobs Chronos"/>
        <family val="2"/>
      </rPr>
      <t>W</t>
    </r>
    <r>
      <rPr>
        <i/>
        <vertAlign val="subscript"/>
        <sz val="9"/>
        <color theme="1"/>
        <rFont val="Jacobs Chronos"/>
        <family val="2"/>
      </rPr>
      <t>ext</t>
    </r>
    <r>
      <rPr>
        <sz val="9"/>
        <color theme="1"/>
        <rFont val="Jacobs Chronos"/>
        <family val="2"/>
      </rPr>
      <t xml:space="preserve"> =</t>
    </r>
  </si>
  <si>
    <r>
      <rPr>
        <i/>
        <sz val="9"/>
        <color theme="1"/>
        <rFont val="Jacobs Chronos"/>
        <family val="2"/>
      </rPr>
      <t>W</t>
    </r>
    <r>
      <rPr>
        <i/>
        <vertAlign val="subscript"/>
        <sz val="9"/>
        <color theme="1"/>
        <rFont val="Jacobs Chronos"/>
        <family val="2"/>
      </rPr>
      <t>int</t>
    </r>
    <r>
      <rPr>
        <sz val="9"/>
        <color theme="1"/>
        <rFont val="Jacobs Chronos"/>
        <family val="2"/>
      </rPr>
      <t xml:space="preserve"> =</t>
    </r>
  </si>
  <si>
    <r>
      <rPr>
        <i/>
        <sz val="9"/>
        <color theme="1"/>
        <rFont val="Jacobs Chronos"/>
        <family val="2"/>
      </rPr>
      <t>H</t>
    </r>
    <r>
      <rPr>
        <i/>
        <vertAlign val="subscript"/>
        <sz val="9"/>
        <color theme="1"/>
        <rFont val="Jacobs Chronos"/>
        <family val="2"/>
      </rPr>
      <t>w_ext</t>
    </r>
    <r>
      <rPr>
        <sz val="9"/>
        <color theme="1"/>
        <rFont val="Jacobs Chronos"/>
        <family val="2"/>
      </rPr>
      <t xml:space="preserve"> =</t>
    </r>
  </si>
  <si>
    <r>
      <rPr>
        <i/>
        <sz val="9"/>
        <color theme="1"/>
        <rFont val="Jacobs Chronos"/>
        <family val="2"/>
      </rPr>
      <t>L</t>
    </r>
    <r>
      <rPr>
        <i/>
        <vertAlign val="subscript"/>
        <sz val="9"/>
        <color theme="1"/>
        <rFont val="Jacobs Chronos"/>
        <family val="2"/>
      </rPr>
      <t>e_CL</t>
    </r>
    <r>
      <rPr>
        <sz val="9"/>
        <color theme="1"/>
        <rFont val="Jacobs Chronos"/>
        <family val="2"/>
      </rPr>
      <t xml:space="preserve"> =</t>
    </r>
  </si>
  <si>
    <r>
      <rPr>
        <i/>
        <sz val="9"/>
        <color theme="1"/>
        <rFont val="Jacobs Chronos"/>
        <family val="2"/>
      </rPr>
      <t>L</t>
    </r>
    <r>
      <rPr>
        <i/>
        <vertAlign val="subscript"/>
        <sz val="9"/>
        <color theme="1"/>
        <rFont val="Jacobs Chronos"/>
        <family val="2"/>
      </rPr>
      <t>CL_e</t>
    </r>
    <r>
      <rPr>
        <sz val="9"/>
        <color theme="1"/>
        <rFont val="Jacobs Chronos"/>
        <family val="2"/>
      </rPr>
      <t xml:space="preserve"> =</t>
    </r>
  </si>
  <si>
    <r>
      <rPr>
        <i/>
        <sz val="9"/>
        <color theme="1"/>
        <rFont val="Jacobs Chronos"/>
        <family val="2"/>
      </rPr>
      <t>W</t>
    </r>
    <r>
      <rPr>
        <i/>
        <vertAlign val="subscript"/>
        <sz val="9"/>
        <color theme="1"/>
        <rFont val="Jacobs Chronos"/>
        <family val="2"/>
      </rPr>
      <t>ew/2</t>
    </r>
    <r>
      <rPr>
        <sz val="9"/>
        <color theme="1"/>
        <rFont val="Jacobs Chronos"/>
        <family val="2"/>
      </rPr>
      <t xml:space="preserve"> =</t>
    </r>
  </si>
  <si>
    <r>
      <rPr>
        <i/>
        <sz val="9"/>
        <color theme="1"/>
        <rFont val="Jacobs Chronos"/>
        <family val="2"/>
      </rPr>
      <t>X</t>
    </r>
    <r>
      <rPr>
        <i/>
        <vertAlign val="subscript"/>
        <sz val="9"/>
        <color theme="1"/>
        <rFont val="Jacobs Chronos"/>
        <family val="2"/>
      </rPr>
      <t>B1</t>
    </r>
    <r>
      <rPr>
        <sz val="9"/>
        <color theme="1"/>
        <rFont val="Jacobs Chronos"/>
        <family val="2"/>
      </rPr>
      <t xml:space="preserve"> =</t>
    </r>
  </si>
  <si>
    <r>
      <rPr>
        <i/>
        <sz val="9"/>
        <color theme="1"/>
        <rFont val="Jacobs Chronos"/>
        <family val="2"/>
      </rPr>
      <t>N</t>
    </r>
    <r>
      <rPr>
        <i/>
        <vertAlign val="subscript"/>
        <sz val="9"/>
        <color theme="1"/>
        <rFont val="Jacobs Chronos"/>
        <family val="2"/>
      </rPr>
      <t>B1</t>
    </r>
    <r>
      <rPr>
        <sz val="9"/>
        <color theme="1"/>
        <rFont val="Jacobs Chronos"/>
        <family val="2"/>
      </rPr>
      <t xml:space="preserve"> =</t>
    </r>
  </si>
  <si>
    <t>Top Slab Thickness</t>
  </si>
  <si>
    <t>U =</t>
  </si>
  <si>
    <r>
      <t xml:space="preserve">Uniform Load at Top Slab, </t>
    </r>
    <r>
      <rPr>
        <i/>
        <sz val="9"/>
        <color theme="1"/>
        <rFont val="Jacobs Chronos"/>
        <family val="2"/>
      </rPr>
      <t>U</t>
    </r>
    <r>
      <rPr>
        <sz val="9"/>
        <color theme="1"/>
        <rFont val="Jacobs Chronos"/>
        <family val="2"/>
      </rPr>
      <t xml:space="preserve"> =</t>
    </r>
  </si>
  <si>
    <r>
      <t xml:space="preserve">Fillet, </t>
    </r>
    <r>
      <rPr>
        <i/>
        <sz val="9"/>
        <color theme="1"/>
        <rFont val="Jacobs Chronos"/>
        <family val="2"/>
      </rPr>
      <t>fi</t>
    </r>
    <r>
      <rPr>
        <i/>
        <vertAlign val="subscript"/>
        <sz val="9"/>
        <color theme="1"/>
        <rFont val="Jacobs Chronos"/>
        <family val="2"/>
      </rPr>
      <t>s</t>
    </r>
    <r>
      <rPr>
        <sz val="9"/>
        <color theme="1"/>
        <rFont val="Jacobs Chronos"/>
        <family val="2"/>
      </rPr>
      <t xml:space="preserve"> =</t>
    </r>
  </si>
  <si>
    <r>
      <rPr>
        <i/>
        <sz val="9"/>
        <color theme="1"/>
        <rFont val="Jacobs Chronos"/>
        <family val="2"/>
      </rPr>
      <t>fi</t>
    </r>
    <r>
      <rPr>
        <i/>
        <vertAlign val="subscript"/>
        <sz val="9"/>
        <color theme="1"/>
        <rFont val="Jacobs Chronos"/>
        <family val="2"/>
      </rPr>
      <t>s</t>
    </r>
    <r>
      <rPr>
        <sz val="9"/>
        <color theme="1"/>
        <rFont val="Jacobs Chronos"/>
        <family val="2"/>
      </rPr>
      <t xml:space="preserve"> =</t>
    </r>
  </si>
  <si>
    <r>
      <t xml:space="preserve">Height of C. G of Assumed Load, </t>
    </r>
    <r>
      <rPr>
        <i/>
        <sz val="9"/>
        <color theme="1"/>
        <rFont val="Jacobs Chronos"/>
        <family val="2"/>
      </rPr>
      <t>H</t>
    </r>
    <r>
      <rPr>
        <i/>
        <vertAlign val="subscript"/>
        <sz val="9"/>
        <color theme="1"/>
        <rFont val="Jacobs Chronos"/>
        <family val="2"/>
      </rPr>
      <t>l</t>
    </r>
    <r>
      <rPr>
        <sz val="9"/>
        <color theme="1"/>
        <rFont val="Jacobs Chronos"/>
        <family val="2"/>
      </rPr>
      <t xml:space="preserve"> =</t>
    </r>
  </si>
  <si>
    <r>
      <t>H</t>
    </r>
    <r>
      <rPr>
        <i/>
        <vertAlign val="subscript"/>
        <sz val="9"/>
        <color theme="1"/>
        <rFont val="Jacobs Chronos"/>
        <family val="2"/>
      </rPr>
      <t>l</t>
    </r>
    <r>
      <rPr>
        <i/>
        <sz val="9"/>
        <color theme="1"/>
        <rFont val="Jacobs Chronos"/>
        <family val="2"/>
      </rPr>
      <t xml:space="preserve"> =</t>
    </r>
  </si>
  <si>
    <t>number of bursting stirrups (No.)</t>
  </si>
  <si>
    <t>number of bottom slab zone 1 transverse rebars (No.)</t>
  </si>
  <si>
    <t>number of strands in bottom tendon (No.)</t>
  </si>
  <si>
    <t>number of bundle bars (No.)</t>
  </si>
  <si>
    <t>number of bundle bars in zone 1 (No.)</t>
  </si>
  <si>
    <t>number of spalling bars (No.)</t>
  </si>
  <si>
    <t>number of strands (No.)</t>
  </si>
  <si>
    <t>number of bundle bars in zone 2 (No.)</t>
  </si>
  <si>
    <t>number of top slab zone 1 transverse rebar (No.)</t>
  </si>
  <si>
    <t>number of top slab zone 2 trans rebar (No.)</t>
  </si>
  <si>
    <t>number of strands in top tendon (No.)</t>
  </si>
  <si>
    <t>number of internal webs (No.)</t>
  </si>
  <si>
    <t>stirrup size for bursting</t>
  </si>
  <si>
    <t>reinforcing size for spalling</t>
  </si>
  <si>
    <t>top slab zone 1 transverse rebar size</t>
  </si>
  <si>
    <t>bottom slab zone 1 transverse rebar size</t>
  </si>
  <si>
    <t>top slab zone 2 transverse rebar size</t>
  </si>
  <si>
    <t>angle at which exterior web is placed (deg)</t>
  </si>
  <si>
    <t>angle of anchorage device (deg)</t>
  </si>
  <si>
    <t>resistance factor for tensile rebar in anchorage zone (-)</t>
  </si>
  <si>
    <t>resistance factor for compressive concrete in anch zone (-)</t>
  </si>
  <si>
    <r>
      <rPr>
        <i/>
        <sz val="9"/>
        <color theme="1"/>
        <rFont val="Jacobs Chronos"/>
        <family val="2"/>
      </rPr>
      <t>e</t>
    </r>
    <r>
      <rPr>
        <i/>
        <vertAlign val="subscript"/>
        <sz val="9"/>
        <color theme="1"/>
        <rFont val="Jacobs Chronos"/>
        <family val="2"/>
      </rPr>
      <t>genzone</t>
    </r>
    <r>
      <rPr>
        <sz val="9"/>
        <color theme="1"/>
        <rFont val="Jacobs Chronos"/>
        <family val="2"/>
      </rPr>
      <t xml:space="preserve"> =</t>
    </r>
  </si>
  <si>
    <r>
      <rPr>
        <sz val="9"/>
        <color theme="1"/>
        <rFont val="Jacobs Chronos"/>
        <family val="2"/>
      </rPr>
      <t xml:space="preserve">Bottom Slab Center of Gravity, </t>
    </r>
    <r>
      <rPr>
        <i/>
        <sz val="9"/>
        <color theme="1"/>
        <rFont val="Jacobs Chronos"/>
        <family val="2"/>
      </rPr>
      <t>CG</t>
    </r>
    <r>
      <rPr>
        <i/>
        <vertAlign val="subscript"/>
        <sz val="9"/>
        <color theme="1"/>
        <rFont val="Jacobs Chronos"/>
        <family val="2"/>
      </rPr>
      <t>BS</t>
    </r>
    <r>
      <rPr>
        <sz val="9"/>
        <color theme="1"/>
        <rFont val="Jacobs Chronos"/>
        <family val="2"/>
      </rPr>
      <t xml:space="preserve"> =</t>
    </r>
  </si>
  <si>
    <r>
      <t xml:space="preserve">Distance between the Local Zone and the edge of Diaphragm, </t>
    </r>
    <r>
      <rPr>
        <i/>
        <sz val="9"/>
        <color theme="1"/>
        <rFont val="Jacobs Chronos"/>
        <family val="2"/>
      </rPr>
      <t>D</t>
    </r>
    <r>
      <rPr>
        <sz val="9"/>
        <color theme="1"/>
        <rFont val="Jacobs Chronos"/>
        <family val="2"/>
      </rPr>
      <t xml:space="preserve"> =</t>
    </r>
  </si>
  <si>
    <r>
      <rPr>
        <i/>
        <sz val="9"/>
        <color theme="1"/>
        <rFont val="Jacobs Chronos"/>
        <family val="2"/>
      </rPr>
      <t>No</t>
    </r>
    <r>
      <rPr>
        <i/>
        <vertAlign val="subscript"/>
        <sz val="9"/>
        <color theme="1"/>
        <rFont val="Jacobs Chronos"/>
        <family val="2"/>
      </rPr>
      <t>bun_Bott</t>
    </r>
    <r>
      <rPr>
        <sz val="9"/>
        <color theme="1"/>
        <rFont val="Jacobs Chronos"/>
        <family val="2"/>
      </rPr>
      <t xml:space="preserve"> =</t>
    </r>
  </si>
  <si>
    <r>
      <rPr>
        <i/>
        <sz val="9"/>
        <color theme="1"/>
        <rFont val="Jacobs Chronos"/>
        <family val="2"/>
      </rPr>
      <t>No</t>
    </r>
    <r>
      <rPr>
        <i/>
        <vertAlign val="subscript"/>
        <sz val="9"/>
        <color theme="1"/>
        <rFont val="Jacobs Chronos"/>
        <family val="2"/>
      </rPr>
      <t>bun_Top_f</t>
    </r>
    <r>
      <rPr>
        <sz val="9"/>
        <color theme="1"/>
        <rFont val="Jacobs Chronos"/>
        <family val="2"/>
      </rPr>
      <t xml:space="preserve"> =</t>
    </r>
  </si>
  <si>
    <r>
      <rPr>
        <i/>
        <sz val="9"/>
        <color theme="1"/>
        <rFont val="Jacobs Chronos"/>
        <family val="2"/>
      </rPr>
      <t>No</t>
    </r>
    <r>
      <rPr>
        <i/>
        <vertAlign val="subscript"/>
        <sz val="9"/>
        <color theme="1"/>
        <rFont val="Jacobs Chronos"/>
        <family val="2"/>
      </rPr>
      <t>bun_Top_s</t>
    </r>
    <r>
      <rPr>
        <sz val="9"/>
        <color theme="1"/>
        <rFont val="Jacobs Chronos"/>
        <family val="2"/>
      </rPr>
      <t xml:space="preserve"> =</t>
    </r>
  </si>
  <si>
    <t>1. Guidance</t>
  </si>
  <si>
    <t>definition of anchorage geometry and section properties, including the effects of flared webs,</t>
  </si>
  <si>
    <t>determination of local and general anchorage zones,</t>
  </si>
  <si>
    <t>resolution of factored prestressing forces into horizontal and vertical components,</t>
  </si>
  <si>
    <t>evaluation of stresses and resultant forces at the end of the anchorage zone,</t>
  </si>
  <si>
    <t>development and solution of strut‑and‑tie models for the anchorage zone, top slab, and bottom slab,</t>
  </si>
  <si>
    <t>design of bursting and spalling reinforcement,</t>
  </si>
  <si>
    <t>verification of concrete compressive stresses beyond the local zone.</t>
  </si>
  <si>
    <t>The spreadsheet is intended to be used by experienced structural or bridge engineers familiar with post‑tensioned concrete design and AASHTO LRFD requirements. Engineering judgment is required when interpreting results and applying them to project‑specific conditions.</t>
  </si>
  <si>
    <t>The scope of this spreadsheet is limited to the design and verification of the end block (anchorage zone) for a post‑tensioned multicell concrete box girder with internal and exterior webs. Specifically, the spreadsheet covers the following:</t>
  </si>
  <si>
    <t>This spreadsheet provides guidance for the design and verification of the end block (anchorage zone) of a post‑tensioned multicell concrete box girder bridge. The calculation methodology is based on the provisions of AASHTO LRFD Bridge Design Specifications, 10th Edition, and reflects commonly accepted bridge engineering practice for post‑tensioned anchorage zones.
The anchorage zone is treated as a disturbed region (D‑region) where the classical assumption that plane sections remain plane is not valid due to the highly concentrated prestressing forces. Accordingly, the strut‑and‑tie method is employed to model the force flow and to determine reinforcement demands and concrete stresses. Simplified equilibrium‑based approaches are used where appropriate to maintain transparency, traceability, and computational efficiency.
This spreadsheet guides the user through:</t>
  </si>
  <si>
    <t>End block and anchorage zone geometry definition, including web flaring and diaphragm location.</t>
  </si>
  <si>
    <t>Determination of local zone and general zone lengths in accordance with AASHTO LRFD.</t>
  </si>
  <si>
    <t>Calculation of section properties at the end of the anchorage zone.</t>
  </si>
  <si>
    <t>Determination of anchorage zone stresses and resultant forces based on factored prestressing forces.</t>
  </si>
  <si>
    <t>Strut‑and‑tie modeling of:</t>
  </si>
  <si>
    <t>the anchorage zone,</t>
  </si>
  <si>
    <t>the top slab anchorage region,</t>
  </si>
  <si>
    <t>the bottom slab anchorage region.</t>
  </si>
  <si>
    <t>Design of:</t>
  </si>
  <si>
    <t>web bursting reinforcement,</t>
  </si>
  <si>
    <t>spalling reinforcement near anchorage faces,</t>
  </si>
  <si>
    <t>transverse reinforcement in the top slab,</t>
  </si>
  <si>
    <t>transverse reinforcement in the bottom slab.</t>
  </si>
  <si>
    <t>Verification of concrete compressive stresses at:</t>
  </si>
  <si>
    <t>the local zone / general zone interface,</t>
  </si>
  <si>
    <t>the end of the diaphragm.</t>
  </si>
  <si>
    <t>The following items are outside the scope of this spreadsheet:</t>
  </si>
  <si>
    <t>detailed design of anchorage hardware and proprietary post‑tensioning components,</t>
  </si>
  <si>
    <t>detailed concrete stress checks within the immediate anchorage head local zone,</t>
  </si>
  <si>
    <t>time‑dependent effects such as creep, shrinkage, relaxation, and long‑term prestress losses,</t>
  </si>
  <si>
    <t>global girder analysis or service‑level stress checks outside the anchorage region,</t>
  </si>
  <si>
    <t>applicability to external post‑tensioning systems or non‑standard anchorage layouts without modification.</t>
  </si>
  <si>
    <t>The spreadsheet is formulated for routine bridge design applications. Use for geometries, loading conditions, or structural systems significantly different from those assumed herein may require modification of the methodology and independent verification.</t>
  </si>
  <si>
    <t>2. Scope</t>
  </si>
  <si>
    <t>m</t>
  </si>
  <si>
    <r>
      <t>m</t>
    </r>
    <r>
      <rPr>
        <vertAlign val="superscript"/>
        <sz val="9"/>
        <color theme="1"/>
        <rFont val="Jacobs Chronos"/>
        <family val="2"/>
      </rPr>
      <t>2</t>
    </r>
  </si>
  <si>
    <r>
      <t>m</t>
    </r>
    <r>
      <rPr>
        <vertAlign val="superscript"/>
        <sz val="9"/>
        <color theme="1"/>
        <rFont val="Jacobs Chronos"/>
        <family val="2"/>
      </rPr>
      <t>4</t>
    </r>
  </si>
  <si>
    <t>Mpa</t>
  </si>
  <si>
    <t>MPa</t>
  </si>
  <si>
    <t>Spacing btw webs for Top Slab (m)</t>
  </si>
  <si>
    <t>Spacing btw webs for Bot Slab (m)</t>
  </si>
  <si>
    <t>beginning of strands bending counting from bearing CL (m)</t>
  </si>
  <si>
    <t>section width (m)</t>
  </si>
  <si>
    <t>distance from CL of edge of bottom slab to end of slab (m)</t>
  </si>
  <si>
    <t>front of diaphragm to CL of bridge abutment (m)</t>
  </si>
  <si>
    <t>back of diaphragm to CL of bridge abutment (m)</t>
  </si>
  <si>
    <t>total web flare width (m)</t>
  </si>
  <si>
    <t>width of web at the begin of it flare (m)</t>
  </si>
  <si>
    <t>top slab width (m)</t>
  </si>
  <si>
    <t>width of web at the end of it flare (m)</t>
  </si>
  <si>
    <t>distance from edge of bottom slab to CL of exterior web (m)</t>
  </si>
  <si>
    <t>bottom slab center of gravity (m)</t>
  </si>
  <si>
    <t>web flare length (m)</t>
  </si>
  <si>
    <t>half of exterior web width taken parallel to slab (m)</t>
  </si>
  <si>
    <t>exterior fillets center of gravity (m)</t>
  </si>
  <si>
    <t>length of general zone (same as anchorage zone) (m)</t>
  </si>
  <si>
    <t>interior fillet width (m)</t>
  </si>
  <si>
    <t>interior fillets center of gravity (m)</t>
  </si>
  <si>
    <t>length of local zone (m)</t>
  </si>
  <si>
    <t>web flare width (m)</t>
  </si>
  <si>
    <t>overhang, fillets, and web center of gravity (m)</t>
  </si>
  <si>
    <t>overhang width (m)</t>
  </si>
  <si>
    <t>overhang center of gravity (m)</t>
  </si>
  <si>
    <t>span length (m)</t>
  </si>
  <si>
    <t>maximum width of local zone (m)</t>
  </si>
  <si>
    <t>tendon center of gravity spacing (m)</t>
  </si>
  <si>
    <t>moment of interia (m4)</t>
  </si>
  <si>
    <t>top slab center of gravity (m)</t>
  </si>
  <si>
    <t>web center of gravity (m)</t>
  </si>
  <si>
    <t>distance between the local zone and the edge of diaphragm (m)</t>
  </si>
  <si>
    <t>minimum distance from bottom slab to CL of strands at midspan (m)</t>
  </si>
  <si>
    <t>eccentricity at the end of anchorage zone (m)</t>
  </si>
  <si>
    <t>distance to bottom fiber from neutral axis (m)</t>
  </si>
  <si>
    <t>distance of straight strands near the anchorage device (m)</t>
  </si>
  <si>
    <t>distance to top fiber from neutral axis (m)</t>
  </si>
  <si>
    <t>local zone / general zone interface hight (m)</t>
  </si>
  <si>
    <t>height of spread stresses at the end of diaphragm (m)</t>
  </si>
  <si>
    <t>bottom slab thickness (m)</t>
  </si>
  <si>
    <t>exterior fillet thickness (m)</t>
  </si>
  <si>
    <t>interior fillet height (m)</t>
  </si>
  <si>
    <t>height of C. G. of assumed load (m)</t>
  </si>
  <si>
    <t>overhang thickness (m)</t>
  </si>
  <si>
    <t>exterior web thickness (m)</t>
  </si>
  <si>
    <t>bottom length of anchore blockout (m)</t>
  </si>
  <si>
    <t>length of anchorage device confining reinforcement (m)</t>
  </si>
  <si>
    <t>distance from face of the blockout to the bridge abutment CL (m)</t>
  </si>
  <si>
    <t>section height (m)</t>
  </si>
  <si>
    <t>bottom slab width (m)</t>
  </si>
  <si>
    <t>X-Coord (m)</t>
  </si>
  <si>
    <t>Y-Coord (m)</t>
  </si>
  <si>
    <t>Spacing (m)</t>
  </si>
  <si>
    <t>Force (kN)</t>
  </si>
  <si>
    <t>Sum F (First tie) (kN)</t>
  </si>
  <si>
    <t>Sum Forces (Second tie) (kN)</t>
  </si>
  <si>
    <t>Origmator:</t>
  </si>
  <si>
    <t>general zone stress distribution at upper edge on top flange (MPa)</t>
  </si>
  <si>
    <t>general zone stress distribution at bottom edge on top flange (MPa)</t>
  </si>
  <si>
    <t>general zone stress distribution at bttom edge on bottom flange (MPa)</t>
  </si>
  <si>
    <t>concrete stresses at the end of diaphragm (MPa)</t>
  </si>
  <si>
    <t>concrete stresses at the local/general zone (MPa)</t>
  </si>
  <si>
    <t>final concrete strength (MPa)</t>
  </si>
  <si>
    <t>tensile strength (MPa)</t>
  </si>
  <si>
    <t>general zone stress distribution on fillet (MPa)</t>
  </si>
  <si>
    <t>steel yield strength (MPa)</t>
  </si>
  <si>
    <t>general zone stress distribution on overhang (MPa)</t>
  </si>
  <si>
    <t>general zone stress distribution on soffit (MPa)</t>
  </si>
  <si>
    <t>total jacking force (kN)</t>
  </si>
  <si>
    <t>horizontal total tendon force (kN)</t>
  </si>
  <si>
    <t>horizontal bottom tendon force (kN)</t>
  </si>
  <si>
    <t>horizontal top tendon force (kN)</t>
  </si>
  <si>
    <t>vertical total tendon force (kN)</t>
  </si>
  <si>
    <t>vertical bottom tendon force (kN)</t>
  </si>
  <si>
    <t>vertical top tendon force (kN)</t>
  </si>
  <si>
    <t>force applied to each web (kN)</t>
  </si>
  <si>
    <t>uniform load at top slab (kN/m)</t>
  </si>
  <si>
    <t>exterior uniform load at bottom slab (kN/m)</t>
  </si>
  <si>
    <t>interior uniform load at bottom slab (kN/m)</t>
  </si>
  <si>
    <r>
      <t>provided aera of reinforcement (m</t>
    </r>
    <r>
      <rPr>
        <vertAlign val="superscript"/>
        <sz val="9"/>
        <color theme="1"/>
        <rFont val="Jacobs Chronos"/>
        <family val="2"/>
      </rPr>
      <t>2</t>
    </r>
    <r>
      <rPr>
        <sz val="9"/>
        <color theme="1"/>
        <rFont val="Jacobs Chronos"/>
        <family val="2"/>
      </rPr>
      <t>)</t>
    </r>
  </si>
  <si>
    <r>
      <t>required aera of reinforcement (m</t>
    </r>
    <r>
      <rPr>
        <vertAlign val="superscript"/>
        <sz val="9"/>
        <color theme="1"/>
        <rFont val="Jacobs Chronos"/>
        <family val="2"/>
      </rPr>
      <t>2</t>
    </r>
    <r>
      <rPr>
        <sz val="9"/>
        <color theme="1"/>
        <rFont val="Jacobs Chronos"/>
        <family val="2"/>
      </rPr>
      <t>)</t>
    </r>
  </si>
  <si>
    <r>
      <t>area of section (m</t>
    </r>
    <r>
      <rPr>
        <vertAlign val="superscript"/>
        <sz val="9"/>
        <color theme="1"/>
        <rFont val="Jacobs Chronos"/>
        <family val="2"/>
      </rPr>
      <t>2</t>
    </r>
    <r>
      <rPr>
        <sz val="9"/>
        <color theme="1"/>
        <rFont val="Jacobs Chronos"/>
        <family val="2"/>
      </rPr>
      <t>)</t>
    </r>
  </si>
  <si>
    <r>
      <t>cm</t>
    </r>
    <r>
      <rPr>
        <vertAlign val="superscript"/>
        <sz val="9"/>
        <color theme="1"/>
        <rFont val="Jacobs Chronos"/>
        <family val="2"/>
      </rPr>
      <t>2</t>
    </r>
  </si>
  <si>
    <r>
      <t>aera of strand (cm</t>
    </r>
    <r>
      <rPr>
        <vertAlign val="superscript"/>
        <sz val="9"/>
        <color theme="1"/>
        <rFont val="Jacobs Chronos"/>
        <family val="2"/>
      </rPr>
      <t>2</t>
    </r>
    <r>
      <rPr>
        <sz val="9"/>
        <color theme="1"/>
        <rFont val="Jacobs Chronos"/>
        <family val="2"/>
      </rPr>
      <t>)</t>
    </r>
  </si>
  <si>
    <t>stirrup size for bursting =</t>
  </si>
  <si>
    <t>D/C</t>
  </si>
  <si>
    <r>
      <t>h</t>
    </r>
    <r>
      <rPr>
        <i/>
        <vertAlign val="subscript"/>
        <sz val="9"/>
        <color theme="1"/>
        <rFont val="Jacobs Chronos"/>
        <family val="2"/>
      </rPr>
      <t>LZ</t>
    </r>
    <r>
      <rPr>
        <sz val="9"/>
        <color theme="1"/>
        <rFont val="Jacobs Chronos"/>
        <family val="2"/>
      </rPr>
      <t xml:space="preserve"> =</t>
    </r>
  </si>
  <si>
    <r>
      <t xml:space="preserve">Local zone / General zone Interface Hight, </t>
    </r>
    <r>
      <rPr>
        <i/>
        <sz val="9"/>
        <color theme="1"/>
        <rFont val="Jacobs Chronos"/>
        <family val="2"/>
      </rPr>
      <t>h</t>
    </r>
    <r>
      <rPr>
        <i/>
        <vertAlign val="subscript"/>
        <sz val="9"/>
        <color theme="1"/>
        <rFont val="Jacobs Chronos"/>
        <family val="2"/>
      </rPr>
      <t>LZ</t>
    </r>
    <r>
      <rPr>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</si>
  <si>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bun_Top_first</t>
    </r>
    <r>
      <rPr>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</si>
  <si>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bun_Bott</t>
    </r>
    <r>
      <rPr>
        <sz val="9"/>
        <color theme="1"/>
        <rFont val="Jacobs Chronos"/>
        <family val="2"/>
      </rPr>
      <t xml:space="preserve"> =</t>
    </r>
  </si>
  <si>
    <r>
      <t xml:space="preserve">Number of Bundle Bars, </t>
    </r>
    <r>
      <rPr>
        <i/>
        <sz val="9"/>
        <color theme="1"/>
        <rFont val="Jacobs Chronos"/>
        <family val="2"/>
      </rPr>
      <t>No</t>
    </r>
    <r>
      <rPr>
        <i/>
        <vertAlign val="subscript"/>
        <sz val="9"/>
        <color theme="1"/>
        <rFont val="Jacobs Chronos"/>
        <family val="2"/>
      </rPr>
      <t>bun_Top_second</t>
    </r>
    <r>
      <rPr>
        <sz val="9"/>
        <color theme="1"/>
        <rFont val="Jacobs Chronos"/>
        <family val="2"/>
      </rPr>
      <t xml:space="preserve"> =</t>
    </r>
  </si>
  <si>
    <t>C.G spaced from tendons =</t>
  </si>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</sst>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164" formatCode="0.00&quot; in&quot;"/>
    <numFmt numFmtId="165" formatCode="#."/>
    <numFmt numFmtId="166" formatCode="[$-409]d\-mmm\-yyyy;@"/>
    <numFmt numFmtId="167" formatCode="0.000"/>
    <numFmt numFmtId="168" formatCode="0.0000"/>
    <numFmt numFmtId="169" formatCode="General&quot; in²&quot;"/>
    <numFmt numFmtId="170" formatCode="m/d/yy;@"/>
    <numFmt numFmtId="171" formatCode="0."/>
    <numFmt numFmtId="172" formatCode="0.0"/>
    <numFmt numFmtId="173" formatCode="0.00&quot;°&quot;"/>
    <numFmt numFmtId="174" formatCode="0.00&quot; in²&quot;"/>
    <numFmt numFmtId="175" formatCode="&quot;#&quot;0"/>
    <numFmt numFmtId="176" formatCode="0.00&quot; ksi&quot;"/>
    <numFmt numFmtId="177" formatCode="0.00&quot; k/in&quot;"/>
    <numFmt numFmtId="178" formatCode="0.00&quot; m&quot;"/>
    <numFmt numFmtId="179" formatCode="0.00&quot; m⁴&quot;"/>
    <numFmt numFmtId="180" formatCode="0.00&quot; m²&quot;"/>
    <numFmt numFmtId="181" formatCode="0&quot; MPa&quot;"/>
    <numFmt numFmtId="182" formatCode="0.00&quot; kN&quot;"/>
    <numFmt numFmtId="183" formatCode="0.000&quot; MPa&quot;"/>
    <numFmt numFmtId="184" formatCode="0.00&quot; kN/m&quot;"/>
    <numFmt numFmtId="185" formatCode="0.00&quot; cm²&quot;"/>
    <numFmt numFmtId="186" formatCode="0.00&quot; kN per web&quot;"/>
  </numFmts>
  <fonts count="31"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sz val="7"/>
      <color theme="1"/>
      <name val="Jacobs Chronos"/>
      <family val="2"/>
    </font>
    <font>
      <b/>
      <i/>
      <sz val="7"/>
      <color theme="1"/>
      <name val="Jacobs Chronos"/>
      <family val="2"/>
    </font>
    <font>
      <b/>
      <i/>
      <sz val="9"/>
      <color theme="1"/>
      <name val="Jacobs Chronos"/>
      <family val="2"/>
    </font>
    <font>
      <b/>
      <sz val="9"/>
      <color rgb="FF000000"/>
      <name val="Jacobs Chronos"/>
      <family val="2"/>
    </font>
    <font>
      <sz val="8"/>
      <name val="Calibri"/>
      <family val="2"/>
      <scheme val="minor"/>
    </font>
    <font>
      <i/>
      <vertAlign val="subscript"/>
      <sz val="9"/>
      <color theme="1"/>
      <name val="Jacobs Chronos"/>
      <family val="2"/>
    </font>
    <font>
      <vertAlign val="subscript"/>
      <sz val="9"/>
      <color theme="1"/>
      <name val="Jacobs Chronos"/>
      <family val="2"/>
    </font>
    <font>
      <sz val="9"/>
      <name val="Jacobs Chronos"/>
      <family val="2"/>
    </font>
    <font>
      <u/>
      <sz val="9"/>
      <color theme="1"/>
      <name val="Jacobs Chronos"/>
      <family val="2"/>
    </font>
    <font>
      <sz val="9"/>
      <color rgb="FF000000"/>
      <name val="Jacobs Chronos"/>
      <family val="2"/>
    </font>
    <font>
      <sz val="11"/>
      <color theme="1"/>
      <name val="Jacobs Chronos"/>
      <family val="2"/>
    </font>
    <font>
      <b/>
      <i/>
      <sz val="16"/>
      <name val="Jacobs Chronos"/>
      <family val="2"/>
    </font>
    <font>
      <i/>
      <sz val="9"/>
      <name val="Jacobs Chronos"/>
      <family val="2"/>
    </font>
    <font>
      <b/>
      <sz val="7"/>
      <color theme="1"/>
      <name val="Jacobs Chronos"/>
      <family val="2"/>
    </font>
    <font>
      <vertAlign val="superscript"/>
      <sz val="9"/>
      <color theme="1"/>
      <name val="Jacobs Chronos"/>
      <family val="2"/>
    </font>
    <font>
      <i/>
      <vertAlign val="superscript"/>
      <sz val="9"/>
      <color theme="1"/>
      <name val="Jacobs Chronos"/>
      <family val="2"/>
    </font>
    <font>
      <b/>
      <sz val="15"/>
      <color theme="1"/>
      <name val="Jacobs Chronos"/>
      <family val="2"/>
    </font>
    <font>
      <b/>
      <sz val="13"/>
      <color theme="1"/>
      <name val="Jacobs Chronos"/>
      <family val="2"/>
    </font>
    <font>
      <u/>
      <sz val="9"/>
      <color rgb="FFFF0000"/>
      <name val="Jacobs Chronos"/>
      <family val="2"/>
    </font>
    <font>
      <sz val="9"/>
      <color rgb="FFFF0000"/>
      <name val="Jacobs Chronos"/>
      <family val="2"/>
    </font>
    <font>
      <b/>
      <sz val="15"/>
      <name val="Jacobs Chronos"/>
      <family val="2"/>
    </font>
    <font>
      <b/>
      <sz val="13"/>
      <name val="Jacobs Chronos"/>
      <family val="2"/>
    </font>
    <font>
      <sz val="9"/>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6">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bottom/>
      <diagonal/>
    </border>
    <border>
      <left style="thin">
        <color indexed="64"/>
      </left>
      <right/>
      <top/>
      <bottom style="thin">
        <color auto="1"/>
      </bottom>
      <diagonal/>
    </border>
    <border>
      <left/>
      <right/>
      <top/>
      <bottom style="thin">
        <color rgb="FF000000"/>
      </bottom>
      <diagonal/>
    </border>
    <border>
      <left style="thin">
        <color theme="0" tint="-0.24994659260841701"/>
      </left>
      <right/>
      <top/>
      <bottom/>
      <diagonal/>
    </border>
    <border>
      <left/>
      <right style="thin">
        <color theme="0" tint="-0.24994659260841701"/>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3743705557422"/>
      </top>
      <bottom/>
      <diagonal/>
    </border>
    <border>
      <left/>
      <right/>
      <top style="thin">
        <color theme="0" tint="-0.14993743705557422"/>
      </top>
      <bottom/>
      <diagonal/>
    </border>
    <border diagonalDown="1">
      <left/>
      <right/>
      <top/>
      <bottom/>
      <diagonal style="thin">
        <color theme="0" tint="-0.14996795556505021"/>
      </diagonal>
    </border>
    <border>
      <left style="thin">
        <color theme="0" tint="-0.14996795556505021"/>
      </left>
      <right/>
      <top style="thin">
        <color theme="0" tint="-0.14993743705557422"/>
      </top>
      <bottom/>
      <diagonal/>
    </border>
    <border>
      <left/>
      <right style="thin">
        <color indexed="64"/>
      </right>
      <top/>
      <bottom style="thin">
        <color indexed="64"/>
      </bottom>
      <diagonal/>
    </border>
    <border>
      <left style="thin">
        <color theme="0" tint="-0.14993743705557422"/>
      </left>
      <right/>
      <top style="thin">
        <color theme="0" tint="-0.14996795556505021"/>
      </top>
      <bottom/>
      <diagonal/>
    </border>
    <border>
      <left style="thin">
        <color theme="0" tint="-0.14993743705557422"/>
      </left>
      <right/>
      <top/>
      <bottom/>
      <diagonal/>
    </border>
  </borders>
  <cellStyleXfs count="7">
    <xf numFmtId="0" fontId="0" fillId="0" borderId="0"/>
    <xf numFmtId="0" fontId="1" fillId="0" borderId="0"/>
    <xf numFmtId="0" fontId="1" fillId="0" borderId="0"/>
    <xf numFmtId="0" fontId="1" fillId="3" borderId="7" applyNumberFormat="0" applyFont="0" applyAlignment="0" applyProtection="0"/>
    <xf numFmtId="0" fontId="1" fillId="0" borderId="0"/>
    <xf numFmtId="0" fontId="2" fillId="0" borderId="0"/>
    <xf numFmtId="0" fontId="3" fillId="0" borderId="0"/>
  </cellStyleXfs>
  <cellXfs count="238">
    <xf numFmtId="0" fontId="0" fillId="0" borderId="0" xfId="0"/>
    <xf numFmtId="0" fontId="5" fillId="0" borderId="0" xfId="6" applyFont="1" applyAlignment="1">
      <alignment vertical="center"/>
    </xf>
    <xf numFmtId="0" fontId="5" fillId="0" borderId="0" xfId="6" applyFont="1" applyAlignment="1">
      <alignment horizontal="right" vertical="center"/>
    </xf>
    <xf numFmtId="0" fontId="5" fillId="0" borderId="0" xfId="0" applyFont="1"/>
    <xf numFmtId="0" fontId="5" fillId="0" borderId="1" xfId="0" applyFont="1" applyBorder="1"/>
    <xf numFmtId="0" fontId="7" fillId="4" borderId="0" xfId="6" applyFont="1" applyFill="1" applyAlignment="1">
      <alignment vertical="center"/>
    </xf>
    <xf numFmtId="0" fontId="7" fillId="4" borderId="0" xfId="6" applyFont="1" applyFill="1"/>
    <xf numFmtId="0" fontId="7" fillId="4" borderId="0" xfId="0" applyFont="1" applyFill="1"/>
    <xf numFmtId="165" fontId="5" fillId="0" borderId="0" xfId="0" applyNumberFormat="1" applyFont="1"/>
    <xf numFmtId="0" fontId="7" fillId="4" borderId="0" xfId="0" applyFont="1" applyFill="1" applyAlignment="1">
      <alignment horizontal="right"/>
    </xf>
    <xf numFmtId="0" fontId="5" fillId="4" borderId="0" xfId="0" applyFont="1" applyFill="1"/>
    <xf numFmtId="0" fontId="7" fillId="4" borderId="0" xfId="0" applyFont="1" applyFill="1" applyAlignment="1">
      <alignment horizontal="right" vertical="center"/>
    </xf>
    <xf numFmtId="0" fontId="5" fillId="0" borderId="0" xfId="0" applyFont="1" applyAlignment="1">
      <alignment horizontal="right"/>
    </xf>
    <xf numFmtId="0" fontId="6" fillId="0" borderId="0" xfId="0" applyFont="1" applyAlignment="1">
      <alignment horizontal="right"/>
    </xf>
    <xf numFmtId="2" fontId="5" fillId="0" borderId="0" xfId="0" applyNumberFormat="1" applyFont="1"/>
    <xf numFmtId="0" fontId="4" fillId="0" borderId="10" xfId="0" applyFont="1" applyBorder="1" applyAlignment="1">
      <alignment horizontal="center"/>
    </xf>
    <xf numFmtId="0" fontId="5" fillId="0" borderId="10" xfId="0" applyFont="1" applyBorder="1" applyAlignment="1">
      <alignment horizontal="center"/>
    </xf>
    <xf numFmtId="0" fontId="5" fillId="0" borderId="10" xfId="0" applyFont="1" applyBorder="1"/>
    <xf numFmtId="0" fontId="10" fillId="0" borderId="0" xfId="0" applyFont="1" applyAlignment="1">
      <alignment horizontal="center"/>
    </xf>
    <xf numFmtId="0" fontId="9" fillId="0" borderId="1" xfId="6" applyFont="1" applyBorder="1"/>
    <xf numFmtId="0" fontId="5" fillId="0" borderId="1" xfId="6" applyFont="1" applyBorder="1"/>
    <xf numFmtId="0" fontId="5" fillId="2" borderId="0" xfId="0" applyFont="1" applyFill="1"/>
    <xf numFmtId="0" fontId="5" fillId="0" borderId="0" xfId="0" applyFont="1" applyAlignment="1">
      <alignment horizontal="left"/>
    </xf>
    <xf numFmtId="0" fontId="5" fillId="0" borderId="0" xfId="6" applyFont="1" applyAlignment="1">
      <alignment horizontal="left" vertical="center"/>
    </xf>
    <xf numFmtId="168" fontId="5" fillId="0" borderId="0" xfId="0" applyNumberFormat="1" applyFont="1"/>
    <xf numFmtId="0" fontId="15" fillId="0" borderId="0" xfId="0" applyFont="1" applyAlignment="1">
      <alignment horizontal="right"/>
    </xf>
    <xf numFmtId="0" fontId="16" fillId="0" borderId="0" xfId="0" applyFont="1" applyAlignment="1">
      <alignment horizontal="center"/>
    </xf>
    <xf numFmtId="0" fontId="5" fillId="0" borderId="0" xfId="0" applyFont="1" applyAlignment="1">
      <alignment horizontal="center"/>
    </xf>
    <xf numFmtId="0" fontId="17" fillId="0" borderId="0" xfId="0" applyFont="1"/>
    <xf numFmtId="0" fontId="20" fillId="4" borderId="0" xfId="6" applyFont="1" applyFill="1" applyAlignment="1">
      <alignment horizontal="center" vertical="center"/>
    </xf>
    <xf numFmtId="0" fontId="5" fillId="0" borderId="0" xfId="0" applyFont="1" applyAlignment="1">
      <alignment horizontal="left" vertical="center"/>
    </xf>
    <xf numFmtId="167" fontId="5" fillId="0" borderId="0" xfId="0" applyNumberFormat="1" applyFont="1" applyAlignment="1">
      <alignment horizontal="center"/>
    </xf>
    <xf numFmtId="0" fontId="5" fillId="0" borderId="0" xfId="0" applyFont="1" applyAlignment="1">
      <alignment wrapText="1"/>
    </xf>
    <xf numFmtId="0" fontId="9" fillId="0" borderId="1" xfId="0" applyFont="1" applyBorder="1"/>
    <xf numFmtId="0" fontId="5" fillId="0" borderId="0" xfId="0" applyFont="1" applyAlignment="1">
      <alignment horizontal="left" vertical="center" wrapText="1"/>
    </xf>
    <xf numFmtId="0" fontId="7" fillId="0" borderId="0" xfId="0" applyFont="1"/>
    <xf numFmtId="2" fontId="5" fillId="0" borderId="0" xfId="0" applyNumberFormat="1" applyFont="1" applyAlignment="1">
      <alignment horizontal="center"/>
    </xf>
    <xf numFmtId="0" fontId="14" fillId="0" borderId="0" xfId="0" applyFont="1"/>
    <xf numFmtId="168" fontId="5" fillId="0" borderId="0" xfId="0" applyNumberFormat="1" applyFont="1" applyAlignment="1">
      <alignment horizontal="right"/>
    </xf>
    <xf numFmtId="0" fontId="5" fillId="0" borderId="1" xfId="0" applyFont="1" applyBorder="1" applyAlignment="1">
      <alignment wrapText="1"/>
    </xf>
    <xf numFmtId="169" fontId="5" fillId="0" borderId="0" xfId="0" applyNumberFormat="1" applyFont="1"/>
    <xf numFmtId="0" fontId="5" fillId="0" borderId="0" xfId="0" applyFont="1" applyAlignment="1">
      <alignment horizontal="left" vertical="top"/>
    </xf>
    <xf numFmtId="0" fontId="6" fillId="0" borderId="0" xfId="0" applyFont="1"/>
    <xf numFmtId="0" fontId="4" fillId="0" borderId="0" xfId="0" applyFont="1"/>
    <xf numFmtId="2" fontId="5" fillId="0" borderId="0" xfId="0" applyNumberFormat="1" applyFont="1" applyAlignment="1">
      <alignment horizontal="right"/>
    </xf>
    <xf numFmtId="2" fontId="5" fillId="0" borderId="0" xfId="0" applyNumberFormat="1" applyFont="1" applyAlignment="1">
      <alignment vertical="center"/>
    </xf>
    <xf numFmtId="0" fontId="4" fillId="0" borderId="0" xfId="0" applyFont="1" applyAlignment="1">
      <alignment horizontal="center"/>
    </xf>
    <xf numFmtId="0" fontId="23" fillId="0" borderId="0" xfId="6" applyFont="1"/>
    <xf numFmtId="171" fontId="23" fillId="0" borderId="16" xfId="6" applyNumberFormat="1" applyFont="1" applyBorder="1"/>
    <xf numFmtId="171" fontId="23" fillId="0" borderId="0" xfId="6" applyNumberFormat="1" applyFont="1"/>
    <xf numFmtId="0" fontId="8" fillId="4" borderId="0" xfId="6" applyFont="1" applyFill="1" applyAlignment="1">
      <alignment horizontal="center"/>
    </xf>
    <xf numFmtId="0" fontId="23" fillId="0" borderId="16" xfId="6" applyFont="1" applyBorder="1"/>
    <xf numFmtId="0" fontId="24" fillId="0" borderId="16" xfId="6" applyFont="1" applyBorder="1" applyAlignment="1">
      <alignment horizontal="right"/>
    </xf>
    <xf numFmtId="0" fontId="24" fillId="0" borderId="0" xfId="6" applyFont="1" applyAlignment="1">
      <alignment horizontal="right"/>
    </xf>
    <xf numFmtId="0" fontId="24" fillId="0" borderId="0" xfId="6" applyFont="1" applyAlignment="1">
      <alignment horizontal="left"/>
    </xf>
    <xf numFmtId="0" fontId="5" fillId="0" borderId="16" xfId="0" applyFont="1" applyBorder="1"/>
    <xf numFmtId="2" fontId="5" fillId="0" borderId="0" xfId="0" applyNumberFormat="1" applyFont="1" applyAlignment="1">
      <alignment horizontal="left"/>
    </xf>
    <xf numFmtId="164" fontId="5" fillId="0" borderId="0" xfId="0" applyNumberFormat="1" applyFont="1" applyAlignment="1">
      <alignment horizontal="left"/>
    </xf>
    <xf numFmtId="0" fontId="5" fillId="0" borderId="0" xfId="0" applyFont="1" applyAlignment="1">
      <alignment vertical="top" wrapText="1"/>
    </xf>
    <xf numFmtId="0" fontId="5" fillId="0" borderId="0" xfId="0" applyFont="1" applyAlignment="1">
      <alignment vertical="top"/>
    </xf>
    <xf numFmtId="0" fontId="5" fillId="0" borderId="19" xfId="0" applyFont="1" applyBorder="1" applyAlignment="1">
      <alignment vertical="top"/>
    </xf>
    <xf numFmtId="0" fontId="5" fillId="0" borderId="20" xfId="0" applyFont="1" applyBorder="1" applyAlignment="1">
      <alignment vertical="top"/>
    </xf>
    <xf numFmtId="0" fontId="5" fillId="0" borderId="19" xfId="0" applyFont="1" applyBorder="1"/>
    <xf numFmtId="0" fontId="5" fillId="0" borderId="20" xfId="0" applyFont="1" applyBorder="1"/>
    <xf numFmtId="174" fontId="5" fillId="0" borderId="0" xfId="0" applyNumberFormat="1" applyFont="1" applyAlignment="1">
      <alignment horizontal="left"/>
    </xf>
    <xf numFmtId="176" fontId="5" fillId="0" borderId="0" xfId="0" applyNumberFormat="1" applyFont="1" applyAlignment="1">
      <alignment horizontal="left"/>
    </xf>
    <xf numFmtId="177" fontId="5" fillId="0" borderId="0" xfId="0" applyNumberFormat="1" applyFont="1" applyAlignment="1">
      <alignment horizontal="left"/>
    </xf>
    <xf numFmtId="0" fontId="5" fillId="0" borderId="0" xfId="0" applyFont="1" applyAlignment="1">
      <alignment horizontal="left" vertical="top" wrapText="1"/>
    </xf>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5" fillId="0" borderId="25" xfId="0" applyFont="1" applyBorder="1"/>
    <xf numFmtId="0" fontId="5" fillId="0" borderId="30" xfId="0" applyFont="1" applyBorder="1"/>
    <xf numFmtId="0" fontId="5" fillId="0" borderId="29" xfId="0" applyFont="1" applyBorder="1"/>
    <xf numFmtId="0" fontId="5" fillId="0" borderId="31" xfId="0" applyFont="1" applyBorder="1"/>
    <xf numFmtId="0" fontId="5" fillId="4" borderId="0" xfId="0" applyFont="1" applyFill="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32" xfId="0" applyFont="1" applyBorder="1" applyAlignment="1">
      <alignment horizontal="left" vertical="top" wrapText="1"/>
    </xf>
    <xf numFmtId="0" fontId="5" fillId="0" borderId="30" xfId="0" applyFont="1" applyBorder="1" applyAlignment="1">
      <alignment horizontal="left" vertical="top" wrapText="1"/>
    </xf>
    <xf numFmtId="0" fontId="5" fillId="0" borderId="0" xfId="6" applyFont="1"/>
    <xf numFmtId="0" fontId="5" fillId="0" borderId="0" xfId="6" applyFont="1" applyAlignment="1">
      <alignment vertical="top"/>
    </xf>
    <xf numFmtId="0" fontId="5" fillId="0" borderId="0" xfId="0" applyFont="1" applyAlignment="1">
      <alignment horizontal="justify" vertical="top" wrapText="1"/>
    </xf>
    <xf numFmtId="0" fontId="5" fillId="0" borderId="0" xfId="0" applyFont="1" applyAlignment="1">
      <alignment horizontal="right" vertical="top" wrapText="1"/>
    </xf>
    <xf numFmtId="0" fontId="5" fillId="0" borderId="0" xfId="6" applyFont="1" applyAlignment="1">
      <alignment horizontal="justify" vertical="top" wrapText="1"/>
    </xf>
    <xf numFmtId="0" fontId="5" fillId="0" borderId="16" xfId="6" applyFont="1" applyBorder="1" applyAlignment="1">
      <alignment horizontal="left" vertical="top" wrapText="1" indent="6"/>
    </xf>
    <xf numFmtId="0" fontId="5" fillId="0" borderId="0" xfId="6" applyFont="1" applyAlignment="1">
      <alignment horizontal="left" vertical="top" wrapText="1" indent="6"/>
    </xf>
    <xf numFmtId="0" fontId="25" fillId="0" borderId="0" xfId="0" applyFont="1" applyAlignment="1">
      <alignment horizontal="right"/>
    </xf>
    <xf numFmtId="0" fontId="26" fillId="0" borderId="0" xfId="0" applyFont="1"/>
    <xf numFmtId="0" fontId="9" fillId="0" borderId="16" xfId="6" applyFont="1" applyBorder="1"/>
    <xf numFmtId="0" fontId="5" fillId="0" borderId="34" xfId="0" applyFont="1" applyBorder="1" applyAlignment="1">
      <alignment horizontal="left" vertical="top" wrapText="1"/>
    </xf>
    <xf numFmtId="0" fontId="5" fillId="0" borderId="35" xfId="0" applyFont="1" applyBorder="1" applyAlignment="1">
      <alignment horizontal="left" vertical="top" wrapText="1"/>
    </xf>
    <xf numFmtId="0" fontId="4" fillId="0" borderId="0" xfId="0" applyFont="1" applyAlignment="1">
      <alignment horizontal="center" vertical="top" wrapText="1"/>
    </xf>
    <xf numFmtId="0" fontId="4" fillId="0" borderId="35" xfId="0" applyFont="1" applyBorder="1" applyAlignment="1">
      <alignment horizontal="center" vertical="top" wrapText="1"/>
    </xf>
    <xf numFmtId="171" fontId="23" fillId="0" borderId="16" xfId="6" applyNumberFormat="1" applyFont="1" applyBorder="1" applyAlignment="1">
      <alignment vertical="top"/>
    </xf>
    <xf numFmtId="171" fontId="23" fillId="0" borderId="0" xfId="6" applyNumberFormat="1" applyFont="1" applyAlignment="1">
      <alignment vertical="top"/>
    </xf>
    <xf numFmtId="0" fontId="23" fillId="0" borderId="0" xfId="6" applyFont="1" applyAlignment="1">
      <alignment vertical="top"/>
    </xf>
    <xf numFmtId="0" fontId="7" fillId="4" borderId="0" xfId="0" applyFont="1" applyFill="1" applyAlignment="1">
      <alignment vertical="top"/>
    </xf>
    <xf numFmtId="0" fontId="7" fillId="4" borderId="0" xfId="0" applyFont="1" applyFill="1" applyAlignment="1">
      <alignment horizontal="right" vertical="top"/>
    </xf>
    <xf numFmtId="0" fontId="25" fillId="0" borderId="15" xfId="0" applyFont="1" applyBorder="1" applyAlignment="1">
      <alignment horizontal="right"/>
    </xf>
    <xf numFmtId="0" fontId="14" fillId="0" borderId="0" xfId="0" applyFont="1" applyAlignment="1">
      <alignment horizontal="right"/>
    </xf>
    <xf numFmtId="0" fontId="5" fillId="0" borderId="16" xfId="6" applyFont="1" applyBorder="1"/>
    <xf numFmtId="0" fontId="6" fillId="4" borderId="0" xfId="6" applyFont="1" applyFill="1" applyAlignment="1">
      <alignment horizontal="center"/>
    </xf>
    <xf numFmtId="0" fontId="0" fillId="0" borderId="0" xfId="0" applyAlignment="1">
      <alignment vertical="top" wrapText="1"/>
    </xf>
    <xf numFmtId="0" fontId="0" fillId="0" borderId="0" xfId="0" applyAlignment="1">
      <alignment vertical="top"/>
    </xf>
    <xf numFmtId="183" fontId="5" fillId="0" borderId="0" xfId="0" applyNumberFormat="1" applyFont="1" applyAlignment="1">
      <alignment horizontal="center"/>
    </xf>
    <xf numFmtId="0" fontId="29" fillId="0" borderId="0" xfId="0" applyFont="1"/>
    <xf numFmtId="0" fontId="30" fillId="7" borderId="10" xfId="0" applyFont="1" applyFill="1" applyBorder="1"/>
    <xf numFmtId="0" fontId="30" fillId="7" borderId="10" xfId="0" applyFont="1" applyFill="1" applyBorder="1" applyAlignment="1">
      <alignment horizontal="center"/>
    </xf>
    <xf numFmtId="0" fontId="5" fillId="5" borderId="0" xfId="0" applyFont="1" applyFill="1"/>
    <xf numFmtId="0" fontId="5" fillId="5" borderId="0" xfId="6" applyFont="1" applyFill="1" applyAlignment="1">
      <alignment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xf>
    <xf numFmtId="0" fontId="14" fillId="5" borderId="0" xfId="0" applyFont="1" applyFill="1"/>
    <xf numFmtId="0" fontId="5" fillId="0" borderId="10" xfId="0" quotePrefix="1" applyFont="1" applyBorder="1" applyAlignment="1">
      <alignment horizontal="center" vertical="center"/>
    </xf>
    <xf numFmtId="166" fontId="5" fillId="6" borderId="1" xfId="0" applyNumberFormat="1" applyFont="1" applyFill="1" applyBorder="1" applyAlignment="1">
      <alignment horizontal="left"/>
    </xf>
    <xf numFmtId="166" fontId="5" fillId="6" borderId="0" xfId="0" applyNumberFormat="1" applyFont="1" applyFill="1" applyAlignment="1">
      <alignment horizontal="left"/>
    </xf>
    <xf numFmtId="0" fontId="5" fillId="6" borderId="1" xfId="0" applyFont="1" applyFill="1" applyBorder="1" applyAlignment="1">
      <alignment horizontal="left"/>
    </xf>
    <xf numFmtId="0" fontId="5" fillId="6" borderId="0" xfId="0" applyFont="1" applyFill="1" applyAlignment="1">
      <alignment horizontal="left"/>
    </xf>
    <xf numFmtId="2" fontId="5" fillId="5" borderId="0" xfId="0" applyNumberFormat="1" applyFont="1" applyFill="1"/>
    <xf numFmtId="0" fontId="0" fillId="0" borderId="0" xfId="0" applyAlignment="1">
      <alignment vertical="center" wrapText="1"/>
    </xf>
    <xf numFmtId="0" fontId="5" fillId="0" borderId="0" xfId="0" applyFont="1" applyAlignment="1">
      <alignment horizontal="right" vertical="top" wrapText="1"/>
    </xf>
    <xf numFmtId="0" fontId="0" fillId="0" borderId="0" xfId="0" applyAlignment="1">
      <alignment vertical="top"/>
    </xf>
    <xf numFmtId="0" fontId="0" fillId="0" borderId="0" xfId="0" applyAlignment="1">
      <alignment vertical="center"/>
    </xf>
    <xf numFmtId="0" fontId="0" fillId="0" borderId="0" xfId="0"/>
    <xf numFmtId="0" fontId="23" fillId="0" borderId="0" xfId="6" applyFont="1"/>
    <xf numFmtId="0" fontId="0" fillId="0" borderId="0" xfId="0" applyAlignment="1">
      <alignment horizontal="left" vertical="center" wrapText="1"/>
    </xf>
    <xf numFmtId="0" fontId="5" fillId="0" borderId="0" xfId="6" applyFont="1" applyAlignment="1">
      <alignment horizontal="justify" vertical="top" wrapText="1"/>
    </xf>
    <xf numFmtId="0" fontId="5" fillId="0" borderId="0" xfId="0" applyFont="1" applyAlignment="1">
      <alignment vertical="top" wrapText="1"/>
    </xf>
    <xf numFmtId="0" fontId="5" fillId="0" borderId="0" xfId="0" applyFont="1" applyAlignment="1">
      <alignment vertical="top"/>
    </xf>
    <xf numFmtId="0" fontId="6" fillId="0" borderId="18" xfId="0" applyFont="1" applyBorder="1" applyAlignment="1">
      <alignment horizontal="left"/>
    </xf>
    <xf numFmtId="0" fontId="5" fillId="0" borderId="0" xfId="0" applyFont="1"/>
    <xf numFmtId="0" fontId="24" fillId="0" borderId="16" xfId="6" applyFont="1" applyBorder="1" applyAlignment="1">
      <alignment horizontal="right"/>
    </xf>
    <xf numFmtId="0" fontId="24" fillId="0" borderId="0" xfId="6" applyFont="1" applyAlignment="1">
      <alignment horizontal="right"/>
    </xf>
    <xf numFmtId="0" fontId="4" fillId="0" borderId="0" xfId="0" applyFont="1" applyAlignment="1">
      <alignment horizontal="center"/>
    </xf>
    <xf numFmtId="182" fontId="5" fillId="0" borderId="0" xfId="0" applyNumberFormat="1" applyFont="1" applyAlignment="1">
      <alignment horizontal="left"/>
    </xf>
    <xf numFmtId="178" fontId="5" fillId="0" borderId="0" xfId="0" applyNumberFormat="1" applyFont="1" applyAlignment="1">
      <alignment horizontal="left"/>
    </xf>
    <xf numFmtId="2" fontId="5" fillId="0" borderId="0" xfId="0" applyNumberFormat="1" applyFont="1" applyAlignment="1">
      <alignment horizontal="left"/>
    </xf>
    <xf numFmtId="171" fontId="4" fillId="0" borderId="0" xfId="0" applyNumberFormat="1" applyFont="1" applyAlignment="1">
      <alignment vertical="center"/>
    </xf>
    <xf numFmtId="0" fontId="4" fillId="0" borderId="0" xfId="6" applyFont="1" applyAlignment="1">
      <alignment horizontal="left" vertical="center"/>
    </xf>
    <xf numFmtId="0" fontId="24" fillId="0" borderId="0" xfId="6" applyFont="1" applyAlignment="1">
      <alignment horizontal="left"/>
    </xf>
    <xf numFmtId="175" fontId="5" fillId="5" borderId="0" xfId="0" applyNumberFormat="1" applyFont="1" applyFill="1" applyAlignment="1">
      <alignment horizontal="left"/>
    </xf>
    <xf numFmtId="0" fontId="5" fillId="5" borderId="0" xfId="6" applyFont="1" applyFill="1" applyAlignment="1">
      <alignment horizontal="left" vertical="center"/>
    </xf>
    <xf numFmtId="185" fontId="5" fillId="0" borderId="0" xfId="0" applyNumberFormat="1" applyFont="1" applyAlignment="1">
      <alignment horizontal="left"/>
    </xf>
    <xf numFmtId="0" fontId="5" fillId="0" borderId="0" xfId="0" applyFont="1" applyAlignment="1">
      <alignment horizontal="left" vertical="center" wrapText="1"/>
    </xf>
    <xf numFmtId="0" fontId="4" fillId="0" borderId="24" xfId="0" applyFont="1" applyBorder="1" applyAlignment="1">
      <alignment horizontal="center" wrapText="1"/>
    </xf>
    <xf numFmtId="0" fontId="4" fillId="0" borderId="0" xfId="0" applyFont="1" applyAlignment="1">
      <alignment horizontal="center" wrapText="1"/>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27" xfId="0" applyFont="1" applyBorder="1" applyAlignment="1">
      <alignment horizontal="center" wrapText="1"/>
    </xf>
    <xf numFmtId="0" fontId="4" fillId="0" borderId="28" xfId="0" applyFont="1" applyBorder="1" applyAlignment="1">
      <alignment horizontal="center" wrapText="1"/>
    </xf>
    <xf numFmtId="0" fontId="5" fillId="0" borderId="0" xfId="0" applyFont="1" applyAlignment="1">
      <alignment horizontal="left" vertical="top" wrapText="1"/>
    </xf>
    <xf numFmtId="167" fontId="5" fillId="0" borderId="0" xfId="0" applyNumberFormat="1" applyFont="1" applyAlignment="1">
      <alignment horizontal="center"/>
    </xf>
    <xf numFmtId="167" fontId="5" fillId="0" borderId="4" xfId="0" applyNumberFormat="1" applyFont="1" applyBorder="1" applyAlignment="1">
      <alignment horizontal="center"/>
    </xf>
    <xf numFmtId="0" fontId="5" fillId="0" borderId="0" xfId="0" applyFont="1" applyAlignment="1">
      <alignment horizontal="center"/>
    </xf>
    <xf numFmtId="2" fontId="5" fillId="0" borderId="11" xfId="0" applyNumberFormat="1" applyFont="1" applyBorder="1" applyAlignment="1">
      <alignment horizontal="center"/>
    </xf>
    <xf numFmtId="2" fontId="5" fillId="0" borderId="12" xfId="0" applyNumberFormat="1" applyFont="1" applyBorder="1" applyAlignment="1">
      <alignment horizontal="center"/>
    </xf>
    <xf numFmtId="2" fontId="5" fillId="0" borderId="13" xfId="0" applyNumberFormat="1" applyFont="1" applyBorder="1" applyAlignment="1">
      <alignment horizontal="center"/>
    </xf>
    <xf numFmtId="0" fontId="5" fillId="0" borderId="1" xfId="0" applyFont="1" applyBorder="1" applyAlignment="1">
      <alignment horizontal="center"/>
    </xf>
    <xf numFmtId="2" fontId="5" fillId="0" borderId="0" xfId="0" applyNumberFormat="1" applyFont="1" applyAlignment="1">
      <alignment horizontal="center"/>
    </xf>
    <xf numFmtId="184" fontId="5" fillId="0" borderId="0" xfId="0" applyNumberFormat="1" applyFont="1" applyAlignment="1">
      <alignment horizontal="left"/>
    </xf>
    <xf numFmtId="178" fontId="5" fillId="5" borderId="0" xfId="0" applyNumberFormat="1" applyFont="1" applyFill="1" applyAlignment="1">
      <alignment horizontal="left"/>
    </xf>
    <xf numFmtId="0" fontId="16" fillId="0" borderId="0" xfId="0" applyFont="1" applyAlignment="1">
      <alignment horizontal="left" vertical="top" wrapText="1"/>
    </xf>
    <xf numFmtId="0" fontId="16" fillId="0" borderId="0" xfId="0" applyFont="1" applyAlignment="1">
      <alignment horizontal="left" vertical="top"/>
    </xf>
    <xf numFmtId="2" fontId="5" fillId="5" borderId="0" xfId="0" applyNumberFormat="1" applyFont="1" applyFill="1" applyAlignment="1">
      <alignment horizontal="left"/>
    </xf>
    <xf numFmtId="181" fontId="5" fillId="5" borderId="0" xfId="0" applyNumberFormat="1" applyFont="1" applyFill="1" applyAlignment="1">
      <alignment horizontal="left"/>
    </xf>
    <xf numFmtId="171" fontId="27" fillId="0" borderId="16" xfId="6" applyNumberFormat="1" applyFont="1" applyBorder="1"/>
    <xf numFmtId="171" fontId="27" fillId="0" borderId="0" xfId="6" applyNumberFormat="1" applyFont="1"/>
    <xf numFmtId="0" fontId="27" fillId="0" borderId="0" xfId="6" applyFont="1"/>
    <xf numFmtId="0" fontId="5" fillId="0" borderId="0" xfId="6" applyFont="1" applyAlignment="1">
      <alignment vertical="top" wrapText="1"/>
    </xf>
    <xf numFmtId="0" fontId="5" fillId="0" borderId="0" xfId="6" applyFont="1" applyAlignment="1">
      <alignment vertical="top"/>
    </xf>
    <xf numFmtId="0" fontId="5" fillId="5" borderId="0" xfId="0" applyFont="1" applyFill="1" applyAlignment="1">
      <alignment horizontal="left"/>
    </xf>
    <xf numFmtId="186" fontId="5" fillId="0" borderId="0" xfId="0" applyNumberFormat="1" applyFont="1" applyAlignment="1">
      <alignment horizontal="left"/>
    </xf>
    <xf numFmtId="183" fontId="5" fillId="5" borderId="0" xfId="0" applyNumberFormat="1" applyFont="1" applyFill="1" applyAlignment="1">
      <alignment horizontal="left"/>
    </xf>
    <xf numFmtId="183" fontId="5" fillId="0" borderId="0" xfId="0" applyNumberFormat="1" applyFont="1" applyAlignment="1">
      <alignment horizontal="left"/>
    </xf>
    <xf numFmtId="183" fontId="5" fillId="0" borderId="0" xfId="0" applyNumberFormat="1" applyFont="1" applyAlignment="1">
      <alignment horizontal="center"/>
    </xf>
    <xf numFmtId="0" fontId="5" fillId="0" borderId="0" xfId="0" applyFont="1" applyAlignment="1">
      <alignment horizontal="left"/>
    </xf>
    <xf numFmtId="173" fontId="5" fillId="0" borderId="0" xfId="0" applyNumberFormat="1" applyFont="1" applyAlignment="1">
      <alignment horizontal="left"/>
    </xf>
    <xf numFmtId="0" fontId="4" fillId="0" borderId="26" xfId="0" applyFont="1" applyBorder="1" applyAlignment="1">
      <alignment horizontal="center" vertical="top" wrapText="1"/>
    </xf>
    <xf numFmtId="0" fontId="4" fillId="0" borderId="27" xfId="0" applyFont="1" applyBorder="1" applyAlignment="1">
      <alignment horizontal="center" vertical="top" wrapText="1"/>
    </xf>
    <xf numFmtId="0" fontId="4" fillId="4" borderId="0" xfId="0" applyFont="1" applyFill="1" applyAlignment="1">
      <alignment horizontal="left" vertical="center" wrapText="1"/>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2" fontId="5" fillId="0" borderId="9" xfId="0" applyNumberFormat="1" applyFont="1" applyBorder="1" applyAlignment="1">
      <alignment horizontal="center"/>
    </xf>
    <xf numFmtId="2" fontId="5" fillId="0" borderId="33" xfId="0" applyNumberFormat="1" applyFont="1" applyBorder="1" applyAlignment="1">
      <alignment horizontal="center"/>
    </xf>
    <xf numFmtId="2" fontId="5" fillId="0" borderId="4" xfId="0" applyNumberFormat="1" applyFont="1" applyBorder="1" applyAlignment="1">
      <alignment horizontal="center"/>
    </xf>
    <xf numFmtId="182" fontId="14" fillId="0" borderId="0" xfId="0" applyNumberFormat="1" applyFont="1" applyAlignment="1">
      <alignment horizontal="left"/>
    </xf>
    <xf numFmtId="171" fontId="5" fillId="0" borderId="0" xfId="0" applyNumberFormat="1" applyFont="1" applyAlignment="1">
      <alignment vertical="center"/>
    </xf>
    <xf numFmtId="0" fontId="5" fillId="0" borderId="0" xfId="6" applyFont="1" applyAlignment="1">
      <alignment horizontal="left" vertical="center"/>
    </xf>
    <xf numFmtId="1" fontId="5" fillId="5" borderId="0" xfId="0" applyNumberFormat="1" applyFont="1" applyFill="1" applyAlignment="1">
      <alignment horizontal="left"/>
    </xf>
    <xf numFmtId="178" fontId="14" fillId="5" borderId="0" xfId="0" applyNumberFormat="1" applyFont="1" applyFill="1" applyAlignment="1">
      <alignment horizontal="left"/>
    </xf>
    <xf numFmtId="0" fontId="28" fillId="0" borderId="16" xfId="6" applyFont="1" applyBorder="1" applyAlignment="1">
      <alignment horizontal="right"/>
    </xf>
    <xf numFmtId="0" fontId="28" fillId="0" borderId="0" xfId="6" applyFont="1" applyAlignment="1">
      <alignment horizontal="right"/>
    </xf>
    <xf numFmtId="0" fontId="28" fillId="0" borderId="0" xfId="6" applyFont="1" applyAlignment="1">
      <alignment horizontal="left"/>
    </xf>
    <xf numFmtId="178" fontId="5" fillId="2" borderId="0" xfId="0" applyNumberFormat="1" applyFont="1" applyFill="1" applyAlignment="1">
      <alignment horizontal="left"/>
    </xf>
    <xf numFmtId="185" fontId="5" fillId="5" borderId="0" xfId="0" applyNumberFormat="1" applyFont="1" applyFill="1" applyAlignment="1">
      <alignment horizontal="left"/>
    </xf>
    <xf numFmtId="173" fontId="5" fillId="5" borderId="0" xfId="0" applyNumberFormat="1" applyFont="1" applyFill="1" applyAlignment="1">
      <alignment horizontal="left"/>
    </xf>
    <xf numFmtId="0" fontId="5" fillId="0" borderId="17" xfId="0" applyFont="1" applyBorder="1" applyAlignment="1">
      <alignment horizontal="center"/>
    </xf>
    <xf numFmtId="0" fontId="5" fillId="0" borderId="9" xfId="0" applyFont="1" applyBorder="1" applyAlignment="1">
      <alignment horizontal="center"/>
    </xf>
    <xf numFmtId="171" fontId="23" fillId="0" borderId="16" xfId="6" applyNumberFormat="1" applyFont="1" applyBorder="1"/>
    <xf numFmtId="171" fontId="23" fillId="0" borderId="0" xfId="6" applyNumberFormat="1" applyFont="1"/>
    <xf numFmtId="0" fontId="5" fillId="0" borderId="0" xfId="6" applyFont="1"/>
    <xf numFmtId="2" fontId="5" fillId="0" borderId="8" xfId="0" applyNumberFormat="1" applyFont="1" applyBorder="1" applyAlignment="1">
      <alignment horizontal="center"/>
    </xf>
    <xf numFmtId="167" fontId="5" fillId="0" borderId="14" xfId="0" applyNumberFormat="1" applyFont="1" applyBorder="1" applyAlignment="1">
      <alignment horizontal="center"/>
    </xf>
    <xf numFmtId="180" fontId="5" fillId="5" borderId="0" xfId="0" applyNumberFormat="1" applyFont="1" applyFill="1" applyAlignment="1">
      <alignment horizontal="left"/>
    </xf>
    <xf numFmtId="179" fontId="5" fillId="5" borderId="0" xfId="0" applyNumberFormat="1" applyFont="1" applyFill="1" applyAlignment="1">
      <alignment horizontal="left"/>
    </xf>
    <xf numFmtId="0" fontId="19" fillId="2" borderId="5" xfId="0" applyFont="1" applyFill="1" applyBorder="1" applyAlignment="1">
      <alignment vertical="center"/>
    </xf>
    <xf numFmtId="0" fontId="19" fillId="2" borderId="6" xfId="0" applyFont="1" applyFill="1" applyBorder="1" applyAlignment="1">
      <alignment vertical="center"/>
    </xf>
    <xf numFmtId="0" fontId="5" fillId="0" borderId="6" xfId="0" applyFont="1" applyBorder="1" applyAlignment="1">
      <alignment horizontal="left"/>
    </xf>
    <xf numFmtId="0" fontId="14" fillId="2" borderId="1" xfId="0" applyFont="1" applyFill="1" applyBorder="1" applyAlignment="1">
      <alignment horizontal="left" vertical="center"/>
    </xf>
    <xf numFmtId="0" fontId="14" fillId="2" borderId="0" xfId="0" applyFont="1" applyFill="1" applyAlignment="1">
      <alignment horizontal="left" vertical="center"/>
    </xf>
    <xf numFmtId="0" fontId="14" fillId="0" borderId="0" xfId="0" applyFont="1" applyAlignment="1">
      <alignment horizontal="left" vertical="center"/>
    </xf>
    <xf numFmtId="170" fontId="14" fillId="0" borderId="0" xfId="0" applyNumberFormat="1" applyFont="1" applyAlignment="1">
      <alignment horizontal="left" vertical="center" shrinkToFit="1"/>
    </xf>
    <xf numFmtId="0" fontId="8" fillId="4" borderId="9" xfId="6" applyFont="1" applyFill="1" applyBorder="1" applyAlignment="1">
      <alignment horizontal="center"/>
    </xf>
    <xf numFmtId="0" fontId="19" fillId="2" borderId="2" xfId="0" applyFont="1" applyFill="1" applyBorder="1" applyAlignment="1">
      <alignment vertical="center"/>
    </xf>
    <xf numFmtId="0" fontId="19" fillId="2" borderId="3" xfId="0" applyFont="1" applyFill="1" applyBorder="1" applyAlignment="1">
      <alignment vertical="center"/>
    </xf>
    <xf numFmtId="0" fontId="23" fillId="0" borderId="9" xfId="6" applyFont="1" applyBorder="1"/>
    <xf numFmtId="0" fontId="5" fillId="0" borderId="3" xfId="0" applyFont="1" applyBorder="1" applyAlignment="1">
      <alignment horizontal="left"/>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0" fontId="14" fillId="0" borderId="3" xfId="0" applyFont="1" applyBorder="1" applyAlignment="1">
      <alignment horizontal="left" vertical="center"/>
    </xf>
    <xf numFmtId="0" fontId="18" fillId="2" borderId="0" xfId="0" applyFont="1" applyFill="1" applyAlignment="1">
      <alignment horizontal="right" vertical="center"/>
    </xf>
    <xf numFmtId="0" fontId="18" fillId="2" borderId="4" xfId="0" applyFont="1" applyFill="1" applyBorder="1" applyAlignment="1">
      <alignment horizontal="right" vertical="center"/>
    </xf>
    <xf numFmtId="173" fontId="16" fillId="0" borderId="0" xfId="0" applyNumberFormat="1" applyFont="1" applyAlignment="1">
      <alignment horizontal="left"/>
    </xf>
    <xf numFmtId="172" fontId="5" fillId="0" borderId="0" xfId="0" applyNumberFormat="1" applyFont="1" applyAlignment="1">
      <alignment horizontal="center"/>
    </xf>
    <xf numFmtId="172" fontId="5" fillId="0" borderId="4" xfId="0" applyNumberFormat="1" applyFont="1" applyBorder="1" applyAlignment="1">
      <alignment horizontal="center"/>
    </xf>
    <xf numFmtId="0" fontId="4" fillId="0" borderId="28" xfId="0" applyFont="1" applyBorder="1" applyAlignment="1">
      <alignment horizontal="center" vertical="top" wrapText="1"/>
    </xf>
    <xf numFmtId="167" fontId="5" fillId="0" borderId="9" xfId="0" applyNumberFormat="1" applyFont="1" applyBorder="1" applyAlignment="1">
      <alignment horizontal="center"/>
    </xf>
    <xf numFmtId="167" fontId="5" fillId="0" borderId="33" xfId="0" applyNumberFormat="1" applyFont="1" applyBorder="1" applyAlignment="1">
      <alignment horizontal="center"/>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12">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tint="-0.14996795556505021"/>
        </patternFill>
      </fill>
    </dxf>
    <dxf>
      <fill>
        <patternFill>
          <bgColor theme="0" tint="-0.14996795556505021"/>
        </patternFill>
      </fill>
    </dxf>
    <dxf>
      <border>
        <left style="thin">
          <color auto="1"/>
        </left>
        <right style="thin">
          <color auto="1"/>
        </right>
        <top style="thin">
          <color auto="1"/>
        </top>
        <bottom style="thin">
          <color auto="1"/>
        </bottom>
        <vertical/>
        <horizontal/>
      </border>
    </dxf>
  </dxfs>
  <tableStyles count="5" defaultTableStyle="Table Style 2" defaultPivotStyle="PivotStyleLight16">
    <tableStyle name="DC" pivot="0" count="0" xr9:uid="{7CEE81B3-07D0-4996-B929-BEA67292F73C}"/>
    <tableStyle name="Location_on_Span" pivot="0" count="0" xr9:uid="{3D87BB1F-DEC8-4E2C-A388-C1AD3F65F2B8}"/>
    <tableStyle name="Mu" pivot="0" count="0" xr9:uid="{D39FB530-013F-451D-BE3A-E9D7C5493725}"/>
    <tableStyle name="Table Style 1" pivot="0" count="0" xr9:uid="{9C162ACF-344D-421B-A26D-03CF92E5AC8A}"/>
    <tableStyle name="Table Style 2" pivot="0" count="0" xr9:uid="{BAAEB3B6-9F43-4DF2-8388-E11992A0B6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58781</xdr:colOff>
      <xdr:row>2</xdr:row>
      <xdr:rowOff>169795</xdr:rowOff>
    </xdr:to>
    <xdr:pic>
      <xdr:nvPicPr>
        <xdr:cNvPr id="2" name="Picture 1">
          <a:extLst>
            <a:ext uri="{FF2B5EF4-FFF2-40B4-BE49-F238E27FC236}">
              <a16:creationId xmlns:a16="http://schemas.microsoft.com/office/drawing/2014/main" id="{5B261C99-62EC-4FFA-BE31-153D99FCC7DF}"/>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twoCellAnchor>
    <xdr:from>
      <xdr:col>6</xdr:col>
      <xdr:colOff>116375</xdr:colOff>
      <xdr:row>161</xdr:row>
      <xdr:rowOff>41000</xdr:rowOff>
    </xdr:from>
    <xdr:to>
      <xdr:col>23</xdr:col>
      <xdr:colOff>131559</xdr:colOff>
      <xdr:row>176</xdr:row>
      <xdr:rowOff>124240</xdr:rowOff>
    </xdr:to>
    <xdr:grpSp>
      <xdr:nvGrpSpPr>
        <xdr:cNvPr id="23" name="Group 22">
          <a:extLst>
            <a:ext uri="{FF2B5EF4-FFF2-40B4-BE49-F238E27FC236}">
              <a16:creationId xmlns:a16="http://schemas.microsoft.com/office/drawing/2014/main" id="{2832F36A-1CC3-8550-E6D0-12BC26F2AD70}"/>
            </a:ext>
          </a:extLst>
        </xdr:cNvPr>
        <xdr:cNvGrpSpPr/>
      </xdr:nvGrpSpPr>
      <xdr:grpSpPr>
        <a:xfrm>
          <a:off x="1202225" y="30711500"/>
          <a:ext cx="3091759" cy="2940740"/>
          <a:chOff x="3390905" y="5838826"/>
          <a:chExt cx="3645933" cy="3295650"/>
        </a:xfrm>
      </xdr:grpSpPr>
      <xdr:pic>
        <xdr:nvPicPr>
          <xdr:cNvPr id="10" name="Picture 9">
            <a:extLst>
              <a:ext uri="{FF2B5EF4-FFF2-40B4-BE49-F238E27FC236}">
                <a16:creationId xmlns:a16="http://schemas.microsoft.com/office/drawing/2014/main" id="{B76BD6BE-3816-4474-B8C5-4902F906989F}"/>
              </a:ext>
            </a:extLst>
          </xdr:cNvPr>
          <xdr:cNvPicPr>
            <a:picLocks noChangeAspect="1"/>
          </xdr:cNvPicPr>
        </xdr:nvPicPr>
        <xdr:blipFill rotWithShape="1">
          <a:blip xmlns:r="http://schemas.openxmlformats.org/officeDocument/2006/relationships" r:embed="rId2"/>
          <a:srcRect t="69376" b="10416"/>
          <a:stretch>
            <a:fillRect/>
          </a:stretch>
        </xdr:blipFill>
        <xdr:spPr>
          <a:xfrm>
            <a:off x="3390905" y="8210550"/>
            <a:ext cx="3645933" cy="923926"/>
          </a:xfrm>
          <a:prstGeom prst="rect">
            <a:avLst/>
          </a:prstGeom>
        </xdr:spPr>
      </xdr:pic>
      <xdr:pic>
        <xdr:nvPicPr>
          <xdr:cNvPr id="12" name="Picture 11">
            <a:extLst>
              <a:ext uri="{FF2B5EF4-FFF2-40B4-BE49-F238E27FC236}">
                <a16:creationId xmlns:a16="http://schemas.microsoft.com/office/drawing/2014/main" id="{9F9DC1F8-0729-EA96-49C9-B43D4ED81DEB}"/>
              </a:ext>
            </a:extLst>
          </xdr:cNvPr>
          <xdr:cNvPicPr>
            <a:picLocks noChangeAspect="1"/>
          </xdr:cNvPicPr>
        </xdr:nvPicPr>
        <xdr:blipFill rotWithShape="1">
          <a:blip xmlns:r="http://schemas.openxmlformats.org/officeDocument/2006/relationships" r:embed="rId2"/>
          <a:srcRect b="62501"/>
          <a:stretch>
            <a:fillRect/>
          </a:stretch>
        </xdr:blipFill>
        <xdr:spPr>
          <a:xfrm>
            <a:off x="3390905" y="5838826"/>
            <a:ext cx="3645933" cy="1714500"/>
          </a:xfrm>
          <a:prstGeom prst="rect">
            <a:avLst/>
          </a:prstGeom>
        </xdr:spPr>
      </xdr:pic>
      <xdr:pic>
        <xdr:nvPicPr>
          <xdr:cNvPr id="14" name="Picture 13">
            <a:extLst>
              <a:ext uri="{FF2B5EF4-FFF2-40B4-BE49-F238E27FC236}">
                <a16:creationId xmlns:a16="http://schemas.microsoft.com/office/drawing/2014/main" id="{1EC2C30B-49AB-6380-8976-45FAC3EC0D3E}"/>
              </a:ext>
            </a:extLst>
          </xdr:cNvPr>
          <xdr:cNvPicPr>
            <a:picLocks noChangeAspect="1"/>
          </xdr:cNvPicPr>
        </xdr:nvPicPr>
        <xdr:blipFill rotWithShape="1">
          <a:blip xmlns:r="http://schemas.openxmlformats.org/officeDocument/2006/relationships" r:embed="rId2"/>
          <a:srcRect t="43123" b="40003"/>
          <a:stretch>
            <a:fillRect/>
          </a:stretch>
        </xdr:blipFill>
        <xdr:spPr>
          <a:xfrm>
            <a:off x="3390905" y="7524750"/>
            <a:ext cx="3645933" cy="771525"/>
          </a:xfrm>
          <a:prstGeom prst="rect">
            <a:avLst/>
          </a:prstGeom>
        </xdr:spPr>
      </xdr:pic>
    </xdr:grpSp>
    <xdr:clientData/>
  </xdr:twoCellAnchor>
  <xdr:twoCellAnchor>
    <xdr:from>
      <xdr:col>31</xdr:col>
      <xdr:colOff>95249</xdr:colOff>
      <xdr:row>142</xdr:row>
      <xdr:rowOff>0</xdr:rowOff>
    </xdr:from>
    <xdr:to>
      <xdr:col>54</xdr:col>
      <xdr:colOff>29773</xdr:colOff>
      <xdr:row>156</xdr:row>
      <xdr:rowOff>167640</xdr:rowOff>
    </xdr:to>
    <xdr:pic>
      <xdr:nvPicPr>
        <xdr:cNvPr id="19" name="Picture 18">
          <a:extLst>
            <a:ext uri="{FF2B5EF4-FFF2-40B4-BE49-F238E27FC236}">
              <a16:creationId xmlns:a16="http://schemas.microsoft.com/office/drawing/2014/main" id="{598B478A-FFE2-7378-719D-B579F4766E4F}"/>
            </a:ext>
          </a:extLst>
        </xdr:cNvPr>
        <xdr:cNvPicPr>
          <a:picLocks noChangeAspect="1"/>
        </xdr:cNvPicPr>
      </xdr:nvPicPr>
      <xdr:blipFill rotWithShape="1">
        <a:blip xmlns:r="http://schemas.openxmlformats.org/officeDocument/2006/relationships" r:embed="rId3"/>
        <a:srcRect b="13103"/>
        <a:stretch>
          <a:fillRect/>
        </a:stretch>
      </xdr:blipFill>
      <xdr:spPr>
        <a:xfrm>
          <a:off x="5743988" y="18669000"/>
          <a:ext cx="4125524" cy="2834640"/>
        </a:xfrm>
        <a:prstGeom prst="rect">
          <a:avLst/>
        </a:prstGeom>
      </xdr:spPr>
    </xdr:pic>
    <xdr:clientData/>
  </xdr:twoCellAnchor>
  <xdr:twoCellAnchor>
    <xdr:from>
      <xdr:col>30</xdr:col>
      <xdr:colOff>57978</xdr:colOff>
      <xdr:row>164</xdr:row>
      <xdr:rowOff>41413</xdr:rowOff>
    </xdr:from>
    <xdr:to>
      <xdr:col>50</xdr:col>
      <xdr:colOff>8167</xdr:colOff>
      <xdr:row>175</xdr:row>
      <xdr:rowOff>140473</xdr:rowOff>
    </xdr:to>
    <xdr:pic>
      <xdr:nvPicPr>
        <xdr:cNvPr id="22" name="Picture 21">
          <a:extLst>
            <a:ext uri="{FF2B5EF4-FFF2-40B4-BE49-F238E27FC236}">
              <a16:creationId xmlns:a16="http://schemas.microsoft.com/office/drawing/2014/main" id="{03A96818-2787-4EE0-AB7E-830E3D3150E7}"/>
            </a:ext>
          </a:extLst>
        </xdr:cNvPr>
        <xdr:cNvPicPr>
          <a:picLocks noChangeAspect="1"/>
        </xdr:cNvPicPr>
      </xdr:nvPicPr>
      <xdr:blipFill rotWithShape="1">
        <a:blip xmlns:r="http://schemas.openxmlformats.org/officeDocument/2006/relationships" r:embed="rId4"/>
        <a:srcRect b="12971"/>
        <a:stretch>
          <a:fillRect/>
        </a:stretch>
      </xdr:blipFill>
      <xdr:spPr>
        <a:xfrm>
          <a:off x="5524500" y="22901413"/>
          <a:ext cx="3594537" cy="2194560"/>
        </a:xfrm>
        <a:prstGeom prst="rect">
          <a:avLst/>
        </a:prstGeom>
      </xdr:spPr>
    </xdr:pic>
    <xdr:clientData/>
  </xdr:twoCellAnchor>
  <xdr:twoCellAnchor editAs="oneCell">
    <xdr:from>
      <xdr:col>10</xdr:col>
      <xdr:colOff>24854</xdr:colOff>
      <xdr:row>371</xdr:row>
      <xdr:rowOff>0</xdr:rowOff>
    </xdr:from>
    <xdr:to>
      <xdr:col>16</xdr:col>
      <xdr:colOff>171767</xdr:colOff>
      <xdr:row>379</xdr:row>
      <xdr:rowOff>30480</xdr:rowOff>
    </xdr:to>
    <xdr:pic>
      <xdr:nvPicPr>
        <xdr:cNvPr id="52" name="Picture 51">
          <a:extLst>
            <a:ext uri="{FF2B5EF4-FFF2-40B4-BE49-F238E27FC236}">
              <a16:creationId xmlns:a16="http://schemas.microsoft.com/office/drawing/2014/main" id="{2E7EC15B-C83D-4CBA-B1B4-FE256A2BE7BB}"/>
            </a:ext>
          </a:extLst>
        </xdr:cNvPr>
        <xdr:cNvPicPr>
          <a:picLocks noChangeAspect="1"/>
        </xdr:cNvPicPr>
      </xdr:nvPicPr>
      <xdr:blipFill rotWithShape="1">
        <a:blip xmlns:r="http://schemas.openxmlformats.org/officeDocument/2006/relationships" r:embed="rId5"/>
        <a:srcRect r="83762"/>
        <a:stretch>
          <a:fillRect/>
        </a:stretch>
      </xdr:blipFill>
      <xdr:spPr>
        <a:xfrm>
          <a:off x="977354" y="62293500"/>
          <a:ext cx="1289913" cy="1554480"/>
        </a:xfrm>
        <a:prstGeom prst="rect">
          <a:avLst/>
        </a:prstGeom>
      </xdr:spPr>
    </xdr:pic>
    <xdr:clientData/>
  </xdr:twoCellAnchor>
  <xdr:twoCellAnchor editAs="oneCell">
    <xdr:from>
      <xdr:col>21</xdr:col>
      <xdr:colOff>41419</xdr:colOff>
      <xdr:row>371</xdr:row>
      <xdr:rowOff>0</xdr:rowOff>
    </xdr:from>
    <xdr:to>
      <xdr:col>27</xdr:col>
      <xdr:colOff>172680</xdr:colOff>
      <xdr:row>379</xdr:row>
      <xdr:rowOff>30480</xdr:rowOff>
    </xdr:to>
    <xdr:pic>
      <xdr:nvPicPr>
        <xdr:cNvPr id="53" name="Picture 52">
          <a:extLst>
            <a:ext uri="{FF2B5EF4-FFF2-40B4-BE49-F238E27FC236}">
              <a16:creationId xmlns:a16="http://schemas.microsoft.com/office/drawing/2014/main" id="{228E4FA9-9ADB-476E-942A-4D0E2A9C77D3}"/>
            </a:ext>
          </a:extLst>
        </xdr:cNvPr>
        <xdr:cNvPicPr>
          <a:picLocks noChangeAspect="1"/>
        </xdr:cNvPicPr>
      </xdr:nvPicPr>
      <xdr:blipFill rotWithShape="1">
        <a:blip xmlns:r="http://schemas.openxmlformats.org/officeDocument/2006/relationships" r:embed="rId5"/>
        <a:srcRect l="21585" r="62375"/>
        <a:stretch>
          <a:fillRect/>
        </a:stretch>
      </xdr:blipFill>
      <xdr:spPr>
        <a:xfrm>
          <a:off x="3660919" y="62293500"/>
          <a:ext cx="1274261" cy="1554480"/>
        </a:xfrm>
        <a:prstGeom prst="rect">
          <a:avLst/>
        </a:prstGeom>
      </xdr:spPr>
    </xdr:pic>
    <xdr:clientData/>
  </xdr:twoCellAnchor>
  <xdr:twoCellAnchor editAs="oneCell">
    <xdr:from>
      <xdr:col>32</xdr:col>
      <xdr:colOff>41415</xdr:colOff>
      <xdr:row>371</xdr:row>
      <xdr:rowOff>0</xdr:rowOff>
    </xdr:from>
    <xdr:to>
      <xdr:col>39</xdr:col>
      <xdr:colOff>4531</xdr:colOff>
      <xdr:row>379</xdr:row>
      <xdr:rowOff>30480</xdr:rowOff>
    </xdr:to>
    <xdr:pic>
      <xdr:nvPicPr>
        <xdr:cNvPr id="56" name="Picture 55">
          <a:extLst>
            <a:ext uri="{FF2B5EF4-FFF2-40B4-BE49-F238E27FC236}">
              <a16:creationId xmlns:a16="http://schemas.microsoft.com/office/drawing/2014/main" id="{31986F56-FD97-4FDB-B7D0-EDC3D902AD74}"/>
            </a:ext>
          </a:extLst>
        </xdr:cNvPr>
        <xdr:cNvPicPr>
          <a:picLocks noChangeAspect="1"/>
        </xdr:cNvPicPr>
      </xdr:nvPicPr>
      <xdr:blipFill rotWithShape="1">
        <a:blip xmlns:r="http://schemas.openxmlformats.org/officeDocument/2006/relationships" r:embed="rId5"/>
        <a:srcRect l="41705" r="41973"/>
        <a:stretch>
          <a:fillRect/>
        </a:stretch>
      </xdr:blipFill>
      <xdr:spPr>
        <a:xfrm>
          <a:off x="6518415" y="62293500"/>
          <a:ext cx="1296616" cy="1554480"/>
        </a:xfrm>
        <a:prstGeom prst="rect">
          <a:avLst/>
        </a:prstGeom>
      </xdr:spPr>
    </xdr:pic>
    <xdr:clientData/>
  </xdr:twoCellAnchor>
  <xdr:twoCellAnchor editAs="oneCell">
    <xdr:from>
      <xdr:col>43</xdr:col>
      <xdr:colOff>24853</xdr:colOff>
      <xdr:row>371</xdr:row>
      <xdr:rowOff>0</xdr:rowOff>
    </xdr:from>
    <xdr:to>
      <xdr:col>50</xdr:col>
      <xdr:colOff>27093</xdr:colOff>
      <xdr:row>379</xdr:row>
      <xdr:rowOff>30480</xdr:rowOff>
    </xdr:to>
    <xdr:pic>
      <xdr:nvPicPr>
        <xdr:cNvPr id="57" name="Picture 56">
          <a:extLst>
            <a:ext uri="{FF2B5EF4-FFF2-40B4-BE49-F238E27FC236}">
              <a16:creationId xmlns:a16="http://schemas.microsoft.com/office/drawing/2014/main" id="{68435F6E-20FA-4898-809F-40AA1FEE396C}"/>
            </a:ext>
          </a:extLst>
        </xdr:cNvPr>
        <xdr:cNvPicPr>
          <a:picLocks noChangeAspect="1"/>
        </xdr:cNvPicPr>
      </xdr:nvPicPr>
      <xdr:blipFill rotWithShape="1">
        <a:blip xmlns:r="http://schemas.openxmlformats.org/officeDocument/2006/relationships" r:embed="rId5"/>
        <a:srcRect l="62037" r="21148"/>
        <a:stretch>
          <a:fillRect/>
        </a:stretch>
      </xdr:blipFill>
      <xdr:spPr>
        <a:xfrm>
          <a:off x="9359353" y="62293500"/>
          <a:ext cx="1335740" cy="1554480"/>
        </a:xfrm>
        <a:prstGeom prst="rect">
          <a:avLst/>
        </a:prstGeom>
      </xdr:spPr>
    </xdr:pic>
    <xdr:clientData/>
  </xdr:twoCellAnchor>
  <xdr:twoCellAnchor editAs="oneCell">
    <xdr:from>
      <xdr:col>54</xdr:col>
      <xdr:colOff>4</xdr:colOff>
      <xdr:row>371</xdr:row>
      <xdr:rowOff>0</xdr:rowOff>
    </xdr:from>
    <xdr:to>
      <xdr:col>61</xdr:col>
      <xdr:colOff>27956</xdr:colOff>
      <xdr:row>379</xdr:row>
      <xdr:rowOff>30480</xdr:rowOff>
    </xdr:to>
    <xdr:pic>
      <xdr:nvPicPr>
        <xdr:cNvPr id="58" name="Picture 57">
          <a:extLst>
            <a:ext uri="{FF2B5EF4-FFF2-40B4-BE49-F238E27FC236}">
              <a16:creationId xmlns:a16="http://schemas.microsoft.com/office/drawing/2014/main" id="{CFE12EB8-CDE1-4487-A59D-39A9A2CA1302}"/>
            </a:ext>
          </a:extLst>
        </xdr:cNvPr>
        <xdr:cNvPicPr>
          <a:picLocks noChangeAspect="1"/>
        </xdr:cNvPicPr>
      </xdr:nvPicPr>
      <xdr:blipFill rotWithShape="1">
        <a:blip xmlns:r="http://schemas.openxmlformats.org/officeDocument/2006/relationships" r:embed="rId5"/>
        <a:srcRect l="82862"/>
        <a:stretch>
          <a:fillRect/>
        </a:stretch>
      </xdr:blipFill>
      <xdr:spPr>
        <a:xfrm>
          <a:off x="11811004" y="57912000"/>
          <a:ext cx="1361452" cy="1554480"/>
        </a:xfrm>
        <a:prstGeom prst="rect">
          <a:avLst/>
        </a:prstGeom>
      </xdr:spPr>
    </xdr:pic>
    <xdr:clientData/>
  </xdr:twoCellAnchor>
  <xdr:twoCellAnchor editAs="oneCell">
    <xdr:from>
      <xdr:col>48</xdr:col>
      <xdr:colOff>0</xdr:colOff>
      <xdr:row>451</xdr:row>
      <xdr:rowOff>0</xdr:rowOff>
    </xdr:from>
    <xdr:to>
      <xdr:col>66</xdr:col>
      <xdr:colOff>58309</xdr:colOff>
      <xdr:row>463</xdr:row>
      <xdr:rowOff>109904</xdr:rowOff>
    </xdr:to>
    <xdr:pic>
      <xdr:nvPicPr>
        <xdr:cNvPr id="63" name="Picture 62">
          <a:extLst>
            <a:ext uri="{FF2B5EF4-FFF2-40B4-BE49-F238E27FC236}">
              <a16:creationId xmlns:a16="http://schemas.microsoft.com/office/drawing/2014/main" id="{2A52612C-EE64-451A-BC52-3AAAA241919A}"/>
            </a:ext>
          </a:extLst>
        </xdr:cNvPr>
        <xdr:cNvPicPr>
          <a:picLocks noChangeAspect="1"/>
        </xdr:cNvPicPr>
      </xdr:nvPicPr>
      <xdr:blipFill rotWithShape="1">
        <a:blip xmlns:r="http://schemas.openxmlformats.org/officeDocument/2006/relationships" r:embed="rId6"/>
        <a:srcRect b="14355"/>
        <a:stretch>
          <a:fillRect/>
        </a:stretch>
      </xdr:blipFill>
      <xdr:spPr>
        <a:xfrm>
          <a:off x="9144000" y="77533500"/>
          <a:ext cx="3496834" cy="2395904"/>
        </a:xfrm>
        <a:prstGeom prst="rect">
          <a:avLst/>
        </a:prstGeom>
      </xdr:spPr>
    </xdr:pic>
    <xdr:clientData/>
  </xdr:twoCellAnchor>
  <xdr:oneCellAnchor>
    <xdr:from>
      <xdr:col>7</xdr:col>
      <xdr:colOff>0</xdr:colOff>
      <xdr:row>536</xdr:row>
      <xdr:rowOff>124127</xdr:rowOff>
    </xdr:from>
    <xdr:ext cx="2601057" cy="154722"/>
    <mc:AlternateContent xmlns:mc="http://schemas.openxmlformats.org/markup-compatibility/2006" xmlns:a14="http://schemas.microsoft.com/office/drawing/2010/main">
      <mc:Choice Requires="a14">
        <xdr:sp macro="" textlink="">
          <xdr:nvSpPr>
            <xdr:cNvPr id="69" name="TextBox 68">
              <a:extLst>
                <a:ext uri="{FF2B5EF4-FFF2-40B4-BE49-F238E27FC236}">
                  <a16:creationId xmlns:a16="http://schemas.microsoft.com/office/drawing/2014/main" id="{16B9EFAC-E463-498B-9E69-44C33800B43F}"/>
                </a:ext>
              </a:extLst>
            </xdr:cNvPr>
            <xdr:cNvSpPr txBox="1"/>
          </xdr:nvSpPr>
          <xdr:spPr>
            <a:xfrm>
              <a:off x="1282212" y="85658627"/>
              <a:ext cx="260105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8</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8</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8</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69" name="TextBox 68">
              <a:extLst>
                <a:ext uri="{FF2B5EF4-FFF2-40B4-BE49-F238E27FC236}">
                  <a16:creationId xmlns:a16="http://schemas.microsoft.com/office/drawing/2014/main" id="{16B9EFAC-E463-498B-9E69-44C33800B43F}"/>
                </a:ext>
              </a:extLst>
            </xdr:cNvPr>
            <xdr:cNvSpPr txBox="1"/>
          </xdr:nvSpPr>
          <xdr:spPr>
            <a:xfrm>
              <a:off x="1282212" y="85658627"/>
              <a:ext cx="260105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8):  </a:t>
              </a:r>
              <a:r>
                <a:rPr lang="en-US" sz="900" b="0" i="0">
                  <a:latin typeface="Cambria Math" panose="02040503050406030204" pitchFamily="18" charset="0"/>
                </a:rPr>
                <a:t>𝑃_𝑤𝑒𝑏 (𝑌1−𝑌8)−𝑃_7 (𝑌7−𝑌8)+𝐹_1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539</xdr:row>
      <xdr:rowOff>0</xdr:rowOff>
    </xdr:from>
    <xdr:ext cx="2066925" cy="268792"/>
    <mc:AlternateContent xmlns:mc="http://schemas.openxmlformats.org/markup-compatibility/2006" xmlns:a14="http://schemas.microsoft.com/office/drawing/2010/main">
      <mc:Choice Requires="a14">
        <xdr:sp macro="" textlink="">
          <xdr:nvSpPr>
            <xdr:cNvPr id="70" name="TextBox 69">
              <a:extLst>
                <a:ext uri="{FF2B5EF4-FFF2-40B4-BE49-F238E27FC236}">
                  <a16:creationId xmlns:a16="http://schemas.microsoft.com/office/drawing/2014/main" id="{7D7D9704-A8D8-40DC-99B9-14BD566105EA}"/>
                </a:ext>
              </a:extLst>
            </xdr:cNvPr>
            <xdr:cNvSpPr txBox="1"/>
          </xdr:nvSpPr>
          <xdr:spPr>
            <a:xfrm>
              <a:off x="1628775" y="86106000"/>
              <a:ext cx="2066925"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8</m:t>
                            </m:r>
                          </m:e>
                        </m:d>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8</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0" name="TextBox 69">
              <a:extLst>
                <a:ext uri="{FF2B5EF4-FFF2-40B4-BE49-F238E27FC236}">
                  <a16:creationId xmlns:a16="http://schemas.microsoft.com/office/drawing/2014/main" id="{7D7D9704-A8D8-40DC-99B9-14BD566105EA}"/>
                </a:ext>
              </a:extLst>
            </xdr:cNvPr>
            <xdr:cNvSpPr txBox="1"/>
          </xdr:nvSpPr>
          <xdr:spPr>
            <a:xfrm>
              <a:off x="1628775" y="86106000"/>
              <a:ext cx="2066925"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a:t>
              </a:r>
              <a:r>
                <a:rPr lang="en-US" sz="900" b="0" i="0">
                  <a:solidFill>
                    <a:schemeClr val="tx1"/>
                  </a:solidFill>
                  <a:effectLst/>
                  <a:latin typeface="Cambria Math" panose="02040503050406030204" pitchFamily="18" charset="0"/>
                  <a:ea typeface="+mn-ea"/>
                  <a:cs typeface="+mn-cs"/>
                </a:rPr>
                <a:t>𝑃_7 (𝑌7−𝑌8)−𝑃_𝑤𝑒𝑏 (𝑌1−𝑌8))/</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53</xdr:col>
      <xdr:colOff>36635</xdr:colOff>
      <xdr:row>537</xdr:row>
      <xdr:rowOff>43962</xdr:rowOff>
    </xdr:from>
    <xdr:to>
      <xdr:col>69</xdr:col>
      <xdr:colOff>151959</xdr:colOff>
      <xdr:row>547</xdr:row>
      <xdr:rowOff>72537</xdr:rowOff>
    </xdr:to>
    <xdr:pic>
      <xdr:nvPicPr>
        <xdr:cNvPr id="71" name="Picture 70">
          <a:extLst>
            <a:ext uri="{FF2B5EF4-FFF2-40B4-BE49-F238E27FC236}">
              <a16:creationId xmlns:a16="http://schemas.microsoft.com/office/drawing/2014/main" id="{F87A4354-05E4-4FC6-9696-98B9F7406DD9}"/>
            </a:ext>
          </a:extLst>
        </xdr:cNvPr>
        <xdr:cNvPicPr>
          <a:picLocks noChangeAspect="1"/>
        </xdr:cNvPicPr>
      </xdr:nvPicPr>
      <xdr:blipFill rotWithShape="1">
        <a:blip xmlns:r="http://schemas.openxmlformats.org/officeDocument/2006/relationships" r:embed="rId7"/>
        <a:srcRect b="15417"/>
        <a:stretch>
          <a:fillRect/>
        </a:stretch>
      </xdr:blipFill>
      <xdr:spPr>
        <a:xfrm>
          <a:off x="6630866" y="85768962"/>
          <a:ext cx="3046093" cy="1933575"/>
        </a:xfrm>
        <a:prstGeom prst="rect">
          <a:avLst/>
        </a:prstGeom>
      </xdr:spPr>
    </xdr:pic>
    <xdr:clientData/>
  </xdr:twoCellAnchor>
  <xdr:twoCellAnchor editAs="oneCell">
    <xdr:from>
      <xdr:col>49</xdr:col>
      <xdr:colOff>36635</xdr:colOff>
      <xdr:row>552</xdr:row>
      <xdr:rowOff>36635</xdr:rowOff>
    </xdr:from>
    <xdr:to>
      <xdr:col>64</xdr:col>
      <xdr:colOff>56484</xdr:colOff>
      <xdr:row>560</xdr:row>
      <xdr:rowOff>87923</xdr:rowOff>
    </xdr:to>
    <xdr:pic>
      <xdr:nvPicPr>
        <xdr:cNvPr id="72" name="Picture 71">
          <a:extLst>
            <a:ext uri="{FF2B5EF4-FFF2-40B4-BE49-F238E27FC236}">
              <a16:creationId xmlns:a16="http://schemas.microsoft.com/office/drawing/2014/main" id="{01935C8C-D0FC-4FC6-A998-1118F355272E}"/>
            </a:ext>
          </a:extLst>
        </xdr:cNvPr>
        <xdr:cNvPicPr>
          <a:picLocks noChangeAspect="1"/>
        </xdr:cNvPicPr>
      </xdr:nvPicPr>
      <xdr:blipFill rotWithShape="1">
        <a:blip xmlns:r="http://schemas.openxmlformats.org/officeDocument/2006/relationships" r:embed="rId8"/>
        <a:srcRect b="31090"/>
        <a:stretch>
          <a:fillRect/>
        </a:stretch>
      </xdr:blipFill>
      <xdr:spPr>
        <a:xfrm>
          <a:off x="3316548" y="95286635"/>
          <a:ext cx="2762635" cy="1575288"/>
        </a:xfrm>
        <a:prstGeom prst="rect">
          <a:avLst/>
        </a:prstGeom>
      </xdr:spPr>
    </xdr:pic>
    <xdr:clientData/>
  </xdr:twoCellAnchor>
  <xdr:oneCellAnchor>
    <xdr:from>
      <xdr:col>6</xdr:col>
      <xdr:colOff>182217</xdr:colOff>
      <xdr:row>543</xdr:row>
      <xdr:rowOff>117530</xdr:rowOff>
    </xdr:from>
    <xdr:ext cx="1789043" cy="155799"/>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4C987D1F-8901-4BD9-95E1-714191ED264B}"/>
                </a:ext>
              </a:extLst>
            </xdr:cNvPr>
            <xdr:cNvSpPr txBox="1"/>
          </xdr:nvSpPr>
          <xdr:spPr>
            <a:xfrm>
              <a:off x="1275521" y="95177030"/>
              <a:ext cx="1789043" cy="155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7</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1</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18</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5" name="TextBox 74">
              <a:extLst>
                <a:ext uri="{FF2B5EF4-FFF2-40B4-BE49-F238E27FC236}">
                  <a16:creationId xmlns:a16="http://schemas.microsoft.com/office/drawing/2014/main" id="{4C987D1F-8901-4BD9-95E1-714191ED264B}"/>
                </a:ext>
              </a:extLst>
            </xdr:cNvPr>
            <xdr:cNvSpPr txBox="1"/>
          </xdr:nvSpPr>
          <xdr:spPr>
            <a:xfrm>
              <a:off x="1275521" y="95177030"/>
              <a:ext cx="1789043" cy="155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7):  </a:t>
              </a:r>
              <a:r>
                <a:rPr lang="en-US" sz="900" b="0" i="0">
                  <a:latin typeface="Cambria Math" panose="02040503050406030204" pitchFamily="18" charset="0"/>
                </a:rPr>
                <a:t>𝑃_7 (𝑌7−𝑌1)+𝐹_18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546</xdr:row>
      <xdr:rowOff>0</xdr:rowOff>
    </xdr:from>
    <xdr:ext cx="1234440" cy="268792"/>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2F605505-DCA3-492D-A089-E3D66888204A}"/>
                </a:ext>
              </a:extLst>
            </xdr:cNvPr>
            <xdr:cNvSpPr txBox="1"/>
          </xdr:nvSpPr>
          <xdr:spPr>
            <a:xfrm>
              <a:off x="1648558" y="87439500"/>
              <a:ext cx="1234440"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18</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76" name="TextBox 75">
              <a:extLst>
                <a:ext uri="{FF2B5EF4-FFF2-40B4-BE49-F238E27FC236}">
                  <a16:creationId xmlns:a16="http://schemas.microsoft.com/office/drawing/2014/main" id="{2F605505-DCA3-492D-A089-E3D66888204A}"/>
                </a:ext>
              </a:extLst>
            </xdr:cNvPr>
            <xdr:cNvSpPr txBox="1"/>
          </xdr:nvSpPr>
          <xdr:spPr>
            <a:xfrm>
              <a:off x="1648558" y="87439500"/>
              <a:ext cx="1234440"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𝐹_18=(</a:t>
              </a:r>
              <a:r>
                <a:rPr lang="en-US" sz="900" b="0" i="0">
                  <a:solidFill>
                    <a:schemeClr val="tx1"/>
                  </a:solidFill>
                  <a:effectLst/>
                  <a:latin typeface="Cambria Math" panose="02040503050406030204" pitchFamily="18" charset="0"/>
                  <a:ea typeface="+mn-ea"/>
                  <a:cs typeface="+mn-cs"/>
                </a:rPr>
                <a:t>〖−𝑃〗_7 (𝑌7−𝑌1))/</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50</xdr:col>
      <xdr:colOff>19739</xdr:colOff>
      <xdr:row>154</xdr:row>
      <xdr:rowOff>89646</xdr:rowOff>
    </xdr:from>
    <xdr:to>
      <xdr:col>69</xdr:col>
      <xdr:colOff>93959</xdr:colOff>
      <xdr:row>162</xdr:row>
      <xdr:rowOff>80973</xdr:rowOff>
    </xdr:to>
    <xdr:pic>
      <xdr:nvPicPr>
        <xdr:cNvPr id="82" name="Picture 81">
          <a:extLst>
            <a:ext uri="{FF2B5EF4-FFF2-40B4-BE49-F238E27FC236}">
              <a16:creationId xmlns:a16="http://schemas.microsoft.com/office/drawing/2014/main" id="{3E0C9445-D2D7-46B9-B6D2-C7A8CB9B1B8F}"/>
            </a:ext>
          </a:extLst>
        </xdr:cNvPr>
        <xdr:cNvPicPr>
          <a:picLocks noChangeAspect="1"/>
        </xdr:cNvPicPr>
      </xdr:nvPicPr>
      <xdr:blipFill rotWithShape="1">
        <a:blip xmlns:r="http://schemas.openxmlformats.org/officeDocument/2006/relationships" r:embed="rId9"/>
        <a:srcRect b="25880"/>
        <a:stretch>
          <a:fillRect/>
        </a:stretch>
      </xdr:blipFill>
      <xdr:spPr>
        <a:xfrm>
          <a:off x="8984445" y="21044646"/>
          <a:ext cx="3490333" cy="1515327"/>
        </a:xfrm>
        <a:prstGeom prst="rect">
          <a:avLst/>
        </a:prstGeom>
      </xdr:spPr>
    </xdr:pic>
    <xdr:clientData/>
  </xdr:twoCellAnchor>
  <xdr:twoCellAnchor editAs="oneCell">
    <xdr:from>
      <xdr:col>54</xdr:col>
      <xdr:colOff>22412</xdr:colOff>
      <xdr:row>168</xdr:row>
      <xdr:rowOff>47212</xdr:rowOff>
    </xdr:from>
    <xdr:to>
      <xdr:col>69</xdr:col>
      <xdr:colOff>123265</xdr:colOff>
      <xdr:row>176</xdr:row>
      <xdr:rowOff>39007</xdr:rowOff>
    </xdr:to>
    <xdr:pic>
      <xdr:nvPicPr>
        <xdr:cNvPr id="83" name="Picture 82">
          <a:extLst>
            <a:ext uri="{FF2B5EF4-FFF2-40B4-BE49-F238E27FC236}">
              <a16:creationId xmlns:a16="http://schemas.microsoft.com/office/drawing/2014/main" id="{35F39C3D-47EC-48D4-B1BF-089D602C5A7D}"/>
            </a:ext>
          </a:extLst>
        </xdr:cNvPr>
        <xdr:cNvPicPr>
          <a:picLocks noChangeAspect="1"/>
        </xdr:cNvPicPr>
      </xdr:nvPicPr>
      <xdr:blipFill rotWithShape="1">
        <a:blip xmlns:r="http://schemas.openxmlformats.org/officeDocument/2006/relationships" r:embed="rId10"/>
        <a:srcRect b="24080"/>
        <a:stretch>
          <a:fillRect/>
        </a:stretch>
      </xdr:blipFill>
      <xdr:spPr>
        <a:xfrm>
          <a:off x="9704294" y="23669212"/>
          <a:ext cx="2790265" cy="1515795"/>
        </a:xfrm>
        <a:prstGeom prst="rect">
          <a:avLst/>
        </a:prstGeom>
      </xdr:spPr>
    </xdr:pic>
    <xdr:clientData/>
  </xdr:twoCellAnchor>
  <xdr:oneCellAnchor>
    <xdr:from>
      <xdr:col>9</xdr:col>
      <xdr:colOff>0</xdr:colOff>
      <xdr:row>681</xdr:row>
      <xdr:rowOff>0</xdr:rowOff>
    </xdr:from>
    <xdr:ext cx="2991716" cy="286425"/>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CE2686DB-06D0-42EA-806B-E196F79A3FAD}"/>
                </a:ext>
              </a:extLst>
            </xdr:cNvPr>
            <xdr:cNvSpPr txBox="1"/>
          </xdr:nvSpPr>
          <xdr:spPr>
            <a:xfrm>
              <a:off x="1639957" y="120777000"/>
              <a:ext cx="2991716" cy="286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𝐻</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m:t>
                            </m:r>
                            <m:r>
                              <a:rPr lang="en-US" sz="900" b="0" i="1">
                                <a:latin typeface="Cambria Math" panose="02040503050406030204" pitchFamily="18" charset="0"/>
                              </a:rPr>
                              <m:t>𝑊</m:t>
                            </m:r>
                          </m:e>
                          <m:sub>
                            <m:r>
                              <a:rPr lang="en-US" sz="900" b="0" i="1">
                                <a:latin typeface="Cambria Math" panose="02040503050406030204" pitchFamily="18" charset="0"/>
                              </a:rPr>
                              <m:t>𝑒𝑥𝑡</m:t>
                            </m:r>
                          </m:sub>
                        </m:sSub>
                        <m:r>
                          <a:rPr lang="en-US" sz="900" b="0" i="1">
                            <a:latin typeface="Cambria Math" panose="02040503050406030204" pitchFamily="18" charset="0"/>
                            <a:ea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∙0.75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𝐺𝑧</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𝑊</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𝑖𝑛𝑡</m:t>
                            </m:r>
                          </m:sub>
                        </m:sSub>
                        <m:r>
                          <a:rPr lang="en-US" sz="900" b="0" i="1">
                            <a:solidFill>
                              <a:schemeClr val="tx1"/>
                            </a:solidFill>
                            <a:effectLst/>
                            <a:latin typeface="Cambria Math" panose="02040503050406030204" pitchFamily="18" charset="0"/>
                            <a:ea typeface="+mn-ea"/>
                            <a:cs typeface="+mn-cs"/>
                          </a:rPr>
                          <m:t>∙0.25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𝐺𝑧</m:t>
                            </m:r>
                          </m:sub>
                        </m:sSub>
                        <m:r>
                          <a:rPr lang="en-US" sz="900" b="0" i="1">
                            <a:solidFill>
                              <a:schemeClr val="tx1"/>
                            </a:solidFill>
                            <a:effectLst/>
                            <a:latin typeface="Cambria Math" panose="02040503050406030204" pitchFamily="18" charset="0"/>
                            <a:ea typeface="+mn-ea"/>
                            <a:cs typeface="+mn-cs"/>
                          </a:rPr>
                          <m:t>)</m:t>
                        </m:r>
                      </m:num>
                      <m:den>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8</m:t>
                            </m:r>
                          </m:sub>
                        </m:sSub>
                      </m:den>
                    </m:f>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87" name="TextBox 86">
              <a:extLst>
                <a:ext uri="{FF2B5EF4-FFF2-40B4-BE49-F238E27FC236}">
                  <a16:creationId xmlns:a16="http://schemas.microsoft.com/office/drawing/2014/main" id="{CE2686DB-06D0-42EA-806B-E196F79A3FAD}"/>
                </a:ext>
              </a:extLst>
            </xdr:cNvPr>
            <xdr:cNvSpPr txBox="1"/>
          </xdr:nvSpPr>
          <xdr:spPr>
            <a:xfrm>
              <a:off x="1639957" y="120777000"/>
              <a:ext cx="2991716" cy="286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𝐻=(〖−(𝑊〗_𝑒𝑥𝑡</a:t>
              </a:r>
              <a:r>
                <a:rPr lang="en-US" sz="900" b="0" i="0">
                  <a:latin typeface="Cambria Math" panose="02040503050406030204" pitchFamily="18" charset="0"/>
                  <a:ea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〖0.5𝑠𝑝𝑐〗_𝑖𝑛𝑡∙0.75𝐿_𝐺𝑧+𝑊_𝑖𝑛𝑡∙〖0.5𝑠𝑝𝑐〗_𝑖𝑛𝑡∙0.25𝐿_𝐺𝑧))/</a:t>
              </a:r>
              <a:r>
                <a:rPr lang="en-US" sz="900" b="0" i="0">
                  <a:latin typeface="Cambria Math" panose="02040503050406030204" pitchFamily="18" charset="0"/>
                </a:rPr>
                <a:t>𝑃_8 </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33628</xdr:colOff>
      <xdr:row>689</xdr:row>
      <xdr:rowOff>0</xdr:rowOff>
    </xdr:from>
    <xdr:ext cx="3235116" cy="149528"/>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CE17637B-302F-4377-B323-76B8624B8339}"/>
                </a:ext>
              </a:extLst>
            </xdr:cNvPr>
            <xdr:cNvSpPr txBox="1"/>
          </xdr:nvSpPr>
          <xdr:spPr>
            <a:xfrm>
              <a:off x="4224628" y="122872500"/>
              <a:ext cx="323511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𝑒𝑥𝑡</m:t>
                        </m:r>
                        <m:r>
                          <a:rPr lang="en-US" sz="900" b="0" i="1">
                            <a:latin typeface="Cambria Math" panose="02040503050406030204" pitchFamily="18" charset="0"/>
                          </a:rPr>
                          <m:t>.1.1</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−0.5(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2" name="TextBox 91">
              <a:extLst>
                <a:ext uri="{FF2B5EF4-FFF2-40B4-BE49-F238E27FC236}">
                  <a16:creationId xmlns:a16="http://schemas.microsoft.com/office/drawing/2014/main" id="{CE17637B-302F-4377-B323-76B8624B8339}"/>
                </a:ext>
              </a:extLst>
            </xdr:cNvPr>
            <xdr:cNvSpPr txBox="1"/>
          </xdr:nvSpPr>
          <xdr:spPr>
            <a:xfrm>
              <a:off x="4224628" y="122872500"/>
              <a:ext cx="323511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𝑦_(𝑒𝑥𝑡.1.1)=</a:t>
              </a:r>
              <a:r>
                <a:rPr lang="en-US" sz="900" b="0" i="0">
                  <a:solidFill>
                    <a:schemeClr val="tx1"/>
                  </a:solidFill>
                  <a:effectLst/>
                  <a:latin typeface="Cambria Math" panose="02040503050406030204" pitchFamily="18" charset="0"/>
                  <a:ea typeface="+mn-ea"/>
                  <a:cs typeface="+mn-cs"/>
                </a:rPr>
                <a:t>𝐿_𝑑𝑠−〖0.5(𝐿〗_𝑑𝑠−𝐿_𝑏𝑓)+𝐿_(𝐶𝐿.𝑒)−0.5(〖𝑠𝑝𝑐〗_1+𝐿_(𝑒.𝐶𝐿)+𝐿_(𝐶𝐿.𝑒))</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31723</xdr:colOff>
      <xdr:row>691</xdr:row>
      <xdr:rowOff>0</xdr:rowOff>
    </xdr:from>
    <xdr:ext cx="2935034" cy="149528"/>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5CA986BD-1037-4C95-A156-A68704A8103A}"/>
                </a:ext>
              </a:extLst>
            </xdr:cNvPr>
            <xdr:cNvSpPr txBox="1"/>
          </xdr:nvSpPr>
          <xdr:spPr>
            <a:xfrm>
              <a:off x="4222723" y="123253500"/>
              <a:ext cx="2935034"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.1.2</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+0.5(</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𝐶𝐿</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𝑒</m:t>
                        </m:r>
                      </m:sub>
                    </m:sSub>
                    <m:r>
                      <a:rPr lang="en-US" sz="900" b="0" i="1">
                        <a:solidFill>
                          <a:schemeClr val="tx1"/>
                        </a:solidFill>
                        <a:effectLst/>
                        <a:latin typeface="Cambria Math" panose="02040503050406030204" pitchFamily="18" charset="0"/>
                        <a:ea typeface="+mn-ea"/>
                        <a:cs typeface="+mn-cs"/>
                      </a:rPr>
                      <m:t>)</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3" name="TextBox 92">
              <a:extLst>
                <a:ext uri="{FF2B5EF4-FFF2-40B4-BE49-F238E27FC236}">
                  <a16:creationId xmlns:a16="http://schemas.microsoft.com/office/drawing/2014/main" id="{5CA986BD-1037-4C95-A156-A68704A8103A}"/>
                </a:ext>
              </a:extLst>
            </xdr:cNvPr>
            <xdr:cNvSpPr txBox="1"/>
          </xdr:nvSpPr>
          <xdr:spPr>
            <a:xfrm>
              <a:off x="4222723" y="123253500"/>
              <a:ext cx="2935034"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𝑦_(𝑒𝑥𝑡.1.2)</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〖0.5(𝐿〗_𝑑𝑠−𝐿_𝑏𝑓)−𝐿_(𝐶𝐿.𝑒)+0.5(〖𝑠𝑝𝑐〗_1+𝐿_(𝑒.𝐶𝐿)+𝐿_(𝐶𝐿.𝑒))</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31723</xdr:colOff>
      <xdr:row>693</xdr:row>
      <xdr:rowOff>0</xdr:rowOff>
    </xdr:from>
    <xdr:ext cx="2834366" cy="149528"/>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2B456EE2-53FA-46B8-98BF-B83139FFFC37}"/>
                </a:ext>
              </a:extLst>
            </xdr:cNvPr>
            <xdr:cNvSpPr txBox="1"/>
          </xdr:nvSpPr>
          <xdr:spPr>
            <a:xfrm>
              <a:off x="4222723" y="123634500"/>
              <a:ext cx="283436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.2.1</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2</m:t>
                        </m:r>
                      </m:sub>
                    </m:sSub>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𝐻</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4" name="TextBox 93">
              <a:extLst>
                <a:ext uri="{FF2B5EF4-FFF2-40B4-BE49-F238E27FC236}">
                  <a16:creationId xmlns:a16="http://schemas.microsoft.com/office/drawing/2014/main" id="{2B456EE2-53FA-46B8-98BF-B83139FFFC37}"/>
                </a:ext>
              </a:extLst>
            </xdr:cNvPr>
            <xdr:cNvSpPr txBox="1"/>
          </xdr:nvSpPr>
          <xdr:spPr>
            <a:xfrm>
              <a:off x="4222723" y="123634500"/>
              <a:ext cx="2834366"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𝑦_(𝑒𝑥𝑡.2.1)</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𝐿_𝑑𝑠−〖0.5(𝐿〗_𝑑𝑠−𝐿_𝑏𝑓)−𝐿_(𝑒.𝐶𝐿)−〖𝑠𝑝𝑐〗_1−〖𝑠𝑝𝑐〗_2+𝐻</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oneCellAnchor>
    <xdr:from>
      <xdr:col>23</xdr:col>
      <xdr:colOff>0</xdr:colOff>
      <xdr:row>695</xdr:row>
      <xdr:rowOff>0</xdr:rowOff>
    </xdr:from>
    <xdr:ext cx="3246273" cy="149528"/>
    <mc:AlternateContent xmlns:mc="http://schemas.openxmlformats.org/markup-compatibility/2006" xmlns:a14="http://schemas.microsoft.com/office/drawing/2010/main">
      <mc:Choice Requires="a14">
        <xdr:sp macro="" textlink="">
          <xdr:nvSpPr>
            <xdr:cNvPr id="95" name="TextBox 94">
              <a:extLst>
                <a:ext uri="{FF2B5EF4-FFF2-40B4-BE49-F238E27FC236}">
                  <a16:creationId xmlns:a16="http://schemas.microsoft.com/office/drawing/2014/main" id="{68DCC763-E516-441E-9105-C9DC8D9A39F2}"/>
                </a:ext>
              </a:extLst>
            </xdr:cNvPr>
            <xdr:cNvSpPr txBox="1"/>
          </xdr:nvSpPr>
          <xdr:spPr>
            <a:xfrm>
              <a:off x="4191000" y="124015500"/>
              <a:ext cx="3246273"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𝑦</m:t>
                        </m:r>
                      </m:e>
                      <m:sub>
                        <m:r>
                          <a:rPr lang="en-US" sz="900" b="0" i="1">
                            <a:solidFill>
                              <a:schemeClr val="tx1"/>
                            </a:solidFill>
                            <a:effectLst/>
                            <a:latin typeface="Cambria Math" panose="02040503050406030204" pitchFamily="18" charset="0"/>
                            <a:ea typeface="+mn-ea"/>
                            <a:cs typeface="+mn-cs"/>
                          </a:rPr>
                          <m:t>𝑒𝑥𝑡</m:t>
                        </m:r>
                        <m:r>
                          <a:rPr lang="en-US" sz="900" b="0" i="1">
                            <a:solidFill>
                              <a:schemeClr val="tx1"/>
                            </a:solidFill>
                            <a:effectLst/>
                            <a:latin typeface="Cambria Math" panose="02040503050406030204" pitchFamily="18" charset="0"/>
                            <a:ea typeface="+mn-ea"/>
                            <a:cs typeface="+mn-cs"/>
                          </a:rPr>
                          <m:t>.2.2</m:t>
                        </m:r>
                      </m:sub>
                    </m:sSub>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0.5(</m:t>
                        </m:r>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𝑑𝑠</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𝑏𝑓</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𝐿</m:t>
                        </m:r>
                      </m:e>
                      <m:sub>
                        <m:r>
                          <a:rPr lang="en-US" sz="900" b="0" i="1">
                            <a:solidFill>
                              <a:schemeClr val="tx1"/>
                            </a:solidFill>
                            <a:effectLst/>
                            <a:latin typeface="Cambria Math" panose="02040503050406030204" pitchFamily="18" charset="0"/>
                            <a:ea typeface="+mn-ea"/>
                            <a:cs typeface="+mn-cs"/>
                          </a:rPr>
                          <m:t>𝑒</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𝐶𝐿</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1</m:t>
                        </m:r>
                      </m:sub>
                    </m:sSub>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2</m:t>
                        </m:r>
                      </m:sub>
                    </m:sSub>
                    <m:r>
                      <a:rPr lang="en-US" sz="900" b="0" i="1">
                        <a:solidFill>
                          <a:schemeClr val="tx1"/>
                        </a:solidFill>
                        <a:effectLst/>
                        <a:latin typeface="Cambria Math" panose="02040503050406030204" pitchFamily="18" charset="0"/>
                        <a:ea typeface="+mn-ea"/>
                        <a:cs typeface="+mn-cs"/>
                      </a:rPr>
                      <m:t>−</m:t>
                    </m:r>
                    <m:sSup>
                      <m:sSupPr>
                        <m:ctrlPr>
                          <a:rPr lang="en-US" sz="900" b="0" i="1">
                            <a:solidFill>
                              <a:schemeClr val="tx1"/>
                            </a:solidFill>
                            <a:effectLst/>
                            <a:latin typeface="Cambria Math" panose="02040503050406030204" pitchFamily="18" charset="0"/>
                            <a:ea typeface="+mn-ea"/>
                            <a:cs typeface="+mn-cs"/>
                          </a:rPr>
                        </m:ctrlPr>
                      </m:sSupPr>
                      <m:e>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𝑠𝑝𝑐</m:t>
                            </m:r>
                          </m:e>
                          <m:sub>
                            <m:r>
                              <a:rPr lang="en-US" sz="900" b="0" i="1">
                                <a:solidFill>
                                  <a:schemeClr val="tx1"/>
                                </a:solidFill>
                                <a:effectLst/>
                                <a:latin typeface="Cambria Math" panose="02040503050406030204" pitchFamily="18" charset="0"/>
                                <a:ea typeface="+mn-ea"/>
                                <a:cs typeface="+mn-cs"/>
                              </a:rPr>
                              <m:t>𝑛</m:t>
                            </m:r>
                          </m:sub>
                        </m:sSub>
                      </m:e>
                      <m:sup>
                        <m:r>
                          <a:rPr lang="en-US" sz="900" b="0" i="1">
                            <a:solidFill>
                              <a:schemeClr val="tx1"/>
                            </a:solidFill>
                            <a:effectLst/>
                            <a:latin typeface="Cambria Math" panose="02040503050406030204" pitchFamily="18" charset="0"/>
                            <a:ea typeface="+mn-ea"/>
                            <a:cs typeface="+mn-cs"/>
                          </a:rPr>
                          <m:t>∗</m:t>
                        </m:r>
                      </m:sup>
                    </m:sSup>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𝐻</m:t>
                    </m:r>
                  </m:oMath>
                </m:oMathPara>
              </a14:m>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Choice>
      <mc:Fallback xmlns="">
        <xdr:sp macro="" textlink="">
          <xdr:nvSpPr>
            <xdr:cNvPr id="95" name="TextBox 94">
              <a:extLst>
                <a:ext uri="{FF2B5EF4-FFF2-40B4-BE49-F238E27FC236}">
                  <a16:creationId xmlns:a16="http://schemas.microsoft.com/office/drawing/2014/main" id="{68DCC763-E516-441E-9105-C9DC8D9A39F2}"/>
                </a:ext>
              </a:extLst>
            </xdr:cNvPr>
            <xdr:cNvSpPr txBox="1"/>
          </xdr:nvSpPr>
          <xdr:spPr>
            <a:xfrm>
              <a:off x="4191000" y="124015500"/>
              <a:ext cx="3246273" cy="149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solidFill>
                    <a:schemeClr val="tx1"/>
                  </a:solidFill>
                  <a:effectLst/>
                  <a:latin typeface="Cambria Math" panose="02040503050406030204" pitchFamily="18" charset="0"/>
                  <a:ea typeface="+mn-ea"/>
                  <a:cs typeface="+mn-cs"/>
                </a:rPr>
                <a:t>𝑦_(𝑒𝑥𝑡.2.2)</a:t>
              </a:r>
              <a:r>
                <a:rPr lang="en-US" sz="900" b="0" i="0">
                  <a:latin typeface="Cambria Math" panose="02040503050406030204" pitchFamily="18" charset="0"/>
                </a:rPr>
                <a:t>=</a:t>
              </a:r>
              <a:r>
                <a:rPr lang="en-US" sz="900" b="0" i="0">
                  <a:solidFill>
                    <a:schemeClr val="tx1"/>
                  </a:solidFill>
                  <a:effectLst/>
                  <a:latin typeface="Cambria Math" panose="02040503050406030204" pitchFamily="18" charset="0"/>
                  <a:ea typeface="+mn-ea"/>
                  <a:cs typeface="+mn-cs"/>
                </a:rPr>
                <a:t>𝐿_𝑑𝑠−〖0.5(𝐿〗_𝑑𝑠−𝐿_𝑏𝑓)−𝐿_(𝑒.𝐶𝐿)−〖𝑠𝑝𝑐〗_1−〖𝑠𝑝𝑐〗_2−〖〖𝑠𝑝𝑐〗_𝑛〗^∗−𝐻</a:t>
              </a:r>
              <a:endParaRPr lang="en-US" sz="900">
                <a:latin typeface="Cambria" panose="02040503050406030204" pitchFamily="18" charset="0"/>
                <a:ea typeface="Cambria" panose="02040503050406030204" pitchFamily="18" charset="0"/>
                <a:cs typeface="Jacobs Chronos" panose="020B0603030503030204" pitchFamily="34" charset="0"/>
              </a:endParaRPr>
            </a:p>
          </xdr:txBody>
        </xdr:sp>
      </mc:Fallback>
    </mc:AlternateContent>
    <xdr:clientData/>
  </xdr:oneCellAnchor>
  <xdr:twoCellAnchor editAs="oneCell">
    <xdr:from>
      <xdr:col>53</xdr:col>
      <xdr:colOff>82829</xdr:colOff>
      <xdr:row>714</xdr:row>
      <xdr:rowOff>66264</xdr:rowOff>
    </xdr:from>
    <xdr:to>
      <xdr:col>69</xdr:col>
      <xdr:colOff>127319</xdr:colOff>
      <xdr:row>722</xdr:row>
      <xdr:rowOff>188184</xdr:rowOff>
    </xdr:to>
    <xdr:pic>
      <xdr:nvPicPr>
        <xdr:cNvPr id="104" name="Picture 103">
          <a:extLst>
            <a:ext uri="{FF2B5EF4-FFF2-40B4-BE49-F238E27FC236}">
              <a16:creationId xmlns:a16="http://schemas.microsoft.com/office/drawing/2014/main" id="{4E77580D-AAAD-4E67-B196-F5AC354ABB2E}"/>
            </a:ext>
          </a:extLst>
        </xdr:cNvPr>
        <xdr:cNvPicPr>
          <a:picLocks noChangeAspect="1"/>
        </xdr:cNvPicPr>
      </xdr:nvPicPr>
      <xdr:blipFill rotWithShape="1">
        <a:blip xmlns:r="http://schemas.openxmlformats.org/officeDocument/2006/relationships" r:embed="rId11"/>
        <a:srcRect b="18047"/>
        <a:stretch>
          <a:fillRect/>
        </a:stretch>
      </xdr:blipFill>
      <xdr:spPr>
        <a:xfrm>
          <a:off x="9740351" y="127701264"/>
          <a:ext cx="2959968" cy="1645920"/>
        </a:xfrm>
        <a:prstGeom prst="rect">
          <a:avLst/>
        </a:prstGeom>
      </xdr:spPr>
    </xdr:pic>
    <xdr:clientData/>
  </xdr:twoCellAnchor>
  <xdr:oneCellAnchor>
    <xdr:from>
      <xdr:col>7</xdr:col>
      <xdr:colOff>0</xdr:colOff>
      <xdr:row>713</xdr:row>
      <xdr:rowOff>105084</xdr:rowOff>
    </xdr:from>
    <xdr:ext cx="2004391" cy="154722"/>
    <mc:AlternateContent xmlns:mc="http://schemas.openxmlformats.org/markup-compatibility/2006" xmlns:a14="http://schemas.microsoft.com/office/drawing/2010/main">
      <mc:Choice Requires="a14">
        <xdr:sp macro="" textlink="">
          <xdr:nvSpPr>
            <xdr:cNvPr id="105" name="TextBox 104">
              <a:extLst>
                <a:ext uri="{FF2B5EF4-FFF2-40B4-BE49-F238E27FC236}">
                  <a16:creationId xmlns:a16="http://schemas.microsoft.com/office/drawing/2014/main" id="{DA049B1A-C1DA-4BB0-805B-6038CFCDA9CB}"/>
                </a:ext>
              </a:extLst>
            </xdr:cNvPr>
            <xdr:cNvSpPr txBox="1"/>
          </xdr:nvSpPr>
          <xdr:spPr>
            <a:xfrm>
              <a:off x="1275522" y="127549584"/>
              <a:ext cx="2004391"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7</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7</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05" name="TextBox 104">
              <a:extLst>
                <a:ext uri="{FF2B5EF4-FFF2-40B4-BE49-F238E27FC236}">
                  <a16:creationId xmlns:a16="http://schemas.microsoft.com/office/drawing/2014/main" id="{DA049B1A-C1DA-4BB0-805B-6038CFCDA9CB}"/>
                </a:ext>
              </a:extLst>
            </xdr:cNvPr>
            <xdr:cNvSpPr txBox="1"/>
          </xdr:nvSpPr>
          <xdr:spPr>
            <a:xfrm>
              <a:off x="1275522" y="127549584"/>
              <a:ext cx="2004391"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7):  </a:t>
              </a:r>
              <a:r>
                <a:rPr lang="en-US" sz="900" b="0" i="0">
                  <a:latin typeface="Cambria Math" panose="02040503050406030204" pitchFamily="18" charset="0"/>
                </a:rPr>
                <a:t>𝑃_𝑤𝑒𝑏 (𝑌1−𝑌7)+𝐹_1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716</xdr:row>
      <xdr:rowOff>0</xdr:rowOff>
    </xdr:from>
    <xdr:ext cx="1366617" cy="268792"/>
    <mc:AlternateContent xmlns:mc="http://schemas.openxmlformats.org/markup-compatibility/2006" xmlns:a14="http://schemas.microsoft.com/office/drawing/2010/main">
      <mc:Choice Requires="a14">
        <xdr:sp macro="" textlink="">
          <xdr:nvSpPr>
            <xdr:cNvPr id="107" name="TextBox 106">
              <a:extLst>
                <a:ext uri="{FF2B5EF4-FFF2-40B4-BE49-F238E27FC236}">
                  <a16:creationId xmlns:a16="http://schemas.microsoft.com/office/drawing/2014/main" id="{CE29C0AB-4315-4EEF-8B71-059AE3D29298}"/>
                </a:ext>
              </a:extLst>
            </xdr:cNvPr>
            <xdr:cNvSpPr txBox="1"/>
          </xdr:nvSpPr>
          <xdr:spPr>
            <a:xfrm>
              <a:off x="1639957" y="128016000"/>
              <a:ext cx="1366617"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07" name="TextBox 106">
              <a:extLst>
                <a:ext uri="{FF2B5EF4-FFF2-40B4-BE49-F238E27FC236}">
                  <a16:creationId xmlns:a16="http://schemas.microsoft.com/office/drawing/2014/main" id="{CE29C0AB-4315-4EEF-8B71-059AE3D29298}"/>
                </a:ext>
              </a:extLst>
            </xdr:cNvPr>
            <xdr:cNvSpPr txBox="1"/>
          </xdr:nvSpPr>
          <xdr:spPr>
            <a:xfrm>
              <a:off x="1639957" y="128016000"/>
              <a:ext cx="1366617"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a:t>
              </a:r>
              <a:r>
                <a:rPr lang="en-US" sz="900" b="0" i="0">
                  <a:solidFill>
                    <a:schemeClr val="tx1"/>
                  </a:solidFill>
                  <a:effectLst/>
                  <a:latin typeface="Cambria Math" panose="02040503050406030204" pitchFamily="18" charset="0"/>
                  <a:ea typeface="+mn-ea"/>
                  <a:cs typeface="+mn-cs"/>
                </a:rPr>
                <a:t>𝑃_𝑤𝑒𝑏 (𝑌1−𝑌7))/</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49</xdr:col>
      <xdr:colOff>74546</xdr:colOff>
      <xdr:row>729</xdr:row>
      <xdr:rowOff>41414</xdr:rowOff>
    </xdr:from>
    <xdr:to>
      <xdr:col>64</xdr:col>
      <xdr:colOff>118698</xdr:colOff>
      <xdr:row>738</xdr:row>
      <xdr:rowOff>64274</xdr:rowOff>
    </xdr:to>
    <xdr:pic>
      <xdr:nvPicPr>
        <xdr:cNvPr id="110" name="Picture 109">
          <a:extLst>
            <a:ext uri="{FF2B5EF4-FFF2-40B4-BE49-F238E27FC236}">
              <a16:creationId xmlns:a16="http://schemas.microsoft.com/office/drawing/2014/main" id="{AF513767-CB86-49D8-AFA8-42EBEAA4F873}"/>
            </a:ext>
          </a:extLst>
        </xdr:cNvPr>
        <xdr:cNvPicPr>
          <a:picLocks noChangeAspect="1"/>
        </xdr:cNvPicPr>
      </xdr:nvPicPr>
      <xdr:blipFill rotWithShape="1">
        <a:blip xmlns:r="http://schemas.openxmlformats.org/officeDocument/2006/relationships" r:embed="rId12"/>
        <a:srcRect b="16256"/>
        <a:stretch>
          <a:fillRect/>
        </a:stretch>
      </xdr:blipFill>
      <xdr:spPr>
        <a:xfrm>
          <a:off x="9003198" y="130533914"/>
          <a:ext cx="2786938" cy="1737360"/>
        </a:xfrm>
        <a:prstGeom prst="rect">
          <a:avLst/>
        </a:prstGeom>
      </xdr:spPr>
    </xdr:pic>
    <xdr:clientData/>
  </xdr:twoCellAnchor>
  <xdr:oneCellAnchor>
    <xdr:from>
      <xdr:col>7</xdr:col>
      <xdr:colOff>0</xdr:colOff>
      <xdr:row>720</xdr:row>
      <xdr:rowOff>132785</xdr:rowOff>
    </xdr:from>
    <xdr:ext cx="2849217" cy="154722"/>
    <mc:AlternateContent xmlns:mc="http://schemas.openxmlformats.org/markup-compatibility/2006" xmlns:a14="http://schemas.microsoft.com/office/drawing/2010/main">
      <mc:Choice Requires="a14">
        <xdr:sp macro="" textlink="">
          <xdr:nvSpPr>
            <xdr:cNvPr id="111" name="TextBox 110">
              <a:extLst>
                <a:ext uri="{FF2B5EF4-FFF2-40B4-BE49-F238E27FC236}">
                  <a16:creationId xmlns:a16="http://schemas.microsoft.com/office/drawing/2014/main" id="{DAE77ED0-1D85-4896-B835-FDA05286DBA5}"/>
                </a:ext>
              </a:extLst>
            </xdr:cNvPr>
            <xdr:cNvSpPr txBox="1"/>
          </xdr:nvSpPr>
          <xdr:spPr>
            <a:xfrm>
              <a:off x="1275522" y="128910785"/>
              <a:ext cx="284921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r>
                      <a:rPr lang="en-US" sz="900" b="0" i="1">
                        <a:latin typeface="Cambria Math" panose="02040503050406030204" pitchFamily="18" charset="0"/>
                        <a:ea typeface="Cambria Math" panose="02040503050406030204" pitchFamily="18" charset="0"/>
                      </a:rPr>
                      <m:t>∑</m:t>
                    </m:r>
                    <m:sSub>
                      <m:sSubPr>
                        <m:ctrlPr>
                          <a:rPr lang="en-US" sz="900" b="0" i="1">
                            <a:latin typeface="Cambria Math" panose="02040503050406030204" pitchFamily="18" charset="0"/>
                            <a:ea typeface="Cambria Math" panose="02040503050406030204" pitchFamily="18" charset="0"/>
                          </a:rPr>
                        </m:ctrlPr>
                      </m:sSubPr>
                      <m:e>
                        <m:r>
                          <a:rPr lang="en-US" sz="900" b="0" i="1">
                            <a:latin typeface="Cambria Math" panose="02040503050406030204" pitchFamily="18" charset="0"/>
                            <a:ea typeface="Cambria Math" panose="02040503050406030204" pitchFamily="18" charset="0"/>
                          </a:rPr>
                          <m:t>𝐹</m:t>
                        </m:r>
                      </m:e>
                      <m:sub>
                        <m:r>
                          <a:rPr lang="en-US" sz="900" b="0" i="1">
                            <a:latin typeface="Cambria Math" panose="02040503050406030204" pitchFamily="18" charset="0"/>
                            <a:ea typeface="Cambria Math" panose="02040503050406030204" pitchFamily="18" charset="0"/>
                          </a:rPr>
                          <m:t>𝐽𝑜𝑖𝑛𝑡</m:t>
                        </m:r>
                        <m:r>
                          <a:rPr lang="en-US" sz="900" b="0" i="1">
                            <a:latin typeface="Cambria Math" panose="02040503050406030204" pitchFamily="18" charset="0"/>
                            <a:ea typeface="Cambria Math" panose="02040503050406030204" pitchFamily="18" charset="0"/>
                          </a:rPr>
                          <m:t> 2</m:t>
                        </m:r>
                      </m:sub>
                    </m:sSub>
                    <m:r>
                      <a:rPr lang="en-US" sz="900" b="0" i="1">
                        <a:latin typeface="Cambria Math" panose="02040503050406030204" pitchFamily="18" charset="0"/>
                        <a:ea typeface="Cambria Math" panose="02040503050406030204" pitchFamily="18" charset="0"/>
                      </a:rPr>
                      <m:t>:  </m:t>
                    </m:r>
                    <m:sSub>
                      <m:sSubPr>
                        <m:ctrlPr>
                          <a:rPr lang="en-US" sz="900" b="0" i="1">
                            <a:latin typeface="Cambria Math" panose="02040503050406030204" pitchFamily="18" charset="0"/>
                          </a:rPr>
                        </m:ctrlPr>
                      </m:sSubPr>
                      <m:e>
                        <m:r>
                          <a:rPr lang="en-US" sz="900" b="0" i="1">
                            <a:latin typeface="Cambria Math" panose="02040503050406030204" pitchFamily="18" charset="0"/>
                          </a:rPr>
                          <m:t>−</m:t>
                        </m:r>
                        <m:r>
                          <a:rPr lang="en-US" sz="900" b="0" i="1">
                            <a:latin typeface="Cambria Math" panose="02040503050406030204" pitchFamily="18" charset="0"/>
                          </a:rPr>
                          <m:t>𝑃</m:t>
                        </m:r>
                      </m:e>
                      <m:sub>
                        <m:r>
                          <a:rPr lang="en-US" sz="900" b="0" i="1">
                            <a:latin typeface="Cambria Math" panose="02040503050406030204" pitchFamily="18" charset="0"/>
                          </a:rPr>
                          <m:t>𝑤𝑒𝑏</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1−</m:t>
                        </m:r>
                        <m:r>
                          <a:rPr lang="en-US" sz="900" b="0" i="1">
                            <a:latin typeface="Cambria Math" panose="02040503050406030204" pitchFamily="18" charset="0"/>
                          </a:rPr>
                          <m:t>𝑌</m:t>
                        </m:r>
                        <m:r>
                          <a:rPr lang="en-US" sz="900" b="0" i="1">
                            <a:latin typeface="Cambria Math" panose="02040503050406030204" pitchFamily="18" charset="0"/>
                          </a:rPr>
                          <m:t>2</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7</m:t>
                        </m:r>
                      </m:sub>
                    </m:sSub>
                    <m:d>
                      <m:dPr>
                        <m:ctrlPr>
                          <a:rPr lang="en-US" sz="900" b="0" i="1">
                            <a:latin typeface="Cambria Math" panose="02040503050406030204" pitchFamily="18" charset="0"/>
                          </a:rPr>
                        </m:ctrlPr>
                      </m:dPr>
                      <m:e>
                        <m:r>
                          <a:rPr lang="en-US" sz="900" b="0" i="1">
                            <a:latin typeface="Cambria Math" panose="02040503050406030204" pitchFamily="18" charset="0"/>
                          </a:rPr>
                          <m:t>𝑌</m:t>
                        </m:r>
                        <m:r>
                          <a:rPr lang="en-US" sz="900" b="0" i="1">
                            <a:latin typeface="Cambria Math" panose="02040503050406030204" pitchFamily="18" charset="0"/>
                          </a:rPr>
                          <m:t>7−</m:t>
                        </m:r>
                        <m:r>
                          <a:rPr lang="en-US" sz="900" b="0" i="1">
                            <a:latin typeface="Cambria Math" panose="02040503050406030204" pitchFamily="18" charset="0"/>
                          </a:rPr>
                          <m:t>𝑌</m:t>
                        </m:r>
                        <m:r>
                          <a:rPr lang="en-US" sz="900" b="0" i="1">
                            <a:latin typeface="Cambria Math" panose="02040503050406030204" pitchFamily="18" charset="0"/>
                          </a:rPr>
                          <m:t>2</m:t>
                        </m:r>
                      </m:e>
                    </m:d>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16</m:t>
                        </m:r>
                      </m:sub>
                    </m:sSub>
                    <m:r>
                      <a:rPr lang="en-US" sz="900" b="0" i="1">
                        <a:latin typeface="Cambria Math" panose="02040503050406030204" pitchFamily="18" charset="0"/>
                      </a:rPr>
                      <m:t>𝑑</m:t>
                    </m:r>
                    <m:r>
                      <a:rPr lang="en-US" sz="900" b="0" i="1">
                        <a:latin typeface="Cambria Math" panose="02040503050406030204" pitchFamily="18" charset="0"/>
                      </a:rPr>
                      <m:t>=0</m:t>
                    </m:r>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11" name="TextBox 110">
              <a:extLst>
                <a:ext uri="{FF2B5EF4-FFF2-40B4-BE49-F238E27FC236}">
                  <a16:creationId xmlns:a16="http://schemas.microsoft.com/office/drawing/2014/main" id="{DAE77ED0-1D85-4896-B835-FDA05286DBA5}"/>
                </a:ext>
              </a:extLst>
            </xdr:cNvPr>
            <xdr:cNvSpPr txBox="1"/>
          </xdr:nvSpPr>
          <xdr:spPr>
            <a:xfrm>
              <a:off x="1275522" y="128910785"/>
              <a:ext cx="2849217" cy="154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ea typeface="Cambria Math" panose="02040503050406030204" pitchFamily="18" charset="0"/>
                </a:rPr>
                <a:t>∑𝐹_(𝐽𝑜𝑖𝑛𝑡 2):  </a:t>
              </a:r>
              <a:r>
                <a:rPr lang="en-US" sz="900" b="0" i="0">
                  <a:latin typeface="Cambria Math" panose="02040503050406030204" pitchFamily="18" charset="0"/>
                </a:rPr>
                <a:t>〖−𝑃〗_𝑤𝑒𝑏 (𝑌1−𝑌2)−𝑃_7 (𝑌7−𝑌2)+𝐹_16 𝑑=0</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oneCellAnchor>
    <xdr:from>
      <xdr:col>9</xdr:col>
      <xdr:colOff>0</xdr:colOff>
      <xdr:row>723</xdr:row>
      <xdr:rowOff>0</xdr:rowOff>
    </xdr:from>
    <xdr:ext cx="2460663" cy="268792"/>
    <mc:AlternateContent xmlns:mc="http://schemas.openxmlformats.org/markup-compatibility/2006" xmlns:a14="http://schemas.microsoft.com/office/drawing/2010/main">
      <mc:Choice Requires="a14">
        <xdr:sp macro="" textlink="">
          <xdr:nvSpPr>
            <xdr:cNvPr id="113" name="TextBox 112">
              <a:extLst>
                <a:ext uri="{FF2B5EF4-FFF2-40B4-BE49-F238E27FC236}">
                  <a16:creationId xmlns:a16="http://schemas.microsoft.com/office/drawing/2014/main" id="{888DE813-B41B-456E-98EA-A6EC0A9A5F54}"/>
                </a:ext>
              </a:extLst>
            </xdr:cNvPr>
            <xdr:cNvSpPr txBox="1"/>
          </xdr:nvSpPr>
          <xdr:spPr>
            <a:xfrm>
              <a:off x="1639957" y="129349500"/>
              <a:ext cx="2460663"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14:m>
                <m:oMathPara xmlns:m="http://schemas.openxmlformats.org/officeDocument/2006/math">
                  <m:oMathParaPr>
                    <m:jc m:val="left"/>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𝐹</m:t>
                        </m:r>
                      </m:e>
                      <m:sub>
                        <m:r>
                          <a:rPr lang="en-US" sz="900" b="0" i="1">
                            <a:latin typeface="Cambria Math" panose="02040503050406030204" pitchFamily="18" charset="0"/>
                          </a:rPr>
                          <m:t>16</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𝑤𝑒𝑏</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2</m:t>
                            </m:r>
                          </m:e>
                        </m:d>
                        <m:r>
                          <a:rPr lang="en-US" sz="900" b="0" i="1">
                            <a:solidFill>
                              <a:schemeClr val="tx1"/>
                            </a:solidFill>
                            <a:effectLst/>
                            <a:latin typeface="Cambria Math" panose="02040503050406030204" pitchFamily="18" charset="0"/>
                            <a:ea typeface="+mn-ea"/>
                            <a:cs typeface="+mn-cs"/>
                          </a:rPr>
                          <m:t>+</m:t>
                        </m:r>
                        <m:sSub>
                          <m:sSubPr>
                            <m:ctrlPr>
                              <a:rPr lang="en-US" sz="900" b="0" i="1">
                                <a:solidFill>
                                  <a:schemeClr val="tx1"/>
                                </a:solidFill>
                                <a:effectLst/>
                                <a:latin typeface="Cambria Math" panose="02040503050406030204" pitchFamily="18" charset="0"/>
                                <a:ea typeface="+mn-ea"/>
                                <a:cs typeface="+mn-cs"/>
                              </a:rPr>
                            </m:ctrlPr>
                          </m:sSubPr>
                          <m:e>
                            <m:r>
                              <a:rPr lang="en-US" sz="900" b="0" i="1">
                                <a:solidFill>
                                  <a:schemeClr val="tx1"/>
                                </a:solidFill>
                                <a:effectLst/>
                                <a:latin typeface="Cambria Math" panose="02040503050406030204" pitchFamily="18" charset="0"/>
                                <a:ea typeface="+mn-ea"/>
                                <a:cs typeface="+mn-cs"/>
                              </a:rPr>
                              <m:t>𝑃</m:t>
                            </m:r>
                          </m:e>
                          <m:sub>
                            <m:r>
                              <a:rPr lang="en-US" sz="900" b="0" i="1">
                                <a:solidFill>
                                  <a:schemeClr val="tx1"/>
                                </a:solidFill>
                                <a:effectLst/>
                                <a:latin typeface="Cambria Math" panose="02040503050406030204" pitchFamily="18" charset="0"/>
                                <a:ea typeface="+mn-ea"/>
                                <a:cs typeface="+mn-cs"/>
                              </a:rPr>
                              <m:t>7</m:t>
                            </m:r>
                          </m:sub>
                        </m:sSub>
                        <m:d>
                          <m:dPr>
                            <m:ctrlPr>
                              <a:rPr lang="en-US" sz="900" b="0" i="1">
                                <a:solidFill>
                                  <a:schemeClr val="tx1"/>
                                </a:solidFill>
                                <a:effectLst/>
                                <a:latin typeface="Cambria Math" panose="02040503050406030204" pitchFamily="18" charset="0"/>
                                <a:ea typeface="+mn-ea"/>
                                <a:cs typeface="+mn-cs"/>
                              </a:rPr>
                            </m:ctrlPr>
                          </m:dPr>
                          <m:e>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7−</m:t>
                            </m:r>
                            <m:r>
                              <a:rPr lang="en-US" sz="900" b="0" i="1">
                                <a:solidFill>
                                  <a:schemeClr val="tx1"/>
                                </a:solidFill>
                                <a:effectLst/>
                                <a:latin typeface="Cambria Math" panose="02040503050406030204" pitchFamily="18" charset="0"/>
                                <a:ea typeface="+mn-ea"/>
                                <a:cs typeface="+mn-cs"/>
                              </a:rPr>
                              <m:t>𝑌</m:t>
                            </m:r>
                            <m:r>
                              <a:rPr lang="en-US" sz="900" b="0" i="1">
                                <a:solidFill>
                                  <a:schemeClr val="tx1"/>
                                </a:solidFill>
                                <a:effectLst/>
                                <a:latin typeface="Cambria Math" panose="02040503050406030204" pitchFamily="18" charset="0"/>
                                <a:ea typeface="+mn-ea"/>
                                <a:cs typeface="+mn-cs"/>
                              </a:rPr>
                              <m:t>2</m:t>
                            </m:r>
                          </m:e>
                        </m:d>
                      </m:num>
                      <m:den>
                        <m:r>
                          <a:rPr lang="en-US" sz="900" b="0" i="1">
                            <a:latin typeface="Cambria Math" panose="02040503050406030204" pitchFamily="18" charset="0"/>
                          </a:rPr>
                          <m:t>𝑑</m:t>
                        </m:r>
                      </m:den>
                    </m:f>
                  </m:oMath>
                </m:oMathPara>
              </a14:m>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Choice>
      <mc:Fallback xmlns="">
        <xdr:sp macro="" textlink="">
          <xdr:nvSpPr>
            <xdr:cNvPr id="113" name="TextBox 112">
              <a:extLst>
                <a:ext uri="{FF2B5EF4-FFF2-40B4-BE49-F238E27FC236}">
                  <a16:creationId xmlns:a16="http://schemas.microsoft.com/office/drawing/2014/main" id="{888DE813-B41B-456E-98EA-A6EC0A9A5F54}"/>
                </a:ext>
              </a:extLst>
            </xdr:cNvPr>
            <xdr:cNvSpPr txBox="1"/>
          </xdr:nvSpPr>
          <xdr:spPr>
            <a:xfrm>
              <a:off x="1639957" y="129349500"/>
              <a:ext cx="2460663" cy="2687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US" sz="900" b="0" i="0">
                  <a:latin typeface="Cambria Math" panose="02040503050406030204" pitchFamily="18" charset="0"/>
                </a:rPr>
                <a:t>𝐹_16=(</a:t>
              </a:r>
              <a:r>
                <a:rPr lang="en-US" sz="900" b="0" i="0">
                  <a:solidFill>
                    <a:schemeClr val="tx1"/>
                  </a:solidFill>
                  <a:effectLst/>
                  <a:latin typeface="Cambria Math" panose="02040503050406030204" pitchFamily="18" charset="0"/>
                  <a:ea typeface="+mn-ea"/>
                  <a:cs typeface="+mn-cs"/>
                </a:rPr>
                <a:t>𝑃_𝑤𝑒𝑏 (𝑌1−𝑌2)+𝑃_7 (𝑌7−𝑌2))/</a:t>
              </a:r>
              <a:r>
                <a:rPr lang="en-US" sz="900" b="0" i="0">
                  <a:latin typeface="Cambria Math" panose="02040503050406030204" pitchFamily="18" charset="0"/>
                </a:rPr>
                <a:t>𝑑</a:t>
              </a:r>
              <a:br>
                <a:rPr lang="en-US" sz="900" b="0">
                  <a:latin typeface="Jacobs Chronos" panose="020B0603030503030204" pitchFamily="34" charset="0"/>
                  <a:cs typeface="Jacobs Chronos" panose="020B0603030503030204" pitchFamily="34" charset="0"/>
                </a:rPr>
              </a:br>
              <a:endParaRPr lang="en-US" sz="900" b="0">
                <a:latin typeface="Jacobs Chronos" panose="020B0603030503030204" pitchFamily="34" charset="0"/>
                <a:cs typeface="Jacobs Chronos" panose="020B0603030503030204" pitchFamily="34" charset="0"/>
              </a:endParaRPr>
            </a:p>
          </xdr:txBody>
        </xdr:sp>
      </mc:Fallback>
    </mc:AlternateContent>
    <xdr:clientData/>
  </xdr:oneCellAnchor>
  <xdr:twoCellAnchor editAs="oneCell">
    <xdr:from>
      <xdr:col>45</xdr:col>
      <xdr:colOff>0</xdr:colOff>
      <xdr:row>320</xdr:row>
      <xdr:rowOff>0</xdr:rowOff>
    </xdr:from>
    <xdr:to>
      <xdr:col>70</xdr:col>
      <xdr:colOff>106483</xdr:colOff>
      <xdr:row>333</xdr:row>
      <xdr:rowOff>173935</xdr:rowOff>
    </xdr:to>
    <xdr:pic>
      <xdr:nvPicPr>
        <xdr:cNvPr id="116" name="Picture 115">
          <a:extLst>
            <a:ext uri="{FF2B5EF4-FFF2-40B4-BE49-F238E27FC236}">
              <a16:creationId xmlns:a16="http://schemas.microsoft.com/office/drawing/2014/main" id="{95FE9F5C-4316-4F1D-926B-3C73DBBEDD7D}"/>
            </a:ext>
          </a:extLst>
        </xdr:cNvPr>
        <xdr:cNvPicPr>
          <a:picLocks noChangeAspect="1"/>
        </xdr:cNvPicPr>
      </xdr:nvPicPr>
      <xdr:blipFill rotWithShape="1">
        <a:blip xmlns:r="http://schemas.openxmlformats.org/officeDocument/2006/relationships" r:embed="rId13"/>
        <a:srcRect b="14749"/>
        <a:stretch>
          <a:fillRect/>
        </a:stretch>
      </xdr:blipFill>
      <xdr:spPr>
        <a:xfrm>
          <a:off x="8199783" y="60960000"/>
          <a:ext cx="4671442" cy="2650435"/>
        </a:xfrm>
        <a:prstGeom prst="rect">
          <a:avLst/>
        </a:prstGeom>
      </xdr:spPr>
    </xdr:pic>
    <xdr:clientData/>
  </xdr:twoCellAnchor>
  <xdr:twoCellAnchor editAs="oneCell">
    <xdr:from>
      <xdr:col>7</xdr:col>
      <xdr:colOff>84364</xdr:colOff>
      <xdr:row>645</xdr:row>
      <xdr:rowOff>46265</xdr:rowOff>
    </xdr:from>
    <xdr:to>
      <xdr:col>38</xdr:col>
      <xdr:colOff>27214</xdr:colOff>
      <xdr:row>664</xdr:row>
      <xdr:rowOff>100694</xdr:rowOff>
    </xdr:to>
    <xdr:pic>
      <xdr:nvPicPr>
        <xdr:cNvPr id="3" name="Picture 2">
          <a:extLst>
            <a:ext uri="{FF2B5EF4-FFF2-40B4-BE49-F238E27FC236}">
              <a16:creationId xmlns:a16="http://schemas.microsoft.com/office/drawing/2014/main" id="{66D8609F-74CA-7CD0-2684-5E0A85407373}"/>
            </a:ext>
          </a:extLst>
        </xdr:cNvPr>
        <xdr:cNvPicPr>
          <a:picLocks noChangeAspect="1"/>
        </xdr:cNvPicPr>
      </xdr:nvPicPr>
      <xdr:blipFill rotWithShape="1">
        <a:blip xmlns:r="http://schemas.openxmlformats.org/officeDocument/2006/relationships" r:embed="rId14"/>
        <a:srcRect r="46692" b="46436"/>
        <a:stretch>
          <a:fillRect/>
        </a:stretch>
      </xdr:blipFill>
      <xdr:spPr>
        <a:xfrm>
          <a:off x="1417864" y="122918765"/>
          <a:ext cx="5848350" cy="3673929"/>
        </a:xfrm>
        <a:prstGeom prst="rect">
          <a:avLst/>
        </a:prstGeom>
      </xdr:spPr>
    </xdr:pic>
    <xdr:clientData/>
  </xdr:twoCellAnchor>
  <xdr:twoCellAnchor editAs="oneCell">
    <xdr:from>
      <xdr:col>7</xdr:col>
      <xdr:colOff>28575</xdr:colOff>
      <xdr:row>515</xdr:row>
      <xdr:rowOff>85725</xdr:rowOff>
    </xdr:from>
    <xdr:to>
      <xdr:col>34</xdr:col>
      <xdr:colOff>10240</xdr:colOff>
      <xdr:row>533</xdr:row>
      <xdr:rowOff>29046</xdr:rowOff>
    </xdr:to>
    <xdr:pic>
      <xdr:nvPicPr>
        <xdr:cNvPr id="4" name="Picture 3">
          <a:extLst>
            <a:ext uri="{FF2B5EF4-FFF2-40B4-BE49-F238E27FC236}">
              <a16:creationId xmlns:a16="http://schemas.microsoft.com/office/drawing/2014/main" id="{B9BAD4CB-750D-2515-5C3D-B3B5AA97A854}"/>
            </a:ext>
          </a:extLst>
        </xdr:cNvPr>
        <xdr:cNvPicPr>
          <a:picLocks noChangeAspect="1"/>
        </xdr:cNvPicPr>
      </xdr:nvPicPr>
      <xdr:blipFill>
        <a:blip xmlns:r="http://schemas.openxmlformats.org/officeDocument/2006/relationships" r:embed="rId15"/>
        <a:stretch>
          <a:fillRect/>
        </a:stretch>
      </xdr:blipFill>
      <xdr:spPr>
        <a:xfrm>
          <a:off x="1362075" y="98193225"/>
          <a:ext cx="5125165" cy="337232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1">
    <tabColor rgb="FFFF0000"/>
  </sheetPr>
  <dimension ref="A1:BW50"/>
  <sheetViews>
    <sheetView showGridLines="0" topLeftCell="A21" workbookViewId="0">
      <selection activeCell="AU35" sqref="AU35"/>
    </sheetView>
  </sheetViews>
  <sheetFormatPr defaultColWidth="2.85546875" defaultRowHeight="15" x14ac:dyDescent="0.25"/>
  <sheetData>
    <row r="1" spans="1:75" ht="15" customHeight="1" x14ac:dyDescent="0.3">
      <c r="A1" s="133" t="s">
        <v>406</v>
      </c>
      <c r="B1" s="133"/>
      <c r="C1" s="133"/>
      <c r="D1" s="133"/>
      <c r="E1" s="133"/>
      <c r="F1" s="133"/>
      <c r="G1" s="133"/>
      <c r="H1" s="133"/>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row>
    <row r="2" spans="1:75" ht="15" customHeight="1" x14ac:dyDescent="0.3">
      <c r="A2" s="133"/>
      <c r="B2" s="133"/>
      <c r="C2" s="133"/>
      <c r="D2" s="133"/>
      <c r="E2" s="133"/>
      <c r="F2" s="133"/>
      <c r="G2" s="133"/>
      <c r="H2" s="133"/>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row>
    <row r="3" spans="1:75" ht="15" customHeight="1" x14ac:dyDescent="0.25">
      <c r="A3" s="128" t="s">
        <v>416</v>
      </c>
      <c r="B3" s="128"/>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c r="BB3" s="128"/>
      <c r="BC3" s="128"/>
      <c r="BD3" s="128"/>
      <c r="BE3" s="128"/>
      <c r="BF3" s="128"/>
      <c r="BG3" s="128"/>
      <c r="BH3" s="128"/>
      <c r="BI3" s="128"/>
      <c r="BJ3" s="128"/>
      <c r="BK3" s="128"/>
      <c r="BL3" s="128"/>
      <c r="BM3" s="128"/>
      <c r="BN3" s="128"/>
      <c r="BO3" s="128"/>
    </row>
    <row r="4" spans="1:75" ht="20.25" customHeight="1" x14ac:dyDescent="0.25">
      <c r="A4" s="128"/>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c r="BB4" s="128"/>
      <c r="BC4" s="128"/>
      <c r="BD4" s="128"/>
      <c r="BE4" s="128"/>
      <c r="BF4" s="128"/>
      <c r="BG4" s="128"/>
      <c r="BH4" s="128"/>
      <c r="BI4" s="128"/>
      <c r="BJ4" s="128"/>
      <c r="BK4" s="128"/>
      <c r="BL4" s="128"/>
      <c r="BM4" s="128"/>
      <c r="BN4" s="128"/>
      <c r="BO4" s="128"/>
      <c r="BP4" s="107"/>
      <c r="BQ4" s="107"/>
      <c r="BR4" s="107"/>
      <c r="BS4" s="107"/>
      <c r="BT4" s="107"/>
      <c r="BU4" s="107"/>
      <c r="BV4" s="107"/>
      <c r="BW4" s="107"/>
    </row>
    <row r="5" spans="1:75" x14ac:dyDescent="0.25">
      <c r="A5" s="128"/>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28"/>
      <c r="BO5" s="128"/>
      <c r="BP5" s="107"/>
      <c r="BQ5" s="107"/>
      <c r="BR5" s="107"/>
      <c r="BS5" s="107"/>
      <c r="BT5" s="107"/>
      <c r="BU5" s="107"/>
      <c r="BV5" s="107"/>
      <c r="BW5" s="107"/>
    </row>
    <row r="6" spans="1:75" x14ac:dyDescent="0.25">
      <c r="A6" s="128"/>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c r="BP6" s="107"/>
      <c r="BQ6" s="107"/>
      <c r="BR6" s="107"/>
      <c r="BS6" s="107"/>
      <c r="BT6" s="107"/>
      <c r="BU6" s="107"/>
      <c r="BV6" s="107"/>
      <c r="BW6" s="107"/>
    </row>
    <row r="7" spans="1:75" x14ac:dyDescent="0.25">
      <c r="A7" s="128"/>
      <c r="B7" s="128"/>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128"/>
      <c r="AH7" s="128"/>
      <c r="AI7" s="128"/>
      <c r="AJ7" s="128"/>
      <c r="AK7" s="128"/>
      <c r="AL7" s="128"/>
      <c r="AM7" s="128"/>
      <c r="AN7" s="128"/>
      <c r="AO7" s="128"/>
      <c r="AP7" s="128"/>
      <c r="AQ7" s="128"/>
      <c r="AR7" s="128"/>
      <c r="AS7" s="128"/>
      <c r="AT7" s="128"/>
      <c r="AU7" s="128"/>
      <c r="AV7" s="128"/>
      <c r="AW7" s="128"/>
      <c r="AX7" s="128"/>
      <c r="AY7" s="128"/>
      <c r="AZ7" s="128"/>
      <c r="BA7" s="128"/>
      <c r="BB7" s="128"/>
      <c r="BC7" s="128"/>
      <c r="BD7" s="128"/>
      <c r="BE7" s="128"/>
      <c r="BF7" s="128"/>
      <c r="BG7" s="128"/>
      <c r="BH7" s="128"/>
      <c r="BI7" s="128"/>
      <c r="BJ7" s="128"/>
      <c r="BK7" s="128"/>
      <c r="BL7" s="128"/>
      <c r="BM7" s="128"/>
      <c r="BN7" s="128"/>
      <c r="BO7" s="128"/>
      <c r="BP7" s="107"/>
      <c r="BQ7" s="107"/>
      <c r="BR7" s="107"/>
      <c r="BS7" s="107"/>
      <c r="BT7" s="107"/>
      <c r="BU7" s="107"/>
      <c r="BV7" s="107"/>
      <c r="BW7" s="107"/>
    </row>
    <row r="8" spans="1:75" x14ac:dyDescent="0.25">
      <c r="A8" s="128"/>
      <c r="B8" s="128"/>
      <c r="C8" s="128"/>
      <c r="D8" s="128"/>
      <c r="E8" s="128"/>
      <c r="F8" s="128"/>
      <c r="G8" s="128"/>
      <c r="H8" s="128"/>
      <c r="I8" s="128"/>
      <c r="J8" s="128"/>
      <c r="K8" s="128"/>
      <c r="L8" s="128"/>
      <c r="M8" s="128"/>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8"/>
      <c r="AZ8" s="128"/>
      <c r="BA8" s="128"/>
      <c r="BB8" s="128"/>
      <c r="BC8" s="128"/>
      <c r="BD8" s="128"/>
      <c r="BE8" s="128"/>
      <c r="BF8" s="128"/>
      <c r="BG8" s="128"/>
      <c r="BH8" s="128"/>
      <c r="BI8" s="128"/>
      <c r="BJ8" s="128"/>
      <c r="BK8" s="128"/>
      <c r="BL8" s="128"/>
      <c r="BM8" s="128"/>
      <c r="BN8" s="128"/>
      <c r="BO8" s="128"/>
      <c r="BP8" s="107"/>
      <c r="BQ8" s="107"/>
      <c r="BR8" s="107"/>
      <c r="BS8" s="107"/>
      <c r="BT8" s="107"/>
      <c r="BU8" s="107"/>
      <c r="BV8" s="107"/>
      <c r="BW8" s="107"/>
    </row>
    <row r="9" spans="1:75" x14ac:dyDescent="0.25">
      <c r="A9" s="128"/>
      <c r="B9" s="128"/>
      <c r="C9" s="128"/>
      <c r="D9" s="128"/>
      <c r="E9" s="128"/>
      <c r="F9" s="128"/>
      <c r="G9" s="128"/>
      <c r="H9" s="128"/>
      <c r="I9" s="128"/>
      <c r="J9" s="128"/>
      <c r="K9" s="128"/>
      <c r="L9" s="128"/>
      <c r="M9" s="128"/>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8"/>
      <c r="BK9" s="128"/>
      <c r="BL9" s="128"/>
      <c r="BM9" s="128"/>
      <c r="BN9" s="128"/>
      <c r="BO9" s="128"/>
      <c r="BP9" s="107"/>
      <c r="BQ9" s="107"/>
      <c r="BR9" s="107"/>
      <c r="BS9" s="107"/>
      <c r="BT9" s="107"/>
      <c r="BU9" s="107"/>
      <c r="BV9" s="107"/>
      <c r="BW9" s="107"/>
    </row>
    <row r="10" spans="1:75" x14ac:dyDescent="0.25">
      <c r="A10" s="129" t="s">
        <v>228</v>
      </c>
      <c r="B10" s="129"/>
      <c r="C10" s="130" t="s">
        <v>407</v>
      </c>
      <c r="D10" s="130"/>
      <c r="E10" s="130"/>
      <c r="F10" s="130"/>
      <c r="G10" s="130"/>
      <c r="H10" s="130"/>
      <c r="I10" s="130"/>
      <c r="J10" s="130"/>
      <c r="K10" s="130"/>
      <c r="L10" s="130"/>
      <c r="M10" s="130"/>
      <c r="N10" s="130"/>
      <c r="O10" s="130"/>
      <c r="P10" s="130"/>
      <c r="Q10" s="130"/>
      <c r="R10" s="130"/>
      <c r="S10" s="130"/>
      <c r="T10" s="130"/>
      <c r="U10" s="130"/>
      <c r="V10" s="130"/>
      <c r="W10" s="130"/>
      <c r="X10" s="130"/>
      <c r="Y10" s="130"/>
      <c r="Z10" s="130"/>
      <c r="AA10" s="130"/>
      <c r="AB10" s="130"/>
      <c r="AC10" s="130"/>
      <c r="AD10" s="130"/>
      <c r="AE10" s="130"/>
      <c r="AF10" s="130"/>
      <c r="AG10" s="130"/>
      <c r="AH10" s="130"/>
      <c r="AI10" s="130"/>
      <c r="AJ10" s="107"/>
      <c r="AK10" s="107"/>
      <c r="AL10" s="107"/>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row>
    <row r="11" spans="1:75" x14ac:dyDescent="0.25">
      <c r="A11" s="129" t="s">
        <v>228</v>
      </c>
      <c r="B11" s="129"/>
      <c r="C11" s="130" t="s">
        <v>408</v>
      </c>
      <c r="D11" s="130"/>
      <c r="E11" s="130"/>
      <c r="F11" s="130"/>
      <c r="G11" s="130"/>
      <c r="H11" s="130"/>
      <c r="I11" s="130"/>
      <c r="J11" s="130"/>
      <c r="K11" s="130"/>
      <c r="L11" s="130"/>
      <c r="M11" s="130"/>
      <c r="N11" s="130"/>
      <c r="O11" s="130"/>
      <c r="P11" s="130"/>
      <c r="Q11" s="130"/>
      <c r="R11" s="130"/>
      <c r="S11" s="130"/>
      <c r="T11" s="130"/>
      <c r="U11" s="130"/>
      <c r="V11" s="130"/>
      <c r="W11" s="130"/>
      <c r="X11" s="130"/>
      <c r="Y11" s="130"/>
      <c r="Z11" s="130"/>
      <c r="AA11" s="130"/>
      <c r="AB11" s="130"/>
      <c r="AC11" s="130"/>
      <c r="AD11" s="130"/>
      <c r="AE11" s="130"/>
      <c r="AF11" s="130"/>
      <c r="AG11" s="130"/>
      <c r="AH11" s="130"/>
      <c r="AI11" s="130"/>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c r="BP11" s="107"/>
      <c r="BQ11" s="107"/>
      <c r="BR11" s="107"/>
      <c r="BS11" s="107"/>
      <c r="BT11" s="107"/>
      <c r="BU11" s="107"/>
      <c r="BV11" s="107"/>
      <c r="BW11" s="107"/>
    </row>
    <row r="12" spans="1:75" x14ac:dyDescent="0.25">
      <c r="A12" s="129" t="s">
        <v>228</v>
      </c>
      <c r="B12" s="129"/>
      <c r="C12" s="130" t="s">
        <v>409</v>
      </c>
      <c r="D12" s="130"/>
      <c r="E12" s="130"/>
      <c r="F12" s="130"/>
      <c r="G12" s="130"/>
      <c r="H12" s="130"/>
      <c r="I12" s="130"/>
      <c r="J12" s="130"/>
      <c r="K12" s="130"/>
      <c r="L12" s="130"/>
      <c r="M12" s="130"/>
      <c r="N12" s="130"/>
      <c r="O12" s="130"/>
      <c r="P12" s="130"/>
      <c r="Q12" s="130"/>
      <c r="R12" s="130"/>
      <c r="S12" s="130"/>
      <c r="T12" s="130"/>
      <c r="U12" s="130"/>
      <c r="V12" s="130"/>
      <c r="W12" s="130"/>
      <c r="X12" s="130"/>
      <c r="Y12" s="130"/>
      <c r="Z12" s="130"/>
      <c r="AA12" s="130"/>
      <c r="AB12" s="130"/>
      <c r="AC12" s="130"/>
      <c r="AD12" s="130"/>
      <c r="AE12" s="130"/>
      <c r="AF12" s="130"/>
      <c r="AG12" s="130"/>
      <c r="AH12" s="130"/>
      <c r="AI12" s="130"/>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row>
    <row r="13" spans="1:75" x14ac:dyDescent="0.25">
      <c r="A13" s="129" t="s">
        <v>228</v>
      </c>
      <c r="B13" s="129"/>
      <c r="C13" s="130" t="s">
        <v>410</v>
      </c>
      <c r="D13" s="130"/>
      <c r="E13" s="130"/>
      <c r="F13" s="130"/>
      <c r="G13" s="130"/>
      <c r="H13" s="130"/>
      <c r="I13" s="130"/>
      <c r="J13" s="130"/>
      <c r="K13" s="130"/>
      <c r="L13" s="130"/>
      <c r="M13" s="130"/>
      <c r="N13" s="130"/>
      <c r="O13" s="130"/>
      <c r="P13" s="130"/>
      <c r="Q13" s="130"/>
      <c r="R13" s="130"/>
      <c r="S13" s="130"/>
      <c r="T13" s="130"/>
      <c r="U13" s="130"/>
      <c r="V13" s="130"/>
      <c r="W13" s="130"/>
      <c r="X13" s="130"/>
      <c r="Y13" s="130"/>
      <c r="Z13" s="130"/>
      <c r="AA13" s="130"/>
      <c r="AB13" s="130"/>
      <c r="AC13" s="130"/>
      <c r="AD13" s="130"/>
      <c r="AE13" s="130"/>
      <c r="AF13" s="130"/>
      <c r="AG13" s="130"/>
      <c r="AH13" s="130"/>
      <c r="AI13" s="130"/>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c r="BM13" s="107"/>
      <c r="BN13" s="107"/>
      <c r="BO13" s="107"/>
      <c r="BP13" s="107"/>
      <c r="BQ13" s="107"/>
      <c r="BR13" s="107"/>
      <c r="BS13" s="107"/>
      <c r="BT13" s="107"/>
      <c r="BU13" s="107"/>
      <c r="BV13" s="107"/>
      <c r="BW13" s="107"/>
    </row>
    <row r="14" spans="1:75" ht="13.5" customHeight="1" x14ac:dyDescent="0.25">
      <c r="A14" s="129" t="s">
        <v>228</v>
      </c>
      <c r="B14" s="129"/>
      <c r="C14" s="130" t="s">
        <v>411</v>
      </c>
      <c r="D14" s="130"/>
      <c r="E14" s="130"/>
      <c r="F14" s="130"/>
      <c r="G14" s="130"/>
      <c r="H14" s="130"/>
      <c r="I14" s="130"/>
      <c r="J14" s="130"/>
      <c r="K14" s="130"/>
      <c r="L14" s="130"/>
      <c r="M14" s="130"/>
      <c r="N14" s="130"/>
      <c r="O14" s="130"/>
      <c r="P14" s="130"/>
      <c r="Q14" s="130"/>
      <c r="R14" s="130"/>
      <c r="S14" s="130"/>
      <c r="T14" s="130"/>
      <c r="U14" s="130"/>
      <c r="V14" s="130"/>
      <c r="W14" s="130"/>
      <c r="X14" s="130"/>
      <c r="Y14" s="130"/>
      <c r="Z14" s="130"/>
      <c r="AA14" s="130"/>
      <c r="AB14" s="130"/>
      <c r="AC14" s="130"/>
      <c r="AD14" s="130"/>
      <c r="AE14" s="130"/>
      <c r="AF14" s="130"/>
      <c r="AG14" s="130"/>
      <c r="AH14" s="130"/>
      <c r="AI14" s="130"/>
      <c r="AJ14" s="107"/>
      <c r="AK14" s="107"/>
      <c r="AL14" s="107"/>
      <c r="AM14" s="107"/>
      <c r="AN14" s="107"/>
      <c r="AO14" s="107"/>
      <c r="AP14" s="107"/>
      <c r="AQ14" s="107"/>
      <c r="AR14" s="107"/>
      <c r="AS14" s="107"/>
      <c r="AT14" s="107"/>
      <c r="AU14" s="107"/>
      <c r="AV14" s="107"/>
      <c r="AW14" s="107"/>
      <c r="AX14" s="107"/>
      <c r="AY14" s="107"/>
      <c r="AZ14" s="107"/>
      <c r="BA14" s="107"/>
      <c r="BB14" s="107"/>
      <c r="BC14" s="107"/>
      <c r="BD14" s="107"/>
      <c r="BE14" s="107"/>
      <c r="BF14" s="107"/>
      <c r="BG14" s="107"/>
      <c r="BH14" s="107"/>
      <c r="BI14" s="107"/>
      <c r="BJ14" s="107"/>
      <c r="BK14" s="107"/>
      <c r="BL14" s="107"/>
      <c r="BM14" s="107"/>
      <c r="BN14" s="107"/>
      <c r="BO14" s="107"/>
      <c r="BP14" s="107"/>
      <c r="BQ14" s="107"/>
      <c r="BR14" s="107"/>
      <c r="BS14" s="107"/>
      <c r="BT14" s="107"/>
      <c r="BU14" s="107"/>
      <c r="BV14" s="107"/>
      <c r="BW14" s="107"/>
    </row>
    <row r="15" spans="1:75" x14ac:dyDescent="0.25">
      <c r="A15" s="129" t="s">
        <v>228</v>
      </c>
      <c r="B15" s="129"/>
      <c r="C15" s="130" t="s">
        <v>412</v>
      </c>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07"/>
      <c r="AK15" s="107"/>
      <c r="AL15" s="107"/>
      <c r="AM15" s="107"/>
      <c r="AN15" s="107"/>
      <c r="AO15" s="107"/>
      <c r="AP15" s="107"/>
      <c r="AQ15" s="107"/>
      <c r="AR15" s="107"/>
      <c r="AS15" s="107"/>
      <c r="AT15" s="107"/>
      <c r="AU15" s="107"/>
      <c r="AV15" s="107"/>
      <c r="AW15" s="107"/>
      <c r="AX15" s="107"/>
      <c r="AY15" s="107"/>
      <c r="AZ15" s="107"/>
      <c r="BA15" s="107"/>
      <c r="BB15" s="107"/>
      <c r="BC15" s="107"/>
      <c r="BD15" s="107"/>
      <c r="BE15" s="107"/>
      <c r="BF15" s="107"/>
      <c r="BG15" s="107"/>
      <c r="BH15" s="107"/>
      <c r="BI15" s="107"/>
      <c r="BJ15" s="107"/>
      <c r="BK15" s="107"/>
      <c r="BL15" s="107"/>
      <c r="BM15" s="107"/>
      <c r="BN15" s="107"/>
      <c r="BO15" s="107"/>
      <c r="BP15" s="107"/>
      <c r="BQ15" s="107"/>
      <c r="BR15" s="107"/>
      <c r="BS15" s="107"/>
      <c r="BT15" s="107"/>
      <c r="BU15" s="107"/>
      <c r="BV15" s="107"/>
      <c r="BW15" s="107"/>
    </row>
    <row r="16" spans="1:75" x14ac:dyDescent="0.25">
      <c r="A16" s="129" t="s">
        <v>228</v>
      </c>
      <c r="B16" s="129"/>
      <c r="C16" s="130" t="s">
        <v>413</v>
      </c>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0"/>
      <c r="AB16" s="130"/>
      <c r="AC16" s="130"/>
      <c r="AD16" s="130"/>
      <c r="AE16" s="130"/>
      <c r="AF16" s="130"/>
      <c r="AG16" s="130"/>
      <c r="AH16" s="130"/>
      <c r="AI16" s="130"/>
      <c r="AJ16" s="107"/>
      <c r="AK16" s="107"/>
      <c r="AL16" s="107"/>
      <c r="AM16" s="107"/>
      <c r="AN16" s="107"/>
      <c r="AO16" s="107"/>
      <c r="AP16" s="107"/>
      <c r="AQ16" s="107"/>
      <c r="AR16" s="107"/>
      <c r="AS16" s="107"/>
      <c r="AT16" s="107"/>
      <c r="AU16" s="107"/>
      <c r="AV16" s="107"/>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107"/>
      <c r="BS16" s="107"/>
      <c r="BT16" s="107"/>
      <c r="BU16" s="107"/>
      <c r="BV16" s="107"/>
      <c r="BW16" s="107"/>
    </row>
    <row r="17" spans="1:75" x14ac:dyDescent="0.25">
      <c r="A17" s="134" t="s">
        <v>414</v>
      </c>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134"/>
      <c r="AV17" s="134"/>
      <c r="AW17" s="134"/>
      <c r="AX17" s="134"/>
      <c r="AY17" s="134"/>
      <c r="AZ17" s="134"/>
      <c r="BA17" s="134"/>
      <c r="BB17" s="134"/>
      <c r="BC17" s="134"/>
      <c r="BD17" s="134"/>
      <c r="BE17" s="134"/>
      <c r="BF17" s="134"/>
      <c r="BG17" s="134"/>
      <c r="BH17" s="134"/>
      <c r="BI17" s="134"/>
      <c r="BJ17" s="134"/>
      <c r="BK17" s="134"/>
      <c r="BL17" s="134"/>
      <c r="BM17" s="134"/>
      <c r="BN17" s="134"/>
      <c r="BO17" s="134"/>
      <c r="BP17" s="107"/>
      <c r="BQ17" s="107"/>
      <c r="BR17" s="107"/>
      <c r="BS17" s="107"/>
      <c r="BT17" s="107"/>
      <c r="BU17" s="107"/>
      <c r="BV17" s="107"/>
      <c r="BW17" s="107"/>
    </row>
    <row r="18" spans="1:75" x14ac:dyDescent="0.25">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4"/>
      <c r="BF18" s="134"/>
      <c r="BG18" s="134"/>
      <c r="BH18" s="134"/>
      <c r="BI18" s="134"/>
      <c r="BJ18" s="134"/>
      <c r="BK18" s="134"/>
      <c r="BL18" s="134"/>
      <c r="BM18" s="134"/>
      <c r="BN18" s="134"/>
      <c r="BO18" s="134"/>
      <c r="BP18" s="107"/>
      <c r="BQ18" s="107"/>
      <c r="BR18" s="107"/>
      <c r="BS18" s="107"/>
      <c r="BT18" s="107"/>
      <c r="BU18" s="107"/>
      <c r="BV18" s="107"/>
      <c r="BW18" s="107"/>
    </row>
    <row r="19" spans="1:75" x14ac:dyDescent="0.25">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4"/>
      <c r="BN19" s="134"/>
      <c r="BO19" s="134"/>
      <c r="BP19" s="107"/>
      <c r="BQ19" s="107"/>
      <c r="BR19" s="107"/>
      <c r="BS19" s="107"/>
      <c r="BT19" s="107"/>
      <c r="BU19" s="107"/>
      <c r="BV19" s="107"/>
      <c r="BW19" s="107"/>
    </row>
    <row r="20" spans="1:75" x14ac:dyDescent="0.25">
      <c r="A20" s="133" t="s">
        <v>440</v>
      </c>
      <c r="B20" s="133"/>
      <c r="C20" s="133"/>
      <c r="D20" s="133"/>
      <c r="E20" s="133"/>
      <c r="F20" s="133"/>
      <c r="G20" s="133"/>
      <c r="H20" s="133"/>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c r="AM20" s="107"/>
      <c r="AN20" s="107"/>
      <c r="AO20" s="107"/>
      <c r="AP20" s="107"/>
      <c r="AQ20" s="107"/>
      <c r="AR20" s="107"/>
      <c r="AS20" s="107"/>
      <c r="AT20" s="107"/>
      <c r="AU20" s="107"/>
      <c r="AV20" s="107"/>
      <c r="AW20" s="107"/>
      <c r="AX20" s="107"/>
      <c r="AY20" s="107"/>
      <c r="AZ20" s="107"/>
      <c r="BA20" s="107"/>
      <c r="BB20" s="107"/>
      <c r="BC20" s="107"/>
      <c r="BD20" s="107"/>
      <c r="BE20" s="107"/>
      <c r="BF20" s="107"/>
      <c r="BG20" s="107"/>
      <c r="BH20" s="107"/>
      <c r="BI20" s="107"/>
      <c r="BJ20" s="107"/>
      <c r="BK20" s="107"/>
      <c r="BL20" s="107"/>
      <c r="BM20" s="107"/>
      <c r="BN20" s="107"/>
      <c r="BO20" s="107"/>
      <c r="BP20" s="107"/>
      <c r="BQ20" s="107"/>
      <c r="BR20" s="107"/>
      <c r="BS20" s="107"/>
      <c r="BT20" s="107"/>
      <c r="BU20" s="107"/>
      <c r="BV20" s="107"/>
      <c r="BW20" s="107"/>
    </row>
    <row r="21" spans="1:75" ht="15" customHeight="1" x14ac:dyDescent="0.25">
      <c r="A21" s="133"/>
      <c r="B21" s="133"/>
      <c r="C21" s="133"/>
      <c r="D21" s="133"/>
      <c r="E21" s="133"/>
      <c r="F21" s="133"/>
      <c r="G21" s="133"/>
      <c r="H21" s="133"/>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AR21" s="107"/>
      <c r="AS21" s="107"/>
      <c r="AT21" s="107"/>
      <c r="AU21" s="107"/>
      <c r="AV21" s="107"/>
      <c r="AW21" s="107"/>
      <c r="AX21" s="107"/>
      <c r="AY21" s="107"/>
      <c r="AZ21" s="107"/>
      <c r="BA21" s="107"/>
      <c r="BB21" s="107"/>
      <c r="BC21" s="107"/>
      <c r="BD21" s="107"/>
      <c r="BE21" s="107"/>
      <c r="BF21" s="107"/>
      <c r="BG21" s="107"/>
      <c r="BH21" s="107"/>
      <c r="BI21" s="107"/>
      <c r="BJ21" s="107"/>
      <c r="BK21" s="107"/>
      <c r="BL21" s="107"/>
      <c r="BM21" s="107"/>
      <c r="BN21" s="107"/>
      <c r="BO21" s="107"/>
      <c r="BP21" s="107"/>
      <c r="BQ21" s="107"/>
      <c r="BR21" s="107"/>
      <c r="BS21" s="107"/>
      <c r="BT21" s="107"/>
      <c r="BU21" s="107"/>
      <c r="BV21" s="107"/>
      <c r="BW21" s="107"/>
    </row>
    <row r="22" spans="1:75" ht="15" customHeight="1" x14ac:dyDescent="0.25">
      <c r="A22" s="128" t="s">
        <v>415</v>
      </c>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8"/>
      <c r="AZ22" s="128"/>
      <c r="BA22" s="128"/>
      <c r="BB22" s="128"/>
      <c r="BC22" s="128"/>
      <c r="BD22" s="128"/>
      <c r="BE22" s="128"/>
      <c r="BF22" s="128"/>
      <c r="BG22" s="128"/>
      <c r="BH22" s="128"/>
      <c r="BI22" s="128"/>
      <c r="BJ22" s="128"/>
      <c r="BK22" s="128"/>
      <c r="BL22" s="128"/>
      <c r="BM22" s="128"/>
      <c r="BN22" s="128"/>
      <c r="BO22" s="128"/>
      <c r="BP22" s="107"/>
      <c r="BQ22" s="107"/>
      <c r="BR22" s="107"/>
      <c r="BS22" s="107"/>
      <c r="BT22" s="107"/>
      <c r="BU22" s="107"/>
      <c r="BV22" s="107"/>
      <c r="BW22" s="107"/>
    </row>
    <row r="23" spans="1:75" x14ac:dyDescent="0.25">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8"/>
      <c r="AZ23" s="128"/>
      <c r="BA23" s="128"/>
      <c r="BB23" s="128"/>
      <c r="BC23" s="128"/>
      <c r="BD23" s="128"/>
      <c r="BE23" s="128"/>
      <c r="BF23" s="128"/>
      <c r="BG23" s="128"/>
      <c r="BH23" s="128"/>
      <c r="BI23" s="128"/>
      <c r="BJ23" s="128"/>
      <c r="BK23" s="128"/>
      <c r="BL23" s="128"/>
      <c r="BM23" s="128"/>
      <c r="BN23" s="128"/>
      <c r="BO23" s="128"/>
      <c r="BP23" s="107"/>
      <c r="BQ23" s="107"/>
      <c r="BR23" s="107"/>
      <c r="BS23" s="107"/>
      <c r="BT23" s="107"/>
      <c r="BU23" s="107"/>
      <c r="BV23" s="107"/>
      <c r="BW23" s="107"/>
    </row>
    <row r="24" spans="1:75" x14ac:dyDescent="0.25">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c r="BP24" s="107"/>
      <c r="BQ24" s="107"/>
      <c r="BR24" s="107"/>
      <c r="BS24" s="107"/>
      <c r="BT24" s="107"/>
      <c r="BU24" s="107"/>
      <c r="BV24" s="107"/>
      <c r="BW24" s="107"/>
    </row>
    <row r="25" spans="1:75" x14ac:dyDescent="0.25">
      <c r="A25" s="129" t="s">
        <v>228</v>
      </c>
      <c r="B25" s="129"/>
      <c r="C25" s="132" t="s">
        <v>417</v>
      </c>
      <c r="D25" s="132"/>
      <c r="E25" s="132"/>
      <c r="F25" s="132"/>
      <c r="G25" s="132"/>
      <c r="H25" s="132"/>
      <c r="I25" s="132"/>
      <c r="J25" s="132"/>
      <c r="K25" s="132"/>
      <c r="L25" s="132"/>
      <c r="M25" s="132"/>
      <c r="N25" s="132"/>
      <c r="O25" s="132"/>
      <c r="P25" s="132"/>
      <c r="Q25" s="132"/>
      <c r="R25" s="132"/>
      <c r="S25" s="132"/>
      <c r="T25" s="132"/>
      <c r="U25" s="132"/>
      <c r="V25" s="132"/>
      <c r="W25" s="132"/>
      <c r="X25" s="132"/>
      <c r="Y25" s="132"/>
      <c r="Z25" s="132"/>
      <c r="AA25" s="132"/>
      <c r="AB25" s="132"/>
      <c r="AC25" s="132"/>
      <c r="AD25" s="132"/>
      <c r="AE25" s="132"/>
      <c r="AF25" s="132"/>
      <c r="AG25" s="132"/>
      <c r="AH25" s="132"/>
      <c r="AI25" s="132"/>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row>
    <row r="26" spans="1:75" x14ac:dyDescent="0.25">
      <c r="A26" s="129" t="s">
        <v>228</v>
      </c>
      <c r="B26" s="129"/>
      <c r="C26" s="132" t="s">
        <v>418</v>
      </c>
      <c r="D26" s="132"/>
      <c r="E26" s="132"/>
      <c r="F26" s="132"/>
      <c r="G26" s="132"/>
      <c r="H26" s="132"/>
      <c r="I26" s="132"/>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07"/>
      <c r="AK26" s="107"/>
      <c r="AL26" s="107"/>
      <c r="AM26" s="107"/>
      <c r="AN26" s="107"/>
      <c r="AO26" s="107"/>
      <c r="AP26" s="107"/>
      <c r="AQ26" s="107"/>
      <c r="AR26" s="107"/>
      <c r="AS26" s="107"/>
      <c r="AT26" s="107"/>
      <c r="AU26" s="107"/>
      <c r="AV26" s="107"/>
      <c r="AW26" s="107"/>
      <c r="AX26" s="107"/>
      <c r="AY26" s="107"/>
      <c r="AZ26" s="107"/>
      <c r="BA26" s="107"/>
      <c r="BB26" s="107"/>
      <c r="BC26" s="107"/>
      <c r="BD26" s="107"/>
      <c r="BE26" s="107"/>
      <c r="BF26" s="107"/>
      <c r="BG26" s="107"/>
      <c r="BH26" s="107"/>
      <c r="BI26" s="107"/>
      <c r="BJ26" s="107"/>
      <c r="BK26" s="107"/>
      <c r="BL26" s="107"/>
      <c r="BM26" s="107"/>
      <c r="BN26" s="107"/>
      <c r="BO26" s="107"/>
      <c r="BP26" s="107"/>
      <c r="BQ26" s="107"/>
      <c r="BR26" s="107"/>
      <c r="BS26" s="107"/>
      <c r="BT26" s="107"/>
      <c r="BU26" s="107"/>
      <c r="BV26" s="107"/>
      <c r="BW26" s="107"/>
    </row>
    <row r="27" spans="1:75" x14ac:dyDescent="0.25">
      <c r="A27" s="129" t="s">
        <v>228</v>
      </c>
      <c r="B27" s="129"/>
      <c r="C27" s="132" t="s">
        <v>419</v>
      </c>
      <c r="D27" s="132"/>
      <c r="E27" s="132"/>
      <c r="F27" s="132"/>
      <c r="G27" s="132"/>
      <c r="H27" s="132"/>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07"/>
      <c r="AK27" s="107"/>
      <c r="AL27" s="107"/>
      <c r="AM27" s="107"/>
      <c r="AN27" s="107"/>
      <c r="AO27" s="107"/>
      <c r="AP27" s="107"/>
      <c r="AQ27" s="107"/>
      <c r="AR27" s="107"/>
      <c r="AS27" s="107"/>
      <c r="AT27" s="107"/>
      <c r="AU27" s="107"/>
      <c r="AV27" s="107"/>
      <c r="AW27" s="107"/>
      <c r="AX27" s="107"/>
      <c r="AY27" s="107"/>
      <c r="AZ27" s="107"/>
      <c r="BA27" s="107"/>
      <c r="BB27" s="107"/>
      <c r="BC27" s="107"/>
      <c r="BD27" s="107"/>
      <c r="BE27" s="107"/>
      <c r="BF27" s="107"/>
      <c r="BG27" s="107"/>
      <c r="BH27" s="107"/>
      <c r="BI27" s="107"/>
      <c r="BJ27" s="107"/>
      <c r="BK27" s="107"/>
      <c r="BL27" s="107"/>
      <c r="BM27" s="107"/>
      <c r="BN27" s="107"/>
      <c r="BO27" s="107"/>
      <c r="BP27" s="107"/>
      <c r="BQ27" s="107"/>
      <c r="BR27" s="107"/>
      <c r="BS27" s="107"/>
      <c r="BT27" s="107"/>
      <c r="BU27" s="107"/>
      <c r="BV27" s="107"/>
      <c r="BW27" s="107"/>
    </row>
    <row r="28" spans="1:75" x14ac:dyDescent="0.25">
      <c r="A28" s="129" t="s">
        <v>228</v>
      </c>
      <c r="B28" s="129"/>
      <c r="C28" s="132" t="s">
        <v>420</v>
      </c>
      <c r="D28" s="132"/>
      <c r="E28" s="132"/>
      <c r="F28" s="132"/>
      <c r="G28" s="132"/>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row>
    <row r="29" spans="1:75" x14ac:dyDescent="0.25">
      <c r="A29" s="129"/>
      <c r="B29" s="129"/>
      <c r="C29" s="132" t="s">
        <v>421</v>
      </c>
      <c r="D29" s="132"/>
      <c r="E29" s="132"/>
      <c r="F29" s="132"/>
      <c r="G29" s="132"/>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07"/>
      <c r="AK29" s="107"/>
      <c r="AL29" s="107"/>
      <c r="AM29" s="107"/>
      <c r="AN29" s="107"/>
      <c r="AO29" s="107"/>
      <c r="AP29" s="107"/>
      <c r="AQ29" s="107"/>
      <c r="AR29" s="107"/>
      <c r="AS29" s="107"/>
      <c r="AT29" s="107"/>
      <c r="AU29" s="107"/>
      <c r="AV29" s="107"/>
      <c r="AW29" s="107"/>
      <c r="AX29" s="107"/>
      <c r="AY29" s="107"/>
      <c r="AZ29" s="107"/>
      <c r="BA29" s="107"/>
      <c r="BB29" s="107"/>
      <c r="BC29" s="107"/>
      <c r="BD29" s="107"/>
      <c r="BE29" s="107"/>
      <c r="BF29" s="107"/>
      <c r="BG29" s="107"/>
      <c r="BH29" s="107"/>
      <c r="BI29" s="107"/>
      <c r="BJ29" s="107"/>
      <c r="BK29" s="107"/>
      <c r="BL29" s="107"/>
      <c r="BM29" s="107"/>
      <c r="BN29" s="107"/>
      <c r="BO29" s="107"/>
      <c r="BP29" s="107"/>
      <c r="BQ29" s="107"/>
      <c r="BR29" s="107"/>
      <c r="BS29" s="107"/>
      <c r="BT29" s="107"/>
      <c r="BU29" s="107"/>
      <c r="BV29" s="107"/>
      <c r="BW29" s="107"/>
    </row>
    <row r="30" spans="1:75" x14ac:dyDescent="0.25">
      <c r="A30" s="129" t="s">
        <v>228</v>
      </c>
      <c r="B30" s="129"/>
      <c r="C30" s="129"/>
      <c r="D30" s="132" t="s">
        <v>422</v>
      </c>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07"/>
      <c r="AK30" s="107"/>
      <c r="AL30" s="107"/>
      <c r="AM30" s="107"/>
      <c r="AN30" s="107"/>
      <c r="AO30" s="107"/>
      <c r="AP30" s="107"/>
      <c r="AQ30" s="107"/>
      <c r="AR30" s="107"/>
      <c r="AS30" s="107"/>
      <c r="AT30" s="107"/>
      <c r="AU30" s="107"/>
      <c r="AV30" s="107"/>
      <c r="AW30" s="107"/>
      <c r="AX30" s="107"/>
      <c r="AY30" s="107"/>
      <c r="AZ30" s="107"/>
      <c r="BA30" s="107"/>
      <c r="BB30" s="107"/>
      <c r="BC30" s="107"/>
      <c r="BD30" s="107"/>
      <c r="BE30" s="107"/>
      <c r="BF30" s="107"/>
      <c r="BG30" s="107"/>
      <c r="BH30" s="107"/>
      <c r="BI30" s="107"/>
      <c r="BJ30" s="107"/>
      <c r="BK30" s="107"/>
      <c r="BL30" s="107"/>
      <c r="BM30" s="107"/>
      <c r="BN30" s="107"/>
      <c r="BO30" s="107"/>
      <c r="BP30" s="107"/>
      <c r="BQ30" s="107"/>
      <c r="BR30" s="107"/>
      <c r="BS30" s="107"/>
      <c r="BT30" s="107"/>
      <c r="BU30" s="107"/>
      <c r="BV30" s="107"/>
      <c r="BW30" s="107"/>
    </row>
    <row r="31" spans="1:75" x14ac:dyDescent="0.25">
      <c r="A31" s="129" t="s">
        <v>228</v>
      </c>
      <c r="B31" s="129"/>
      <c r="C31" s="129"/>
      <c r="D31" s="130" t="s">
        <v>423</v>
      </c>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row>
    <row r="32" spans="1:75" x14ac:dyDescent="0.25">
      <c r="A32" s="129" t="s">
        <v>228</v>
      </c>
      <c r="B32" s="129"/>
      <c r="C32" s="129"/>
      <c r="D32" s="130" t="s">
        <v>424</v>
      </c>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07"/>
      <c r="AK32" s="107"/>
      <c r="AL32" s="107"/>
      <c r="AM32" s="107"/>
      <c r="AN32" s="107"/>
      <c r="AO32" s="107"/>
      <c r="AP32" s="107"/>
      <c r="AQ32" s="107"/>
      <c r="AR32" s="107"/>
      <c r="AS32" s="107"/>
      <c r="AT32" s="107"/>
      <c r="AU32" s="107"/>
      <c r="AV32" s="107"/>
      <c r="AW32" s="107"/>
      <c r="AX32" s="107"/>
      <c r="AY32" s="107"/>
      <c r="AZ32" s="107"/>
      <c r="BA32" s="107"/>
      <c r="BB32" s="107"/>
      <c r="BC32" s="107"/>
      <c r="BD32" s="107"/>
      <c r="BE32" s="107"/>
      <c r="BF32" s="107"/>
      <c r="BG32" s="107"/>
      <c r="BH32" s="107"/>
      <c r="BI32" s="107"/>
      <c r="BJ32" s="107"/>
      <c r="BK32" s="107"/>
      <c r="BL32" s="107"/>
      <c r="BM32" s="107"/>
      <c r="BN32" s="107"/>
      <c r="BO32" s="107"/>
      <c r="BP32" s="107"/>
      <c r="BQ32" s="107"/>
      <c r="BR32" s="107"/>
      <c r="BS32" s="107"/>
      <c r="BT32" s="107"/>
      <c r="BU32" s="107"/>
      <c r="BV32" s="107"/>
      <c r="BW32" s="107"/>
    </row>
    <row r="33" spans="1:75" x14ac:dyDescent="0.25">
      <c r="A33" s="129"/>
      <c r="B33" s="129"/>
      <c r="C33" s="130" t="s">
        <v>425</v>
      </c>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row>
    <row r="34" spans="1:75" x14ac:dyDescent="0.25">
      <c r="A34" s="129" t="s">
        <v>228</v>
      </c>
      <c r="B34" s="129"/>
      <c r="C34" s="129"/>
      <c r="D34" s="130" t="s">
        <v>426</v>
      </c>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row>
    <row r="35" spans="1:75" x14ac:dyDescent="0.25">
      <c r="A35" s="129" t="s">
        <v>228</v>
      </c>
      <c r="B35" s="129"/>
      <c r="C35" s="129"/>
      <c r="D35" s="130" t="s">
        <v>427</v>
      </c>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row>
    <row r="36" spans="1:75" x14ac:dyDescent="0.25">
      <c r="A36" s="129" t="s">
        <v>228</v>
      </c>
      <c r="B36" s="129"/>
      <c r="C36" s="129"/>
      <c r="D36" s="130" t="s">
        <v>428</v>
      </c>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row>
    <row r="37" spans="1:75" x14ac:dyDescent="0.25">
      <c r="A37" s="129" t="s">
        <v>228</v>
      </c>
      <c r="B37" s="129"/>
      <c r="C37" s="129"/>
      <c r="D37" s="130" t="s">
        <v>429</v>
      </c>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row>
    <row r="38" spans="1:75" x14ac:dyDescent="0.25">
      <c r="A38" s="129"/>
      <c r="B38" s="129"/>
      <c r="C38" s="130" t="s">
        <v>430</v>
      </c>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row>
    <row r="39" spans="1:75" x14ac:dyDescent="0.25">
      <c r="A39" s="129" t="s">
        <v>228</v>
      </c>
      <c r="B39" s="129"/>
      <c r="C39" s="129"/>
      <c r="D39" s="130" t="s">
        <v>431</v>
      </c>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row>
    <row r="40" spans="1:75" x14ac:dyDescent="0.25">
      <c r="A40" s="129" t="s">
        <v>228</v>
      </c>
      <c r="B40" s="129"/>
      <c r="C40" s="129"/>
      <c r="D40" s="130" t="s">
        <v>432</v>
      </c>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row>
    <row r="41" spans="1:75" x14ac:dyDescent="0.25">
      <c r="A41" s="131" t="s">
        <v>433</v>
      </c>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07"/>
      <c r="AK41" s="107"/>
      <c r="AL41" s="107"/>
      <c r="AM41" s="107"/>
      <c r="AN41" s="107"/>
      <c r="AO41" s="107"/>
      <c r="AP41" s="107"/>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row>
    <row r="42" spans="1:75" x14ac:dyDescent="0.25">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07"/>
      <c r="AK42" s="107"/>
      <c r="AL42" s="107"/>
      <c r="AM42" s="107"/>
      <c r="AN42" s="107"/>
      <c r="AO42" s="107"/>
      <c r="AP42" s="107"/>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row>
    <row r="43" spans="1:75" x14ac:dyDescent="0.25">
      <c r="A43" s="129" t="s">
        <v>228</v>
      </c>
      <c r="B43" s="129"/>
      <c r="C43" s="108" t="s">
        <v>434</v>
      </c>
      <c r="D43" s="10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row>
    <row r="44" spans="1:75" x14ac:dyDescent="0.25">
      <c r="A44" s="129" t="s">
        <v>228</v>
      </c>
      <c r="B44" s="129"/>
      <c r="C44" t="s">
        <v>435</v>
      </c>
    </row>
    <row r="45" spans="1:75" x14ac:dyDescent="0.25">
      <c r="A45" s="129" t="s">
        <v>228</v>
      </c>
      <c r="B45" s="129"/>
      <c r="C45" t="s">
        <v>436</v>
      </c>
    </row>
    <row r="46" spans="1:75" x14ac:dyDescent="0.25">
      <c r="A46" s="129" t="s">
        <v>228</v>
      </c>
      <c r="B46" s="129"/>
      <c r="C46" t="s">
        <v>437</v>
      </c>
    </row>
    <row r="47" spans="1:75" x14ac:dyDescent="0.25">
      <c r="A47" s="129" t="s">
        <v>228</v>
      </c>
      <c r="B47" s="129"/>
      <c r="C47" t="s">
        <v>438</v>
      </c>
    </row>
    <row r="48" spans="1:75" x14ac:dyDescent="0.25">
      <c r="A48" s="128" t="s">
        <v>439</v>
      </c>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128"/>
    </row>
    <row r="49" spans="1:67" x14ac:dyDescent="0.25">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28"/>
      <c r="AX49" s="128"/>
      <c r="AY49" s="128"/>
      <c r="AZ49" s="128"/>
      <c r="BA49" s="128"/>
      <c r="BB49" s="128"/>
      <c r="BC49" s="128"/>
      <c r="BD49" s="128"/>
      <c r="BE49" s="128"/>
      <c r="BF49" s="128"/>
      <c r="BG49" s="128"/>
      <c r="BH49" s="128"/>
      <c r="BI49" s="128"/>
      <c r="BJ49" s="128"/>
      <c r="BK49" s="128"/>
      <c r="BL49" s="128"/>
      <c r="BM49" s="128"/>
      <c r="BN49" s="128"/>
      <c r="BO49" s="128"/>
    </row>
    <row r="50" spans="1:67" x14ac:dyDescent="0.25">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c r="AA50" s="128"/>
      <c r="AB50" s="128"/>
      <c r="AC50" s="128"/>
      <c r="AD50" s="128"/>
      <c r="AE50" s="128"/>
      <c r="AF50" s="128"/>
      <c r="AG50" s="128"/>
      <c r="AH50" s="128"/>
      <c r="AI50" s="128"/>
      <c r="AJ50" s="128"/>
      <c r="AK50" s="128"/>
      <c r="AL50" s="128"/>
      <c r="AM50" s="128"/>
      <c r="AN50" s="128"/>
      <c r="AO50" s="128"/>
      <c r="AP50" s="128"/>
      <c r="AQ50" s="128"/>
      <c r="AR50" s="128"/>
      <c r="AS50" s="128"/>
      <c r="AT50" s="128"/>
      <c r="AU50" s="128"/>
      <c r="AV50" s="128"/>
      <c r="AW50" s="128"/>
      <c r="AX50" s="128"/>
      <c r="AY50" s="128"/>
      <c r="AZ50" s="128"/>
      <c r="BA50" s="128"/>
      <c r="BB50" s="128"/>
      <c r="BC50" s="128"/>
      <c r="BD50" s="128"/>
      <c r="BE50" s="128"/>
      <c r="BF50" s="128"/>
      <c r="BG50" s="128"/>
      <c r="BH50" s="128"/>
      <c r="BI50" s="128"/>
      <c r="BJ50" s="128"/>
      <c r="BK50" s="128"/>
      <c r="BL50" s="128"/>
      <c r="BM50" s="128"/>
      <c r="BN50" s="128"/>
      <c r="BO50" s="128"/>
    </row>
  </sheetData>
  <mergeCells count="58">
    <mergeCell ref="A16:B16"/>
    <mergeCell ref="C12:AI12"/>
    <mergeCell ref="C13:AI13"/>
    <mergeCell ref="C14:AI14"/>
    <mergeCell ref="C15:AI15"/>
    <mergeCell ref="A1:H2"/>
    <mergeCell ref="A17:BO19"/>
    <mergeCell ref="A25:B25"/>
    <mergeCell ref="A26:B26"/>
    <mergeCell ref="A20:H21"/>
    <mergeCell ref="A22:BO24"/>
    <mergeCell ref="A3:BO9"/>
    <mergeCell ref="A10:B10"/>
    <mergeCell ref="C10:AI10"/>
    <mergeCell ref="C11:AI11"/>
    <mergeCell ref="C16:AI16"/>
    <mergeCell ref="A11:B11"/>
    <mergeCell ref="A12:B12"/>
    <mergeCell ref="A13:B13"/>
    <mergeCell ref="A14:B14"/>
    <mergeCell ref="A15:B15"/>
    <mergeCell ref="A27:B27"/>
    <mergeCell ref="A28:B28"/>
    <mergeCell ref="A29:B29"/>
    <mergeCell ref="C25:AI25"/>
    <mergeCell ref="C26:AI26"/>
    <mergeCell ref="C27:AI27"/>
    <mergeCell ref="C28:AI28"/>
    <mergeCell ref="C29:AI29"/>
    <mergeCell ref="D30:AI30"/>
    <mergeCell ref="D31:AI31"/>
    <mergeCell ref="D32:AI32"/>
    <mergeCell ref="A33:B33"/>
    <mergeCell ref="C33:AI33"/>
    <mergeCell ref="A30:C30"/>
    <mergeCell ref="A31:C31"/>
    <mergeCell ref="A32:C32"/>
    <mergeCell ref="A35:C35"/>
    <mergeCell ref="A36:C36"/>
    <mergeCell ref="A37:C37"/>
    <mergeCell ref="A38:B38"/>
    <mergeCell ref="D34:AI34"/>
    <mergeCell ref="D35:AI35"/>
    <mergeCell ref="D36:AI36"/>
    <mergeCell ref="D37:AI37"/>
    <mergeCell ref="C38:AI38"/>
    <mergeCell ref="A34:C34"/>
    <mergeCell ref="A48:BO50"/>
    <mergeCell ref="A39:C39"/>
    <mergeCell ref="A40:C40"/>
    <mergeCell ref="D40:AI40"/>
    <mergeCell ref="D39:AI39"/>
    <mergeCell ref="A41:AI42"/>
    <mergeCell ref="A43:B43"/>
    <mergeCell ref="A44:B44"/>
    <mergeCell ref="A45:B45"/>
    <mergeCell ref="A46:B46"/>
    <mergeCell ref="A47:B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2">
    <tabColor rgb="FFC00000"/>
  </sheetPr>
  <dimension ref="A1:S61"/>
  <sheetViews>
    <sheetView tabSelected="1" zoomScaleNormal="100" workbookViewId="0">
      <selection activeCell="P2" sqref="P2"/>
    </sheetView>
  </sheetViews>
  <sheetFormatPr defaultColWidth="2.85546875" defaultRowHeight="15" x14ac:dyDescent="0.25"/>
  <cols>
    <col min="1" max="1" width="52.5703125" bestFit="1" customWidth="1"/>
    <col min="2" max="2" width="2.85546875" customWidth="1"/>
    <col min="5" max="5" width="10.140625" customWidth="1"/>
  </cols>
  <sheetData>
    <row r="1" spans="1:19" ht="16.149999999999999" customHeight="1" x14ac:dyDescent="0.25">
      <c r="A1" s="17" t="s">
        <v>0</v>
      </c>
      <c r="B1" s="125" t="s">
        <v>1</v>
      </c>
      <c r="C1" s="126"/>
      <c r="D1" s="126"/>
      <c r="E1" s="126"/>
      <c r="M1" s="112" t="s">
        <v>537</v>
      </c>
      <c r="N1" s="112"/>
      <c r="O1" s="112"/>
      <c r="P1" s="111" t="s">
        <v>538</v>
      </c>
    </row>
    <row r="2" spans="1:19" x14ac:dyDescent="0.25">
      <c r="A2" s="17" t="s">
        <v>2</v>
      </c>
      <c r="B2" s="125">
        <v>408545</v>
      </c>
      <c r="C2" s="126"/>
      <c r="D2" s="126"/>
      <c r="E2" s="126"/>
    </row>
    <row r="3" spans="1:19" x14ac:dyDescent="0.25">
      <c r="A3" s="17" t="s">
        <v>21</v>
      </c>
      <c r="B3" s="125" t="s">
        <v>177</v>
      </c>
      <c r="C3" s="126"/>
      <c r="D3" s="126"/>
      <c r="E3" s="126"/>
    </row>
    <row r="4" spans="1:19" x14ac:dyDescent="0.25">
      <c r="A4" s="17" t="s">
        <v>22</v>
      </c>
      <c r="B4" s="125" t="s">
        <v>23</v>
      </c>
      <c r="C4" s="126"/>
      <c r="D4" s="126"/>
      <c r="E4" s="126"/>
    </row>
    <row r="5" spans="1:19" x14ac:dyDescent="0.25">
      <c r="A5" s="17" t="s">
        <v>24</v>
      </c>
      <c r="B5" s="123">
        <v>46305</v>
      </c>
      <c r="C5" s="124"/>
      <c r="D5" s="124"/>
      <c r="E5" s="124"/>
    </row>
    <row r="6" spans="1:19" x14ac:dyDescent="0.25">
      <c r="A6" s="17" t="s">
        <v>25</v>
      </c>
      <c r="B6" s="125" t="s">
        <v>26</v>
      </c>
      <c r="C6" s="126"/>
      <c r="D6" s="126"/>
      <c r="E6" s="126"/>
    </row>
    <row r="7" spans="1:19" x14ac:dyDescent="0.25">
      <c r="A7" s="17" t="s">
        <v>24</v>
      </c>
      <c r="B7" s="123">
        <v>46091</v>
      </c>
      <c r="C7" s="124"/>
      <c r="D7" s="124"/>
      <c r="E7" s="124"/>
    </row>
    <row r="8" spans="1:19" x14ac:dyDescent="0.25">
      <c r="A8" s="17" t="s">
        <v>27</v>
      </c>
      <c r="B8" s="125">
        <v>1</v>
      </c>
      <c r="C8" s="126"/>
      <c r="D8" s="126"/>
      <c r="E8" s="126"/>
    </row>
    <row r="9" spans="1:19" ht="16.149999999999999" customHeight="1" x14ac:dyDescent="0.25">
      <c r="I9" s="110" t="s">
        <v>163</v>
      </c>
    </row>
    <row r="10" spans="1:19" ht="15" customHeight="1" x14ac:dyDescent="0.25">
      <c r="A10" s="12" t="s">
        <v>119</v>
      </c>
      <c r="B10" s="113">
        <v>4</v>
      </c>
      <c r="C10" s="113"/>
      <c r="D10" s="113"/>
      <c r="E10" s="3" t="s">
        <v>105</v>
      </c>
      <c r="I10" s="115" t="s">
        <v>446</v>
      </c>
      <c r="J10" s="115"/>
      <c r="K10" s="115"/>
      <c r="L10" s="115"/>
      <c r="M10" s="115"/>
      <c r="O10" s="115" t="s">
        <v>447</v>
      </c>
      <c r="P10" s="115"/>
      <c r="Q10" s="115"/>
      <c r="R10" s="115"/>
      <c r="S10" s="115"/>
    </row>
    <row r="11" spans="1:19" x14ac:dyDescent="0.25">
      <c r="A11" s="12" t="s">
        <v>36</v>
      </c>
      <c r="B11" s="113">
        <f>1.5*12*0.0254</f>
        <v>0.4572</v>
      </c>
      <c r="C11" s="113"/>
      <c r="D11" s="113"/>
      <c r="E11" s="22" t="s">
        <v>441</v>
      </c>
      <c r="I11" s="115"/>
      <c r="J11" s="115"/>
      <c r="K11" s="115"/>
      <c r="L11" s="115"/>
      <c r="M11" s="115"/>
      <c r="O11" s="115"/>
      <c r="P11" s="115"/>
      <c r="Q11" s="115"/>
      <c r="R11" s="115"/>
      <c r="S11" s="115"/>
    </row>
    <row r="12" spans="1:19" x14ac:dyDescent="0.25">
      <c r="A12" s="12" t="s">
        <v>37</v>
      </c>
      <c r="B12" s="113">
        <f>2*12*0.0254</f>
        <v>0.60959999999999992</v>
      </c>
      <c r="C12" s="113"/>
      <c r="D12" s="113"/>
      <c r="E12" s="23" t="s">
        <v>441</v>
      </c>
      <c r="I12" s="119">
        <f>38*0.0254</f>
        <v>0.96519999999999995</v>
      </c>
      <c r="J12" s="119"/>
      <c r="K12" s="119"/>
      <c r="L12" s="119"/>
      <c r="M12" s="119"/>
      <c r="O12" s="116">
        <f>71.04*0.0254</f>
        <v>1.804416</v>
      </c>
      <c r="P12" s="117"/>
      <c r="Q12" s="117"/>
      <c r="R12" s="117"/>
      <c r="S12" s="118"/>
    </row>
    <row r="13" spans="1:19" x14ac:dyDescent="0.25">
      <c r="A13" s="12" t="s">
        <v>28</v>
      </c>
      <c r="B13" s="113">
        <f>16*12*0.0254</f>
        <v>4.8767999999999994</v>
      </c>
      <c r="C13" s="113"/>
      <c r="D13" s="113"/>
      <c r="E13" s="23" t="s">
        <v>441</v>
      </c>
      <c r="I13" s="119">
        <f>93.5*0.0254</f>
        <v>2.3748999999999998</v>
      </c>
      <c r="J13" s="119"/>
      <c r="K13" s="119"/>
      <c r="L13" s="119"/>
      <c r="M13" s="119"/>
      <c r="O13" s="116">
        <f>93*0.0254</f>
        <v>2.3622000000000001</v>
      </c>
      <c r="P13" s="117"/>
      <c r="Q13" s="117"/>
      <c r="R13" s="117"/>
      <c r="S13" s="118"/>
    </row>
    <row r="14" spans="1:19" x14ac:dyDescent="0.25">
      <c r="A14" s="12" t="s">
        <v>29</v>
      </c>
      <c r="B14" s="113">
        <f>18*0.0254</f>
        <v>0.4572</v>
      </c>
      <c r="C14" s="113"/>
      <c r="D14" s="113"/>
      <c r="E14" s="23" t="s">
        <v>441</v>
      </c>
      <c r="I14" s="119">
        <f>93*0.0254</f>
        <v>2.3622000000000001</v>
      </c>
      <c r="J14" s="119"/>
      <c r="K14" s="119"/>
      <c r="L14" s="119"/>
      <c r="M14" s="119"/>
      <c r="O14" s="116">
        <f>93*0.0254</f>
        <v>2.3622000000000001</v>
      </c>
      <c r="P14" s="117"/>
      <c r="Q14" s="117"/>
      <c r="R14" s="117"/>
      <c r="S14" s="118"/>
    </row>
    <row r="15" spans="1:19" x14ac:dyDescent="0.25">
      <c r="A15" s="12" t="s">
        <v>30</v>
      </c>
      <c r="B15" s="113">
        <f>12*0.0254</f>
        <v>0.30479999999999996</v>
      </c>
      <c r="C15" s="113"/>
      <c r="D15" s="113"/>
      <c r="E15" s="23" t="s">
        <v>441</v>
      </c>
      <c r="I15" s="120">
        <f>93*0.0254</f>
        <v>2.3622000000000001</v>
      </c>
      <c r="J15" s="120"/>
      <c r="K15" s="120"/>
      <c r="L15" s="120"/>
      <c r="M15" s="120"/>
      <c r="O15" s="116">
        <f>93*0.0254</f>
        <v>2.3622000000000001</v>
      </c>
      <c r="P15" s="117"/>
      <c r="Q15" s="117"/>
      <c r="R15" s="117"/>
      <c r="S15" s="118"/>
    </row>
    <row r="16" spans="1:19" x14ac:dyDescent="0.25">
      <c r="A16" s="12" t="s">
        <v>31</v>
      </c>
      <c r="B16" s="113">
        <f>9*0.0254</f>
        <v>0.2286</v>
      </c>
      <c r="C16" s="113"/>
      <c r="D16" s="113"/>
      <c r="E16" s="23" t="s">
        <v>441</v>
      </c>
      <c r="I16" s="119">
        <f>93*0.0254</f>
        <v>2.3622000000000001</v>
      </c>
      <c r="J16" s="119"/>
      <c r="K16" s="119"/>
      <c r="L16" s="119"/>
      <c r="M16" s="119"/>
      <c r="O16" s="116">
        <f>71.04*0.0254</f>
        <v>1.804416</v>
      </c>
      <c r="P16" s="117"/>
      <c r="Q16" s="117"/>
      <c r="R16" s="117"/>
      <c r="S16" s="118"/>
    </row>
    <row r="17" spans="1:19" x14ac:dyDescent="0.25">
      <c r="A17" s="12" t="s">
        <v>120</v>
      </c>
      <c r="B17" s="113">
        <v>21.8</v>
      </c>
      <c r="C17" s="113"/>
      <c r="D17" s="113"/>
      <c r="E17" s="22" t="s">
        <v>38</v>
      </c>
      <c r="I17" s="119">
        <f>93.5*0.0254</f>
        <v>2.3748999999999998</v>
      </c>
      <c r="J17" s="119"/>
      <c r="K17" s="119"/>
      <c r="L17" s="119"/>
      <c r="M17" s="119"/>
      <c r="O17" s="119"/>
      <c r="P17" s="119"/>
      <c r="Q17" s="119"/>
      <c r="R17" s="119"/>
      <c r="S17" s="119"/>
    </row>
    <row r="18" spans="1:19" x14ac:dyDescent="0.25">
      <c r="A18" s="13" t="s">
        <v>149</v>
      </c>
      <c r="B18" s="127">
        <f>12*0.0254</f>
        <v>0.30479999999999996</v>
      </c>
      <c r="C18" s="127"/>
      <c r="D18" s="127"/>
      <c r="E18" s="22" t="s">
        <v>441</v>
      </c>
      <c r="I18" s="119">
        <f>38*0.0254</f>
        <v>0.96519999999999995</v>
      </c>
      <c r="J18" s="119"/>
      <c r="K18" s="119"/>
      <c r="L18" s="119"/>
      <c r="M18" s="119"/>
      <c r="O18" s="119"/>
      <c r="P18" s="119"/>
      <c r="Q18" s="119"/>
      <c r="R18" s="119"/>
      <c r="S18" s="119"/>
    </row>
    <row r="19" spans="1:19" x14ac:dyDescent="0.25">
      <c r="A19" s="12" t="s">
        <v>131</v>
      </c>
      <c r="B19" s="113">
        <f>52*12*0.0254</f>
        <v>15.849599999999999</v>
      </c>
      <c r="C19" s="113"/>
      <c r="D19" s="113"/>
      <c r="E19" s="22" t="s">
        <v>441</v>
      </c>
      <c r="I19" s="119"/>
      <c r="J19" s="119"/>
      <c r="K19" s="119"/>
      <c r="L19" s="119"/>
      <c r="M19" s="119"/>
      <c r="O19" s="119"/>
      <c r="P19" s="119"/>
      <c r="Q19" s="119"/>
      <c r="R19" s="119"/>
      <c r="S19" s="119"/>
    </row>
    <row r="20" spans="1:19" x14ac:dyDescent="0.25">
      <c r="A20" s="12" t="s">
        <v>42</v>
      </c>
      <c r="B20" s="113">
        <f>130*12*0.0254</f>
        <v>39.623999999999995</v>
      </c>
      <c r="C20" s="113"/>
      <c r="D20" s="113"/>
      <c r="E20" s="22" t="s">
        <v>441</v>
      </c>
      <c r="I20" s="119"/>
      <c r="J20" s="119"/>
      <c r="K20" s="119"/>
      <c r="L20" s="119"/>
      <c r="M20" s="119"/>
      <c r="O20" s="119"/>
      <c r="P20" s="119"/>
      <c r="Q20" s="119"/>
      <c r="R20" s="119"/>
      <c r="S20" s="119"/>
    </row>
    <row r="21" spans="1:19" x14ac:dyDescent="0.25">
      <c r="A21" s="12" t="s">
        <v>65</v>
      </c>
      <c r="B21" s="113">
        <f>542*0.0254</f>
        <v>13.7668</v>
      </c>
      <c r="C21" s="113"/>
      <c r="D21" s="113"/>
      <c r="E21" s="23" t="s">
        <v>441</v>
      </c>
      <c r="I21" s="122"/>
      <c r="J21" s="119"/>
      <c r="K21" s="119"/>
      <c r="L21" s="119"/>
      <c r="M21" s="119"/>
      <c r="O21" s="119"/>
      <c r="P21" s="119"/>
      <c r="Q21" s="119"/>
      <c r="R21" s="119"/>
      <c r="S21" s="119"/>
    </row>
    <row r="22" spans="1:19" x14ac:dyDescent="0.25">
      <c r="A22" s="12" t="s">
        <v>140</v>
      </c>
      <c r="B22" s="121">
        <f>8*0.0254</f>
        <v>0.20319999999999999</v>
      </c>
      <c r="C22" s="121"/>
      <c r="D22" s="121"/>
      <c r="E22" s="22" t="s">
        <v>441</v>
      </c>
      <c r="I22" s="119"/>
      <c r="J22" s="119"/>
      <c r="K22" s="119"/>
      <c r="L22" s="119"/>
      <c r="M22" s="119"/>
      <c r="O22" s="119"/>
      <c r="P22" s="119"/>
      <c r="Q22" s="119"/>
      <c r="R22" s="119"/>
      <c r="S22" s="119"/>
    </row>
    <row r="23" spans="1:19" x14ac:dyDescent="0.25">
      <c r="A23" s="12" t="s">
        <v>66</v>
      </c>
      <c r="B23" s="113">
        <f>436*0.0254</f>
        <v>11.074399999999999</v>
      </c>
      <c r="C23" s="113"/>
      <c r="D23" s="113"/>
      <c r="E23" s="22" t="s">
        <v>441</v>
      </c>
      <c r="I23" s="119"/>
      <c r="J23" s="119"/>
      <c r="K23" s="119"/>
      <c r="L23" s="119"/>
      <c r="M23" s="119"/>
      <c r="O23" s="119"/>
      <c r="P23" s="119"/>
      <c r="Q23" s="119"/>
      <c r="R23" s="119"/>
      <c r="S23" s="119"/>
    </row>
    <row r="24" spans="1:19" x14ac:dyDescent="0.25">
      <c r="A24" s="12" t="s">
        <v>141</v>
      </c>
      <c r="B24" s="113">
        <f>6*0.0254</f>
        <v>0.15239999999999998</v>
      </c>
      <c r="C24" s="113"/>
      <c r="D24" s="113"/>
      <c r="E24" s="22" t="s">
        <v>441</v>
      </c>
      <c r="I24" s="119"/>
      <c r="J24" s="119"/>
      <c r="K24" s="119"/>
      <c r="L24" s="119"/>
      <c r="M24" s="119"/>
      <c r="O24" s="119"/>
      <c r="P24" s="119"/>
      <c r="Q24" s="119"/>
      <c r="R24" s="119"/>
      <c r="S24" s="119"/>
    </row>
    <row r="25" spans="1:19" x14ac:dyDescent="0.25">
      <c r="A25" s="12" t="s">
        <v>142</v>
      </c>
      <c r="B25" s="113">
        <f>9*0.0254</f>
        <v>0.2286</v>
      </c>
      <c r="C25" s="113"/>
      <c r="D25" s="113"/>
      <c r="E25" s="22" t="s">
        <v>441</v>
      </c>
      <c r="I25" s="119"/>
      <c r="J25" s="119"/>
      <c r="K25" s="119"/>
      <c r="L25" s="119"/>
      <c r="M25" s="119"/>
      <c r="O25" s="119"/>
      <c r="P25" s="119"/>
      <c r="Q25" s="119"/>
      <c r="R25" s="119"/>
      <c r="S25" s="119"/>
    </row>
    <row r="26" spans="1:19" x14ac:dyDescent="0.25">
      <c r="A26" s="12" t="s">
        <v>67</v>
      </c>
      <c r="B26" s="113">
        <f>(63/2)*0.0254</f>
        <v>0.80009999999999992</v>
      </c>
      <c r="C26" s="113"/>
      <c r="D26" s="113"/>
      <c r="E26" s="22" t="s">
        <v>441</v>
      </c>
      <c r="I26" s="119"/>
      <c r="J26" s="119"/>
      <c r="K26" s="119"/>
      <c r="L26" s="119"/>
      <c r="M26" s="119"/>
      <c r="O26" s="119"/>
      <c r="P26" s="119"/>
      <c r="Q26" s="119"/>
      <c r="R26" s="119"/>
      <c r="S26" s="119"/>
    </row>
    <row r="27" spans="1:19" x14ac:dyDescent="0.25">
      <c r="A27" s="12" t="s">
        <v>122</v>
      </c>
      <c r="B27" s="113">
        <f>16.4*0.0254</f>
        <v>0.41655999999999993</v>
      </c>
      <c r="C27" s="113"/>
      <c r="D27" s="113"/>
      <c r="E27" s="22" t="s">
        <v>441</v>
      </c>
      <c r="I27" s="119"/>
      <c r="J27" s="119"/>
      <c r="K27" s="119"/>
      <c r="L27" s="119"/>
      <c r="M27" s="119"/>
      <c r="O27" s="119"/>
      <c r="P27" s="119"/>
      <c r="Q27" s="119"/>
      <c r="R27" s="119"/>
      <c r="S27" s="119"/>
    </row>
    <row r="28" spans="1:19" x14ac:dyDescent="0.25">
      <c r="A28" s="12" t="s">
        <v>148</v>
      </c>
      <c r="B28" s="113">
        <f>15*0.0254</f>
        <v>0.38100000000000001</v>
      </c>
      <c r="C28" s="113"/>
      <c r="D28" s="113"/>
      <c r="E28" s="22" t="s">
        <v>441</v>
      </c>
      <c r="I28" s="119"/>
      <c r="J28" s="119"/>
      <c r="K28" s="119"/>
      <c r="L28" s="119"/>
      <c r="M28" s="119"/>
      <c r="O28" s="119"/>
      <c r="P28" s="119"/>
      <c r="Q28" s="119"/>
      <c r="R28" s="119"/>
      <c r="S28" s="119"/>
    </row>
    <row r="29" spans="1:19" x14ac:dyDescent="0.25">
      <c r="A29" s="12" t="s">
        <v>123</v>
      </c>
      <c r="B29" s="113">
        <f>5.5*12*0.0254</f>
        <v>1.6763999999999999</v>
      </c>
      <c r="C29" s="113"/>
      <c r="D29" s="113"/>
      <c r="E29" s="22" t="s">
        <v>441</v>
      </c>
      <c r="I29" s="119"/>
      <c r="J29" s="119"/>
      <c r="K29" s="119"/>
      <c r="L29" s="119"/>
      <c r="M29" s="119"/>
      <c r="O29" s="119"/>
      <c r="P29" s="119"/>
      <c r="Q29" s="119"/>
      <c r="R29" s="119"/>
      <c r="S29" s="119"/>
    </row>
    <row r="30" spans="1:19" x14ac:dyDescent="0.25">
      <c r="A30" s="12" t="s">
        <v>124</v>
      </c>
      <c r="B30" s="113">
        <f>93*0.0254</f>
        <v>2.3622000000000001</v>
      </c>
      <c r="C30" s="113"/>
      <c r="D30" s="113"/>
      <c r="E30" s="22" t="s">
        <v>441</v>
      </c>
      <c r="I30" s="119"/>
      <c r="J30" s="119"/>
      <c r="K30" s="119"/>
      <c r="L30" s="119"/>
      <c r="M30" s="119"/>
      <c r="O30" s="119"/>
      <c r="P30" s="119"/>
      <c r="Q30" s="119"/>
      <c r="R30" s="119"/>
      <c r="S30" s="119"/>
    </row>
    <row r="31" spans="1:19" x14ac:dyDescent="0.25">
      <c r="A31" s="12" t="s">
        <v>127</v>
      </c>
      <c r="B31" s="113">
        <f>12349*0.00064516</f>
        <v>7.9670808399999995</v>
      </c>
      <c r="C31" s="113"/>
      <c r="D31" s="113"/>
      <c r="E31" s="22" t="s">
        <v>442</v>
      </c>
      <c r="I31" s="119"/>
      <c r="J31" s="119"/>
      <c r="K31" s="119"/>
      <c r="L31" s="119"/>
      <c r="M31" s="119"/>
      <c r="O31" s="119"/>
      <c r="P31" s="119"/>
      <c r="Q31" s="119"/>
      <c r="R31" s="119"/>
      <c r="S31" s="119"/>
    </row>
    <row r="32" spans="1:19" x14ac:dyDescent="0.25">
      <c r="A32" s="12" t="s">
        <v>128</v>
      </c>
      <c r="B32" s="113">
        <f>7160048*0.000000416231426</f>
        <v>2.9802369892684482</v>
      </c>
      <c r="C32" s="113"/>
      <c r="D32" s="113"/>
      <c r="E32" s="22" t="s">
        <v>443</v>
      </c>
      <c r="I32" s="119"/>
      <c r="J32" s="119"/>
      <c r="K32" s="119"/>
      <c r="L32" s="119"/>
      <c r="M32" s="119"/>
      <c r="O32" s="119"/>
      <c r="P32" s="119"/>
      <c r="Q32" s="119"/>
      <c r="R32" s="119"/>
      <c r="S32" s="119"/>
    </row>
    <row r="33" spans="1:7" x14ac:dyDescent="0.25">
      <c r="A33" s="12" t="s">
        <v>129</v>
      </c>
      <c r="B33" s="113">
        <f>36.831*0.0254</f>
        <v>0.93550739999999999</v>
      </c>
      <c r="C33" s="113"/>
      <c r="D33" s="113"/>
      <c r="E33" s="22" t="s">
        <v>441</v>
      </c>
    </row>
    <row r="34" spans="1:7" x14ac:dyDescent="0.25">
      <c r="A34" s="12" t="s">
        <v>130</v>
      </c>
      <c r="B34" s="113">
        <f>29.169*0.0254</f>
        <v>0.74089260000000001</v>
      </c>
      <c r="C34" s="113"/>
      <c r="D34" s="113"/>
      <c r="E34" s="22" t="s">
        <v>441</v>
      </c>
      <c r="G34">
        <v>0</v>
      </c>
    </row>
    <row r="35" spans="1:7" x14ac:dyDescent="0.25">
      <c r="A35" s="12" t="s">
        <v>275</v>
      </c>
      <c r="B35" s="113">
        <v>200</v>
      </c>
      <c r="C35" s="113"/>
      <c r="D35" s="113"/>
      <c r="E35" s="3" t="s">
        <v>105</v>
      </c>
    </row>
    <row r="36" spans="1:7" x14ac:dyDescent="0.25">
      <c r="A36" s="12" t="s">
        <v>41</v>
      </c>
      <c r="B36" s="113">
        <f>0.217*6.4516</f>
        <v>1.3999972000000001</v>
      </c>
      <c r="C36" s="113"/>
      <c r="D36" s="113"/>
      <c r="E36" s="22" t="s">
        <v>527</v>
      </c>
    </row>
    <row r="37" spans="1:7" x14ac:dyDescent="0.25">
      <c r="A37" s="12" t="s">
        <v>40</v>
      </c>
      <c r="B37" s="113">
        <f>270*6.8947572932</f>
        <v>1861.584469164</v>
      </c>
      <c r="C37" s="113"/>
      <c r="D37" s="113"/>
      <c r="E37" s="22" t="s">
        <v>444</v>
      </c>
    </row>
    <row r="38" spans="1:7" x14ac:dyDescent="0.25">
      <c r="A38" s="12" t="s">
        <v>133</v>
      </c>
      <c r="B38" s="113">
        <f>17*6</f>
        <v>102</v>
      </c>
      <c r="C38" s="113"/>
      <c r="D38" s="113"/>
      <c r="E38" s="23" t="s">
        <v>105</v>
      </c>
    </row>
    <row r="39" spans="1:7" x14ac:dyDescent="0.25">
      <c r="A39" s="12" t="s">
        <v>134</v>
      </c>
      <c r="B39" s="113">
        <f>16*4+17*2</f>
        <v>98</v>
      </c>
      <c r="C39" s="113"/>
      <c r="D39" s="113"/>
      <c r="E39" s="23" t="s">
        <v>105</v>
      </c>
    </row>
    <row r="40" spans="1:7" x14ac:dyDescent="0.25">
      <c r="A40" s="12" t="s">
        <v>145</v>
      </c>
      <c r="B40" s="113">
        <f>4*0.0254</f>
        <v>0.1016</v>
      </c>
      <c r="C40" s="113"/>
      <c r="D40" s="113"/>
      <c r="E40" s="3" t="s">
        <v>441</v>
      </c>
    </row>
    <row r="41" spans="1:7" x14ac:dyDescent="0.25">
      <c r="A41" s="12" t="s">
        <v>144</v>
      </c>
      <c r="B41" s="113">
        <f>20*0.0254</f>
        <v>0.50800000000000001</v>
      </c>
      <c r="C41" s="113"/>
      <c r="D41" s="113"/>
      <c r="E41" s="3" t="s">
        <v>441</v>
      </c>
    </row>
    <row r="42" spans="1:7" x14ac:dyDescent="0.25">
      <c r="A42" s="12" t="s">
        <v>146</v>
      </c>
      <c r="B42" s="113">
        <f>3*0.0254</f>
        <v>7.619999999999999E-2</v>
      </c>
      <c r="C42" s="113"/>
      <c r="D42" s="113"/>
      <c r="E42" s="22" t="s">
        <v>441</v>
      </c>
    </row>
    <row r="43" spans="1:7" x14ac:dyDescent="0.25">
      <c r="A43" s="12" t="s">
        <v>536</v>
      </c>
      <c r="B43" s="121">
        <f>18*0.0254</f>
        <v>0.4572</v>
      </c>
      <c r="C43" s="121"/>
      <c r="D43" s="121"/>
      <c r="E43" s="3" t="s">
        <v>441</v>
      </c>
    </row>
    <row r="44" spans="1:7" x14ac:dyDescent="0.25">
      <c r="A44" s="12" t="s">
        <v>33</v>
      </c>
      <c r="B44" s="113">
        <v>1</v>
      </c>
      <c r="C44" s="113"/>
      <c r="D44" s="113"/>
      <c r="E44" s="3"/>
    </row>
    <row r="45" spans="1:7" x14ac:dyDescent="0.25">
      <c r="A45" s="12" t="s">
        <v>99</v>
      </c>
      <c r="B45" s="113">
        <f>60*6.8947572932</f>
        <v>413.68543759199997</v>
      </c>
      <c r="C45" s="113"/>
      <c r="D45" s="113"/>
      <c r="E45" s="23" t="s">
        <v>445</v>
      </c>
    </row>
    <row r="46" spans="1:7" x14ac:dyDescent="0.25">
      <c r="A46" s="12" t="s">
        <v>32</v>
      </c>
      <c r="B46" s="113">
        <v>6</v>
      </c>
      <c r="C46" s="113"/>
      <c r="D46" s="113"/>
      <c r="E46" s="23" t="s">
        <v>95</v>
      </c>
    </row>
    <row r="47" spans="1:7" x14ac:dyDescent="0.25">
      <c r="A47" s="12" t="s">
        <v>96</v>
      </c>
      <c r="B47" s="113">
        <v>7</v>
      </c>
      <c r="C47" s="113"/>
      <c r="D47" s="113"/>
      <c r="E47" s="23" t="s">
        <v>105</v>
      </c>
    </row>
    <row r="48" spans="1:7" x14ac:dyDescent="0.25">
      <c r="A48" s="12" t="s">
        <v>97</v>
      </c>
      <c r="B48" s="113">
        <v>5</v>
      </c>
      <c r="C48" s="113"/>
      <c r="D48" s="113"/>
      <c r="E48" s="23" t="s">
        <v>95</v>
      </c>
    </row>
    <row r="49" spans="1:5" x14ac:dyDescent="0.25">
      <c r="A49" s="12" t="s">
        <v>98</v>
      </c>
      <c r="B49" s="113">
        <v>2</v>
      </c>
      <c r="C49" s="113"/>
      <c r="D49" s="113"/>
      <c r="E49" s="23" t="s">
        <v>105</v>
      </c>
    </row>
    <row r="50" spans="1:5" x14ac:dyDescent="0.25">
      <c r="A50" s="12" t="s">
        <v>111</v>
      </c>
      <c r="B50" s="113">
        <f>3.5*6.8947572932</f>
        <v>24.131650526199998</v>
      </c>
      <c r="C50" s="113"/>
      <c r="D50" s="113"/>
      <c r="E50" s="23" t="s">
        <v>445</v>
      </c>
    </row>
    <row r="51" spans="1:5" x14ac:dyDescent="0.25">
      <c r="A51" s="13" t="s">
        <v>100</v>
      </c>
      <c r="B51" s="113">
        <v>0.8</v>
      </c>
      <c r="C51" s="113"/>
      <c r="D51" s="113"/>
      <c r="E51" s="23"/>
    </row>
    <row r="52" spans="1:5" x14ac:dyDescent="0.25">
      <c r="A52" s="12" t="s">
        <v>101</v>
      </c>
      <c r="B52" s="113">
        <v>7</v>
      </c>
      <c r="C52" s="113"/>
      <c r="D52" s="113"/>
      <c r="E52" s="23" t="s">
        <v>95</v>
      </c>
    </row>
    <row r="53" spans="1:5" x14ac:dyDescent="0.25">
      <c r="A53" s="12" t="s">
        <v>114</v>
      </c>
      <c r="B53" s="113">
        <v>6</v>
      </c>
      <c r="C53" s="113"/>
      <c r="D53" s="113"/>
      <c r="E53" s="23" t="s">
        <v>105</v>
      </c>
    </row>
    <row r="54" spans="1:5" x14ac:dyDescent="0.25">
      <c r="A54" s="12" t="s">
        <v>102</v>
      </c>
      <c r="B54" s="113">
        <v>5</v>
      </c>
      <c r="C54" s="113"/>
      <c r="D54" s="113"/>
      <c r="E54" s="30" t="s">
        <v>95</v>
      </c>
    </row>
    <row r="55" spans="1:5" x14ac:dyDescent="0.25">
      <c r="A55" s="12" t="s">
        <v>115</v>
      </c>
      <c r="B55" s="113">
        <v>4</v>
      </c>
      <c r="C55" s="113"/>
      <c r="D55" s="113"/>
      <c r="E55" s="23" t="s">
        <v>105</v>
      </c>
    </row>
    <row r="56" spans="1:5" x14ac:dyDescent="0.25">
      <c r="A56" s="12" t="s">
        <v>143</v>
      </c>
      <c r="B56" s="113">
        <f>16.08*0.0254</f>
        <v>0.40843199999999996</v>
      </c>
      <c r="C56" s="113"/>
      <c r="D56" s="113"/>
      <c r="E56" s="23" t="s">
        <v>441</v>
      </c>
    </row>
    <row r="57" spans="1:5" x14ac:dyDescent="0.25">
      <c r="A57" s="12" t="s">
        <v>103</v>
      </c>
      <c r="B57" s="113">
        <v>9</v>
      </c>
      <c r="C57" s="113"/>
      <c r="D57" s="113"/>
      <c r="E57" s="30" t="s">
        <v>95</v>
      </c>
    </row>
    <row r="58" spans="1:5" x14ac:dyDescent="0.25">
      <c r="A58" s="2" t="s">
        <v>118</v>
      </c>
      <c r="B58" s="114">
        <v>6</v>
      </c>
      <c r="C58" s="114"/>
      <c r="D58" s="114"/>
      <c r="E58" s="23" t="s">
        <v>105</v>
      </c>
    </row>
    <row r="59" spans="1:5" x14ac:dyDescent="0.25">
      <c r="A59" s="2" t="s">
        <v>533</v>
      </c>
      <c r="B59" s="113">
        <v>1</v>
      </c>
      <c r="C59" s="113"/>
      <c r="D59" s="113"/>
      <c r="E59" s="3" t="s">
        <v>105</v>
      </c>
    </row>
    <row r="60" spans="1:5" x14ac:dyDescent="0.25">
      <c r="A60" s="2" t="s">
        <v>535</v>
      </c>
      <c r="B60" s="113">
        <v>1</v>
      </c>
      <c r="C60" s="113"/>
      <c r="D60" s="113"/>
      <c r="E60" s="3" t="s">
        <v>105</v>
      </c>
    </row>
    <row r="61" spans="1:5" x14ac:dyDescent="0.25">
      <c r="A61" s="2" t="s">
        <v>534</v>
      </c>
      <c r="B61" s="114">
        <v>2</v>
      </c>
      <c r="C61" s="114"/>
      <c r="D61" s="114"/>
      <c r="E61" s="23" t="s">
        <v>105</v>
      </c>
    </row>
  </sheetData>
  <mergeCells count="105">
    <mergeCell ref="O29:S29"/>
    <mergeCell ref="O30:S30"/>
    <mergeCell ref="O31:S31"/>
    <mergeCell ref="O32:S32"/>
    <mergeCell ref="O15:S15"/>
    <mergeCell ref="O24:S24"/>
    <mergeCell ref="O25:S25"/>
    <mergeCell ref="O26:S26"/>
    <mergeCell ref="O27:S27"/>
    <mergeCell ref="O28:S28"/>
    <mergeCell ref="O19:S19"/>
    <mergeCell ref="O20:S20"/>
    <mergeCell ref="O21:S21"/>
    <mergeCell ref="O22:S22"/>
    <mergeCell ref="O23:S23"/>
    <mergeCell ref="I24:M24"/>
    <mergeCell ref="I25:M25"/>
    <mergeCell ref="I26:M26"/>
    <mergeCell ref="I27:M27"/>
    <mergeCell ref="I28:M28"/>
    <mergeCell ref="I29:M29"/>
    <mergeCell ref="I30:M30"/>
    <mergeCell ref="I31:M31"/>
    <mergeCell ref="I32:M32"/>
    <mergeCell ref="I19:M19"/>
    <mergeCell ref="I20:M20"/>
    <mergeCell ref="I21:M21"/>
    <mergeCell ref="I22:M22"/>
    <mergeCell ref="I23:M23"/>
    <mergeCell ref="B7:E7"/>
    <mergeCell ref="B8:E8"/>
    <mergeCell ref="B1:E1"/>
    <mergeCell ref="B2:E2"/>
    <mergeCell ref="B3:E3"/>
    <mergeCell ref="B4:E4"/>
    <mergeCell ref="B5:E5"/>
    <mergeCell ref="B6:E6"/>
    <mergeCell ref="B14:D14"/>
    <mergeCell ref="B15:D15"/>
    <mergeCell ref="B16:D16"/>
    <mergeCell ref="B17:D17"/>
    <mergeCell ref="B10:D10"/>
    <mergeCell ref="B11:D11"/>
    <mergeCell ref="B12:D12"/>
    <mergeCell ref="B13:D13"/>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46:D46"/>
    <mergeCell ref="B41:D41"/>
    <mergeCell ref="B42:D42"/>
    <mergeCell ref="B38:D38"/>
    <mergeCell ref="B39:D39"/>
    <mergeCell ref="B40:D40"/>
    <mergeCell ref="B54:D54"/>
    <mergeCell ref="B52:D52"/>
    <mergeCell ref="B47:D47"/>
    <mergeCell ref="B48:D48"/>
    <mergeCell ref="B49:D49"/>
    <mergeCell ref="B50:D50"/>
    <mergeCell ref="B51:D51"/>
    <mergeCell ref="B43:D43"/>
    <mergeCell ref="B44:D44"/>
    <mergeCell ref="B45:D45"/>
    <mergeCell ref="M1:O1"/>
    <mergeCell ref="B59:D59"/>
    <mergeCell ref="B60:D60"/>
    <mergeCell ref="B61:D61"/>
    <mergeCell ref="O10:S11"/>
    <mergeCell ref="O16:S16"/>
    <mergeCell ref="O17:S17"/>
    <mergeCell ref="O18:S18"/>
    <mergeCell ref="I12:M12"/>
    <mergeCell ref="I13:M13"/>
    <mergeCell ref="I14:M14"/>
    <mergeCell ref="I15:M15"/>
    <mergeCell ref="I16:M16"/>
    <mergeCell ref="I17:M17"/>
    <mergeCell ref="I18:M18"/>
    <mergeCell ref="O14:S14"/>
    <mergeCell ref="O13:S13"/>
    <mergeCell ref="O12:S12"/>
    <mergeCell ref="I10:M11"/>
    <mergeCell ref="B58:D58"/>
    <mergeCell ref="B55:D55"/>
    <mergeCell ref="B56:D56"/>
    <mergeCell ref="B57:D57"/>
    <mergeCell ref="B53:D53"/>
  </mergeCells>
  <phoneticPr fontId="11" type="noConversion"/>
  <conditionalFormatting sqref="I10 I12:I32">
    <cfRule type="notContainsBlanks" dxfId="11" priority="7">
      <formula>LEN(TRIM(I10))&gt;0</formula>
    </cfRule>
  </conditionalFormatting>
  <conditionalFormatting sqref="I12:I32">
    <cfRule type="notContainsBlanks" dxfId="10" priority="6">
      <formula>LEN(TRIM(I12))&gt;0</formula>
    </cfRule>
  </conditionalFormatting>
  <conditionalFormatting sqref="O19:O32">
    <cfRule type="notContainsBlanks" dxfId="9" priority="1">
      <formula>LEN(TRIM(O19))&gt;0</formula>
    </cfRule>
    <cfRule type="notContainsBlanks" dxfId="8" priority="2">
      <formula>LEN(TRIM(O19))&gt;0</formula>
    </cfRule>
  </conditionalFormatting>
  <conditionalFormatting sqref="O10:Q18">
    <cfRule type="notContainsBlanks" dxfId="7" priority="3">
      <formula>LEN(TRIM(O10))&gt;0</formula>
    </cfRule>
  </conditionalFormatting>
  <conditionalFormatting sqref="O12:Q18">
    <cfRule type="notContainsBlanks" dxfId="6" priority="4">
      <formula>LEN(TRIM(O12))&gt;0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BDD6C-7448-438F-B919-231ECF2FC0D4}">
  <sheetPr codeName="Sheet4">
    <tabColor rgb="FF002060"/>
  </sheetPr>
  <dimension ref="A1:BY799"/>
  <sheetViews>
    <sheetView showGridLines="0" zoomScaleNormal="100" workbookViewId="0">
      <selection activeCell="AB118" sqref="AB118"/>
    </sheetView>
  </sheetViews>
  <sheetFormatPr defaultColWidth="2.7109375" defaultRowHeight="15" customHeight="1" x14ac:dyDescent="0.2"/>
  <cols>
    <col min="1" max="52" width="2.7109375" style="3"/>
    <col min="53" max="53" width="2.85546875" style="3" bestFit="1" customWidth="1"/>
    <col min="54" max="71" width="2.7109375" style="3"/>
    <col min="72" max="77" width="2.7109375" style="10"/>
    <col min="78" max="16384" width="2.7109375" style="3"/>
  </cols>
  <sheetData>
    <row r="1" spans="1:77" ht="15" customHeight="1" x14ac:dyDescent="0.25">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30" t="s">
        <v>3</v>
      </c>
      <c r="BH1" s="230"/>
      <c r="BI1" s="230"/>
      <c r="BJ1" s="230"/>
      <c r="BK1" s="230"/>
      <c r="BL1" s="230"/>
      <c r="BM1" s="230"/>
      <c r="BN1" s="230"/>
      <c r="BO1" s="230"/>
      <c r="BP1" s="230"/>
      <c r="BQ1" s="230"/>
      <c r="BR1" s="231"/>
      <c r="BS1" s="218" t="s">
        <v>4</v>
      </c>
      <c r="BT1" s="219"/>
      <c r="BU1" s="219"/>
      <c r="BV1" s="219"/>
      <c r="BW1" s="220"/>
      <c r="BX1" s="220"/>
      <c r="BY1" s="220"/>
    </row>
    <row r="2" spans="1:77" ht="15" customHeight="1" x14ac:dyDescent="0.25">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30"/>
      <c r="BH2" s="230"/>
      <c r="BI2" s="230"/>
      <c r="BJ2" s="230"/>
      <c r="BK2" s="230"/>
      <c r="BL2" s="230"/>
      <c r="BM2" s="230"/>
      <c r="BN2" s="230"/>
      <c r="BO2" s="230"/>
      <c r="BP2" s="230"/>
      <c r="BQ2" s="230"/>
      <c r="BR2" s="231"/>
      <c r="BS2" s="218" t="s">
        <v>501</v>
      </c>
      <c r="BT2" s="219"/>
      <c r="BU2" s="219"/>
      <c r="BV2" s="219"/>
      <c r="BW2" s="220" t="str">
        <f>Inputs!B4</f>
        <v>TG</v>
      </c>
      <c r="BX2" s="220"/>
      <c r="BY2" s="220"/>
    </row>
    <row r="3" spans="1:77" ht="15" customHeight="1" x14ac:dyDescent="0.25">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18" t="s">
        <v>5</v>
      </c>
      <c r="BT3" s="219"/>
      <c r="BU3" s="219"/>
      <c r="BV3" s="219"/>
      <c r="BW3" s="221">
        <f>Inputs!B5</f>
        <v>46305</v>
      </c>
      <c r="BX3" s="221"/>
      <c r="BY3" s="221"/>
    </row>
    <row r="4" spans="1:77" ht="15" customHeight="1" x14ac:dyDescent="0.2">
      <c r="A4" s="215" t="s">
        <v>6</v>
      </c>
      <c r="B4" s="216"/>
      <c r="C4" s="216"/>
      <c r="D4" s="216"/>
      <c r="E4" s="217" t="str">
        <f>Inputs!B1</f>
        <v>North Connector Bridge</v>
      </c>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c r="BL4" s="217"/>
      <c r="BM4" s="217"/>
      <c r="BN4" s="217"/>
      <c r="BO4" s="217"/>
      <c r="BP4" s="217"/>
      <c r="BQ4" s="217"/>
      <c r="BR4" s="217"/>
      <c r="BS4" s="218" t="s">
        <v>7</v>
      </c>
      <c r="BT4" s="219"/>
      <c r="BU4" s="219"/>
      <c r="BV4" s="219"/>
      <c r="BW4" s="220" t="str">
        <f>Inputs!B6</f>
        <v>SB</v>
      </c>
      <c r="BX4" s="220"/>
      <c r="BY4" s="220"/>
    </row>
    <row r="5" spans="1:77" ht="15" customHeight="1" x14ac:dyDescent="0.2">
      <c r="A5" s="215" t="s">
        <v>8</v>
      </c>
      <c r="B5" s="216"/>
      <c r="C5" s="216"/>
      <c r="D5" s="216"/>
      <c r="E5" s="217">
        <f>Inputs!B2</f>
        <v>408545</v>
      </c>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8" t="s">
        <v>5</v>
      </c>
      <c r="BT5" s="219"/>
      <c r="BU5" s="219"/>
      <c r="BV5" s="219"/>
      <c r="BW5" s="221">
        <f>Inputs!B7</f>
        <v>46091</v>
      </c>
      <c r="BX5" s="221"/>
      <c r="BY5" s="221"/>
    </row>
    <row r="6" spans="1:77" ht="15" customHeight="1" thickBot="1" x14ac:dyDescent="0.25">
      <c r="A6" s="223" t="s">
        <v>9</v>
      </c>
      <c r="B6" s="224"/>
      <c r="C6" s="224"/>
      <c r="D6" s="224"/>
      <c r="E6" s="226" t="str">
        <f>Inputs!B3 &amp;" Design of Anchor Zone"</f>
        <v>C.1 Design of Anchor Zone</v>
      </c>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7" t="s">
        <v>10</v>
      </c>
      <c r="BT6" s="228"/>
      <c r="BU6" s="228"/>
      <c r="BV6" s="228"/>
      <c r="BW6" s="229">
        <f>Inputs!B8</f>
        <v>1</v>
      </c>
      <c r="BX6" s="229"/>
      <c r="BY6" s="229"/>
    </row>
    <row r="7" spans="1:77" ht="15" customHeight="1" thickTop="1" x14ac:dyDescent="0.2">
      <c r="BT7" s="3"/>
      <c r="BU7" s="3"/>
      <c r="BV7" s="3"/>
      <c r="BW7" s="3"/>
      <c r="BX7" s="3"/>
      <c r="BY7" s="3"/>
    </row>
    <row r="8" spans="1:77" ht="15" customHeight="1" x14ac:dyDescent="0.2">
      <c r="A8" s="133" t="str">
        <f>Inputs!B3&amp;" End Block Design"</f>
        <v>C.1 End Block Design</v>
      </c>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3"/>
      <c r="BU8" s="3"/>
      <c r="BV8" s="3"/>
      <c r="BW8" s="3"/>
      <c r="BX8" s="3"/>
      <c r="BY8" s="3"/>
    </row>
    <row r="9" spans="1:77" ht="15" customHeight="1" x14ac:dyDescent="0.2">
      <c r="A9" s="225"/>
      <c r="B9" s="225"/>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2" t="s">
        <v>11</v>
      </c>
      <c r="BU9" s="222"/>
      <c r="BV9" s="222"/>
      <c r="BW9" s="222"/>
      <c r="BX9" s="222"/>
      <c r="BY9" s="222"/>
    </row>
    <row r="10" spans="1:77" ht="15" customHeight="1" x14ac:dyDescent="0.3">
      <c r="A10" s="47"/>
      <c r="B10" s="47"/>
      <c r="C10" s="208">
        <v>1</v>
      </c>
      <c r="D10" s="209"/>
      <c r="E10" s="133" t="s">
        <v>179</v>
      </c>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c r="AU10" s="133"/>
      <c r="AV10" s="133"/>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c r="BS10" s="133"/>
      <c r="BT10" s="50"/>
      <c r="BU10" s="50"/>
      <c r="BV10" s="50"/>
      <c r="BW10" s="50"/>
      <c r="BX10" s="50"/>
      <c r="BY10" s="50"/>
    </row>
    <row r="11" spans="1:77" ht="15" customHeight="1" x14ac:dyDescent="0.3">
      <c r="A11" s="47"/>
      <c r="B11" s="47"/>
      <c r="C11" s="208"/>
      <c r="D11" s="209"/>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c r="BS11" s="133"/>
      <c r="BT11" s="50"/>
      <c r="BU11" s="50"/>
      <c r="BV11" s="50"/>
      <c r="BW11" s="50"/>
      <c r="BX11" s="50"/>
      <c r="BY11" s="50"/>
    </row>
    <row r="12" spans="1:77" ht="15" customHeight="1" x14ac:dyDescent="0.3">
      <c r="A12" s="47"/>
      <c r="B12" s="47"/>
      <c r="C12" s="51"/>
      <c r="D12" s="47"/>
      <c r="E12" s="177" t="s">
        <v>247</v>
      </c>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47"/>
      <c r="BT12" s="50"/>
      <c r="BU12" s="50"/>
      <c r="BV12" s="50"/>
      <c r="BW12" s="50"/>
      <c r="BX12" s="50"/>
      <c r="BY12" s="50"/>
    </row>
    <row r="13" spans="1:77" ht="15" customHeight="1" x14ac:dyDescent="0.3">
      <c r="A13" s="47"/>
      <c r="B13" s="47"/>
      <c r="C13" s="51"/>
      <c r="D13" s="47"/>
      <c r="E13" s="178"/>
      <c r="F13" s="178"/>
      <c r="G13" s="178"/>
      <c r="H13" s="178"/>
      <c r="I13" s="178"/>
      <c r="J13" s="178"/>
      <c r="K13" s="178"/>
      <c r="L13" s="178"/>
      <c r="M13" s="178"/>
      <c r="N13" s="178"/>
      <c r="O13" s="178"/>
      <c r="P13" s="178"/>
      <c r="Q13" s="178"/>
      <c r="R13" s="178"/>
      <c r="S13" s="178"/>
      <c r="T13" s="178"/>
      <c r="U13" s="178"/>
      <c r="V13" s="178"/>
      <c r="W13" s="178"/>
      <c r="X13" s="178"/>
      <c r="Y13" s="178"/>
      <c r="Z13" s="178"/>
      <c r="AA13" s="178"/>
      <c r="AB13" s="178"/>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c r="BA13" s="178"/>
      <c r="BB13" s="178"/>
      <c r="BC13" s="178"/>
      <c r="BD13" s="178"/>
      <c r="BE13" s="178"/>
      <c r="BF13" s="178"/>
      <c r="BG13" s="178"/>
      <c r="BH13" s="178"/>
      <c r="BI13" s="178"/>
      <c r="BJ13" s="178"/>
      <c r="BK13" s="178"/>
      <c r="BL13" s="178"/>
      <c r="BM13" s="178"/>
      <c r="BN13" s="178"/>
      <c r="BO13" s="178"/>
      <c r="BP13" s="178"/>
      <c r="BQ13" s="178"/>
      <c r="BR13" s="178"/>
      <c r="BS13" s="47"/>
      <c r="BT13" s="50"/>
      <c r="BU13" s="50"/>
      <c r="BV13" s="50"/>
      <c r="BW13" s="50"/>
      <c r="BX13" s="50"/>
      <c r="BY13" s="50"/>
    </row>
    <row r="14" spans="1:77" ht="15" customHeight="1" x14ac:dyDescent="0.3">
      <c r="A14" s="47"/>
      <c r="B14" s="47"/>
      <c r="C14" s="51"/>
      <c r="D14" s="47"/>
      <c r="E14" s="178"/>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47"/>
      <c r="BT14" s="50"/>
      <c r="BU14" s="50"/>
      <c r="BV14" s="50"/>
      <c r="BW14" s="50"/>
      <c r="BX14" s="50"/>
      <c r="BY14" s="50"/>
    </row>
    <row r="15" spans="1:77" ht="15" customHeight="1" x14ac:dyDescent="0.3">
      <c r="A15" s="47"/>
      <c r="B15" s="47"/>
      <c r="C15" s="51"/>
      <c r="D15" s="47"/>
      <c r="E15" s="178"/>
      <c r="F15" s="178"/>
      <c r="G15" s="178"/>
      <c r="H15" s="178"/>
      <c r="I15" s="178"/>
      <c r="J15" s="178"/>
      <c r="K15" s="178"/>
      <c r="L15" s="178"/>
      <c r="M15" s="178"/>
      <c r="N15" s="178"/>
      <c r="O15" s="178"/>
      <c r="P15" s="178"/>
      <c r="Q15" s="178"/>
      <c r="R15" s="178"/>
      <c r="S15" s="178"/>
      <c r="T15" s="178"/>
      <c r="U15" s="178"/>
      <c r="V15" s="178"/>
      <c r="W15" s="178"/>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c r="BP15" s="178"/>
      <c r="BQ15" s="178"/>
      <c r="BR15" s="178"/>
      <c r="BS15" s="47"/>
      <c r="BT15" s="50"/>
      <c r="BU15" s="50"/>
      <c r="BV15" s="50"/>
      <c r="BW15" s="50"/>
      <c r="BX15" s="50"/>
      <c r="BY15" s="50"/>
    </row>
    <row r="16" spans="1:77" ht="15" customHeight="1" x14ac:dyDescent="0.3">
      <c r="A16" s="47"/>
      <c r="B16" s="47"/>
      <c r="C16" s="51"/>
      <c r="D16" s="47"/>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47"/>
      <c r="BT16" s="50"/>
      <c r="BU16" s="50"/>
      <c r="BV16" s="50"/>
      <c r="BW16" s="50"/>
      <c r="BX16" s="50"/>
      <c r="BY16" s="50"/>
    </row>
    <row r="17" spans="1:77" ht="15" customHeight="1" x14ac:dyDescent="0.3">
      <c r="A17" s="47"/>
      <c r="B17" s="47"/>
      <c r="C17" s="51"/>
      <c r="D17" s="47"/>
      <c r="E17" s="178"/>
      <c r="F17" s="178"/>
      <c r="G17" s="178"/>
      <c r="H17" s="178"/>
      <c r="I17" s="178"/>
      <c r="J17" s="178"/>
      <c r="K17" s="178"/>
      <c r="L17" s="178"/>
      <c r="M17" s="178"/>
      <c r="N17" s="178"/>
      <c r="O17" s="178"/>
      <c r="P17" s="178"/>
      <c r="Q17" s="178"/>
      <c r="R17" s="178"/>
      <c r="S17" s="178"/>
      <c r="T17" s="178"/>
      <c r="U17" s="178"/>
      <c r="V17" s="178"/>
      <c r="W17" s="178"/>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c r="BP17" s="178"/>
      <c r="BQ17" s="178"/>
      <c r="BR17" s="178"/>
      <c r="BS17" s="47"/>
      <c r="BT17" s="50"/>
      <c r="BU17" s="50"/>
      <c r="BV17" s="50"/>
      <c r="BW17" s="50"/>
      <c r="BX17" s="50"/>
      <c r="BY17" s="50"/>
    </row>
    <row r="18" spans="1:77" ht="15" customHeight="1" x14ac:dyDescent="0.3">
      <c r="A18" s="47"/>
      <c r="B18" s="47"/>
      <c r="C18" s="51"/>
      <c r="D18" s="47"/>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47"/>
      <c r="BT18" s="50"/>
      <c r="BU18" s="50"/>
      <c r="BV18" s="50"/>
      <c r="BW18" s="50"/>
      <c r="BX18" s="50"/>
      <c r="BY18" s="50"/>
    </row>
    <row r="19" spans="1:77" ht="15" customHeight="1" x14ac:dyDescent="0.3">
      <c r="A19" s="47"/>
      <c r="B19" s="47"/>
      <c r="C19" s="51"/>
      <c r="D19" s="47"/>
      <c r="E19" s="86"/>
      <c r="F19" s="87" t="s">
        <v>228</v>
      </c>
      <c r="G19" s="210" t="s">
        <v>229</v>
      </c>
      <c r="H19" s="210"/>
      <c r="I19" s="210"/>
      <c r="J19" s="210"/>
      <c r="K19" s="210"/>
      <c r="L19" s="210"/>
      <c r="M19" s="210"/>
      <c r="N19" s="210"/>
      <c r="O19" s="210"/>
      <c r="P19" s="210"/>
      <c r="Q19" s="210"/>
      <c r="R19" s="210"/>
      <c r="S19" s="210"/>
      <c r="T19" s="210"/>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47"/>
      <c r="BT19" s="50"/>
      <c r="BU19" s="50"/>
      <c r="BV19" s="50"/>
      <c r="BW19" s="50"/>
      <c r="BX19" s="50"/>
      <c r="BY19" s="50"/>
    </row>
    <row r="20" spans="1:77" ht="15" customHeight="1" x14ac:dyDescent="0.3">
      <c r="A20" s="47"/>
      <c r="B20" s="47"/>
      <c r="C20" s="51"/>
      <c r="D20" s="47"/>
      <c r="E20" s="47"/>
      <c r="F20" s="87" t="s">
        <v>228</v>
      </c>
      <c r="G20" s="210" t="s">
        <v>230</v>
      </c>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47"/>
      <c r="BT20" s="50"/>
      <c r="BU20" s="50"/>
      <c r="BV20" s="50"/>
      <c r="BW20" s="50"/>
      <c r="BX20" s="50"/>
      <c r="BY20" s="50"/>
    </row>
    <row r="21" spans="1:77" ht="15" customHeight="1" x14ac:dyDescent="0.3">
      <c r="A21" s="47"/>
      <c r="B21" s="47"/>
      <c r="C21" s="51"/>
      <c r="D21" s="47"/>
      <c r="E21" s="47"/>
      <c r="F21" s="87" t="s">
        <v>228</v>
      </c>
      <c r="G21" s="210" t="s">
        <v>231</v>
      </c>
      <c r="H21" s="210"/>
      <c r="I21" s="210"/>
      <c r="J21" s="210"/>
      <c r="K21" s="210"/>
      <c r="L21" s="210"/>
      <c r="M21" s="210"/>
      <c r="N21" s="210"/>
      <c r="O21" s="210"/>
      <c r="P21" s="210"/>
      <c r="Q21" s="210"/>
      <c r="R21" s="210"/>
      <c r="S21" s="210"/>
      <c r="T21" s="210"/>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47"/>
      <c r="BT21" s="50"/>
      <c r="BU21" s="50"/>
      <c r="BV21" s="50"/>
      <c r="BW21" s="50"/>
      <c r="BX21" s="50"/>
      <c r="BY21" s="50"/>
    </row>
    <row r="22" spans="1:77" ht="15" customHeight="1" x14ac:dyDescent="0.3">
      <c r="A22" s="47"/>
      <c r="B22" s="47"/>
      <c r="C22" s="51"/>
      <c r="D22" s="47"/>
      <c r="E22" s="47"/>
      <c r="F22" s="87" t="s">
        <v>228</v>
      </c>
      <c r="G22" s="210" t="s">
        <v>232</v>
      </c>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47"/>
      <c r="BT22" s="50"/>
      <c r="BU22" s="50"/>
      <c r="BV22" s="50"/>
      <c r="BW22" s="50"/>
      <c r="BX22" s="50"/>
      <c r="BY22" s="50"/>
    </row>
    <row r="23" spans="1:77" ht="15" customHeight="1" x14ac:dyDescent="0.3">
      <c r="A23" s="47"/>
      <c r="B23" s="47"/>
      <c r="C23" s="51"/>
      <c r="D23" s="47"/>
      <c r="E23" s="47"/>
      <c r="F23" s="87" t="s">
        <v>228</v>
      </c>
      <c r="G23" s="210" t="s">
        <v>281</v>
      </c>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47"/>
      <c r="BT23" s="50"/>
      <c r="BU23" s="50"/>
      <c r="BV23" s="50"/>
      <c r="BW23" s="50"/>
      <c r="BX23" s="50"/>
      <c r="BY23" s="50"/>
    </row>
    <row r="24" spans="1:77" ht="15" customHeight="1" x14ac:dyDescent="0.3">
      <c r="A24" s="47"/>
      <c r="B24" s="47"/>
      <c r="C24" s="51"/>
      <c r="D24" s="47"/>
      <c r="E24" s="47"/>
      <c r="F24" s="87" t="s">
        <v>228</v>
      </c>
      <c r="G24" s="210" t="s">
        <v>233</v>
      </c>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47"/>
      <c r="BT24" s="50"/>
      <c r="BU24" s="50"/>
      <c r="BV24" s="50"/>
      <c r="BW24" s="50"/>
      <c r="BX24" s="50"/>
      <c r="BY24" s="50"/>
    </row>
    <row r="25" spans="1:77" ht="15" customHeight="1" x14ac:dyDescent="0.3">
      <c r="A25" s="47"/>
      <c r="B25" s="47"/>
      <c r="C25" s="51"/>
      <c r="D25" s="47"/>
      <c r="E25" s="47"/>
      <c r="F25" s="87"/>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47"/>
      <c r="BT25" s="50"/>
      <c r="BU25" s="50"/>
      <c r="BV25" s="50"/>
      <c r="BW25" s="50"/>
      <c r="BX25" s="50"/>
      <c r="BY25" s="50"/>
    </row>
    <row r="26" spans="1:77" ht="15" customHeight="1" x14ac:dyDescent="0.3">
      <c r="A26" s="47"/>
      <c r="B26" s="47"/>
      <c r="C26" s="51"/>
      <c r="D26" s="47"/>
      <c r="E26" s="177" t="s">
        <v>234</v>
      </c>
      <c r="F26" s="178"/>
      <c r="G26" s="178"/>
      <c r="H26" s="178"/>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s="178"/>
      <c r="BR26" s="178"/>
      <c r="BS26" s="47"/>
      <c r="BT26" s="50"/>
      <c r="BU26" s="50"/>
      <c r="BV26" s="50"/>
      <c r="BW26" s="50"/>
      <c r="BX26" s="50"/>
      <c r="BY26" s="50"/>
    </row>
    <row r="27" spans="1:77" ht="15" customHeight="1" x14ac:dyDescent="0.3">
      <c r="A27" s="47"/>
      <c r="B27" s="47"/>
      <c r="C27" s="51"/>
      <c r="D27" s="47"/>
      <c r="E27" s="178"/>
      <c r="F27" s="178"/>
      <c r="G27" s="178"/>
      <c r="H27" s="178"/>
      <c r="I27" s="178"/>
      <c r="J27" s="178"/>
      <c r="K27" s="178"/>
      <c r="L27" s="178"/>
      <c r="M27" s="178"/>
      <c r="N27" s="178"/>
      <c r="O27" s="178"/>
      <c r="P27" s="178"/>
      <c r="Q27" s="178"/>
      <c r="R27" s="178"/>
      <c r="S27" s="178"/>
      <c r="T27" s="178"/>
      <c r="U27" s="178"/>
      <c r="V27" s="178"/>
      <c r="W27" s="178"/>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s="178"/>
      <c r="BR27" s="178"/>
      <c r="BS27" s="47"/>
      <c r="BT27" s="50"/>
      <c r="BU27" s="50"/>
      <c r="BV27" s="50"/>
      <c r="BW27" s="50"/>
      <c r="BX27" s="50"/>
      <c r="BY27" s="50"/>
    </row>
    <row r="28" spans="1:77" ht="15" customHeight="1" x14ac:dyDescent="0.3">
      <c r="A28" s="47"/>
      <c r="B28" s="47"/>
      <c r="C28" s="51"/>
      <c r="D28" s="47"/>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47"/>
      <c r="BT28" s="50"/>
      <c r="BU28" s="50"/>
      <c r="BV28" s="50"/>
      <c r="BW28" s="50"/>
      <c r="BX28" s="50"/>
      <c r="BY28" s="50"/>
    </row>
    <row r="29" spans="1:77" ht="15" customHeight="1" x14ac:dyDescent="0.3">
      <c r="A29" s="47"/>
      <c r="B29" s="47"/>
      <c r="C29" s="140" t="s">
        <v>181</v>
      </c>
      <c r="D29" s="141"/>
      <c r="E29" s="141"/>
      <c r="F29" s="141"/>
      <c r="G29" s="148" t="s">
        <v>248</v>
      </c>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47"/>
      <c r="BT29" s="50"/>
      <c r="BU29" s="50"/>
      <c r="BV29" s="50"/>
      <c r="BW29" s="50"/>
      <c r="BX29" s="50"/>
      <c r="BY29" s="50"/>
    </row>
    <row r="30" spans="1:77" ht="15" customHeight="1" x14ac:dyDescent="0.3">
      <c r="A30" s="47"/>
      <c r="B30" s="47"/>
      <c r="C30" s="140"/>
      <c r="D30" s="141"/>
      <c r="E30" s="141"/>
      <c r="F30" s="141"/>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47"/>
      <c r="BT30" s="50"/>
      <c r="BU30" s="50"/>
      <c r="BV30" s="50"/>
      <c r="BW30" s="50"/>
      <c r="BX30" s="50"/>
      <c r="BY30" s="50"/>
    </row>
    <row r="31" spans="1:77" ht="15" customHeight="1" x14ac:dyDescent="0.3">
      <c r="A31" s="47"/>
      <c r="B31" s="47"/>
      <c r="C31" s="52"/>
      <c r="D31" s="53"/>
      <c r="E31" s="53"/>
      <c r="F31" s="53"/>
      <c r="G31" s="135" t="s">
        <v>249</v>
      </c>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c r="AV31" s="135"/>
      <c r="AW31" s="135"/>
      <c r="AX31" s="135"/>
      <c r="AY31" s="135"/>
      <c r="AZ31" s="135"/>
      <c r="BA31" s="135"/>
      <c r="BB31" s="135"/>
      <c r="BC31" s="135"/>
      <c r="BD31" s="135"/>
      <c r="BE31" s="135"/>
      <c r="BF31" s="135"/>
      <c r="BG31" s="135"/>
      <c r="BH31" s="135"/>
      <c r="BI31" s="135"/>
      <c r="BJ31" s="135"/>
      <c r="BK31" s="135"/>
      <c r="BL31" s="135"/>
      <c r="BM31" s="135"/>
      <c r="BN31" s="135"/>
      <c r="BO31" s="135"/>
      <c r="BP31" s="135"/>
      <c r="BQ31" s="135"/>
      <c r="BR31" s="54"/>
      <c r="BS31" s="47"/>
      <c r="BT31" s="50"/>
      <c r="BU31" s="50"/>
      <c r="BV31" s="50"/>
      <c r="BW31" s="50"/>
      <c r="BX31" s="50"/>
      <c r="BY31" s="50"/>
    </row>
    <row r="32" spans="1:77" ht="15" customHeight="1" x14ac:dyDescent="0.3">
      <c r="A32" s="47"/>
      <c r="B32" s="47"/>
      <c r="C32" s="52"/>
      <c r="D32" s="53"/>
      <c r="E32" s="53"/>
      <c r="F32" s="53"/>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5"/>
      <c r="AX32" s="135"/>
      <c r="AY32" s="135"/>
      <c r="AZ32" s="135"/>
      <c r="BA32" s="135"/>
      <c r="BB32" s="135"/>
      <c r="BC32" s="135"/>
      <c r="BD32" s="135"/>
      <c r="BE32" s="135"/>
      <c r="BF32" s="135"/>
      <c r="BG32" s="135"/>
      <c r="BH32" s="135"/>
      <c r="BI32" s="135"/>
      <c r="BJ32" s="135"/>
      <c r="BK32" s="135"/>
      <c r="BL32" s="135"/>
      <c r="BM32" s="135"/>
      <c r="BN32" s="135"/>
      <c r="BO32" s="135"/>
      <c r="BP32" s="135"/>
      <c r="BQ32" s="135"/>
      <c r="BR32" s="54"/>
      <c r="BS32" s="47"/>
      <c r="BT32" s="50"/>
      <c r="BU32" s="50"/>
      <c r="BV32" s="50"/>
      <c r="BW32" s="50"/>
      <c r="BX32" s="50"/>
      <c r="BY32" s="50"/>
    </row>
    <row r="33" spans="1:77" ht="15" customHeight="1" x14ac:dyDescent="0.3">
      <c r="A33" s="47"/>
      <c r="B33" s="47"/>
      <c r="C33" s="89"/>
      <c r="D33" s="90"/>
      <c r="E33" s="90"/>
      <c r="F33" s="88"/>
      <c r="G33" s="146">
        <v>1</v>
      </c>
      <c r="H33" s="146"/>
      <c r="I33" s="147" t="s">
        <v>236</v>
      </c>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c r="BI33" s="147"/>
      <c r="BJ33" s="147"/>
      <c r="BK33" s="147"/>
      <c r="BL33" s="147"/>
      <c r="BM33" s="147"/>
      <c r="BN33" s="147"/>
      <c r="BO33" s="147"/>
      <c r="BP33" s="147"/>
      <c r="BQ33" s="147"/>
      <c r="BR33" s="147"/>
      <c r="BS33" s="47"/>
      <c r="BT33" s="50"/>
      <c r="BU33" s="50"/>
      <c r="BV33" s="50"/>
      <c r="BW33" s="50"/>
      <c r="BX33" s="50"/>
      <c r="BY33" s="50"/>
    </row>
    <row r="34" spans="1:77" ht="15" customHeight="1" x14ac:dyDescent="0.3">
      <c r="A34" s="47"/>
      <c r="B34" s="47"/>
      <c r="C34" s="89"/>
      <c r="D34" s="90"/>
      <c r="E34" s="90"/>
      <c r="F34" s="88"/>
      <c r="G34" s="54"/>
      <c r="H34" s="54"/>
      <c r="I34" s="135" t="s">
        <v>237</v>
      </c>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47"/>
      <c r="BT34" s="50"/>
      <c r="BU34" s="50"/>
      <c r="BV34" s="50"/>
      <c r="BW34" s="50"/>
      <c r="BX34" s="50"/>
      <c r="BY34" s="50"/>
    </row>
    <row r="35" spans="1:77" ht="15" customHeight="1" x14ac:dyDescent="0.3">
      <c r="A35" s="47"/>
      <c r="B35" s="47"/>
      <c r="C35" s="89"/>
      <c r="D35" s="90"/>
      <c r="E35" s="90"/>
      <c r="F35" s="88"/>
      <c r="H35" s="88"/>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c r="AV35" s="135"/>
      <c r="AW35" s="135"/>
      <c r="AX35" s="135"/>
      <c r="AY35" s="135"/>
      <c r="AZ35" s="135"/>
      <c r="BA35" s="135"/>
      <c r="BB35" s="135"/>
      <c r="BC35" s="135"/>
      <c r="BD35" s="135"/>
      <c r="BE35" s="135"/>
      <c r="BF35" s="135"/>
      <c r="BG35" s="135"/>
      <c r="BH35" s="135"/>
      <c r="BI35" s="135"/>
      <c r="BJ35" s="135"/>
      <c r="BK35" s="135"/>
      <c r="BL35" s="135"/>
      <c r="BM35" s="135"/>
      <c r="BN35" s="135"/>
      <c r="BO35" s="135"/>
      <c r="BP35" s="135"/>
      <c r="BQ35" s="135"/>
      <c r="BR35" s="135"/>
      <c r="BS35" s="47"/>
      <c r="BT35" s="50"/>
      <c r="BU35" s="50"/>
      <c r="BV35" s="50"/>
      <c r="BW35" s="50"/>
      <c r="BX35" s="50"/>
      <c r="BY35" s="50"/>
    </row>
    <row r="36" spans="1:77" ht="15" customHeight="1" x14ac:dyDescent="0.3">
      <c r="A36" s="47"/>
      <c r="B36" s="47"/>
      <c r="C36" s="89"/>
      <c r="D36" s="90"/>
      <c r="E36" s="90"/>
      <c r="F36" s="88"/>
      <c r="G36" s="146">
        <v>2</v>
      </c>
      <c r="H36" s="146"/>
      <c r="I36" s="147" t="s">
        <v>238</v>
      </c>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47"/>
      <c r="BT36" s="50"/>
      <c r="BU36" s="50"/>
      <c r="BV36" s="50"/>
      <c r="BW36" s="50"/>
      <c r="BX36" s="50"/>
      <c r="BY36" s="50"/>
    </row>
    <row r="37" spans="1:77" ht="15" customHeight="1" x14ac:dyDescent="0.3">
      <c r="A37" s="47"/>
      <c r="B37" s="47"/>
      <c r="C37" s="89"/>
      <c r="D37" s="90"/>
      <c r="E37" s="90"/>
      <c r="F37" s="88"/>
      <c r="G37" s="54"/>
      <c r="H37" s="54"/>
      <c r="I37" s="135" t="s">
        <v>239</v>
      </c>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47"/>
      <c r="BT37" s="50"/>
      <c r="BU37" s="50"/>
      <c r="BV37" s="50"/>
      <c r="BW37" s="50"/>
      <c r="BX37" s="50"/>
      <c r="BY37" s="50"/>
    </row>
    <row r="38" spans="1:77" ht="15" customHeight="1" x14ac:dyDescent="0.3">
      <c r="A38" s="47"/>
      <c r="B38" s="47"/>
      <c r="C38" s="89"/>
      <c r="D38" s="90"/>
      <c r="E38" s="90"/>
      <c r="F38" s="88"/>
      <c r="H38" s="88"/>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47"/>
      <c r="BT38" s="50"/>
      <c r="BU38" s="50"/>
      <c r="BV38" s="50"/>
      <c r="BW38" s="50"/>
      <c r="BX38" s="50"/>
      <c r="BY38" s="50"/>
    </row>
    <row r="39" spans="1:77" ht="15" customHeight="1" x14ac:dyDescent="0.3">
      <c r="A39" s="47"/>
      <c r="B39" s="47"/>
      <c r="C39" s="89"/>
      <c r="D39" s="90"/>
      <c r="E39" s="90"/>
      <c r="F39" s="88"/>
      <c r="G39" s="146">
        <v>3</v>
      </c>
      <c r="H39" s="146"/>
      <c r="I39" s="147" t="s">
        <v>240</v>
      </c>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47"/>
      <c r="BT39" s="50"/>
      <c r="BU39" s="50"/>
      <c r="BV39" s="50"/>
      <c r="BW39" s="50"/>
      <c r="BX39" s="50"/>
      <c r="BY39" s="50"/>
    </row>
    <row r="40" spans="1:77" ht="15" customHeight="1" x14ac:dyDescent="0.3">
      <c r="A40" s="47"/>
      <c r="B40" s="47"/>
      <c r="C40" s="89"/>
      <c r="D40" s="90"/>
      <c r="E40" s="90"/>
      <c r="F40" s="88"/>
      <c r="G40" s="54"/>
      <c r="H40" s="54"/>
      <c r="I40" s="135" t="s">
        <v>241</v>
      </c>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47"/>
      <c r="BT40" s="50"/>
      <c r="BU40" s="50"/>
      <c r="BV40" s="50"/>
      <c r="BW40" s="50"/>
      <c r="BX40" s="50"/>
      <c r="BY40" s="50"/>
    </row>
    <row r="41" spans="1:77" ht="15" customHeight="1" x14ac:dyDescent="0.3">
      <c r="A41" s="47"/>
      <c r="B41" s="47"/>
      <c r="C41" s="89"/>
      <c r="D41" s="90"/>
      <c r="E41" s="90"/>
      <c r="F41" s="88"/>
      <c r="H41" s="88"/>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47"/>
      <c r="BT41" s="50"/>
      <c r="BU41" s="50"/>
      <c r="BV41" s="50"/>
      <c r="BW41" s="50"/>
      <c r="BX41" s="50"/>
      <c r="BY41" s="50"/>
    </row>
    <row r="42" spans="1:77" ht="15" customHeight="1" x14ac:dyDescent="0.3">
      <c r="A42" s="47"/>
      <c r="B42" s="47"/>
      <c r="C42" s="89"/>
      <c r="D42" s="90"/>
      <c r="E42" s="90"/>
      <c r="F42" s="88"/>
      <c r="G42" s="146">
        <v>4</v>
      </c>
      <c r="H42" s="146"/>
      <c r="I42" s="147" t="s">
        <v>242</v>
      </c>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47"/>
      <c r="BT42" s="50"/>
      <c r="BU42" s="50"/>
      <c r="BV42" s="50"/>
      <c r="BW42" s="50"/>
      <c r="BX42" s="50"/>
      <c r="BY42" s="50"/>
    </row>
    <row r="43" spans="1:77" ht="15" customHeight="1" x14ac:dyDescent="0.3">
      <c r="A43" s="47"/>
      <c r="B43" s="47"/>
      <c r="C43" s="89"/>
      <c r="D43" s="90"/>
      <c r="E43" s="90"/>
      <c r="F43" s="88"/>
      <c r="G43" s="54"/>
      <c r="H43" s="54"/>
      <c r="I43" s="135" t="s">
        <v>243</v>
      </c>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c r="AZ43" s="135"/>
      <c r="BA43" s="135"/>
      <c r="BB43" s="135"/>
      <c r="BC43" s="135"/>
      <c r="BD43" s="135"/>
      <c r="BE43" s="135"/>
      <c r="BF43" s="135"/>
      <c r="BG43" s="135"/>
      <c r="BH43" s="135"/>
      <c r="BI43" s="135"/>
      <c r="BJ43" s="135"/>
      <c r="BK43" s="135"/>
      <c r="BL43" s="135"/>
      <c r="BM43" s="135"/>
      <c r="BN43" s="135"/>
      <c r="BO43" s="135"/>
      <c r="BP43" s="135"/>
      <c r="BQ43" s="135"/>
      <c r="BR43" s="135"/>
      <c r="BS43" s="47"/>
      <c r="BT43" s="50"/>
      <c r="BU43" s="50"/>
      <c r="BV43" s="50"/>
      <c r="BW43" s="50"/>
      <c r="BX43" s="50"/>
      <c r="BY43" s="50"/>
    </row>
    <row r="44" spans="1:77" ht="15" customHeight="1" x14ac:dyDescent="0.3">
      <c r="A44" s="47"/>
      <c r="B44" s="47"/>
      <c r="C44" s="89"/>
      <c r="D44" s="90"/>
      <c r="E44" s="90"/>
      <c r="F44" s="88"/>
      <c r="H44" s="88"/>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c r="AZ44" s="135"/>
      <c r="BA44" s="135"/>
      <c r="BB44" s="135"/>
      <c r="BC44" s="135"/>
      <c r="BD44" s="135"/>
      <c r="BE44" s="135"/>
      <c r="BF44" s="135"/>
      <c r="BG44" s="135"/>
      <c r="BH44" s="135"/>
      <c r="BI44" s="135"/>
      <c r="BJ44" s="135"/>
      <c r="BK44" s="135"/>
      <c r="BL44" s="135"/>
      <c r="BM44" s="135"/>
      <c r="BN44" s="135"/>
      <c r="BO44" s="135"/>
      <c r="BP44" s="135"/>
      <c r="BQ44" s="135"/>
      <c r="BR44" s="135"/>
      <c r="BS44" s="47"/>
      <c r="BT44" s="50"/>
      <c r="BU44" s="50"/>
      <c r="BV44" s="50"/>
      <c r="BW44" s="50"/>
      <c r="BX44" s="50"/>
      <c r="BY44" s="50"/>
    </row>
    <row r="45" spans="1:77" ht="15" customHeight="1" x14ac:dyDescent="0.3">
      <c r="A45" s="47"/>
      <c r="B45" s="47"/>
      <c r="C45" s="89"/>
      <c r="D45" s="90"/>
      <c r="E45" s="90"/>
      <c r="F45" s="88"/>
      <c r="G45" s="146">
        <v>5</v>
      </c>
      <c r="H45" s="146"/>
      <c r="I45" s="147" t="s">
        <v>244</v>
      </c>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c r="BI45" s="147"/>
      <c r="BJ45" s="147"/>
      <c r="BK45" s="147"/>
      <c r="BL45" s="147"/>
      <c r="BM45" s="147"/>
      <c r="BN45" s="147"/>
      <c r="BO45" s="147"/>
      <c r="BP45" s="147"/>
      <c r="BQ45" s="147"/>
      <c r="BR45" s="147"/>
      <c r="BS45" s="47"/>
      <c r="BT45" s="50"/>
      <c r="BU45" s="50"/>
      <c r="BV45" s="50"/>
      <c r="BW45" s="50"/>
      <c r="BX45" s="50"/>
      <c r="BY45" s="50"/>
    </row>
    <row r="46" spans="1:77" ht="15" customHeight="1" x14ac:dyDescent="0.3">
      <c r="A46" s="47"/>
      <c r="B46" s="47"/>
      <c r="C46" s="89"/>
      <c r="D46" s="90"/>
      <c r="E46" s="90"/>
      <c r="F46" s="88"/>
      <c r="G46" s="54"/>
      <c r="H46" s="54"/>
      <c r="I46" s="135" t="s">
        <v>245</v>
      </c>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5"/>
      <c r="AX46" s="135"/>
      <c r="AY46" s="135"/>
      <c r="AZ46" s="135"/>
      <c r="BA46" s="135"/>
      <c r="BB46" s="135"/>
      <c r="BC46" s="135"/>
      <c r="BD46" s="135"/>
      <c r="BE46" s="135"/>
      <c r="BF46" s="135"/>
      <c r="BG46" s="135"/>
      <c r="BH46" s="135"/>
      <c r="BI46" s="135"/>
      <c r="BJ46" s="135"/>
      <c r="BK46" s="135"/>
      <c r="BL46" s="135"/>
      <c r="BM46" s="135"/>
      <c r="BN46" s="135"/>
      <c r="BO46" s="135"/>
      <c r="BP46" s="135"/>
      <c r="BQ46" s="135"/>
      <c r="BR46" s="135"/>
      <c r="BS46" s="47"/>
      <c r="BT46" s="50"/>
      <c r="BU46" s="50"/>
      <c r="BV46" s="50"/>
      <c r="BW46" s="50"/>
      <c r="BX46" s="50"/>
      <c r="BY46" s="50"/>
    </row>
    <row r="47" spans="1:77" ht="15" customHeight="1" x14ac:dyDescent="0.3">
      <c r="A47" s="47"/>
      <c r="B47" s="47"/>
      <c r="C47" s="89"/>
      <c r="D47" s="90"/>
      <c r="E47" s="90"/>
      <c r="F47" s="88"/>
      <c r="H47" s="88"/>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135"/>
      <c r="BH47" s="135"/>
      <c r="BI47" s="135"/>
      <c r="BJ47" s="135"/>
      <c r="BK47" s="135"/>
      <c r="BL47" s="135"/>
      <c r="BM47" s="135"/>
      <c r="BN47" s="135"/>
      <c r="BO47" s="135"/>
      <c r="BP47" s="135"/>
      <c r="BQ47" s="135"/>
      <c r="BR47" s="135"/>
      <c r="BS47" s="47"/>
      <c r="BT47" s="50"/>
      <c r="BU47" s="50"/>
      <c r="BV47" s="50"/>
      <c r="BW47" s="50"/>
      <c r="BX47" s="50"/>
      <c r="BY47" s="50"/>
    </row>
    <row r="48" spans="1:77" ht="15" customHeight="1" x14ac:dyDescent="0.3">
      <c r="A48" s="47"/>
      <c r="B48" s="47"/>
      <c r="C48" s="89"/>
      <c r="D48" s="90"/>
      <c r="E48" s="90"/>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47"/>
      <c r="BT48" s="50"/>
      <c r="BU48" s="50"/>
      <c r="BV48" s="50"/>
      <c r="BW48" s="50"/>
      <c r="BX48" s="50"/>
      <c r="BY48" s="50"/>
    </row>
    <row r="49" spans="1:77" ht="15" customHeight="1" x14ac:dyDescent="0.3">
      <c r="A49" s="47"/>
      <c r="B49" s="47"/>
      <c r="C49" s="89"/>
      <c r="D49" s="90"/>
      <c r="E49" s="90"/>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47"/>
      <c r="BT49" s="50"/>
      <c r="BU49" s="50"/>
      <c r="BV49" s="50"/>
      <c r="BW49" s="50"/>
      <c r="BX49" s="50"/>
      <c r="BY49" s="50"/>
    </row>
    <row r="50" spans="1:77" ht="15" customHeight="1" x14ac:dyDescent="0.3">
      <c r="A50" s="47"/>
      <c r="B50" s="47"/>
      <c r="C50" s="89"/>
      <c r="D50" s="90"/>
      <c r="E50" s="90"/>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47"/>
      <c r="BT50" s="50"/>
      <c r="BU50" s="50"/>
      <c r="BV50" s="50"/>
      <c r="BW50" s="50"/>
      <c r="BX50" s="50"/>
      <c r="BY50" s="50"/>
    </row>
    <row r="51" spans="1:77" ht="15" customHeight="1" x14ac:dyDescent="0.3">
      <c r="A51" s="47"/>
      <c r="B51" s="47"/>
      <c r="C51" s="89"/>
      <c r="D51" s="90"/>
      <c r="E51" s="90"/>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47"/>
      <c r="BT51" s="50"/>
      <c r="BU51" s="50"/>
      <c r="BV51" s="50"/>
      <c r="BW51" s="50"/>
      <c r="BX51" s="50"/>
      <c r="BY51" s="50"/>
    </row>
    <row r="52" spans="1:77" ht="15" customHeight="1" x14ac:dyDescent="0.3">
      <c r="A52" s="47"/>
      <c r="B52" s="47"/>
      <c r="C52" s="140" t="s">
        <v>235</v>
      </c>
      <c r="D52" s="141"/>
      <c r="E52" s="141"/>
      <c r="F52" s="141"/>
      <c r="G52" s="148" t="s">
        <v>250</v>
      </c>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c r="BJ52" s="148"/>
      <c r="BK52" s="148"/>
      <c r="BL52" s="148"/>
      <c r="BM52" s="148"/>
      <c r="BN52" s="148"/>
      <c r="BO52" s="148"/>
      <c r="BP52" s="148"/>
      <c r="BQ52" s="148"/>
      <c r="BR52" s="148"/>
      <c r="BS52" s="47"/>
      <c r="BT52" s="50"/>
      <c r="BU52" s="50"/>
      <c r="BV52" s="50"/>
      <c r="BW52" s="50"/>
      <c r="BX52" s="50"/>
      <c r="BY52" s="50"/>
    </row>
    <row r="53" spans="1:77" ht="15" customHeight="1" x14ac:dyDescent="0.3">
      <c r="A53" s="47"/>
      <c r="B53" s="47"/>
      <c r="C53" s="140"/>
      <c r="D53" s="141"/>
      <c r="E53" s="141"/>
      <c r="F53" s="141"/>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8"/>
      <c r="AX53" s="148"/>
      <c r="AY53" s="148"/>
      <c r="AZ53" s="148"/>
      <c r="BA53" s="148"/>
      <c r="BB53" s="148"/>
      <c r="BC53" s="148"/>
      <c r="BD53" s="148"/>
      <c r="BE53" s="148"/>
      <c r="BF53" s="148"/>
      <c r="BG53" s="148"/>
      <c r="BH53" s="148"/>
      <c r="BI53" s="148"/>
      <c r="BJ53" s="148"/>
      <c r="BK53" s="148"/>
      <c r="BL53" s="148"/>
      <c r="BM53" s="148"/>
      <c r="BN53" s="148"/>
      <c r="BO53" s="148"/>
      <c r="BP53" s="148"/>
      <c r="BQ53" s="148"/>
      <c r="BR53" s="148"/>
      <c r="BS53" s="47"/>
      <c r="BT53" s="50"/>
      <c r="BU53" s="50"/>
      <c r="BV53" s="50"/>
      <c r="BW53" s="50"/>
      <c r="BX53" s="50"/>
      <c r="BY53" s="50"/>
    </row>
    <row r="54" spans="1:77" ht="15" customHeight="1" x14ac:dyDescent="0.3">
      <c r="A54" s="47"/>
      <c r="B54" s="47"/>
      <c r="C54" s="51"/>
      <c r="D54" s="85"/>
      <c r="F54" s="85"/>
      <c r="G54" s="135" t="s">
        <v>251</v>
      </c>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85"/>
      <c r="BS54" s="47"/>
      <c r="BT54" s="50"/>
      <c r="BU54" s="50"/>
      <c r="BV54" s="50"/>
      <c r="BW54" s="50"/>
      <c r="BX54" s="50"/>
      <c r="BY54" s="50"/>
    </row>
    <row r="55" spans="1:77" ht="15" customHeight="1" x14ac:dyDescent="0.3">
      <c r="A55" s="47"/>
      <c r="B55" s="47"/>
      <c r="C55" s="51"/>
      <c r="D55" s="47"/>
      <c r="E55" s="47"/>
      <c r="F55" s="47"/>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47"/>
      <c r="BS55" s="47"/>
      <c r="BT55" s="50"/>
      <c r="BU55" s="50"/>
      <c r="BV55" s="50"/>
      <c r="BW55" s="50"/>
      <c r="BX55" s="50"/>
      <c r="BY55" s="50"/>
    </row>
    <row r="56" spans="1:77" ht="15" customHeight="1" x14ac:dyDescent="0.3">
      <c r="A56" s="47"/>
      <c r="B56" s="47"/>
      <c r="C56" s="51"/>
      <c r="D56" s="47"/>
      <c r="E56" s="47"/>
      <c r="F56" s="47"/>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135"/>
      <c r="BB56" s="135"/>
      <c r="BC56" s="135"/>
      <c r="BD56" s="135"/>
      <c r="BE56" s="135"/>
      <c r="BF56" s="135"/>
      <c r="BG56" s="135"/>
      <c r="BH56" s="135"/>
      <c r="BI56" s="135"/>
      <c r="BJ56" s="135"/>
      <c r="BK56" s="135"/>
      <c r="BL56" s="135"/>
      <c r="BM56" s="135"/>
      <c r="BN56" s="135"/>
      <c r="BO56" s="135"/>
      <c r="BP56" s="135"/>
      <c r="BQ56" s="135"/>
      <c r="BR56" s="47"/>
      <c r="BS56" s="47"/>
      <c r="BT56" s="50"/>
      <c r="BU56" s="50"/>
      <c r="BV56" s="50"/>
      <c r="BW56" s="50"/>
      <c r="BX56" s="50"/>
      <c r="BY56" s="50"/>
    </row>
    <row r="57" spans="1:77" ht="15" customHeight="1" x14ac:dyDescent="0.3">
      <c r="A57" s="47"/>
      <c r="C57" s="51"/>
      <c r="D57" s="47"/>
      <c r="E57" s="47"/>
      <c r="F57" s="47"/>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47"/>
      <c r="BS57" s="47"/>
      <c r="BT57" s="50"/>
      <c r="BU57" s="50"/>
      <c r="BV57" s="50"/>
      <c r="BW57" s="50"/>
      <c r="BX57" s="50"/>
      <c r="BY57" s="50"/>
    </row>
    <row r="58" spans="1:77" ht="15" customHeight="1" x14ac:dyDescent="0.3">
      <c r="A58" s="47"/>
      <c r="B58" s="47"/>
      <c r="C58" s="51"/>
      <c r="D58" s="47"/>
      <c r="E58" s="47"/>
      <c r="F58" s="47"/>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47"/>
      <c r="BS58" s="47"/>
      <c r="BT58" s="50"/>
      <c r="BU58" s="50"/>
      <c r="BV58" s="50"/>
      <c r="BW58" s="50"/>
      <c r="BX58" s="50"/>
      <c r="BY58" s="50"/>
    </row>
    <row r="59" spans="1:77" ht="15" customHeight="1" x14ac:dyDescent="0.3">
      <c r="A59" s="47"/>
      <c r="B59" s="47"/>
      <c r="C59" s="140" t="s">
        <v>246</v>
      </c>
      <c r="D59" s="141"/>
      <c r="E59" s="141"/>
      <c r="F59" s="141"/>
      <c r="G59" s="148" t="s">
        <v>252</v>
      </c>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c r="BP59" s="148"/>
      <c r="BQ59" s="148"/>
      <c r="BR59" s="148"/>
      <c r="BS59" s="47"/>
      <c r="BT59" s="50"/>
      <c r="BU59" s="50"/>
      <c r="BV59" s="50"/>
      <c r="BW59" s="50"/>
      <c r="BX59" s="50"/>
      <c r="BY59" s="50"/>
    </row>
    <row r="60" spans="1:77" ht="15" customHeight="1" x14ac:dyDescent="0.3">
      <c r="A60" s="47"/>
      <c r="B60" s="47"/>
      <c r="C60" s="140"/>
      <c r="D60" s="141"/>
      <c r="E60" s="141"/>
      <c r="F60" s="141"/>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47"/>
      <c r="BT60" s="50"/>
      <c r="BU60" s="50"/>
      <c r="BV60" s="50"/>
      <c r="BW60" s="50"/>
      <c r="BX60" s="50"/>
      <c r="BY60" s="50"/>
    </row>
    <row r="61" spans="1:77" ht="15" customHeight="1" x14ac:dyDescent="0.3">
      <c r="A61" s="47"/>
      <c r="B61" s="47"/>
      <c r="C61" s="51"/>
      <c r="D61" s="47"/>
      <c r="E61" s="85"/>
      <c r="F61" s="85"/>
      <c r="G61" s="135" t="s">
        <v>253</v>
      </c>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47"/>
      <c r="BT61" s="50"/>
      <c r="BU61" s="50"/>
      <c r="BV61" s="50"/>
      <c r="BW61" s="50"/>
      <c r="BX61" s="50"/>
      <c r="BY61" s="50"/>
    </row>
    <row r="62" spans="1:77" ht="15" customHeight="1" x14ac:dyDescent="0.3">
      <c r="A62" s="47"/>
      <c r="B62" s="47"/>
      <c r="C62" s="51"/>
      <c r="D62" s="47"/>
      <c r="E62" s="47"/>
      <c r="F62" s="47"/>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47"/>
      <c r="BT62" s="50"/>
      <c r="BU62" s="50"/>
      <c r="BV62" s="50"/>
      <c r="BW62" s="50"/>
      <c r="BX62" s="50"/>
      <c r="BY62" s="50"/>
    </row>
    <row r="63" spans="1:77" ht="15" customHeight="1" x14ac:dyDescent="0.3">
      <c r="A63" s="47"/>
      <c r="B63" s="47"/>
      <c r="C63" s="51"/>
      <c r="D63" s="47"/>
      <c r="E63" s="47"/>
      <c r="F63" s="47"/>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47"/>
      <c r="BT63" s="50"/>
      <c r="BU63" s="50"/>
      <c r="BV63" s="50"/>
      <c r="BW63" s="50"/>
      <c r="BX63" s="50"/>
      <c r="BY63" s="50"/>
    </row>
    <row r="64" spans="1:77" ht="15" customHeight="1" x14ac:dyDescent="0.3">
      <c r="A64" s="47"/>
      <c r="B64" s="47"/>
      <c r="C64" s="140"/>
      <c r="D64" s="141"/>
      <c r="E64" s="141"/>
      <c r="F64" s="141"/>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47"/>
      <c r="BT64" s="50"/>
      <c r="BU64" s="50"/>
      <c r="BV64" s="50"/>
      <c r="BW64" s="50"/>
      <c r="BX64" s="50"/>
      <c r="BY64" s="50"/>
    </row>
    <row r="65" spans="1:77" ht="15" customHeight="1" x14ac:dyDescent="0.3">
      <c r="A65" s="47"/>
      <c r="B65" s="47"/>
      <c r="C65" s="140"/>
      <c r="D65" s="141"/>
      <c r="E65" s="141"/>
      <c r="F65" s="141"/>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47"/>
      <c r="BT65" s="50"/>
      <c r="BU65" s="50"/>
      <c r="BV65" s="50"/>
      <c r="BW65" s="50"/>
      <c r="BX65" s="50"/>
      <c r="BY65" s="50"/>
    </row>
    <row r="66" spans="1:77" ht="15" customHeight="1" x14ac:dyDescent="0.3">
      <c r="A66" s="47"/>
      <c r="B66" s="47"/>
      <c r="C66" s="51"/>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50"/>
      <c r="BU66" s="50"/>
      <c r="BV66" s="50"/>
      <c r="BW66" s="50"/>
      <c r="BX66" s="50"/>
      <c r="BY66" s="50"/>
    </row>
    <row r="67" spans="1:77" ht="15" customHeight="1" x14ac:dyDescent="0.3">
      <c r="A67" s="47"/>
      <c r="B67" s="47"/>
      <c r="C67" s="51"/>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50"/>
      <c r="BU67" s="50"/>
      <c r="BV67" s="50"/>
      <c r="BW67" s="50"/>
      <c r="BX67" s="50"/>
      <c r="BY67" s="50"/>
    </row>
    <row r="68" spans="1:77" ht="15" customHeight="1" x14ac:dyDescent="0.3">
      <c r="A68" s="47"/>
      <c r="B68" s="47"/>
      <c r="C68" s="51"/>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50"/>
      <c r="BU68" s="50"/>
      <c r="BV68" s="50"/>
      <c r="BW68" s="50"/>
      <c r="BX68" s="50"/>
      <c r="BY68" s="50"/>
    </row>
    <row r="69" spans="1:77" ht="15" customHeight="1" x14ac:dyDescent="0.3">
      <c r="A69" s="47"/>
      <c r="B69" s="47"/>
      <c r="C69" s="51"/>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50"/>
      <c r="BU69" s="50"/>
      <c r="BV69" s="50"/>
      <c r="BW69" s="50"/>
      <c r="BX69" s="50"/>
      <c r="BY69" s="50"/>
    </row>
    <row r="70" spans="1:77" ht="15" customHeight="1" x14ac:dyDescent="0.3">
      <c r="A70" s="47"/>
      <c r="B70" s="47"/>
      <c r="C70" s="51"/>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50"/>
      <c r="BU70" s="50"/>
      <c r="BV70" s="50"/>
      <c r="BW70" s="50"/>
      <c r="BX70" s="50"/>
      <c r="BY70" s="50"/>
    </row>
    <row r="71" spans="1:77" ht="15" customHeight="1" x14ac:dyDescent="0.3">
      <c r="A71" s="47"/>
      <c r="B71" s="47"/>
      <c r="C71" s="51"/>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50"/>
      <c r="BU71" s="50"/>
      <c r="BV71" s="50"/>
      <c r="BW71" s="50"/>
      <c r="BX71" s="50"/>
      <c r="BY71" s="50"/>
    </row>
    <row r="72" spans="1:77" ht="15" customHeight="1" x14ac:dyDescent="0.3">
      <c r="A72" s="47"/>
      <c r="B72" s="47"/>
      <c r="C72" s="51"/>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50"/>
      <c r="BU72" s="50"/>
      <c r="BV72" s="50"/>
      <c r="BW72" s="50"/>
      <c r="BX72" s="50"/>
      <c r="BY72" s="50"/>
    </row>
    <row r="73" spans="1:77" ht="15" customHeight="1" x14ac:dyDescent="0.3">
      <c r="A73" s="47"/>
      <c r="B73" s="47"/>
      <c r="C73" s="51"/>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50"/>
      <c r="BU73" s="50"/>
      <c r="BV73" s="50"/>
      <c r="BW73" s="50"/>
      <c r="BX73" s="50"/>
      <c r="BY73" s="50"/>
    </row>
    <row r="74" spans="1:77" ht="15" customHeight="1" x14ac:dyDescent="0.3">
      <c r="A74" s="47"/>
      <c r="B74" s="47"/>
      <c r="C74" s="51"/>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50"/>
      <c r="BU74" s="50"/>
      <c r="BV74" s="50"/>
      <c r="BW74" s="50"/>
      <c r="BX74" s="50"/>
      <c r="BY74" s="50"/>
    </row>
    <row r="75" spans="1:77" ht="15" customHeight="1" x14ac:dyDescent="0.3">
      <c r="A75" s="47"/>
      <c r="B75" s="47"/>
      <c r="C75" s="51"/>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50"/>
      <c r="BU75" s="50"/>
      <c r="BV75" s="50"/>
      <c r="BW75" s="50"/>
      <c r="BX75" s="50"/>
      <c r="BY75" s="50"/>
    </row>
    <row r="76" spans="1:77" ht="15" customHeight="1" x14ac:dyDescent="0.3">
      <c r="A76" s="47"/>
      <c r="B76" s="47"/>
      <c r="C76" s="51"/>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50"/>
      <c r="BU76" s="50"/>
      <c r="BV76" s="50"/>
      <c r="BW76" s="50"/>
      <c r="BX76" s="50"/>
      <c r="BY76" s="50"/>
    </row>
    <row r="77" spans="1:77" ht="15" customHeight="1" x14ac:dyDescent="0.3">
      <c r="A77" s="47"/>
      <c r="B77" s="47"/>
      <c r="C77" s="51"/>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50"/>
      <c r="BU77" s="50"/>
      <c r="BV77" s="50"/>
      <c r="BW77" s="50"/>
      <c r="BX77" s="50"/>
      <c r="BY77" s="50"/>
    </row>
    <row r="78" spans="1:77" ht="15" customHeight="1" x14ac:dyDescent="0.3">
      <c r="A78" s="47"/>
      <c r="B78" s="47"/>
      <c r="C78" s="51"/>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50"/>
      <c r="BU78" s="50"/>
      <c r="BV78" s="50"/>
      <c r="BW78" s="50"/>
      <c r="BX78" s="50"/>
      <c r="BY78" s="50"/>
    </row>
    <row r="79" spans="1:77" ht="15" customHeight="1" x14ac:dyDescent="0.3">
      <c r="A79" s="47"/>
      <c r="B79" s="47"/>
      <c r="C79" s="51"/>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50"/>
      <c r="BU79" s="50"/>
      <c r="BV79" s="50"/>
      <c r="BW79" s="50"/>
      <c r="BX79" s="50"/>
      <c r="BY79" s="50"/>
    </row>
    <row r="80" spans="1:77" ht="15" customHeight="1" x14ac:dyDescent="0.3">
      <c r="A80" s="47"/>
      <c r="B80" s="47"/>
      <c r="C80" s="51"/>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50"/>
      <c r="BU80" s="50"/>
      <c r="BV80" s="50"/>
      <c r="BW80" s="50"/>
      <c r="BX80" s="50"/>
      <c r="BY80" s="50"/>
    </row>
    <row r="81" spans="1:77" ht="15" customHeight="1" x14ac:dyDescent="0.3">
      <c r="A81" s="47"/>
      <c r="B81" s="47"/>
      <c r="C81" s="51"/>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50"/>
      <c r="BU81" s="50"/>
      <c r="BV81" s="50"/>
      <c r="BW81" s="50"/>
      <c r="BX81" s="50"/>
      <c r="BY81" s="50"/>
    </row>
    <row r="82" spans="1:77" ht="15" customHeight="1" x14ac:dyDescent="0.3">
      <c r="A82" s="47"/>
      <c r="B82" s="47"/>
      <c r="C82" s="51"/>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50"/>
      <c r="BU82" s="50"/>
      <c r="BV82" s="50"/>
      <c r="BW82" s="50"/>
      <c r="BX82" s="50"/>
      <c r="BY82" s="50"/>
    </row>
    <row r="83" spans="1:77" ht="15" customHeight="1" x14ac:dyDescent="0.3">
      <c r="A83" s="47"/>
      <c r="B83" s="47"/>
      <c r="C83" s="51"/>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50"/>
      <c r="BU83" s="50"/>
      <c r="BV83" s="50"/>
      <c r="BW83" s="50"/>
      <c r="BX83" s="50"/>
      <c r="BY83" s="50"/>
    </row>
    <row r="84" spans="1:77" ht="15" customHeight="1" x14ac:dyDescent="0.3">
      <c r="A84" s="47"/>
      <c r="B84" s="47"/>
      <c r="C84" s="51"/>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50"/>
      <c r="BU84" s="50"/>
      <c r="BV84" s="50"/>
      <c r="BW84" s="50"/>
      <c r="BX84" s="50"/>
      <c r="BY84" s="50"/>
    </row>
    <row r="85" spans="1:77" ht="15" customHeight="1" x14ac:dyDescent="0.3">
      <c r="A85" s="47"/>
      <c r="B85" s="47"/>
      <c r="C85" s="51"/>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50"/>
      <c r="BU85" s="50"/>
      <c r="BV85" s="50"/>
      <c r="BW85" s="50"/>
      <c r="BX85" s="50"/>
      <c r="BY85" s="50"/>
    </row>
    <row r="86" spans="1:77" ht="15" customHeight="1" x14ac:dyDescent="0.3">
      <c r="A86" s="47"/>
      <c r="B86" s="47"/>
      <c r="C86" s="51"/>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50"/>
      <c r="BU86" s="50"/>
      <c r="BV86" s="50"/>
      <c r="BW86" s="50"/>
      <c r="BX86" s="50"/>
      <c r="BY86" s="50"/>
    </row>
    <row r="87" spans="1:77" ht="15" customHeight="1" x14ac:dyDescent="0.3">
      <c r="A87" s="47"/>
      <c r="B87" s="47"/>
      <c r="C87" s="51"/>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50"/>
      <c r="BU87" s="50"/>
      <c r="BV87" s="50"/>
      <c r="BW87" s="50"/>
      <c r="BX87" s="50"/>
      <c r="BY87" s="50"/>
    </row>
    <row r="88" spans="1:77" ht="15" customHeight="1" x14ac:dyDescent="0.3">
      <c r="A88" s="47"/>
      <c r="B88" s="47"/>
      <c r="C88" s="51"/>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50"/>
      <c r="BU88" s="50"/>
      <c r="BV88" s="50"/>
      <c r="BW88" s="50"/>
      <c r="BX88" s="50"/>
      <c r="BY88" s="50"/>
    </row>
    <row r="89" spans="1:77" ht="15" customHeight="1" x14ac:dyDescent="0.3">
      <c r="A89" s="47"/>
      <c r="B89" s="47"/>
      <c r="C89" s="51"/>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50"/>
      <c r="BU89" s="50"/>
      <c r="BV89" s="50"/>
      <c r="BW89" s="50"/>
      <c r="BX89" s="50"/>
      <c r="BY89" s="50"/>
    </row>
    <row r="90" spans="1:77" ht="15" customHeight="1" x14ac:dyDescent="0.3">
      <c r="A90" s="47"/>
      <c r="B90" s="47"/>
      <c r="C90" s="51"/>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50"/>
      <c r="BU90" s="50"/>
      <c r="BV90" s="50"/>
      <c r="BW90" s="50"/>
      <c r="BX90" s="50"/>
      <c r="BY90" s="50"/>
    </row>
    <row r="91" spans="1:77" ht="15" customHeight="1" x14ac:dyDescent="0.3">
      <c r="A91" s="47"/>
      <c r="B91" s="47"/>
      <c r="C91" s="51"/>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50"/>
      <c r="BU91" s="50"/>
      <c r="BV91" s="50"/>
      <c r="BW91" s="50"/>
      <c r="BX91" s="50"/>
      <c r="BY91" s="50"/>
    </row>
    <row r="92" spans="1:77" ht="15" customHeight="1" x14ac:dyDescent="0.3">
      <c r="A92" s="47"/>
      <c r="B92" s="47"/>
      <c r="C92" s="51"/>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50"/>
      <c r="BU92" s="50"/>
      <c r="BV92" s="50"/>
      <c r="BW92" s="50"/>
      <c r="BX92" s="50"/>
      <c r="BY92" s="50"/>
    </row>
    <row r="93" spans="1:77" ht="15" customHeight="1" x14ac:dyDescent="0.3">
      <c r="A93" s="47"/>
      <c r="B93" s="47"/>
      <c r="C93" s="51"/>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50"/>
      <c r="BU93" s="50"/>
      <c r="BV93" s="50"/>
      <c r="BW93" s="50"/>
      <c r="BX93" s="50"/>
      <c r="BY93" s="50"/>
    </row>
    <row r="94" spans="1:77" ht="15" customHeight="1" x14ac:dyDescent="0.3">
      <c r="A94" s="47"/>
      <c r="B94" s="47"/>
      <c r="C94" s="51"/>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50"/>
      <c r="BU94" s="50"/>
      <c r="BV94" s="50"/>
      <c r="BW94" s="50"/>
      <c r="BX94" s="50"/>
      <c r="BY94" s="50"/>
    </row>
    <row r="95" spans="1:77" ht="15" customHeight="1" x14ac:dyDescent="0.3">
      <c r="A95" s="47"/>
      <c r="B95" s="47"/>
      <c r="C95" s="51"/>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50"/>
      <c r="BU95" s="50"/>
      <c r="BV95" s="50"/>
      <c r="BW95" s="50"/>
      <c r="BX95" s="50"/>
      <c r="BY95" s="50"/>
    </row>
    <row r="96" spans="1:77" ht="15" customHeight="1" x14ac:dyDescent="0.3">
      <c r="A96" s="47"/>
      <c r="B96" s="47"/>
      <c r="C96" s="174">
        <v>2</v>
      </c>
      <c r="D96" s="175"/>
      <c r="E96" s="176" t="s">
        <v>178</v>
      </c>
      <c r="F96" s="176"/>
      <c r="G96" s="176"/>
      <c r="H96" s="176"/>
      <c r="I96" s="176"/>
      <c r="J96" s="176"/>
      <c r="K96" s="176"/>
      <c r="L96" s="176"/>
      <c r="M96" s="176"/>
      <c r="N96" s="176"/>
      <c r="O96" s="176"/>
      <c r="P96" s="176"/>
      <c r="Q96" s="176"/>
      <c r="R96" s="176"/>
      <c r="S96" s="176"/>
      <c r="T96" s="176"/>
      <c r="U96" s="176"/>
      <c r="V96" s="176"/>
      <c r="W96" s="176"/>
      <c r="X96" s="176"/>
      <c r="Y96" s="176"/>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176"/>
      <c r="AX96" s="176"/>
      <c r="AY96" s="176"/>
      <c r="AZ96" s="176"/>
      <c r="BA96" s="176"/>
      <c r="BB96" s="176"/>
      <c r="BC96" s="176"/>
      <c r="BD96" s="176"/>
      <c r="BE96" s="176"/>
      <c r="BF96" s="176"/>
      <c r="BG96" s="176"/>
      <c r="BH96" s="176"/>
      <c r="BI96" s="176"/>
      <c r="BJ96" s="176"/>
      <c r="BK96" s="176"/>
      <c r="BL96" s="176"/>
      <c r="BM96" s="176"/>
      <c r="BN96" s="176"/>
      <c r="BO96" s="176"/>
      <c r="BP96" s="176"/>
      <c r="BQ96" s="176"/>
      <c r="BR96" s="176"/>
      <c r="BS96" s="176"/>
      <c r="BT96" s="50"/>
      <c r="BU96" s="50"/>
      <c r="BV96" s="50"/>
      <c r="BW96" s="50"/>
      <c r="BX96" s="50"/>
      <c r="BY96" s="50"/>
    </row>
    <row r="97" spans="1:77" ht="15" customHeight="1" x14ac:dyDescent="0.3">
      <c r="A97" s="47"/>
      <c r="B97" s="47"/>
      <c r="C97" s="174"/>
      <c r="D97" s="175"/>
      <c r="E97" s="176"/>
      <c r="F97" s="176"/>
      <c r="G97" s="176"/>
      <c r="H97" s="176"/>
      <c r="I97" s="176"/>
      <c r="J97" s="176"/>
      <c r="K97" s="176"/>
      <c r="L97" s="176"/>
      <c r="M97" s="176"/>
      <c r="N97" s="176"/>
      <c r="O97" s="176"/>
      <c r="P97" s="176"/>
      <c r="Q97" s="176"/>
      <c r="R97" s="176"/>
      <c r="S97" s="176"/>
      <c r="T97" s="176"/>
      <c r="U97" s="176"/>
      <c r="V97" s="176"/>
      <c r="W97" s="176"/>
      <c r="X97" s="176"/>
      <c r="Y97" s="176"/>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176"/>
      <c r="AX97" s="176"/>
      <c r="AY97" s="176"/>
      <c r="AZ97" s="176"/>
      <c r="BA97" s="176"/>
      <c r="BB97" s="176"/>
      <c r="BC97" s="176"/>
      <c r="BD97" s="176"/>
      <c r="BE97" s="176"/>
      <c r="BF97" s="176"/>
      <c r="BG97" s="176"/>
      <c r="BH97" s="176"/>
      <c r="BI97" s="176"/>
      <c r="BJ97" s="176"/>
      <c r="BK97" s="176"/>
      <c r="BL97" s="176"/>
      <c r="BM97" s="176"/>
      <c r="BN97" s="176"/>
      <c r="BO97" s="176"/>
      <c r="BP97" s="176"/>
      <c r="BQ97" s="176"/>
      <c r="BR97" s="176"/>
      <c r="BS97" s="176"/>
      <c r="BT97" s="50"/>
      <c r="BU97" s="50"/>
      <c r="BV97" s="50"/>
      <c r="BW97" s="50"/>
      <c r="BX97" s="50"/>
      <c r="BY97" s="50"/>
    </row>
    <row r="98" spans="1:77" ht="15" customHeight="1" x14ac:dyDescent="0.3">
      <c r="A98" s="47"/>
      <c r="B98" s="47"/>
      <c r="C98" s="51"/>
      <c r="D98" s="47"/>
      <c r="E98" s="135" t="s">
        <v>282</v>
      </c>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47"/>
      <c r="BS98" s="47"/>
      <c r="BT98" s="50"/>
      <c r="BU98" s="50"/>
      <c r="BV98" s="50"/>
      <c r="BW98" s="50"/>
      <c r="BX98" s="50"/>
      <c r="BY98" s="50"/>
    </row>
    <row r="99" spans="1:77" ht="15" customHeight="1" x14ac:dyDescent="0.3">
      <c r="A99" s="47"/>
      <c r="B99" s="47"/>
      <c r="C99" s="51"/>
      <c r="D99" s="47"/>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47"/>
      <c r="BS99" s="47"/>
      <c r="BT99" s="50"/>
      <c r="BU99" s="50"/>
      <c r="BV99" s="50"/>
      <c r="BW99" s="50"/>
      <c r="BX99" s="50"/>
      <c r="BY99" s="50"/>
    </row>
    <row r="100" spans="1:77" ht="15" customHeight="1" x14ac:dyDescent="0.3">
      <c r="A100" s="47"/>
      <c r="B100" s="47"/>
      <c r="C100" s="51"/>
      <c r="D100" s="47"/>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47"/>
      <c r="BS100" s="47"/>
      <c r="BT100" s="50"/>
      <c r="BU100" s="50"/>
      <c r="BV100" s="50"/>
      <c r="BW100" s="50"/>
      <c r="BX100" s="50"/>
      <c r="BY100" s="50"/>
    </row>
    <row r="101" spans="1:77" ht="15" customHeight="1" x14ac:dyDescent="0.3">
      <c r="A101" s="47"/>
      <c r="B101" s="47"/>
      <c r="C101" s="140" t="s">
        <v>283</v>
      </c>
      <c r="D101" s="141"/>
      <c r="E101" s="141"/>
      <c r="F101" s="141"/>
      <c r="G101" s="148" t="s">
        <v>284</v>
      </c>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48"/>
      <c r="AZ101" s="148"/>
      <c r="BA101" s="148"/>
      <c r="BB101" s="148"/>
      <c r="BC101" s="148"/>
      <c r="BD101" s="148"/>
      <c r="BE101" s="148"/>
      <c r="BF101" s="148"/>
      <c r="BG101" s="148"/>
      <c r="BH101" s="148"/>
      <c r="BI101" s="148"/>
      <c r="BJ101" s="148"/>
      <c r="BK101" s="148"/>
      <c r="BL101" s="148"/>
      <c r="BM101" s="148"/>
      <c r="BN101" s="148"/>
      <c r="BO101" s="148"/>
      <c r="BP101" s="148"/>
      <c r="BQ101" s="148"/>
      <c r="BR101" s="47"/>
      <c r="BS101" s="47"/>
      <c r="BT101" s="50"/>
      <c r="BU101" s="50"/>
      <c r="BV101" s="50"/>
      <c r="BW101" s="50"/>
      <c r="BX101" s="50"/>
      <c r="BY101" s="50"/>
    </row>
    <row r="102" spans="1:77" ht="15" customHeight="1" x14ac:dyDescent="0.3">
      <c r="A102" s="47"/>
      <c r="B102" s="47"/>
      <c r="C102" s="140"/>
      <c r="D102" s="141"/>
      <c r="E102" s="141"/>
      <c r="F102" s="141"/>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c r="AD102" s="148"/>
      <c r="AE102" s="148"/>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c r="BD102" s="148"/>
      <c r="BE102" s="148"/>
      <c r="BF102" s="148"/>
      <c r="BG102" s="148"/>
      <c r="BH102" s="148"/>
      <c r="BI102" s="148"/>
      <c r="BJ102" s="148"/>
      <c r="BK102" s="148"/>
      <c r="BL102" s="148"/>
      <c r="BM102" s="148"/>
      <c r="BN102" s="148"/>
      <c r="BO102" s="148"/>
      <c r="BP102" s="148"/>
      <c r="BQ102" s="148"/>
      <c r="BR102" s="47"/>
      <c r="BS102" s="47"/>
      <c r="BT102" s="50"/>
      <c r="BU102" s="50"/>
      <c r="BV102" s="50"/>
      <c r="BW102" s="50"/>
      <c r="BX102" s="50"/>
      <c r="BY102" s="50"/>
    </row>
    <row r="103" spans="1:77" ht="15" customHeight="1" x14ac:dyDescent="0.2">
      <c r="A103" s="84"/>
      <c r="B103" s="84"/>
      <c r="C103" s="105"/>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106"/>
      <c r="BU103" s="106"/>
      <c r="BV103" s="106"/>
      <c r="BW103" s="106"/>
      <c r="BX103" s="106"/>
      <c r="BY103" s="106"/>
    </row>
    <row r="104" spans="1:77" ht="15" customHeight="1" x14ac:dyDescent="0.25">
      <c r="A104" s="84"/>
      <c r="B104" s="84"/>
      <c r="C104" s="105"/>
      <c r="D104" s="84"/>
      <c r="E104" s="84"/>
      <c r="F104" s="12" t="s">
        <v>318</v>
      </c>
      <c r="G104" s="84" t="s">
        <v>528</v>
      </c>
      <c r="H104" s="84"/>
      <c r="M104" s="84"/>
      <c r="N104" s="84"/>
      <c r="O104" s="84"/>
      <c r="P104" s="84"/>
      <c r="Q104" s="84"/>
      <c r="R104" s="84"/>
      <c r="S104" s="84"/>
      <c r="T104" s="84"/>
      <c r="U104" s="84"/>
      <c r="V104" s="84"/>
      <c r="W104" s="84"/>
      <c r="X104" s="84"/>
      <c r="Y104" s="84"/>
      <c r="Z104" s="84"/>
      <c r="AA104" s="84"/>
      <c r="AB104" s="12" t="s">
        <v>295</v>
      </c>
      <c r="AC104" s="84" t="s">
        <v>448</v>
      </c>
      <c r="AH104" s="84"/>
      <c r="AK104" s="84"/>
      <c r="AL104" s="84"/>
      <c r="AM104" s="84"/>
      <c r="AQ104" s="84"/>
      <c r="AR104" s="84"/>
      <c r="AS104" s="84"/>
      <c r="AT104" s="84"/>
      <c r="AU104" s="84"/>
      <c r="AV104" s="84"/>
      <c r="AW104" s="84"/>
      <c r="AX104" s="12" t="s">
        <v>309</v>
      </c>
      <c r="AY104" s="84" t="s">
        <v>449</v>
      </c>
      <c r="AZ104" s="84"/>
      <c r="BA104" s="84"/>
      <c r="BB104" s="84"/>
      <c r="BC104" s="84"/>
      <c r="BG104" s="84"/>
      <c r="BH104" s="84"/>
      <c r="BI104" s="84"/>
      <c r="BJ104" s="84"/>
      <c r="BK104" s="84"/>
      <c r="BL104" s="84"/>
      <c r="BM104" s="84"/>
      <c r="BN104" s="84"/>
      <c r="BO104" s="84"/>
      <c r="BP104" s="84"/>
      <c r="BQ104" s="84"/>
      <c r="BR104" s="84"/>
      <c r="BS104" s="84"/>
      <c r="BT104" s="106"/>
      <c r="BU104" s="106"/>
      <c r="BV104" s="106"/>
      <c r="BW104" s="106"/>
      <c r="BX104" s="106"/>
      <c r="BY104" s="106"/>
    </row>
    <row r="105" spans="1:77" ht="15" customHeight="1" x14ac:dyDescent="0.25">
      <c r="A105" s="84"/>
      <c r="B105" s="84"/>
      <c r="C105" s="105"/>
      <c r="D105" s="84"/>
      <c r="E105" s="84"/>
      <c r="F105" s="12" t="s">
        <v>350</v>
      </c>
      <c r="G105" s="84" t="s">
        <v>524</v>
      </c>
      <c r="H105" s="84"/>
      <c r="M105" s="84"/>
      <c r="N105" s="84"/>
      <c r="O105" s="84"/>
      <c r="P105" s="84"/>
      <c r="Q105" s="84"/>
      <c r="R105" s="84"/>
      <c r="S105" s="84"/>
      <c r="T105" s="84"/>
      <c r="U105" s="84"/>
      <c r="V105" s="84"/>
      <c r="W105" s="84"/>
      <c r="X105" s="84"/>
      <c r="Y105" s="84"/>
      <c r="Z105" s="84"/>
      <c r="AA105" s="84"/>
      <c r="AB105" s="12" t="s">
        <v>368</v>
      </c>
      <c r="AC105" s="84" t="s">
        <v>450</v>
      </c>
      <c r="AH105" s="84"/>
      <c r="AK105" s="84"/>
      <c r="AL105" s="84"/>
      <c r="AM105" s="84"/>
      <c r="AQ105" s="84"/>
      <c r="AR105" s="84"/>
      <c r="AS105" s="84"/>
      <c r="AT105" s="84"/>
      <c r="AU105" s="84"/>
      <c r="AV105" s="84"/>
      <c r="AW105" s="84"/>
      <c r="AX105" s="12" t="s">
        <v>329</v>
      </c>
      <c r="AY105" s="84" t="s">
        <v>502</v>
      </c>
      <c r="AZ105" s="84"/>
      <c r="BA105" s="84"/>
      <c r="BB105" s="84"/>
      <c r="BC105" s="84"/>
      <c r="BG105" s="84"/>
      <c r="BH105" s="84"/>
      <c r="BI105" s="84"/>
      <c r="BJ105" s="84"/>
      <c r="BK105" s="84"/>
      <c r="BL105" s="84"/>
      <c r="BM105" s="84"/>
      <c r="BN105" s="84"/>
      <c r="BO105" s="84"/>
      <c r="BP105" s="84"/>
      <c r="BQ105" s="84"/>
      <c r="BR105" s="84"/>
      <c r="BS105" s="84"/>
      <c r="BT105" s="106"/>
      <c r="BU105" s="106"/>
      <c r="BV105" s="106"/>
      <c r="BW105" s="106"/>
      <c r="BX105" s="106"/>
      <c r="BY105" s="106"/>
    </row>
    <row r="106" spans="1:77" ht="15" customHeight="1" x14ac:dyDescent="0.25">
      <c r="A106" s="84"/>
      <c r="B106" s="84"/>
      <c r="C106" s="105"/>
      <c r="D106" s="84"/>
      <c r="E106" s="84"/>
      <c r="F106" s="12" t="s">
        <v>349</v>
      </c>
      <c r="G106" s="84" t="s">
        <v>525</v>
      </c>
      <c r="H106" s="84"/>
      <c r="M106" s="84"/>
      <c r="N106" s="84"/>
      <c r="O106" s="84"/>
      <c r="P106" s="84"/>
      <c r="Q106" s="84"/>
      <c r="R106" s="84"/>
      <c r="S106" s="84"/>
      <c r="T106" s="84"/>
      <c r="U106" s="84"/>
      <c r="V106" s="84"/>
      <c r="W106" s="84"/>
      <c r="X106" s="84"/>
      <c r="Y106" s="84"/>
      <c r="Z106" s="84"/>
      <c r="AA106" s="84"/>
      <c r="AB106" s="12" t="s">
        <v>286</v>
      </c>
      <c r="AC106" s="84" t="s">
        <v>451</v>
      </c>
      <c r="AH106" s="84"/>
      <c r="AK106" s="84"/>
      <c r="AL106" s="84"/>
      <c r="AM106" s="84"/>
      <c r="AQ106" s="84"/>
      <c r="AT106" s="84"/>
      <c r="AU106" s="84"/>
      <c r="AV106" s="84"/>
      <c r="AW106" s="84"/>
      <c r="AX106" s="12" t="s">
        <v>332</v>
      </c>
      <c r="AY106" s="84" t="s">
        <v>503</v>
      </c>
      <c r="AZ106" s="84"/>
      <c r="BA106" s="84"/>
      <c r="BB106" s="84"/>
      <c r="BC106" s="84"/>
      <c r="BG106" s="84"/>
      <c r="BH106" s="84"/>
      <c r="BI106" s="84"/>
      <c r="BJ106" s="84"/>
      <c r="BK106" s="84"/>
      <c r="BL106" s="84"/>
      <c r="BM106" s="84"/>
      <c r="BN106" s="84"/>
      <c r="BO106" s="84"/>
      <c r="BP106" s="84"/>
      <c r="BQ106" s="84"/>
      <c r="BR106" s="84"/>
      <c r="BS106" s="84"/>
      <c r="BT106" s="106"/>
      <c r="BU106" s="106"/>
      <c r="BV106" s="106"/>
      <c r="BW106" s="106"/>
      <c r="BX106" s="106"/>
      <c r="BY106" s="106"/>
    </row>
    <row r="107" spans="1:77" ht="15" customHeight="1" x14ac:dyDescent="0.25">
      <c r="A107" s="84"/>
      <c r="B107" s="84"/>
      <c r="C107" s="105"/>
      <c r="D107" s="84"/>
      <c r="E107" s="84"/>
      <c r="F107" s="12" t="s">
        <v>333</v>
      </c>
      <c r="G107" s="84" t="s">
        <v>504</v>
      </c>
      <c r="H107" s="84"/>
      <c r="L107" s="84"/>
      <c r="M107" s="84"/>
      <c r="N107" s="84"/>
      <c r="O107" s="84"/>
      <c r="P107" s="84"/>
      <c r="Q107" s="84"/>
      <c r="R107" s="84"/>
      <c r="S107" s="84"/>
      <c r="T107" s="84"/>
      <c r="U107" s="84"/>
      <c r="V107" s="84"/>
      <c r="W107" s="84"/>
      <c r="X107" s="84"/>
      <c r="Y107" s="84"/>
      <c r="Z107" s="84"/>
      <c r="AA107" s="84"/>
      <c r="AB107" s="12" t="s">
        <v>287</v>
      </c>
      <c r="AC107" s="84" t="s">
        <v>452</v>
      </c>
      <c r="AK107" s="84"/>
      <c r="AL107" s="84"/>
      <c r="AM107" s="84"/>
      <c r="AQ107" s="84"/>
      <c r="AT107" s="84"/>
      <c r="AU107" s="84"/>
      <c r="AV107" s="84"/>
      <c r="AW107" s="84"/>
      <c r="AX107" s="12" t="s">
        <v>312</v>
      </c>
      <c r="AY107" s="84" t="s">
        <v>453</v>
      </c>
      <c r="AZ107" s="84"/>
      <c r="BA107" s="84"/>
      <c r="BB107" s="84"/>
      <c r="BC107" s="84"/>
      <c r="BG107" s="84"/>
      <c r="BH107" s="84"/>
      <c r="BI107" s="84"/>
      <c r="BJ107" s="84"/>
      <c r="BK107" s="84"/>
      <c r="BL107" s="84"/>
      <c r="BM107" s="84"/>
      <c r="BN107" s="84"/>
      <c r="BO107" s="84"/>
      <c r="BP107" s="84"/>
      <c r="BQ107" s="84"/>
      <c r="BR107" s="84"/>
      <c r="BS107" s="84"/>
      <c r="BT107" s="106"/>
      <c r="BU107" s="106"/>
      <c r="BV107" s="106"/>
      <c r="BW107" s="106"/>
      <c r="BX107" s="106"/>
      <c r="BY107" s="106"/>
    </row>
    <row r="108" spans="1:77" ht="15" customHeight="1" x14ac:dyDescent="0.25">
      <c r="A108" s="84"/>
      <c r="B108" s="84"/>
      <c r="C108" s="105"/>
      <c r="D108" s="84"/>
      <c r="E108" s="84"/>
      <c r="F108" s="12" t="s">
        <v>289</v>
      </c>
      <c r="G108" s="84" t="s">
        <v>454</v>
      </c>
      <c r="H108" s="84"/>
      <c r="L108" s="84"/>
      <c r="M108" s="84"/>
      <c r="N108" s="84"/>
      <c r="O108" s="84"/>
      <c r="P108" s="84"/>
      <c r="Q108" s="84"/>
      <c r="R108" s="84"/>
      <c r="S108" s="84"/>
      <c r="T108" s="84"/>
      <c r="U108" s="84"/>
      <c r="V108" s="84"/>
      <c r="W108" s="84"/>
      <c r="X108" s="84"/>
      <c r="Y108" s="84"/>
      <c r="Z108" s="84"/>
      <c r="AA108" s="84"/>
      <c r="AB108" s="12" t="s">
        <v>297</v>
      </c>
      <c r="AC108" s="84" t="s">
        <v>455</v>
      </c>
      <c r="AK108" s="84"/>
      <c r="AL108" s="84"/>
      <c r="AM108" s="84"/>
      <c r="AQ108" s="84"/>
      <c r="AT108" s="84"/>
      <c r="AU108" s="84"/>
      <c r="AV108" s="84"/>
      <c r="AW108" s="84"/>
      <c r="AX108" s="13" t="s">
        <v>373</v>
      </c>
      <c r="AY108" s="84" t="s">
        <v>521</v>
      </c>
      <c r="AZ108" s="84"/>
      <c r="BA108" s="84"/>
      <c r="BB108" s="84"/>
      <c r="BC108" s="84"/>
      <c r="BG108" s="84"/>
      <c r="BH108" s="84"/>
      <c r="BI108" s="84"/>
      <c r="BJ108" s="84"/>
      <c r="BK108" s="84"/>
      <c r="BL108" s="84"/>
      <c r="BM108" s="84"/>
      <c r="BN108" s="84"/>
      <c r="BO108" s="84"/>
      <c r="BP108" s="84"/>
      <c r="BQ108" s="84"/>
      <c r="BR108" s="84"/>
      <c r="BS108" s="84"/>
      <c r="BT108" s="106"/>
      <c r="BU108" s="106"/>
      <c r="BV108" s="106"/>
      <c r="BW108" s="106"/>
      <c r="BX108" s="106"/>
      <c r="BY108" s="106"/>
    </row>
    <row r="109" spans="1:77" ht="15" customHeight="1" x14ac:dyDescent="0.25">
      <c r="A109" s="84"/>
      <c r="B109" s="84"/>
      <c r="C109" s="105"/>
      <c r="D109" s="84"/>
      <c r="E109" s="84"/>
      <c r="F109" s="12" t="s">
        <v>290</v>
      </c>
      <c r="G109" s="84" t="s">
        <v>456</v>
      </c>
      <c r="H109" s="84"/>
      <c r="L109" s="84"/>
      <c r="M109" s="84"/>
      <c r="N109" s="84"/>
      <c r="O109" s="84"/>
      <c r="P109" s="84"/>
      <c r="Q109" s="84"/>
      <c r="R109" s="84"/>
      <c r="S109" s="84"/>
      <c r="T109" s="84"/>
      <c r="U109" s="84"/>
      <c r="V109" s="84"/>
      <c r="W109" s="84"/>
      <c r="X109" s="84"/>
      <c r="Y109" s="84"/>
      <c r="Z109" s="84"/>
      <c r="AA109" s="84"/>
      <c r="AB109" s="12" t="s">
        <v>367</v>
      </c>
      <c r="AC109" s="84" t="s">
        <v>457</v>
      </c>
      <c r="AK109" s="84"/>
      <c r="AL109" s="84"/>
      <c r="AM109" s="84"/>
      <c r="AQ109" s="84"/>
      <c r="AT109" s="84"/>
      <c r="AU109" s="84"/>
      <c r="AV109" s="84"/>
      <c r="AW109" s="84"/>
      <c r="AX109" s="12" t="s">
        <v>364</v>
      </c>
      <c r="AY109" s="84" t="s">
        <v>522</v>
      </c>
      <c r="AZ109" s="84"/>
      <c r="BA109" s="84"/>
      <c r="BB109" s="84"/>
      <c r="BC109" s="84"/>
      <c r="BD109" s="84"/>
      <c r="BG109" s="84"/>
      <c r="BH109" s="84"/>
      <c r="BK109" s="84"/>
      <c r="BL109" s="84"/>
      <c r="BM109" s="84"/>
      <c r="BN109" s="84"/>
      <c r="BO109" s="84"/>
      <c r="BP109" s="84"/>
      <c r="BQ109" s="84"/>
      <c r="BR109" s="84"/>
      <c r="BS109" s="84"/>
      <c r="BT109" s="106"/>
      <c r="BU109" s="106"/>
      <c r="BV109" s="106"/>
      <c r="BW109" s="106"/>
      <c r="BX109" s="106"/>
      <c r="BY109" s="106"/>
    </row>
    <row r="110" spans="1:77" ht="15" customHeight="1" x14ac:dyDescent="0.25">
      <c r="A110" s="84"/>
      <c r="B110" s="84"/>
      <c r="C110" s="105"/>
      <c r="D110" s="84"/>
      <c r="E110" s="84"/>
      <c r="F110" s="13" t="s">
        <v>343</v>
      </c>
      <c r="G110" s="84" t="s">
        <v>458</v>
      </c>
      <c r="H110" s="84"/>
      <c r="L110" s="84"/>
      <c r="M110" s="84"/>
      <c r="N110" s="84"/>
      <c r="O110" s="84"/>
      <c r="P110" s="84"/>
      <c r="Q110" s="84"/>
      <c r="R110" s="84"/>
      <c r="S110" s="84"/>
      <c r="T110" s="84"/>
      <c r="U110" s="84"/>
      <c r="V110" s="84"/>
      <c r="W110" s="84"/>
      <c r="X110" s="84"/>
      <c r="Y110" s="84"/>
      <c r="Z110" s="84"/>
      <c r="AA110" s="84"/>
      <c r="AB110" s="12" t="s">
        <v>288</v>
      </c>
      <c r="AC110" s="3" t="s">
        <v>459</v>
      </c>
      <c r="AK110" s="84"/>
      <c r="AL110" s="84"/>
      <c r="AM110" s="84"/>
      <c r="AQ110" s="84"/>
      <c r="AT110" s="84"/>
      <c r="AU110" s="84"/>
      <c r="AV110" s="84"/>
      <c r="AW110" s="84"/>
      <c r="AX110" s="12" t="s">
        <v>369</v>
      </c>
      <c r="AY110" s="84" t="s">
        <v>460</v>
      </c>
      <c r="AZ110" s="84"/>
      <c r="BA110" s="84"/>
      <c r="BB110" s="84"/>
      <c r="BC110" s="84"/>
      <c r="BD110" s="84"/>
      <c r="BG110" s="84"/>
      <c r="BH110" s="84"/>
      <c r="BK110" s="84"/>
      <c r="BL110" s="84"/>
      <c r="BM110" s="84"/>
      <c r="BN110" s="84"/>
      <c r="BO110" s="84"/>
      <c r="BP110" s="84"/>
      <c r="BQ110" s="84"/>
      <c r="BR110" s="84"/>
      <c r="BS110" s="84"/>
      <c r="BT110" s="106"/>
      <c r="BU110" s="106"/>
      <c r="BV110" s="106"/>
      <c r="BW110" s="106"/>
      <c r="BX110" s="106"/>
      <c r="BY110" s="106"/>
    </row>
    <row r="111" spans="1:77" ht="15" customHeight="1" x14ac:dyDescent="0.25">
      <c r="A111" s="84"/>
      <c r="B111" s="84"/>
      <c r="C111" s="105"/>
      <c r="D111" s="84"/>
      <c r="E111" s="84"/>
      <c r="F111" s="12" t="s">
        <v>339</v>
      </c>
      <c r="G111" s="84" t="s">
        <v>461</v>
      </c>
      <c r="H111" s="84"/>
      <c r="L111" s="84"/>
      <c r="M111" s="84"/>
      <c r="N111" s="84"/>
      <c r="O111" s="84"/>
      <c r="P111" s="84"/>
      <c r="Q111" s="84"/>
      <c r="R111" s="84"/>
      <c r="S111" s="84"/>
      <c r="T111" s="84"/>
      <c r="X111" s="84"/>
      <c r="Y111" s="84"/>
      <c r="Z111" s="84"/>
      <c r="AA111" s="84"/>
      <c r="AB111" s="12" t="s">
        <v>310</v>
      </c>
      <c r="AC111" s="84" t="s">
        <v>462</v>
      </c>
      <c r="AK111" s="84"/>
      <c r="AL111" s="84"/>
      <c r="AM111" s="84"/>
      <c r="AQ111" s="84"/>
      <c r="AT111" s="84"/>
      <c r="AU111" s="84"/>
      <c r="AV111" s="84"/>
      <c r="AW111" s="84"/>
      <c r="AX111" s="12" t="s">
        <v>335</v>
      </c>
      <c r="AY111" s="84" t="s">
        <v>463</v>
      </c>
      <c r="AZ111" s="84"/>
      <c r="BA111" s="84"/>
      <c r="BB111" s="84"/>
      <c r="BC111" s="84"/>
      <c r="BD111" s="84"/>
      <c r="BG111" s="84"/>
      <c r="BK111" s="84"/>
      <c r="BL111" s="84"/>
      <c r="BM111" s="84"/>
      <c r="BN111" s="84"/>
      <c r="BO111" s="84"/>
      <c r="BP111" s="84"/>
      <c r="BQ111" s="84"/>
      <c r="BR111" s="84"/>
      <c r="BS111" s="84"/>
      <c r="BT111" s="106"/>
      <c r="BU111" s="106"/>
      <c r="BV111" s="106"/>
      <c r="BW111" s="106"/>
      <c r="BX111" s="106"/>
      <c r="BY111" s="106"/>
    </row>
    <row r="112" spans="1:77" ht="15" customHeight="1" x14ac:dyDescent="0.25">
      <c r="A112" s="84"/>
      <c r="B112" s="84"/>
      <c r="C112" s="105"/>
      <c r="D112" s="84"/>
      <c r="E112" s="84"/>
      <c r="F112" s="12" t="s">
        <v>340</v>
      </c>
      <c r="G112" s="84" t="s">
        <v>464</v>
      </c>
      <c r="H112" s="84"/>
      <c r="L112" s="84"/>
      <c r="M112" s="84"/>
      <c r="N112" s="84"/>
      <c r="O112" s="84"/>
      <c r="P112" s="84"/>
      <c r="Q112" s="84"/>
      <c r="R112" s="84"/>
      <c r="S112" s="84"/>
      <c r="V112" s="84"/>
      <c r="W112" s="84"/>
      <c r="X112" s="84"/>
      <c r="Y112" s="84"/>
      <c r="Z112" s="84"/>
      <c r="AA112" s="84"/>
      <c r="AB112" s="12" t="s">
        <v>307</v>
      </c>
      <c r="AC112" s="84" t="s">
        <v>465</v>
      </c>
      <c r="AK112" s="84"/>
      <c r="AL112" s="84"/>
      <c r="AM112" s="84"/>
      <c r="AQ112" s="84"/>
      <c r="AU112" s="84"/>
      <c r="AV112" s="84"/>
      <c r="AW112" s="84"/>
      <c r="AX112" s="12" t="s">
        <v>311</v>
      </c>
      <c r="AY112" s="84" t="s">
        <v>466</v>
      </c>
      <c r="AZ112" s="84"/>
      <c r="BA112" s="84"/>
      <c r="BB112" s="84"/>
      <c r="BC112" s="84"/>
      <c r="BD112" s="84"/>
      <c r="BG112" s="84"/>
      <c r="BH112" s="84"/>
      <c r="BK112" s="84"/>
      <c r="BL112" s="84"/>
      <c r="BM112" s="84"/>
      <c r="BN112" s="84"/>
      <c r="BO112" s="84"/>
      <c r="BP112" s="84"/>
      <c r="BQ112" s="84"/>
      <c r="BR112" s="84"/>
      <c r="BS112" s="84"/>
      <c r="BT112" s="106"/>
      <c r="BU112" s="106"/>
      <c r="BV112" s="106"/>
      <c r="BW112" s="106"/>
      <c r="BX112" s="106"/>
      <c r="BY112" s="106"/>
    </row>
    <row r="113" spans="1:77" ht="15" customHeight="1" x14ac:dyDescent="0.25">
      <c r="A113" s="84"/>
      <c r="B113" s="84"/>
      <c r="C113" s="105"/>
      <c r="D113" s="84"/>
      <c r="E113" s="84"/>
      <c r="F113" s="13" t="s">
        <v>342</v>
      </c>
      <c r="G113" s="84" t="s">
        <v>467</v>
      </c>
      <c r="H113" s="84"/>
      <c r="L113" s="84"/>
      <c r="M113" s="84"/>
      <c r="N113" s="84"/>
      <c r="O113" s="84"/>
      <c r="P113" s="84"/>
      <c r="Q113" s="84"/>
      <c r="R113" s="84"/>
      <c r="S113" s="84"/>
      <c r="V113" s="84"/>
      <c r="W113" s="84"/>
      <c r="X113" s="84"/>
      <c r="Y113" s="84"/>
      <c r="Z113" s="84"/>
      <c r="AA113" s="84"/>
      <c r="AB113" s="12" t="s">
        <v>302</v>
      </c>
      <c r="AC113" s="84" t="s">
        <v>468</v>
      </c>
      <c r="AK113" s="84"/>
      <c r="AL113" s="84"/>
      <c r="AM113" s="84"/>
      <c r="AQ113" s="84"/>
      <c r="AU113" s="84"/>
      <c r="AV113" s="84"/>
      <c r="AW113" s="84"/>
      <c r="AX113" s="12" t="s">
        <v>365</v>
      </c>
      <c r="AY113" s="84" t="s">
        <v>523</v>
      </c>
      <c r="AZ113" s="84"/>
      <c r="BA113" s="84"/>
      <c r="BB113" s="84"/>
      <c r="BC113" s="84"/>
      <c r="BD113" s="84"/>
      <c r="BG113" s="84"/>
      <c r="BH113" s="84"/>
      <c r="BK113" s="84"/>
      <c r="BL113" s="84"/>
      <c r="BM113" s="84"/>
      <c r="BN113" s="84"/>
      <c r="BO113" s="84"/>
      <c r="BP113" s="84"/>
      <c r="BQ113" s="84"/>
      <c r="BR113" s="84"/>
      <c r="BS113" s="84"/>
      <c r="BT113" s="106"/>
      <c r="BU113" s="106"/>
      <c r="BV113" s="106"/>
      <c r="BW113" s="106"/>
      <c r="BX113" s="106"/>
      <c r="BY113" s="106"/>
    </row>
    <row r="114" spans="1:77" ht="15" customHeight="1" x14ac:dyDescent="0.25">
      <c r="A114" s="84"/>
      <c r="B114" s="84"/>
      <c r="C114" s="105"/>
      <c r="D114" s="84"/>
      <c r="E114" s="84"/>
      <c r="F114" s="12" t="s">
        <v>338</v>
      </c>
      <c r="G114" s="84" t="s">
        <v>469</v>
      </c>
      <c r="H114" s="84"/>
      <c r="L114" s="84"/>
      <c r="M114" s="84"/>
      <c r="N114" s="84"/>
      <c r="O114" s="84"/>
      <c r="P114" s="84"/>
      <c r="Q114" s="84"/>
      <c r="R114" s="84"/>
      <c r="S114" s="84"/>
      <c r="V114" s="84"/>
      <c r="W114" s="84"/>
      <c r="Z114" s="84"/>
      <c r="AA114" s="84"/>
      <c r="AB114" s="12" t="s">
        <v>296</v>
      </c>
      <c r="AC114" s="84" t="s">
        <v>470</v>
      </c>
      <c r="AK114" s="84"/>
      <c r="AL114" s="84"/>
      <c r="AM114" s="84"/>
      <c r="AQ114" s="84"/>
      <c r="AU114" s="84"/>
      <c r="AV114" s="84"/>
      <c r="AW114" s="84"/>
      <c r="AX114" s="12" t="s">
        <v>305</v>
      </c>
      <c r="AY114" s="84" t="s">
        <v>471</v>
      </c>
      <c r="AZ114" s="84"/>
      <c r="BA114" s="84"/>
      <c r="BB114" s="84"/>
      <c r="BC114" s="84"/>
      <c r="BD114" s="84"/>
      <c r="BG114" s="84"/>
      <c r="BH114" s="84"/>
      <c r="BK114" s="84"/>
      <c r="BL114" s="84"/>
      <c r="BP114" s="84"/>
      <c r="BQ114" s="84"/>
      <c r="BR114" s="84"/>
      <c r="BS114" s="84"/>
      <c r="BT114" s="106"/>
      <c r="BU114" s="106"/>
      <c r="BV114" s="106"/>
      <c r="BW114" s="106"/>
      <c r="BX114" s="106"/>
      <c r="BY114" s="106"/>
    </row>
    <row r="115" spans="1:77" ht="15" customHeight="1" x14ac:dyDescent="0.25">
      <c r="A115" s="84"/>
      <c r="B115" s="84"/>
      <c r="C115" s="105"/>
      <c r="D115" s="84"/>
      <c r="E115" s="84"/>
      <c r="F115" s="12" t="s">
        <v>344</v>
      </c>
      <c r="G115" s="84" t="s">
        <v>472</v>
      </c>
      <c r="H115" s="84"/>
      <c r="L115" s="84"/>
      <c r="M115" s="84"/>
      <c r="N115" s="84"/>
      <c r="O115" s="84"/>
      <c r="P115" s="84"/>
      <c r="Q115" s="84"/>
      <c r="R115" s="84"/>
      <c r="S115" s="84"/>
      <c r="V115" s="84"/>
      <c r="W115" s="84"/>
      <c r="X115" s="84"/>
      <c r="Y115" s="84"/>
      <c r="Z115" s="84"/>
      <c r="AA115" s="84"/>
      <c r="AB115" s="12" t="s">
        <v>314</v>
      </c>
      <c r="AC115" s="84" t="s">
        <v>473</v>
      </c>
      <c r="AH115" s="84"/>
      <c r="AK115" s="84"/>
      <c r="AL115" s="84"/>
      <c r="AM115" s="84"/>
      <c r="AQ115" s="84"/>
      <c r="AU115" s="84"/>
      <c r="AV115" s="84"/>
      <c r="AW115" s="84"/>
      <c r="AX115" s="12" t="s">
        <v>347</v>
      </c>
      <c r="AY115" s="84" t="s">
        <v>391</v>
      </c>
      <c r="AZ115" s="84"/>
      <c r="BA115" s="84"/>
      <c r="BB115" s="84"/>
      <c r="BC115" s="84"/>
      <c r="BD115" s="84"/>
      <c r="BG115" s="84"/>
      <c r="BH115" s="84"/>
      <c r="BK115" s="84"/>
      <c r="BL115" s="84"/>
      <c r="BP115" s="84"/>
      <c r="BQ115" s="84"/>
      <c r="BR115" s="84"/>
      <c r="BS115" s="84"/>
      <c r="BT115" s="106"/>
      <c r="BU115" s="106"/>
      <c r="BV115" s="106"/>
      <c r="BW115" s="106"/>
      <c r="BX115" s="106"/>
      <c r="BY115" s="106"/>
    </row>
    <row r="116" spans="1:77" ht="15" customHeight="1" x14ac:dyDescent="0.25">
      <c r="A116" s="84"/>
      <c r="B116" s="84"/>
      <c r="C116" s="105"/>
      <c r="D116" s="84"/>
      <c r="E116" s="84"/>
      <c r="F116" s="13" t="s">
        <v>337</v>
      </c>
      <c r="G116" s="84" t="s">
        <v>474</v>
      </c>
      <c r="H116" s="84"/>
      <c r="L116" s="84"/>
      <c r="M116" s="84"/>
      <c r="N116" s="84"/>
      <c r="O116" s="84"/>
      <c r="P116" s="84"/>
      <c r="Q116" s="84"/>
      <c r="R116" s="84"/>
      <c r="S116" s="84"/>
      <c r="V116" s="84"/>
      <c r="W116" s="84"/>
      <c r="X116" s="84"/>
      <c r="Y116" s="84"/>
      <c r="Z116" s="84"/>
      <c r="AA116" s="84"/>
      <c r="AB116" s="12" t="s">
        <v>348</v>
      </c>
      <c r="AC116" s="84" t="s">
        <v>379</v>
      </c>
      <c r="AH116" s="84"/>
      <c r="AK116" s="84"/>
      <c r="AL116" s="84"/>
      <c r="AM116" s="84"/>
      <c r="AQ116" s="84"/>
      <c r="AU116" s="84"/>
      <c r="AV116" s="84"/>
      <c r="AW116" s="84"/>
      <c r="AX116" s="12" t="s">
        <v>370</v>
      </c>
      <c r="AY116" s="84" t="s">
        <v>394</v>
      </c>
      <c r="AZ116" s="84"/>
      <c r="BA116" s="84"/>
      <c r="BB116" s="84"/>
      <c r="BC116" s="84"/>
      <c r="BD116" s="84"/>
      <c r="BG116" s="84"/>
      <c r="BH116" s="84"/>
      <c r="BK116" s="84"/>
      <c r="BL116" s="84"/>
      <c r="BP116" s="84"/>
      <c r="BQ116" s="84"/>
      <c r="BR116" s="84"/>
      <c r="BS116" s="84"/>
      <c r="BT116" s="106"/>
      <c r="BU116" s="106"/>
      <c r="BV116" s="106"/>
      <c r="BW116" s="106"/>
      <c r="BX116" s="106"/>
      <c r="BY116" s="106"/>
    </row>
    <row r="117" spans="1:77" ht="15" customHeight="1" x14ac:dyDescent="0.25">
      <c r="A117" s="84"/>
      <c r="B117" s="84"/>
      <c r="C117" s="105"/>
      <c r="D117" s="84"/>
      <c r="E117" s="84"/>
      <c r="F117" s="12" t="s">
        <v>341</v>
      </c>
      <c r="G117" s="84" t="s">
        <v>475</v>
      </c>
      <c r="H117" s="84"/>
      <c r="L117" s="84"/>
      <c r="M117" s="84"/>
      <c r="N117" s="84"/>
      <c r="O117" s="84"/>
      <c r="P117" s="84"/>
      <c r="Q117" s="84"/>
      <c r="R117" s="84"/>
      <c r="S117" s="84"/>
      <c r="V117" s="84"/>
      <c r="W117" s="84"/>
      <c r="X117" s="84"/>
      <c r="Y117" s="84"/>
      <c r="Z117" s="84"/>
      <c r="AA117" s="84"/>
      <c r="AB117" s="2" t="s">
        <v>371</v>
      </c>
      <c r="AC117" s="84" t="s">
        <v>380</v>
      </c>
      <c r="AH117" s="84"/>
      <c r="AK117" s="84"/>
      <c r="AL117" s="84"/>
      <c r="AM117" s="84"/>
      <c r="AQ117" s="84"/>
      <c r="AU117" s="84"/>
      <c r="AV117" s="84"/>
      <c r="AW117" s="84"/>
      <c r="AX117" s="12" t="s">
        <v>352</v>
      </c>
      <c r="AY117" s="3" t="s">
        <v>392</v>
      </c>
      <c r="AZ117" s="84"/>
      <c r="BA117" s="84"/>
      <c r="BB117" s="84"/>
      <c r="BC117" s="84"/>
      <c r="BD117" s="84"/>
      <c r="BG117" s="84"/>
      <c r="BH117" s="84"/>
      <c r="BK117" s="84"/>
      <c r="BL117" s="84"/>
      <c r="BP117" s="84"/>
      <c r="BQ117" s="84"/>
      <c r="BR117" s="84"/>
      <c r="BS117" s="84"/>
      <c r="BT117" s="106"/>
      <c r="BU117" s="106"/>
      <c r="BV117" s="106"/>
      <c r="BW117" s="106"/>
      <c r="BX117" s="106"/>
      <c r="BY117" s="106"/>
    </row>
    <row r="118" spans="1:77" ht="15" customHeight="1" x14ac:dyDescent="0.25">
      <c r="A118" s="84"/>
      <c r="B118" s="84"/>
      <c r="C118" s="105"/>
      <c r="D118" s="84"/>
      <c r="E118" s="84"/>
      <c r="F118" s="12" t="s">
        <v>356</v>
      </c>
      <c r="G118" s="84" t="s">
        <v>476</v>
      </c>
      <c r="H118" s="84"/>
      <c r="L118" s="84"/>
      <c r="M118" s="84"/>
      <c r="N118" s="84"/>
      <c r="O118" s="84"/>
      <c r="P118" s="84"/>
      <c r="Q118" s="84"/>
      <c r="R118" s="84"/>
      <c r="S118" s="84"/>
      <c r="V118" s="84"/>
      <c r="W118" s="84"/>
      <c r="X118" s="84"/>
      <c r="Y118" s="84"/>
      <c r="Z118" s="84"/>
      <c r="AA118" s="84"/>
      <c r="AB118" s="12" t="s">
        <v>324</v>
      </c>
      <c r="AC118" s="84" t="s">
        <v>381</v>
      </c>
      <c r="AH118" s="84"/>
      <c r="AK118" s="84"/>
      <c r="AL118" s="84"/>
      <c r="AM118" s="84"/>
      <c r="AQ118" s="84"/>
      <c r="AU118" s="84"/>
      <c r="AV118" s="84"/>
      <c r="AW118" s="84"/>
      <c r="AX118" s="12" t="s">
        <v>359</v>
      </c>
      <c r="AY118" s="84" t="s">
        <v>393</v>
      </c>
      <c r="AZ118" s="84"/>
      <c r="BA118" s="84"/>
      <c r="BB118" s="84"/>
      <c r="BC118" s="84"/>
      <c r="BD118" s="84"/>
      <c r="BG118" s="84"/>
      <c r="BH118" s="84"/>
      <c r="BI118" s="12"/>
      <c r="BK118" s="84"/>
      <c r="BL118" s="84"/>
      <c r="BP118" s="84"/>
      <c r="BQ118" s="84"/>
      <c r="BR118" s="84"/>
      <c r="BS118" s="84"/>
      <c r="BT118" s="106"/>
      <c r="BU118" s="106"/>
      <c r="BV118" s="106"/>
      <c r="BW118" s="106"/>
      <c r="BX118" s="106"/>
      <c r="BY118" s="106"/>
    </row>
    <row r="119" spans="1:77" ht="15" customHeight="1" x14ac:dyDescent="0.25">
      <c r="A119" s="84"/>
      <c r="B119" s="84"/>
      <c r="C119" s="105"/>
      <c r="D119" s="84"/>
      <c r="E119" s="84"/>
      <c r="F119" s="13" t="s">
        <v>294</v>
      </c>
      <c r="G119" s="84" t="s">
        <v>477</v>
      </c>
      <c r="H119" s="84"/>
      <c r="L119" s="84"/>
      <c r="M119" s="84"/>
      <c r="N119" s="84"/>
      <c r="O119" s="84"/>
      <c r="P119" s="84"/>
      <c r="Q119" s="84"/>
      <c r="R119" s="84"/>
      <c r="S119" s="84"/>
      <c r="V119" s="84"/>
      <c r="W119" s="84"/>
      <c r="X119" s="84"/>
      <c r="Y119" s="84"/>
      <c r="Z119" s="84"/>
      <c r="AA119" s="84"/>
      <c r="AB119" s="2" t="s">
        <v>403</v>
      </c>
      <c r="AC119" s="84" t="s">
        <v>382</v>
      </c>
      <c r="AH119" s="84"/>
      <c r="AK119" s="84"/>
      <c r="AL119" s="84"/>
      <c r="AM119" s="84"/>
      <c r="AQ119" s="84"/>
      <c r="AU119" s="84"/>
      <c r="AV119" s="84"/>
      <c r="AW119" s="84"/>
      <c r="AX119" s="12" t="s">
        <v>361</v>
      </c>
      <c r="AY119" s="84" t="s">
        <v>395</v>
      </c>
      <c r="AZ119" s="84"/>
      <c r="BA119" s="84"/>
      <c r="BB119" s="84"/>
      <c r="BC119" s="84"/>
      <c r="BD119" s="84"/>
      <c r="BG119" s="84"/>
      <c r="BH119" s="84"/>
      <c r="BI119" s="12"/>
      <c r="BK119" s="84"/>
      <c r="BL119" s="84"/>
      <c r="BP119" s="84"/>
      <c r="BQ119" s="84"/>
      <c r="BR119" s="84"/>
      <c r="BS119" s="84"/>
      <c r="BT119" s="106"/>
      <c r="BU119" s="106"/>
      <c r="BV119" s="106"/>
      <c r="BW119" s="106"/>
      <c r="BX119" s="106"/>
      <c r="BY119" s="106"/>
    </row>
    <row r="120" spans="1:77" ht="15" customHeight="1" x14ac:dyDescent="0.25">
      <c r="A120" s="84"/>
      <c r="B120" s="84"/>
      <c r="C120" s="105"/>
      <c r="D120" s="84"/>
      <c r="E120" s="84"/>
      <c r="F120" s="12" t="s">
        <v>400</v>
      </c>
      <c r="G120" s="3" t="s">
        <v>478</v>
      </c>
      <c r="H120" s="84"/>
      <c r="L120" s="84"/>
      <c r="M120" s="84"/>
      <c r="N120" s="84"/>
      <c r="O120" s="84"/>
      <c r="P120" s="84"/>
      <c r="Q120" s="84"/>
      <c r="R120" s="84"/>
      <c r="S120" s="84"/>
      <c r="V120" s="84"/>
      <c r="W120" s="84"/>
      <c r="X120" s="84"/>
      <c r="Y120" s="84"/>
      <c r="Z120" s="84"/>
      <c r="AA120" s="84"/>
      <c r="AB120" s="2" t="s">
        <v>404</v>
      </c>
      <c r="AC120" s="84" t="s">
        <v>383</v>
      </c>
      <c r="AH120" s="84"/>
      <c r="AK120" s="84"/>
      <c r="AL120" s="84"/>
      <c r="AM120" s="84"/>
      <c r="AQ120" s="84"/>
      <c r="AU120" s="84"/>
      <c r="AV120" s="84"/>
      <c r="AW120" s="84"/>
      <c r="AX120" s="12" t="s">
        <v>315</v>
      </c>
      <c r="AY120" s="84" t="s">
        <v>479</v>
      </c>
      <c r="AZ120" s="84"/>
      <c r="BA120" s="84"/>
      <c r="BB120" s="84"/>
      <c r="BC120" s="84"/>
      <c r="BD120" s="84"/>
      <c r="BG120" s="84"/>
      <c r="BH120" s="84"/>
      <c r="BL120" s="84"/>
      <c r="BP120" s="84"/>
      <c r="BQ120" s="84"/>
      <c r="BR120" s="84"/>
      <c r="BS120" s="84"/>
      <c r="BT120" s="106"/>
      <c r="BU120" s="106"/>
      <c r="BV120" s="106"/>
      <c r="BW120" s="106"/>
      <c r="BX120" s="106"/>
      <c r="BY120" s="106"/>
    </row>
    <row r="121" spans="1:77" ht="15" customHeight="1" x14ac:dyDescent="0.25">
      <c r="A121" s="84"/>
      <c r="B121" s="84"/>
      <c r="C121" s="105"/>
      <c r="D121" s="84"/>
      <c r="E121" s="84"/>
      <c r="F121" s="13" t="s">
        <v>358</v>
      </c>
      <c r="G121" s="84" t="s">
        <v>505</v>
      </c>
      <c r="H121" s="84"/>
      <c r="M121" s="84"/>
      <c r="N121" s="84"/>
      <c r="O121" s="84"/>
      <c r="P121" s="84"/>
      <c r="Q121" s="84"/>
      <c r="R121" s="84"/>
      <c r="S121" s="84"/>
      <c r="V121" s="84"/>
      <c r="W121" s="84"/>
      <c r="X121" s="84"/>
      <c r="Y121" s="84"/>
      <c r="Z121" s="84"/>
      <c r="AA121" s="84"/>
      <c r="AB121" s="2" t="s">
        <v>405</v>
      </c>
      <c r="AC121" s="84" t="s">
        <v>386</v>
      </c>
      <c r="AH121" s="84"/>
      <c r="AK121" s="84"/>
      <c r="AL121" s="84"/>
      <c r="AM121" s="84"/>
      <c r="AQ121" s="84"/>
      <c r="AU121" s="84"/>
      <c r="AV121" s="84"/>
      <c r="AW121" s="84"/>
      <c r="AX121" s="13" t="s">
        <v>303</v>
      </c>
      <c r="AY121" s="84" t="s">
        <v>480</v>
      </c>
      <c r="AZ121" s="84"/>
      <c r="BA121" s="84"/>
      <c r="BB121" s="84"/>
      <c r="BC121" s="84"/>
      <c r="BD121" s="84"/>
      <c r="BG121" s="84"/>
      <c r="BH121" s="84"/>
      <c r="BL121" s="84"/>
      <c r="BP121" s="84"/>
      <c r="BQ121" s="84"/>
      <c r="BR121" s="84"/>
      <c r="BS121" s="84"/>
      <c r="BT121" s="106"/>
      <c r="BU121" s="106"/>
      <c r="BV121" s="106"/>
      <c r="BW121" s="106"/>
      <c r="BX121" s="106"/>
      <c r="BY121" s="106"/>
    </row>
    <row r="122" spans="1:77" ht="15" customHeight="1" x14ac:dyDescent="0.25">
      <c r="A122" s="84"/>
      <c r="B122" s="84"/>
      <c r="C122" s="105"/>
      <c r="D122" s="84"/>
      <c r="E122" s="84"/>
      <c r="F122" s="13" t="s">
        <v>353</v>
      </c>
      <c r="G122" s="84" t="s">
        <v>506</v>
      </c>
      <c r="H122" s="84"/>
      <c r="L122" s="84"/>
      <c r="M122" s="84"/>
      <c r="N122" s="84"/>
      <c r="O122" s="84"/>
      <c r="P122" s="84"/>
      <c r="Q122" s="84"/>
      <c r="R122" s="84"/>
      <c r="S122" s="84"/>
      <c r="V122" s="84"/>
      <c r="W122" s="84"/>
      <c r="X122" s="84"/>
      <c r="Y122" s="84"/>
      <c r="Z122" s="84"/>
      <c r="AA122" s="84"/>
      <c r="AB122" s="12" t="s">
        <v>317</v>
      </c>
      <c r="AC122" s="84" t="s">
        <v>385</v>
      </c>
      <c r="AH122" s="84"/>
      <c r="AK122" s="84"/>
      <c r="AL122" s="84"/>
      <c r="AM122" s="84"/>
      <c r="AQ122" s="84"/>
      <c r="AU122" s="84"/>
      <c r="AV122" s="84"/>
      <c r="AW122" s="84"/>
      <c r="AX122" s="12" t="s">
        <v>316</v>
      </c>
      <c r="AY122" s="84" t="s">
        <v>481</v>
      </c>
      <c r="AZ122" s="84"/>
      <c r="BA122" s="84"/>
      <c r="BB122" s="84"/>
      <c r="BC122" s="84"/>
      <c r="BD122" s="84"/>
      <c r="BG122" s="84"/>
      <c r="BH122" s="84"/>
      <c r="BK122" s="84"/>
      <c r="BL122" s="84"/>
      <c r="BM122" s="84"/>
      <c r="BN122" s="84"/>
      <c r="BO122" s="84"/>
      <c r="BP122" s="84"/>
      <c r="BQ122" s="84"/>
      <c r="BR122" s="84"/>
      <c r="BS122" s="84"/>
      <c r="BT122" s="106"/>
      <c r="BU122" s="106"/>
      <c r="BV122" s="106"/>
      <c r="BW122" s="106"/>
      <c r="BX122" s="106"/>
      <c r="BY122" s="106"/>
    </row>
    <row r="123" spans="1:77" ht="15" customHeight="1" x14ac:dyDescent="0.25">
      <c r="A123" s="84"/>
      <c r="B123" s="84"/>
      <c r="C123" s="105"/>
      <c r="D123" s="84"/>
      <c r="E123" s="84"/>
      <c r="F123" s="12" t="s">
        <v>354</v>
      </c>
      <c r="G123" s="84" t="s">
        <v>507</v>
      </c>
      <c r="H123" s="84"/>
      <c r="L123" s="84"/>
      <c r="M123" s="84"/>
      <c r="N123" s="84"/>
      <c r="O123" s="84"/>
      <c r="P123" s="84"/>
      <c r="Q123" s="84"/>
      <c r="R123" s="84"/>
      <c r="S123" s="84"/>
      <c r="V123" s="84"/>
      <c r="W123" s="84"/>
      <c r="X123" s="84"/>
      <c r="Y123" s="84"/>
      <c r="Z123" s="84"/>
      <c r="AA123" s="84"/>
      <c r="AB123" s="12" t="s">
        <v>351</v>
      </c>
      <c r="AC123" s="3" t="s">
        <v>384</v>
      </c>
      <c r="AH123" s="84"/>
      <c r="AK123" s="84"/>
      <c r="AL123" s="84"/>
      <c r="AM123" s="84"/>
      <c r="AQ123" s="84"/>
      <c r="AU123" s="84"/>
      <c r="AV123" s="84"/>
      <c r="AW123" s="84"/>
      <c r="AX123" s="12" t="s">
        <v>304</v>
      </c>
      <c r="AY123" s="84" t="s">
        <v>397</v>
      </c>
      <c r="AZ123" s="84"/>
      <c r="BA123" s="84"/>
      <c r="BB123" s="84"/>
      <c r="BC123" s="84"/>
      <c r="BD123" s="84"/>
      <c r="BG123" s="84"/>
      <c r="BH123" s="84"/>
      <c r="BK123" s="84"/>
      <c r="BL123" s="84"/>
      <c r="BM123" s="84"/>
      <c r="BN123" s="84"/>
      <c r="BO123" s="84"/>
      <c r="BP123" s="84"/>
      <c r="BQ123" s="84"/>
      <c r="BR123" s="84"/>
      <c r="BS123" s="84"/>
      <c r="BT123" s="106"/>
      <c r="BU123" s="106"/>
      <c r="BV123" s="106"/>
      <c r="BW123" s="106"/>
      <c r="BX123" s="106"/>
      <c r="BY123" s="106"/>
    </row>
    <row r="124" spans="1:77" ht="15" customHeight="1" x14ac:dyDescent="0.25">
      <c r="A124" s="84"/>
      <c r="B124" s="84"/>
      <c r="C124" s="105"/>
      <c r="D124" s="84"/>
      <c r="E124" s="84"/>
      <c r="F124" s="12" t="s">
        <v>319</v>
      </c>
      <c r="G124" s="84" t="s">
        <v>508</v>
      </c>
      <c r="H124" s="84"/>
      <c r="L124" s="84"/>
      <c r="N124" s="84"/>
      <c r="O124" s="84"/>
      <c r="P124" s="84"/>
      <c r="Q124" s="84"/>
      <c r="R124" s="84"/>
      <c r="S124" s="84"/>
      <c r="V124" s="84"/>
      <c r="W124" s="84"/>
      <c r="X124" s="84"/>
      <c r="Y124" s="84"/>
      <c r="Z124" s="84"/>
      <c r="AA124" s="84"/>
      <c r="AB124" s="12" t="s">
        <v>360</v>
      </c>
      <c r="AC124" s="84" t="s">
        <v>387</v>
      </c>
      <c r="AH124" s="84"/>
      <c r="AK124" s="84"/>
      <c r="AL124" s="84"/>
      <c r="AM124" s="84"/>
      <c r="AQ124" s="84"/>
      <c r="AU124" s="84"/>
      <c r="AV124" s="84"/>
      <c r="AW124" s="84"/>
      <c r="AX124" s="12" t="s">
        <v>292</v>
      </c>
      <c r="AY124" s="84" t="s">
        <v>396</v>
      </c>
      <c r="AZ124" s="84"/>
      <c r="BA124" s="84"/>
      <c r="BB124" s="84"/>
      <c r="BC124" s="84"/>
      <c r="BD124" s="84"/>
      <c r="BG124" s="84"/>
      <c r="BH124" s="84"/>
      <c r="BK124" s="84"/>
      <c r="BL124" s="84"/>
      <c r="BM124" s="84"/>
      <c r="BN124" s="84"/>
      <c r="BO124" s="84"/>
      <c r="BP124" s="84"/>
      <c r="BQ124" s="84"/>
      <c r="BR124" s="84"/>
      <c r="BS124" s="84"/>
      <c r="BT124" s="106"/>
      <c r="BU124" s="106"/>
      <c r="BV124" s="106"/>
      <c r="BW124" s="106"/>
      <c r="BX124" s="106"/>
      <c r="BY124" s="106"/>
    </row>
    <row r="125" spans="1:77" ht="15" customHeight="1" x14ac:dyDescent="0.25">
      <c r="A125" s="84"/>
      <c r="B125" s="84"/>
      <c r="C125" s="105"/>
      <c r="D125" s="84"/>
      <c r="E125" s="84"/>
      <c r="F125" s="12" t="s">
        <v>376</v>
      </c>
      <c r="G125" s="84" t="s">
        <v>509</v>
      </c>
      <c r="H125" s="84"/>
      <c r="L125" s="84"/>
      <c r="M125" s="84"/>
      <c r="N125" s="84"/>
      <c r="O125" s="84"/>
      <c r="P125" s="84"/>
      <c r="Q125" s="84"/>
      <c r="R125" s="84"/>
      <c r="S125" s="84"/>
      <c r="V125" s="84"/>
      <c r="W125" s="84"/>
      <c r="X125" s="84"/>
      <c r="Y125" s="84"/>
      <c r="Z125" s="84"/>
      <c r="AA125" s="84"/>
      <c r="AB125" s="12" t="s">
        <v>362</v>
      </c>
      <c r="AC125" s="84" t="s">
        <v>388</v>
      </c>
      <c r="AH125" s="84"/>
      <c r="AK125" s="84"/>
      <c r="AL125" s="84"/>
      <c r="AM125" s="84"/>
      <c r="AQ125" s="84"/>
      <c r="AU125" s="84"/>
      <c r="AV125" s="84"/>
      <c r="AW125" s="84"/>
      <c r="AX125" s="13" t="s">
        <v>355</v>
      </c>
      <c r="AY125" s="84" t="s">
        <v>399</v>
      </c>
      <c r="AZ125" s="84"/>
      <c r="BA125" s="84"/>
      <c r="BB125" s="84"/>
      <c r="BC125" s="84"/>
      <c r="BD125" s="84"/>
      <c r="BG125" s="84"/>
      <c r="BH125" s="84"/>
      <c r="BK125" s="84"/>
      <c r="BL125" s="84"/>
      <c r="BM125" s="84"/>
      <c r="BN125" s="84"/>
      <c r="BO125" s="84"/>
      <c r="BP125" s="84"/>
      <c r="BQ125" s="84"/>
      <c r="BR125" s="84"/>
      <c r="BS125" s="84"/>
      <c r="BT125" s="106"/>
      <c r="BU125" s="106"/>
      <c r="BV125" s="106"/>
      <c r="BW125" s="106"/>
      <c r="BX125" s="106"/>
      <c r="BY125" s="106"/>
    </row>
    <row r="126" spans="1:77" ht="15" customHeight="1" x14ac:dyDescent="0.25">
      <c r="A126" s="84"/>
      <c r="B126" s="84"/>
      <c r="C126" s="105"/>
      <c r="D126" s="84"/>
      <c r="E126" s="84"/>
      <c r="F126" s="12" t="s">
        <v>346</v>
      </c>
      <c r="G126" s="84" t="s">
        <v>510</v>
      </c>
      <c r="L126" s="84"/>
      <c r="M126" s="84"/>
      <c r="N126" s="84"/>
      <c r="O126" s="84"/>
      <c r="P126" s="84"/>
      <c r="Q126" s="84"/>
      <c r="R126" s="84"/>
      <c r="S126" s="84"/>
      <c r="V126" s="84"/>
      <c r="W126" s="84"/>
      <c r="X126" s="84"/>
      <c r="Y126" s="84"/>
      <c r="Z126" s="84"/>
      <c r="AA126" s="84"/>
      <c r="AB126" s="12" t="s">
        <v>323</v>
      </c>
      <c r="AC126" s="84" t="s">
        <v>389</v>
      </c>
      <c r="AH126" s="84"/>
      <c r="AK126" s="84"/>
      <c r="AL126" s="84"/>
      <c r="AM126" s="84"/>
      <c r="AQ126" s="84"/>
      <c r="AU126" s="84"/>
      <c r="AV126" s="84"/>
      <c r="AW126" s="84"/>
      <c r="AX126" s="13" t="s">
        <v>345</v>
      </c>
      <c r="AY126" s="84" t="s">
        <v>398</v>
      </c>
      <c r="AZ126" s="84"/>
      <c r="BA126" s="84"/>
      <c r="BB126" s="84"/>
      <c r="BC126" s="84"/>
      <c r="BD126" s="84"/>
      <c r="BG126" s="84"/>
      <c r="BH126" s="84"/>
      <c r="BI126" s="84"/>
      <c r="BJ126" s="84"/>
      <c r="BK126" s="84"/>
      <c r="BL126" s="84"/>
      <c r="BM126" s="84"/>
      <c r="BN126" s="84"/>
      <c r="BO126" s="84"/>
      <c r="BP126" s="84"/>
      <c r="BQ126" s="84"/>
      <c r="BR126" s="84"/>
      <c r="BS126" s="84"/>
      <c r="BT126" s="106"/>
      <c r="BU126" s="106"/>
      <c r="BV126" s="106"/>
      <c r="BW126" s="106"/>
      <c r="BX126" s="106"/>
      <c r="BY126" s="106"/>
    </row>
    <row r="127" spans="1:77" ht="15" customHeight="1" x14ac:dyDescent="0.25">
      <c r="A127" s="84"/>
      <c r="B127" s="84"/>
      <c r="C127" s="105"/>
      <c r="E127" s="84"/>
      <c r="F127" s="12" t="s">
        <v>357</v>
      </c>
      <c r="G127" s="84" t="s">
        <v>483</v>
      </c>
      <c r="L127" s="84"/>
      <c r="M127" s="84"/>
      <c r="N127" s="84"/>
      <c r="O127" s="84"/>
      <c r="P127" s="84"/>
      <c r="Q127" s="84"/>
      <c r="R127" s="84"/>
      <c r="S127" s="84"/>
      <c r="V127" s="84"/>
      <c r="W127" s="84"/>
      <c r="X127" s="84"/>
      <c r="Y127" s="84"/>
      <c r="Z127" s="84"/>
      <c r="AA127" s="84"/>
      <c r="AB127" s="13" t="s">
        <v>285</v>
      </c>
      <c r="AC127" s="84" t="s">
        <v>390</v>
      </c>
      <c r="AH127" s="84"/>
      <c r="AK127" s="84"/>
      <c r="AL127" s="84"/>
      <c r="AM127" s="84"/>
      <c r="AQ127" s="84"/>
      <c r="AU127" s="84"/>
      <c r="AV127" s="84"/>
      <c r="AW127" s="84"/>
      <c r="AX127" s="84"/>
      <c r="AY127" s="84"/>
      <c r="AZ127" s="84"/>
      <c r="BA127" s="84"/>
      <c r="BB127" s="84"/>
      <c r="BC127" s="84"/>
      <c r="BD127" s="84"/>
      <c r="BG127" s="84"/>
      <c r="BH127" s="84"/>
      <c r="BI127" s="84"/>
      <c r="BJ127" s="84"/>
      <c r="BK127" s="84"/>
      <c r="BL127" s="84"/>
      <c r="BM127" s="84"/>
      <c r="BN127" s="84"/>
      <c r="BO127" s="84"/>
      <c r="BP127" s="84"/>
      <c r="BQ127" s="84"/>
      <c r="BR127" s="84"/>
      <c r="BS127" s="84"/>
      <c r="BT127" s="106"/>
      <c r="BU127" s="106"/>
      <c r="BV127" s="106"/>
      <c r="BW127" s="106"/>
      <c r="BX127" s="106"/>
      <c r="BY127" s="106"/>
    </row>
    <row r="128" spans="1:77" ht="15" customHeight="1" x14ac:dyDescent="0.25">
      <c r="A128" s="84"/>
      <c r="B128" s="84"/>
      <c r="C128" s="105"/>
      <c r="D128" s="84"/>
      <c r="E128" s="84"/>
      <c r="F128" s="12" t="s">
        <v>300</v>
      </c>
      <c r="G128" s="84" t="s">
        <v>484</v>
      </c>
      <c r="L128" s="84"/>
      <c r="M128" s="84"/>
      <c r="N128" s="84"/>
      <c r="O128" s="84"/>
      <c r="P128" s="84"/>
      <c r="Q128" s="84"/>
      <c r="R128" s="84"/>
      <c r="S128" s="84"/>
      <c r="V128" s="84"/>
      <c r="W128" s="84"/>
      <c r="X128" s="84"/>
      <c r="Y128" s="84"/>
      <c r="Z128" s="84"/>
      <c r="AA128" s="84"/>
      <c r="AB128" s="12" t="s">
        <v>331</v>
      </c>
      <c r="AC128" s="84" t="s">
        <v>511</v>
      </c>
      <c r="AH128" s="84"/>
      <c r="AK128" s="84"/>
      <c r="AL128" s="84"/>
      <c r="AM128" s="84"/>
      <c r="AQ128" s="84"/>
      <c r="AU128" s="84"/>
      <c r="AV128" s="84"/>
      <c r="AW128" s="84"/>
      <c r="AX128" s="84"/>
      <c r="AY128" s="84"/>
      <c r="AZ128" s="84"/>
      <c r="BA128" s="84"/>
      <c r="BB128" s="84"/>
      <c r="BC128" s="84"/>
      <c r="BD128" s="84"/>
      <c r="BG128" s="84"/>
      <c r="BH128" s="84"/>
      <c r="BI128" s="84"/>
      <c r="BJ128" s="84"/>
      <c r="BK128" s="84"/>
      <c r="BL128" s="84"/>
      <c r="BM128" s="84"/>
      <c r="BN128" s="84"/>
      <c r="BO128" s="84"/>
      <c r="BP128" s="84"/>
      <c r="BQ128" s="84"/>
      <c r="BR128" s="84"/>
      <c r="BS128" s="84"/>
      <c r="BT128" s="106"/>
      <c r="BU128" s="106"/>
      <c r="BV128" s="106"/>
      <c r="BW128" s="106"/>
      <c r="BX128" s="106"/>
      <c r="BY128" s="106"/>
    </row>
    <row r="129" spans="1:77" ht="15" customHeight="1" x14ac:dyDescent="0.25">
      <c r="A129" s="84"/>
      <c r="B129" s="84"/>
      <c r="C129" s="105"/>
      <c r="D129" s="84"/>
      <c r="E129" s="84"/>
      <c r="F129" s="12" t="s">
        <v>336</v>
      </c>
      <c r="G129" s="84" t="s">
        <v>485</v>
      </c>
      <c r="L129" s="84"/>
      <c r="M129" s="84"/>
      <c r="N129" s="84"/>
      <c r="O129" s="84"/>
      <c r="P129" s="84"/>
      <c r="Q129" s="84"/>
      <c r="R129" s="84"/>
      <c r="S129" s="84"/>
      <c r="V129" s="84"/>
      <c r="W129" s="84"/>
      <c r="X129" s="84"/>
      <c r="Y129" s="84"/>
      <c r="Z129" s="84"/>
      <c r="AA129" s="84"/>
      <c r="AB129" s="12" t="s">
        <v>320</v>
      </c>
      <c r="AC129" s="84" t="s">
        <v>513</v>
      </c>
      <c r="AK129" s="84"/>
      <c r="AL129" s="84"/>
      <c r="AM129" s="84"/>
      <c r="AQ129" s="84"/>
      <c r="AU129" s="84"/>
      <c r="AV129" s="84"/>
      <c r="AY129" s="84"/>
      <c r="AZ129" s="84"/>
      <c r="BA129" s="84"/>
      <c r="BB129" s="84"/>
      <c r="BC129" s="84"/>
      <c r="BD129" s="84"/>
      <c r="BH129" s="84"/>
      <c r="BI129" s="84"/>
      <c r="BJ129" s="84"/>
      <c r="BK129" s="84"/>
      <c r="BL129" s="84"/>
      <c r="BM129" s="84"/>
      <c r="BN129" s="84"/>
      <c r="BO129" s="84"/>
      <c r="BP129" s="84"/>
      <c r="BQ129" s="84"/>
      <c r="BR129" s="84"/>
      <c r="BS129" s="84"/>
      <c r="BT129" s="106"/>
      <c r="BU129" s="106"/>
      <c r="BV129" s="106"/>
      <c r="BW129" s="106"/>
      <c r="BX129" s="106"/>
      <c r="BY129" s="106"/>
    </row>
    <row r="130" spans="1:77" ht="15" customHeight="1" x14ac:dyDescent="0.25">
      <c r="A130" s="84"/>
      <c r="B130" s="84"/>
      <c r="C130" s="105"/>
      <c r="D130" s="84"/>
      <c r="E130" s="84"/>
      <c r="F130" s="12" t="s">
        <v>334</v>
      </c>
      <c r="G130" s="84" t="s">
        <v>486</v>
      </c>
      <c r="L130" s="84"/>
      <c r="M130" s="84"/>
      <c r="N130" s="84"/>
      <c r="O130" s="84"/>
      <c r="P130" s="84"/>
      <c r="Q130" s="84"/>
      <c r="R130" s="84"/>
      <c r="S130" s="84"/>
      <c r="V130" s="84"/>
      <c r="W130" s="84"/>
      <c r="X130" s="84"/>
      <c r="Y130" s="84"/>
      <c r="Z130" s="84"/>
      <c r="AA130" s="84"/>
      <c r="AB130" s="12" t="s">
        <v>321</v>
      </c>
      <c r="AC130" s="84" t="s">
        <v>514</v>
      </c>
      <c r="AK130" s="84"/>
      <c r="AL130" s="84"/>
      <c r="AM130" s="84"/>
      <c r="AQ130" s="84"/>
      <c r="AU130" s="84"/>
      <c r="AV130" s="84"/>
      <c r="AW130" s="84"/>
      <c r="AX130" s="84"/>
      <c r="AY130" s="84"/>
      <c r="AZ130" s="84"/>
      <c r="BA130" s="84"/>
      <c r="BB130" s="84"/>
      <c r="BC130" s="84"/>
      <c r="BD130" s="84"/>
      <c r="BH130" s="84"/>
      <c r="BI130" s="84"/>
      <c r="BJ130" s="84"/>
      <c r="BK130" s="84"/>
      <c r="BL130" s="84"/>
      <c r="BM130" s="84"/>
      <c r="BN130" s="84"/>
      <c r="BO130" s="84"/>
      <c r="BP130" s="84"/>
      <c r="BQ130" s="84"/>
      <c r="BR130" s="84"/>
      <c r="BS130" s="84"/>
      <c r="BT130" s="106"/>
      <c r="BU130" s="106"/>
      <c r="BV130" s="106"/>
      <c r="BW130" s="106"/>
      <c r="BX130" s="106"/>
      <c r="BY130" s="106"/>
    </row>
    <row r="131" spans="1:77" ht="15" customHeight="1" x14ac:dyDescent="0.25">
      <c r="A131" s="84"/>
      <c r="B131" s="84"/>
      <c r="C131" s="105"/>
      <c r="D131" s="84"/>
      <c r="E131" s="84"/>
      <c r="F131" s="13" t="s">
        <v>378</v>
      </c>
      <c r="G131" s="84" t="s">
        <v>487</v>
      </c>
      <c r="L131" s="84"/>
      <c r="M131" s="84"/>
      <c r="N131" s="84"/>
      <c r="O131" s="84"/>
      <c r="P131" s="84"/>
      <c r="Q131" s="84"/>
      <c r="R131" s="84"/>
      <c r="S131" s="84"/>
      <c r="V131" s="84"/>
      <c r="W131" s="84"/>
      <c r="X131" s="84"/>
      <c r="Y131" s="84"/>
      <c r="Z131" s="84"/>
      <c r="AA131" s="84"/>
      <c r="AB131" s="12" t="s">
        <v>327</v>
      </c>
      <c r="AC131" s="84" t="s">
        <v>515</v>
      </c>
      <c r="AK131" s="84"/>
      <c r="AL131" s="84"/>
      <c r="AM131" s="84"/>
      <c r="AQ131" s="84"/>
      <c r="AU131" s="84"/>
      <c r="AV131" s="84"/>
      <c r="AW131" s="84"/>
      <c r="AX131" s="84"/>
      <c r="AY131" s="84"/>
      <c r="AZ131" s="84"/>
      <c r="BA131" s="84"/>
      <c r="BB131" s="84"/>
      <c r="BC131" s="84"/>
      <c r="BD131" s="84"/>
      <c r="BH131" s="84"/>
      <c r="BI131" s="84"/>
      <c r="BJ131" s="84"/>
      <c r="BK131" s="84"/>
      <c r="BL131" s="84"/>
      <c r="BM131" s="84"/>
      <c r="BN131" s="84"/>
      <c r="BO131" s="84"/>
      <c r="BP131" s="84"/>
      <c r="BQ131" s="84"/>
      <c r="BR131" s="84"/>
      <c r="BS131" s="84"/>
      <c r="BT131" s="106"/>
      <c r="BU131" s="106"/>
      <c r="BV131" s="106"/>
      <c r="BW131" s="106"/>
      <c r="BX131" s="106"/>
      <c r="BY131" s="106"/>
    </row>
    <row r="132" spans="1:77" ht="15" customHeight="1" x14ac:dyDescent="0.25">
      <c r="A132" s="84"/>
      <c r="B132" s="84"/>
      <c r="C132" s="105"/>
      <c r="D132" s="84"/>
      <c r="E132" s="84"/>
      <c r="F132" s="13" t="s">
        <v>531</v>
      </c>
      <c r="G132" s="84" t="s">
        <v>482</v>
      </c>
      <c r="H132" s="84"/>
      <c r="L132" s="84"/>
      <c r="M132" s="84"/>
      <c r="N132" s="84"/>
      <c r="O132" s="84"/>
      <c r="P132" s="84"/>
      <c r="Q132" s="84"/>
      <c r="R132" s="84"/>
      <c r="S132" s="84"/>
      <c r="V132" s="84"/>
      <c r="W132" s="84"/>
      <c r="X132" s="84"/>
      <c r="Y132" s="84"/>
      <c r="Z132" s="84"/>
      <c r="AA132" s="84"/>
      <c r="AB132" s="12" t="s">
        <v>325</v>
      </c>
      <c r="AC132" s="84" t="s">
        <v>516</v>
      </c>
      <c r="AK132" s="84"/>
      <c r="AL132" s="84"/>
      <c r="AM132" s="84"/>
      <c r="AQ132" s="84"/>
      <c r="AU132" s="84"/>
      <c r="AV132" s="84"/>
      <c r="AW132" s="84"/>
      <c r="AX132" s="84"/>
      <c r="AY132" s="84"/>
      <c r="AZ132" s="84"/>
      <c r="BA132" s="84"/>
      <c r="BB132" s="84"/>
      <c r="BC132" s="84"/>
      <c r="BD132" s="84"/>
      <c r="BH132" s="84"/>
      <c r="BI132" s="84"/>
      <c r="BJ132" s="84"/>
      <c r="BK132" s="84"/>
      <c r="BL132" s="84"/>
      <c r="BM132" s="84"/>
      <c r="BN132" s="84"/>
      <c r="BO132" s="84"/>
      <c r="BP132" s="84"/>
      <c r="BQ132" s="84"/>
      <c r="BR132" s="84"/>
      <c r="BS132" s="84"/>
      <c r="BT132" s="106"/>
      <c r="BU132" s="106"/>
      <c r="BV132" s="106"/>
      <c r="BW132" s="106"/>
      <c r="BX132" s="106"/>
      <c r="BY132" s="106"/>
    </row>
    <row r="133" spans="1:77" ht="15" customHeight="1" x14ac:dyDescent="0.25">
      <c r="C133" s="105"/>
      <c r="D133" s="84"/>
      <c r="E133" s="84"/>
      <c r="F133" s="12" t="s">
        <v>301</v>
      </c>
      <c r="G133" s="84" t="s">
        <v>488</v>
      </c>
      <c r="H133" s="84"/>
      <c r="L133" s="84"/>
      <c r="M133" s="84"/>
      <c r="N133" s="84"/>
      <c r="O133" s="84"/>
      <c r="P133" s="84"/>
      <c r="Q133" s="84"/>
      <c r="R133" s="84"/>
      <c r="S133" s="84"/>
      <c r="V133" s="84"/>
      <c r="W133" s="84"/>
      <c r="X133" s="84"/>
      <c r="Y133" s="84"/>
      <c r="Z133" s="84"/>
      <c r="AA133" s="84"/>
      <c r="AB133" s="12" t="s">
        <v>322</v>
      </c>
      <c r="AC133" s="84" t="s">
        <v>517</v>
      </c>
      <c r="AH133" s="84"/>
      <c r="AK133" s="84"/>
      <c r="AL133" s="84"/>
      <c r="AM133" s="84"/>
      <c r="AQ133" s="84"/>
      <c r="AU133" s="84"/>
      <c r="AV133" s="84"/>
      <c r="AW133" s="84"/>
      <c r="AX133" s="84"/>
      <c r="AY133" s="84"/>
      <c r="AZ133" s="84"/>
      <c r="BA133" s="84"/>
      <c r="BB133" s="84"/>
      <c r="BC133" s="84"/>
      <c r="BD133" s="84"/>
      <c r="BE133" s="84"/>
      <c r="BH133" s="84"/>
      <c r="BI133" s="84"/>
      <c r="BJ133" s="84"/>
      <c r="BK133" s="84"/>
      <c r="BL133" s="84"/>
      <c r="BM133" s="84"/>
      <c r="BN133" s="84"/>
      <c r="BO133" s="84"/>
      <c r="BP133" s="84"/>
      <c r="BQ133" s="84"/>
      <c r="BR133" s="84"/>
      <c r="BS133" s="84"/>
      <c r="BT133" s="106"/>
      <c r="BU133" s="106"/>
      <c r="BV133" s="106"/>
      <c r="BW133" s="106"/>
      <c r="BX133" s="106"/>
      <c r="BY133" s="106"/>
    </row>
    <row r="134" spans="1:77" ht="15" customHeight="1" x14ac:dyDescent="0.25">
      <c r="A134" s="84"/>
      <c r="B134" s="84"/>
      <c r="C134" s="105"/>
      <c r="D134" s="84"/>
      <c r="E134" s="84"/>
      <c r="F134" s="12" t="s">
        <v>298</v>
      </c>
      <c r="G134" s="84" t="s">
        <v>372</v>
      </c>
      <c r="H134" s="84"/>
      <c r="L134" s="84"/>
      <c r="M134" s="84"/>
      <c r="N134" s="84"/>
      <c r="O134" s="84"/>
      <c r="P134" s="84"/>
      <c r="Q134" s="84"/>
      <c r="R134" s="84"/>
      <c r="S134" s="84"/>
      <c r="V134" s="84"/>
      <c r="W134" s="84"/>
      <c r="X134" s="84"/>
      <c r="Y134" s="84"/>
      <c r="Z134" s="84"/>
      <c r="AA134" s="84"/>
      <c r="AB134" s="12" t="s">
        <v>328</v>
      </c>
      <c r="AC134" s="84" t="s">
        <v>518</v>
      </c>
      <c r="AH134" s="84"/>
      <c r="AK134" s="84"/>
      <c r="AL134" s="84"/>
      <c r="AM134" s="84"/>
      <c r="AQ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106"/>
      <c r="BU134" s="106"/>
      <c r="BV134" s="106"/>
      <c r="BW134" s="106"/>
      <c r="BX134" s="106"/>
      <c r="BY134" s="106"/>
    </row>
    <row r="135" spans="1:77" ht="15" customHeight="1" x14ac:dyDescent="0.25">
      <c r="A135" s="84"/>
      <c r="B135" s="84"/>
      <c r="C135" s="105"/>
      <c r="D135" s="84"/>
      <c r="E135" s="84"/>
      <c r="F135" s="12" t="s">
        <v>366</v>
      </c>
      <c r="G135" s="84" t="s">
        <v>489</v>
      </c>
      <c r="L135" s="84"/>
      <c r="M135" s="84"/>
      <c r="N135" s="84"/>
      <c r="O135" s="84"/>
      <c r="P135" s="84"/>
      <c r="Q135" s="84"/>
      <c r="R135" s="84"/>
      <c r="S135" s="84"/>
      <c r="V135" s="84"/>
      <c r="W135" s="84"/>
      <c r="X135" s="84"/>
      <c r="Y135" s="84"/>
      <c r="Z135" s="84"/>
      <c r="AA135" s="84"/>
      <c r="AB135" s="12" t="s">
        <v>326</v>
      </c>
      <c r="AC135" s="84" t="s">
        <v>519</v>
      </c>
      <c r="AH135" s="84"/>
      <c r="AK135" s="84"/>
      <c r="AL135" s="84"/>
      <c r="AM135" s="84"/>
      <c r="AQ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106"/>
      <c r="BU135" s="106"/>
      <c r="BV135" s="106"/>
      <c r="BW135" s="106"/>
      <c r="BX135" s="106"/>
      <c r="BY135" s="106"/>
    </row>
    <row r="136" spans="1:77" ht="15" customHeight="1" x14ac:dyDescent="0.25">
      <c r="A136" s="84"/>
      <c r="B136" s="84"/>
      <c r="C136" s="105"/>
      <c r="D136" s="84"/>
      <c r="E136" s="84"/>
      <c r="F136" s="12" t="s">
        <v>291</v>
      </c>
      <c r="G136" s="84" t="s">
        <v>490</v>
      </c>
      <c r="H136" s="84"/>
      <c r="L136" s="84"/>
      <c r="M136" s="84"/>
      <c r="N136" s="84"/>
      <c r="O136" s="84"/>
      <c r="P136" s="84"/>
      <c r="Q136" s="84"/>
      <c r="R136" s="84"/>
      <c r="S136" s="84"/>
      <c r="V136" s="84"/>
      <c r="W136" s="84"/>
      <c r="X136" s="84"/>
      <c r="Y136" s="84"/>
      <c r="Z136" s="84"/>
      <c r="AA136" s="84"/>
      <c r="AB136" s="13" t="s">
        <v>363</v>
      </c>
      <c r="AC136" s="84" t="s">
        <v>520</v>
      </c>
      <c r="AH136" s="84"/>
      <c r="AK136" s="84"/>
      <c r="AL136" s="84"/>
      <c r="AM136" s="84"/>
      <c r="AQ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106"/>
      <c r="BU136" s="106"/>
      <c r="BV136" s="106"/>
      <c r="BW136" s="106"/>
      <c r="BX136" s="106"/>
      <c r="BY136" s="106"/>
    </row>
    <row r="137" spans="1:77" ht="15" customHeight="1" x14ac:dyDescent="0.25">
      <c r="A137" s="84"/>
      <c r="B137" s="84"/>
      <c r="C137" s="105"/>
      <c r="D137" s="84"/>
      <c r="E137" s="84"/>
      <c r="F137" s="12" t="s">
        <v>306</v>
      </c>
      <c r="G137" s="84" t="s">
        <v>491</v>
      </c>
      <c r="H137" s="84"/>
      <c r="L137" s="84"/>
      <c r="M137" s="84"/>
      <c r="N137" s="84"/>
      <c r="O137" s="84"/>
      <c r="P137" s="84"/>
      <c r="Q137" s="84"/>
      <c r="R137" s="84"/>
      <c r="S137" s="84"/>
      <c r="V137" s="84"/>
      <c r="W137" s="84"/>
      <c r="X137" s="84"/>
      <c r="Y137" s="84"/>
      <c r="Z137" s="84"/>
      <c r="AA137" s="84"/>
      <c r="AB137" s="12" t="s">
        <v>313</v>
      </c>
      <c r="AC137" s="84" t="s">
        <v>526</v>
      </c>
      <c r="AH137" s="84"/>
      <c r="AK137" s="84"/>
      <c r="AL137" s="84"/>
      <c r="AM137" s="84"/>
      <c r="AQ137" s="84"/>
      <c r="AU137" s="84"/>
      <c r="AV137" s="84"/>
      <c r="AW137" s="84"/>
      <c r="AX137" s="84"/>
      <c r="AY137" s="84"/>
      <c r="AZ137" s="84"/>
      <c r="BA137" s="84"/>
      <c r="BB137" s="84"/>
      <c r="BC137" s="84"/>
      <c r="BD137" s="84"/>
      <c r="BE137" s="84"/>
      <c r="BF137" s="84"/>
      <c r="BG137" s="84"/>
      <c r="BH137" s="84"/>
      <c r="BI137" s="84"/>
      <c r="BJ137" s="84"/>
      <c r="BK137" s="84"/>
      <c r="BL137" s="84"/>
      <c r="BM137" s="84"/>
      <c r="BN137" s="84"/>
      <c r="BO137" s="84"/>
      <c r="BP137" s="84"/>
      <c r="BQ137" s="84"/>
      <c r="BR137" s="84"/>
      <c r="BS137" s="84"/>
      <c r="BT137" s="106"/>
      <c r="BU137" s="106"/>
      <c r="BV137" s="106"/>
      <c r="BW137" s="106"/>
      <c r="BX137" s="106"/>
      <c r="BY137" s="106"/>
    </row>
    <row r="138" spans="1:77" ht="15" customHeight="1" x14ac:dyDescent="0.25">
      <c r="A138" s="84"/>
      <c r="B138" s="84"/>
      <c r="C138" s="105"/>
      <c r="D138" s="84"/>
      <c r="E138" s="84"/>
      <c r="F138" s="12" t="s">
        <v>293</v>
      </c>
      <c r="G138" s="84" t="s">
        <v>492</v>
      </c>
      <c r="H138" s="84"/>
      <c r="L138" s="84"/>
      <c r="M138" s="84"/>
      <c r="N138" s="84"/>
      <c r="O138" s="84"/>
      <c r="P138" s="84"/>
      <c r="Q138" s="84"/>
      <c r="R138" s="84"/>
      <c r="S138" s="84"/>
      <c r="T138" s="84"/>
      <c r="U138" s="84"/>
      <c r="V138" s="84"/>
      <c r="W138" s="84"/>
      <c r="X138" s="84"/>
      <c r="Y138" s="84"/>
      <c r="Z138" s="84"/>
      <c r="AA138" s="84"/>
      <c r="AB138" s="12" t="s">
        <v>308</v>
      </c>
      <c r="AC138" s="84" t="s">
        <v>493</v>
      </c>
      <c r="AH138" s="84"/>
      <c r="AK138" s="84"/>
      <c r="AL138" s="84"/>
      <c r="AM138" s="84"/>
      <c r="AQ138" s="84"/>
      <c r="AU138" s="84"/>
      <c r="AV138" s="84"/>
      <c r="AW138" s="84"/>
      <c r="AX138" s="84"/>
      <c r="AY138" s="84"/>
      <c r="AZ138" s="84"/>
      <c r="BA138" s="84"/>
      <c r="BB138" s="84"/>
      <c r="BC138" s="84"/>
      <c r="BD138" s="84"/>
      <c r="BE138" s="84"/>
      <c r="BF138" s="84"/>
      <c r="BG138" s="84"/>
      <c r="BH138" s="84"/>
      <c r="BI138" s="84"/>
      <c r="BJ138" s="84"/>
      <c r="BK138" s="84"/>
      <c r="BL138" s="84"/>
      <c r="BM138" s="84"/>
      <c r="BN138" s="84"/>
      <c r="BO138" s="84"/>
      <c r="BP138" s="84"/>
      <c r="BQ138" s="84"/>
      <c r="BR138" s="84"/>
      <c r="BS138" s="84"/>
      <c r="BT138" s="106"/>
      <c r="BU138" s="106"/>
      <c r="BV138" s="106"/>
      <c r="BW138" s="106"/>
      <c r="BX138" s="106"/>
      <c r="BY138" s="106"/>
    </row>
    <row r="139" spans="1:77" ht="15" customHeight="1" x14ac:dyDescent="0.25">
      <c r="A139" s="84"/>
      <c r="B139" s="84"/>
      <c r="C139" s="105"/>
      <c r="D139" s="84"/>
      <c r="E139" s="84"/>
      <c r="F139" s="12" t="s">
        <v>299</v>
      </c>
      <c r="G139" s="84" t="s">
        <v>494</v>
      </c>
      <c r="H139" s="84"/>
      <c r="L139" s="84"/>
      <c r="M139" s="84"/>
      <c r="N139" s="84"/>
      <c r="O139" s="84"/>
      <c r="P139" s="84"/>
      <c r="Q139" s="84"/>
      <c r="R139" s="84"/>
      <c r="S139" s="84"/>
      <c r="T139" s="84"/>
      <c r="U139" s="84"/>
      <c r="V139" s="84"/>
      <c r="W139" s="84"/>
      <c r="X139" s="84"/>
      <c r="Y139" s="84"/>
      <c r="Z139" s="84"/>
      <c r="AA139" s="84"/>
      <c r="AB139" s="12" t="s">
        <v>330</v>
      </c>
      <c r="AC139" s="84" t="s">
        <v>512</v>
      </c>
      <c r="AH139" s="84"/>
      <c r="AK139" s="84"/>
      <c r="AL139" s="84"/>
      <c r="AM139" s="84"/>
      <c r="AQ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106"/>
      <c r="BU139" s="106"/>
      <c r="BV139" s="106"/>
      <c r="BW139" s="106"/>
      <c r="BX139" s="106"/>
      <c r="BY139" s="106"/>
    </row>
    <row r="140" spans="1:77" ht="15" customHeight="1" x14ac:dyDescent="0.2">
      <c r="A140" s="1"/>
      <c r="B140" s="1"/>
      <c r="C140" s="208">
        <v>3</v>
      </c>
      <c r="D140" s="209"/>
      <c r="E140" s="133" t="s">
        <v>180</v>
      </c>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c r="BS140" s="133"/>
      <c r="BT140" s="7"/>
      <c r="BU140" s="5"/>
      <c r="BV140" s="5"/>
      <c r="BW140" s="5"/>
      <c r="BX140" s="6"/>
    </row>
    <row r="141" spans="1:77" ht="15" customHeight="1" x14ac:dyDescent="0.2">
      <c r="A141" s="1"/>
      <c r="B141" s="1"/>
      <c r="C141" s="208"/>
      <c r="D141" s="209"/>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c r="BC141" s="133"/>
      <c r="BD141" s="133"/>
      <c r="BE141" s="133"/>
      <c r="BF141" s="133"/>
      <c r="BG141" s="133"/>
      <c r="BH141" s="133"/>
      <c r="BI141" s="133"/>
      <c r="BJ141" s="133"/>
      <c r="BK141" s="133"/>
      <c r="BL141" s="133"/>
      <c r="BM141" s="133"/>
      <c r="BN141" s="133"/>
      <c r="BO141" s="133"/>
      <c r="BP141" s="133"/>
      <c r="BQ141" s="133"/>
      <c r="BR141" s="133"/>
      <c r="BS141" s="133"/>
      <c r="BT141" s="7"/>
      <c r="BU141" s="5"/>
      <c r="BV141" s="5"/>
      <c r="BW141" s="5"/>
      <c r="BX141" s="6"/>
      <c r="BY141" s="9"/>
    </row>
    <row r="142" spans="1:77" ht="15" customHeight="1" x14ac:dyDescent="0.3">
      <c r="A142" s="1"/>
      <c r="B142" s="1"/>
      <c r="C142" s="48"/>
      <c r="D142" s="49"/>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S142" s="47"/>
      <c r="BT142" s="7"/>
      <c r="BU142" s="5"/>
      <c r="BV142" s="5"/>
      <c r="BW142" s="5"/>
      <c r="BX142" s="6"/>
      <c r="BY142" s="9"/>
    </row>
    <row r="143" spans="1:77" ht="15" customHeight="1" x14ac:dyDescent="0.25">
      <c r="C143" s="20"/>
      <c r="W143" s="12" t="s">
        <v>119</v>
      </c>
      <c r="X143" s="179">
        <f>Inputs!B10</f>
        <v>4</v>
      </c>
      <c r="Y143" s="179"/>
      <c r="Z143" s="179"/>
      <c r="AA143" s="179"/>
      <c r="AB143" s="179"/>
      <c r="BT143" s="7"/>
      <c r="BU143" s="7"/>
      <c r="BV143" s="7"/>
      <c r="BW143" s="7"/>
      <c r="BX143" s="7"/>
    </row>
    <row r="144" spans="1:77" ht="15" customHeight="1" x14ac:dyDescent="0.25">
      <c r="C144" s="4"/>
      <c r="W144" s="12" t="s">
        <v>36</v>
      </c>
      <c r="X144" s="169">
        <f>Inputs!B11</f>
        <v>0.4572</v>
      </c>
      <c r="Y144" s="169"/>
      <c r="Z144" s="169"/>
      <c r="AA144" s="169"/>
      <c r="AB144" s="169"/>
      <c r="BT144" s="7"/>
      <c r="BU144" s="7"/>
      <c r="BV144" s="7"/>
      <c r="BW144" s="7"/>
      <c r="BX144" s="7"/>
      <c r="BY144" s="7"/>
    </row>
    <row r="145" spans="3:77" ht="15" customHeight="1" x14ac:dyDescent="0.25">
      <c r="C145" s="4"/>
      <c r="W145" s="12" t="s">
        <v>37</v>
      </c>
      <c r="X145" s="169">
        <f>Inputs!B12</f>
        <v>0.60959999999999992</v>
      </c>
      <c r="Y145" s="169"/>
      <c r="Z145" s="169"/>
      <c r="AA145" s="169"/>
      <c r="AB145" s="169"/>
      <c r="BT145" s="7"/>
      <c r="BU145" s="7"/>
      <c r="BV145" s="7"/>
      <c r="BW145" s="7"/>
      <c r="BX145" s="7"/>
      <c r="BY145" s="7"/>
    </row>
    <row r="146" spans="3:77" ht="15" customHeight="1" x14ac:dyDescent="0.25">
      <c r="C146" s="4"/>
      <c r="W146" s="12" t="s">
        <v>28</v>
      </c>
      <c r="X146" s="169">
        <f>Inputs!B13</f>
        <v>4.8767999999999994</v>
      </c>
      <c r="Y146" s="169"/>
      <c r="Z146" s="169"/>
      <c r="AA146" s="169"/>
      <c r="AB146" s="169"/>
      <c r="BT146" s="7"/>
      <c r="BU146" s="7"/>
      <c r="BV146" s="7"/>
      <c r="BW146" s="7"/>
      <c r="BX146" s="7"/>
      <c r="BY146" s="7"/>
    </row>
    <row r="147" spans="3:77" ht="15" customHeight="1" x14ac:dyDescent="0.25">
      <c r="C147" s="4"/>
      <c r="W147" s="12" t="s">
        <v>29</v>
      </c>
      <c r="X147" s="169">
        <f>Inputs!B14</f>
        <v>0.4572</v>
      </c>
      <c r="Y147" s="169"/>
      <c r="Z147" s="169"/>
      <c r="AA147" s="169"/>
      <c r="AB147" s="169"/>
      <c r="BT147" s="7"/>
      <c r="BU147" s="7"/>
      <c r="BV147" s="7"/>
      <c r="BW147" s="7"/>
      <c r="BX147" s="7"/>
      <c r="BY147" s="7"/>
    </row>
    <row r="148" spans="3:77" ht="15" customHeight="1" x14ac:dyDescent="0.25">
      <c r="C148" s="4"/>
      <c r="W148" s="12" t="s">
        <v>30</v>
      </c>
      <c r="X148" s="169">
        <f>Inputs!B15</f>
        <v>0.30479999999999996</v>
      </c>
      <c r="Y148" s="169"/>
      <c r="Z148" s="169"/>
      <c r="AA148" s="169"/>
      <c r="AB148" s="169"/>
      <c r="BT148" s="7"/>
      <c r="BU148" s="7"/>
      <c r="BV148" s="7"/>
      <c r="BW148" s="7"/>
      <c r="BX148" s="7"/>
      <c r="BY148" s="7"/>
    </row>
    <row r="149" spans="3:77" ht="15" customHeight="1" x14ac:dyDescent="0.25">
      <c r="C149" s="4"/>
      <c r="W149" s="12" t="s">
        <v>31</v>
      </c>
      <c r="X149" s="169">
        <f>Inputs!B16</f>
        <v>0.2286</v>
      </c>
      <c r="Y149" s="169"/>
      <c r="Z149" s="169"/>
      <c r="AA149" s="169"/>
      <c r="AB149" s="169"/>
      <c r="BT149" s="7"/>
      <c r="BU149" s="7"/>
      <c r="BV149" s="7"/>
      <c r="BW149" s="7"/>
      <c r="BX149" s="7"/>
      <c r="BY149" s="7"/>
    </row>
    <row r="150" spans="3:77" ht="15" customHeight="1" x14ac:dyDescent="0.2">
      <c r="C150" s="4"/>
      <c r="W150" s="12" t="s">
        <v>120</v>
      </c>
      <c r="X150" s="205">
        <f>Inputs!B17</f>
        <v>21.8</v>
      </c>
      <c r="Y150" s="205"/>
      <c r="Z150" s="205"/>
      <c r="AA150" s="205"/>
      <c r="AB150" s="205"/>
      <c r="BT150" s="11"/>
      <c r="BU150" s="11"/>
      <c r="BV150" s="11"/>
      <c r="BW150" s="11"/>
      <c r="BX150" s="11"/>
      <c r="BY150" s="11"/>
    </row>
    <row r="151" spans="3:77" ht="15" customHeight="1" x14ac:dyDescent="0.25">
      <c r="C151" s="4"/>
      <c r="W151" s="12" t="s">
        <v>121</v>
      </c>
      <c r="X151" s="144">
        <f>((L.CL2-L.A)-L.CL2*TAN(RADIANS(α))) / (1 + TAN(RADIANS(α))^2)</f>
        <v>0.34390523116789629</v>
      </c>
      <c r="Y151" s="144"/>
      <c r="Z151" s="144"/>
      <c r="AA151" s="144"/>
      <c r="AB151" s="144"/>
      <c r="BT151" s="11"/>
      <c r="BU151" s="11"/>
      <c r="BV151" s="11"/>
      <c r="BW151" s="11"/>
      <c r="BX151" s="11"/>
      <c r="BY151" s="9"/>
    </row>
    <row r="152" spans="3:77" ht="15" customHeight="1" x14ac:dyDescent="0.25">
      <c r="C152" s="4"/>
      <c r="W152" s="13" t="s">
        <v>149</v>
      </c>
      <c r="X152" s="169">
        <f>Inputs!B18</f>
        <v>0.30479999999999996</v>
      </c>
      <c r="Y152" s="169"/>
      <c r="Z152" s="169"/>
      <c r="AA152" s="169"/>
      <c r="AB152" s="169"/>
      <c r="BT152" s="11"/>
      <c r="BU152" s="11"/>
      <c r="BV152" s="11"/>
      <c r="BW152" s="11"/>
      <c r="BX152" s="11"/>
      <c r="BY152" s="11"/>
    </row>
    <row r="153" spans="3:77" ht="15" customHeight="1" x14ac:dyDescent="0.25">
      <c r="C153" s="4"/>
      <c r="W153" s="12" t="s">
        <v>274</v>
      </c>
      <c r="X153" s="169">
        <f>Inputs!B19</f>
        <v>15.849599999999999</v>
      </c>
      <c r="Y153" s="169"/>
      <c r="Z153" s="169"/>
      <c r="AA153" s="169"/>
      <c r="AB153" s="169"/>
      <c r="BT153" s="11"/>
      <c r="BU153" s="11"/>
      <c r="BV153" s="11"/>
      <c r="BW153" s="11"/>
      <c r="BX153" s="11"/>
      <c r="BY153" s="11"/>
    </row>
    <row r="154" spans="3:77" ht="15" customHeight="1" x14ac:dyDescent="0.25">
      <c r="C154" s="4"/>
      <c r="W154" s="12" t="s">
        <v>42</v>
      </c>
      <c r="X154" s="169">
        <f>Inputs!B20</f>
        <v>39.623999999999995</v>
      </c>
      <c r="Y154" s="169"/>
      <c r="Z154" s="169"/>
      <c r="AA154" s="169"/>
      <c r="AB154" s="169"/>
      <c r="BT154" s="7"/>
      <c r="BU154" s="7"/>
      <c r="BV154" s="7"/>
      <c r="BW154" s="7"/>
      <c r="BX154" s="7"/>
      <c r="BY154" s="7"/>
    </row>
    <row r="155" spans="3:77" ht="15" customHeight="1" x14ac:dyDescent="0.25">
      <c r="C155" s="4"/>
      <c r="W155" s="12" t="s">
        <v>65</v>
      </c>
      <c r="X155" s="169">
        <f>Inputs!B21</f>
        <v>13.7668</v>
      </c>
      <c r="Y155" s="169"/>
      <c r="Z155" s="169"/>
      <c r="AA155" s="169"/>
      <c r="AB155" s="169"/>
      <c r="BT155" s="7"/>
      <c r="BU155" s="7"/>
      <c r="BV155" s="7"/>
      <c r="BW155" s="7"/>
      <c r="BX155" s="7"/>
      <c r="BY155" s="7"/>
    </row>
    <row r="156" spans="3:77" ht="15" customHeight="1" x14ac:dyDescent="0.25">
      <c r="C156" s="4"/>
      <c r="W156" s="12" t="s">
        <v>140</v>
      </c>
      <c r="X156" s="199">
        <f>Inputs!B22</f>
        <v>0.20319999999999999</v>
      </c>
      <c r="Y156" s="199"/>
      <c r="Z156" s="199"/>
      <c r="AA156" s="199"/>
      <c r="AB156" s="199"/>
      <c r="BT156" s="7"/>
      <c r="BU156" s="7"/>
      <c r="BV156" s="7"/>
      <c r="BW156" s="7"/>
      <c r="BX156" s="7"/>
      <c r="BY156" s="7"/>
    </row>
    <row r="157" spans="3:77" ht="15" customHeight="1" x14ac:dyDescent="0.25">
      <c r="C157" s="4"/>
      <c r="W157" s="12" t="s">
        <v>66</v>
      </c>
      <c r="X157" s="169">
        <f>Inputs!B23</f>
        <v>11.074399999999999</v>
      </c>
      <c r="Y157" s="169"/>
      <c r="Z157" s="169"/>
      <c r="AA157" s="169"/>
      <c r="AB157" s="169"/>
      <c r="BT157" s="7"/>
      <c r="BU157" s="7"/>
      <c r="BV157" s="7"/>
      <c r="BW157" s="7"/>
      <c r="BX157" s="7"/>
      <c r="BY157" s="7"/>
    </row>
    <row r="158" spans="3:77" ht="15" customHeight="1" x14ac:dyDescent="0.25">
      <c r="C158" s="4"/>
      <c r="W158" s="12" t="s">
        <v>141</v>
      </c>
      <c r="X158" s="169">
        <f>Inputs!B24</f>
        <v>0.15239999999999998</v>
      </c>
      <c r="Y158" s="169"/>
      <c r="Z158" s="169"/>
      <c r="AA158" s="169"/>
      <c r="AB158" s="169"/>
      <c r="BT158" s="7"/>
      <c r="BU158" s="7"/>
      <c r="BV158" s="7"/>
      <c r="BW158" s="7"/>
      <c r="BX158" s="7"/>
      <c r="BY158" s="7"/>
    </row>
    <row r="159" spans="3:77" ht="15" customHeight="1" x14ac:dyDescent="0.25">
      <c r="C159" s="4"/>
      <c r="W159" s="12" t="s">
        <v>142</v>
      </c>
      <c r="X159" s="169">
        <f>Inputs!B25</f>
        <v>0.2286</v>
      </c>
      <c r="Y159" s="169"/>
      <c r="Z159" s="169"/>
      <c r="AA159" s="169"/>
      <c r="AB159" s="169"/>
      <c r="AE159" s="142" t="str">
        <f>"Figure "&amp;Inputs!$B$3&amp;"-1:  Plan View of Anchorage Zone"</f>
        <v>Figure C.1-1:  Plan View of Anchorage Zone</v>
      </c>
      <c r="AF159" s="142"/>
      <c r="AG159" s="142"/>
      <c r="AH159" s="142"/>
      <c r="AI159" s="142"/>
      <c r="AJ159" s="142"/>
      <c r="AK159" s="142"/>
      <c r="AL159" s="142"/>
      <c r="AM159" s="142"/>
      <c r="AN159" s="142"/>
      <c r="AO159" s="142"/>
      <c r="AP159" s="142"/>
      <c r="AQ159" s="142"/>
      <c r="AR159" s="142"/>
      <c r="AS159" s="142"/>
      <c r="AT159" s="142"/>
      <c r="AU159" s="142"/>
      <c r="AV159" s="142"/>
      <c r="AW159" s="142"/>
      <c r="AX159" s="142"/>
      <c r="AY159" s="46"/>
      <c r="AZ159" s="46"/>
      <c r="BA159" s="46"/>
      <c r="BB159" s="46"/>
      <c r="BC159" s="46"/>
      <c r="BT159" s="7"/>
      <c r="BU159" s="7"/>
      <c r="BV159" s="7"/>
      <c r="BW159" s="7"/>
      <c r="BX159" s="7"/>
      <c r="BY159" s="7"/>
    </row>
    <row r="160" spans="3:77" ht="15" customHeight="1" x14ac:dyDescent="0.25">
      <c r="C160" s="4"/>
      <c r="W160" s="12" t="s">
        <v>67</v>
      </c>
      <c r="X160" s="169">
        <f>Inputs!B26</f>
        <v>0.80009999999999992</v>
      </c>
      <c r="Y160" s="169"/>
      <c r="Z160" s="169"/>
      <c r="AA160" s="169"/>
      <c r="AB160" s="169"/>
      <c r="BT160" s="7"/>
      <c r="BU160" s="7"/>
      <c r="BV160" s="7"/>
      <c r="BW160" s="7"/>
      <c r="BX160" s="7"/>
      <c r="BY160" s="7"/>
    </row>
    <row r="161" spans="3:77" ht="15" customHeight="1" x14ac:dyDescent="0.2">
      <c r="C161" s="4"/>
      <c r="BT161" s="7"/>
      <c r="BU161" s="7"/>
      <c r="BV161" s="7"/>
      <c r="BW161" s="7"/>
      <c r="BX161" s="7"/>
      <c r="BY161" s="7"/>
    </row>
    <row r="162" spans="3:77" ht="15" customHeight="1" x14ac:dyDescent="0.2">
      <c r="C162" s="4"/>
      <c r="BT162" s="7"/>
      <c r="BU162" s="7"/>
      <c r="BV162" s="7"/>
      <c r="BW162" s="7"/>
      <c r="BX162" s="7"/>
      <c r="BY162" s="7"/>
    </row>
    <row r="163" spans="3:77" ht="15" customHeight="1" x14ac:dyDescent="0.2">
      <c r="C163" s="4"/>
      <c r="BT163" s="7"/>
      <c r="BU163" s="7"/>
      <c r="BV163" s="7"/>
      <c r="BW163" s="7"/>
      <c r="BX163" s="7"/>
      <c r="BY163" s="7"/>
    </row>
    <row r="164" spans="3:77" ht="15" customHeight="1" x14ac:dyDescent="0.2">
      <c r="C164" s="4"/>
      <c r="BA164" s="142" t="str">
        <f>"Figure "&amp;Inputs!$B$3&amp;"-2:  Top Slab Partial Section View"</f>
        <v>Figure C.1-2:  Top Slab Partial Section View</v>
      </c>
      <c r="BB164" s="142"/>
      <c r="BC164" s="142"/>
      <c r="BD164" s="142"/>
      <c r="BE164" s="142"/>
      <c r="BF164" s="142"/>
      <c r="BG164" s="142"/>
      <c r="BH164" s="142"/>
      <c r="BI164" s="142"/>
      <c r="BJ164" s="142"/>
      <c r="BK164" s="142"/>
      <c r="BL164" s="142"/>
      <c r="BM164" s="142"/>
      <c r="BN164" s="142"/>
      <c r="BO164" s="142"/>
      <c r="BP164" s="142"/>
      <c r="BQ164" s="142"/>
      <c r="BR164" s="142"/>
      <c r="BS164" s="142"/>
      <c r="BT164" s="7"/>
      <c r="BU164" s="7"/>
      <c r="BV164" s="7"/>
      <c r="BW164" s="7"/>
      <c r="BX164" s="7"/>
      <c r="BY164" s="7"/>
    </row>
    <row r="165" spans="3:77" ht="15" customHeight="1" x14ac:dyDescent="0.2">
      <c r="C165" s="4"/>
      <c r="BT165" s="7"/>
      <c r="BU165" s="7"/>
      <c r="BV165" s="7"/>
      <c r="BW165" s="7"/>
      <c r="BX165" s="7"/>
      <c r="BY165" s="7"/>
    </row>
    <row r="166" spans="3:77" ht="15" customHeight="1" x14ac:dyDescent="0.2">
      <c r="C166" s="4"/>
      <c r="BT166" s="7"/>
      <c r="BU166" s="7"/>
      <c r="BV166" s="7"/>
      <c r="BW166" s="7"/>
      <c r="BX166" s="7"/>
      <c r="BY166" s="7"/>
    </row>
    <row r="167" spans="3:77" ht="15" customHeight="1" x14ac:dyDescent="0.2">
      <c r="C167" s="4"/>
      <c r="BT167" s="7"/>
      <c r="BU167" s="7"/>
      <c r="BV167" s="7"/>
      <c r="BW167" s="7"/>
      <c r="BX167" s="7"/>
      <c r="BY167" s="7"/>
    </row>
    <row r="168" spans="3:77" ht="15" customHeight="1" x14ac:dyDescent="0.2">
      <c r="C168" s="4"/>
      <c r="BT168" s="7"/>
      <c r="BU168" s="7"/>
      <c r="BV168" s="7"/>
      <c r="BW168" s="7"/>
      <c r="BX168" s="7"/>
      <c r="BY168" s="7"/>
    </row>
    <row r="169" spans="3:77" ht="15" customHeight="1" x14ac:dyDescent="0.2">
      <c r="C169" s="4"/>
      <c r="BT169" s="7"/>
      <c r="BU169" s="7"/>
      <c r="BV169" s="7"/>
      <c r="BW169" s="7"/>
      <c r="BX169" s="7"/>
      <c r="BY169" s="7"/>
    </row>
    <row r="170" spans="3:77" ht="15" customHeight="1" x14ac:dyDescent="0.2">
      <c r="C170" s="4"/>
      <c r="BT170" s="7"/>
      <c r="BU170" s="7"/>
      <c r="BV170" s="7"/>
      <c r="BW170" s="7"/>
      <c r="BX170" s="7"/>
      <c r="BY170" s="7"/>
    </row>
    <row r="171" spans="3:77" ht="15" customHeight="1" x14ac:dyDescent="0.2">
      <c r="C171" s="4"/>
      <c r="BT171" s="7"/>
      <c r="BU171" s="7"/>
      <c r="BV171" s="7"/>
      <c r="BW171" s="7"/>
      <c r="BX171" s="7"/>
      <c r="BY171" s="7"/>
    </row>
    <row r="172" spans="3:77" ht="15" customHeight="1" x14ac:dyDescent="0.2">
      <c r="C172" s="4"/>
      <c r="BT172" s="7"/>
      <c r="BU172" s="7"/>
      <c r="BV172" s="7"/>
      <c r="BW172" s="7"/>
      <c r="BX172" s="7"/>
      <c r="BY172" s="7"/>
    </row>
    <row r="173" spans="3:77" ht="15" customHeight="1" x14ac:dyDescent="0.2">
      <c r="C173" s="4"/>
      <c r="BT173" s="7"/>
      <c r="BU173" s="7"/>
      <c r="BV173" s="7"/>
      <c r="BW173" s="7"/>
      <c r="BX173" s="7"/>
      <c r="BY173" s="7"/>
    </row>
    <row r="174" spans="3:77" ht="15" customHeight="1" x14ac:dyDescent="0.2">
      <c r="C174" s="4"/>
      <c r="BT174" s="7"/>
      <c r="BU174" s="7"/>
      <c r="BV174" s="7"/>
      <c r="BW174" s="7"/>
      <c r="BX174" s="7"/>
      <c r="BY174" s="7"/>
    </row>
    <row r="175" spans="3:77" ht="15" customHeight="1" x14ac:dyDescent="0.2">
      <c r="C175" s="4"/>
      <c r="BT175" s="7"/>
      <c r="BU175" s="7"/>
      <c r="BV175" s="7"/>
      <c r="BW175" s="7"/>
      <c r="BX175" s="7"/>
      <c r="BY175" s="7"/>
    </row>
    <row r="176" spans="3:77" ht="15" customHeight="1" x14ac:dyDescent="0.2">
      <c r="C176" s="4"/>
      <c r="BT176" s="7"/>
      <c r="BU176" s="7"/>
      <c r="BV176" s="7"/>
      <c r="BW176" s="7"/>
      <c r="BX176" s="7"/>
      <c r="BY176" s="7"/>
    </row>
    <row r="177" spans="3:77" ht="15" customHeight="1" x14ac:dyDescent="0.2">
      <c r="C177" s="4"/>
      <c r="BT177" s="7"/>
      <c r="BU177" s="7"/>
      <c r="BV177" s="7"/>
      <c r="BW177" s="7"/>
      <c r="BX177" s="7"/>
      <c r="BY177" s="7"/>
    </row>
    <row r="178" spans="3:77" ht="15" customHeight="1" x14ac:dyDescent="0.2">
      <c r="C178" s="4"/>
      <c r="E178" s="142" t="str">
        <f>"Figure "&amp;Inputs!$B$3&amp;"-3:  Idealized Section at Anchorage Zone"</f>
        <v>Figure C.1-3:  Idealized Section at Anchorage Zone</v>
      </c>
      <c r="F178" s="142"/>
      <c r="G178" s="142"/>
      <c r="H178" s="142"/>
      <c r="I178" s="142"/>
      <c r="J178" s="142"/>
      <c r="K178" s="142"/>
      <c r="L178" s="142"/>
      <c r="M178" s="142"/>
      <c r="N178" s="142"/>
      <c r="O178" s="142"/>
      <c r="P178" s="142"/>
      <c r="Q178" s="142"/>
      <c r="R178" s="142"/>
      <c r="S178" s="142"/>
      <c r="T178" s="142"/>
      <c r="U178" s="142"/>
      <c r="V178" s="142"/>
      <c r="W178" s="142"/>
      <c r="X178" s="142"/>
      <c r="Y178" s="142"/>
      <c r="Z178" s="142"/>
      <c r="AE178" s="142" t="str">
        <f>"Figure "&amp;Inputs!$B$3&amp;"-4:  Elevation View of Anchorage Zone"</f>
        <v>Figure C.1-4:  Elevation View of Anchorage Zone</v>
      </c>
      <c r="AF178" s="142"/>
      <c r="AG178" s="142"/>
      <c r="AH178" s="142"/>
      <c r="AI178" s="142"/>
      <c r="AJ178" s="142"/>
      <c r="AK178" s="142"/>
      <c r="AL178" s="142"/>
      <c r="AM178" s="142"/>
      <c r="AN178" s="142"/>
      <c r="AO178" s="142"/>
      <c r="AP178" s="142"/>
      <c r="AQ178" s="142"/>
      <c r="AR178" s="142"/>
      <c r="AS178" s="142"/>
      <c r="AT178" s="142"/>
      <c r="AU178" s="142"/>
      <c r="AV178" s="142"/>
      <c r="AW178" s="142"/>
      <c r="AX178" s="142"/>
      <c r="BA178" s="142" t="str">
        <f>"Figure "&amp;Inputs!$B$3&amp;"-5:  Bottom Slab Partial Section View"</f>
        <v>Figure C.1-5:  Bottom Slab Partial Section View</v>
      </c>
      <c r="BB178" s="142"/>
      <c r="BC178" s="142"/>
      <c r="BD178" s="142"/>
      <c r="BE178" s="142"/>
      <c r="BF178" s="142"/>
      <c r="BG178" s="142"/>
      <c r="BH178" s="142"/>
      <c r="BI178" s="142"/>
      <c r="BJ178" s="142"/>
      <c r="BK178" s="142"/>
      <c r="BL178" s="142"/>
      <c r="BM178" s="142"/>
      <c r="BN178" s="142"/>
      <c r="BO178" s="142"/>
      <c r="BP178" s="142"/>
      <c r="BQ178" s="142"/>
      <c r="BR178" s="142"/>
      <c r="BS178" s="142"/>
      <c r="BT178" s="7"/>
      <c r="BU178" s="7"/>
      <c r="BV178" s="7"/>
      <c r="BW178" s="7"/>
      <c r="BX178" s="7"/>
      <c r="BY178" s="7"/>
    </row>
    <row r="179" spans="3:77" ht="15" customHeight="1" x14ac:dyDescent="0.2">
      <c r="C179" s="4"/>
      <c r="AD179" s="46"/>
      <c r="BT179" s="7"/>
      <c r="BU179" s="7"/>
      <c r="BV179" s="7"/>
      <c r="BW179" s="7"/>
      <c r="BX179" s="7"/>
      <c r="BY179" s="7"/>
    </row>
    <row r="180" spans="3:77" ht="15" customHeight="1" x14ac:dyDescent="0.2">
      <c r="C180" s="4"/>
      <c r="BT180" s="7"/>
      <c r="BU180" s="7"/>
      <c r="BV180" s="7"/>
      <c r="BW180" s="7"/>
      <c r="BX180" s="7"/>
      <c r="BY180" s="7"/>
    </row>
    <row r="181" spans="3:77" ht="15" customHeight="1" x14ac:dyDescent="0.2">
      <c r="C181" s="4"/>
      <c r="BT181" s="7"/>
      <c r="BU181" s="7"/>
      <c r="BV181" s="7"/>
      <c r="BW181" s="7"/>
      <c r="BX181" s="7"/>
      <c r="BY181" s="7"/>
    </row>
    <row r="182" spans="3:77" ht="15" customHeight="1" x14ac:dyDescent="0.2">
      <c r="C182" s="4"/>
      <c r="BT182" s="7"/>
      <c r="BU182" s="7"/>
      <c r="BV182" s="7"/>
      <c r="BW182" s="7"/>
      <c r="BX182" s="7"/>
      <c r="BY182" s="7"/>
    </row>
    <row r="183" spans="3:77" ht="15" customHeight="1" x14ac:dyDescent="0.2">
      <c r="C183" s="4"/>
      <c r="BT183" s="7"/>
      <c r="BU183" s="7"/>
      <c r="BV183" s="7"/>
      <c r="BW183" s="7"/>
      <c r="BX183" s="7"/>
      <c r="BY183" s="7"/>
    </row>
    <row r="184" spans="3:77" ht="15" customHeight="1" x14ac:dyDescent="0.2">
      <c r="C184" s="174">
        <v>4</v>
      </c>
      <c r="D184" s="175"/>
      <c r="E184" s="176" t="s">
        <v>187</v>
      </c>
      <c r="F184" s="176"/>
      <c r="G184" s="176"/>
      <c r="H184" s="176"/>
      <c r="I184" s="176"/>
      <c r="J184" s="176"/>
      <c r="K184" s="176"/>
      <c r="L184" s="176"/>
      <c r="M184" s="176"/>
      <c r="N184" s="176"/>
      <c r="O184" s="176"/>
      <c r="P184" s="176"/>
      <c r="Q184" s="176"/>
      <c r="R184" s="176"/>
      <c r="S184" s="176"/>
      <c r="T184" s="176"/>
      <c r="U184" s="176"/>
      <c r="V184" s="176"/>
      <c r="W184" s="176"/>
      <c r="X184" s="176"/>
      <c r="Y184" s="176"/>
      <c r="Z184" s="176"/>
      <c r="AA184" s="176"/>
      <c r="AB184" s="176"/>
      <c r="AC184" s="176"/>
      <c r="AD184" s="176"/>
      <c r="AE184" s="176"/>
      <c r="AF184" s="176"/>
      <c r="AG184" s="176"/>
      <c r="AH184" s="176"/>
      <c r="AI184" s="176"/>
      <c r="AJ184" s="176"/>
      <c r="AK184" s="176"/>
      <c r="AL184" s="176"/>
      <c r="AM184" s="176"/>
      <c r="AN184" s="176"/>
      <c r="AO184" s="176"/>
      <c r="AP184" s="176"/>
      <c r="AQ184" s="176"/>
      <c r="AR184" s="176"/>
      <c r="AS184" s="176"/>
      <c r="AT184" s="176"/>
      <c r="AU184" s="176"/>
      <c r="AV184" s="176"/>
      <c r="AW184" s="176"/>
      <c r="AX184" s="176"/>
      <c r="AY184" s="176"/>
      <c r="AZ184" s="176"/>
      <c r="BA184" s="176"/>
      <c r="BB184" s="176"/>
      <c r="BC184" s="176"/>
      <c r="BD184" s="176"/>
      <c r="BE184" s="176"/>
      <c r="BF184" s="176"/>
      <c r="BG184" s="176"/>
      <c r="BH184" s="176"/>
      <c r="BI184" s="176"/>
      <c r="BJ184" s="176"/>
      <c r="BK184" s="176"/>
      <c r="BL184" s="176"/>
      <c r="BM184" s="176"/>
      <c r="BN184" s="176"/>
      <c r="BO184" s="176"/>
      <c r="BP184" s="176"/>
      <c r="BQ184" s="176"/>
      <c r="BR184" s="176"/>
      <c r="BS184" s="176"/>
      <c r="BT184" s="7"/>
      <c r="BU184" s="7"/>
      <c r="BV184" s="7"/>
      <c r="BW184" s="7"/>
      <c r="BX184" s="7"/>
      <c r="BY184" s="7"/>
    </row>
    <row r="185" spans="3:77" ht="15" customHeight="1" x14ac:dyDescent="0.2">
      <c r="C185" s="174"/>
      <c r="D185" s="175"/>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AA185" s="176"/>
      <c r="AB185" s="176"/>
      <c r="AC185" s="176"/>
      <c r="AD185" s="176"/>
      <c r="AE185" s="176"/>
      <c r="AF185" s="176"/>
      <c r="AG185" s="176"/>
      <c r="AH185" s="176"/>
      <c r="AI185" s="176"/>
      <c r="AJ185" s="176"/>
      <c r="AK185" s="176"/>
      <c r="AL185" s="176"/>
      <c r="AM185" s="176"/>
      <c r="AN185" s="176"/>
      <c r="AO185" s="176"/>
      <c r="AP185" s="176"/>
      <c r="AQ185" s="176"/>
      <c r="AR185" s="176"/>
      <c r="AS185" s="176"/>
      <c r="AT185" s="176"/>
      <c r="AU185" s="176"/>
      <c r="AV185" s="176"/>
      <c r="AW185" s="176"/>
      <c r="AX185" s="176"/>
      <c r="AY185" s="176"/>
      <c r="AZ185" s="176"/>
      <c r="BA185" s="176"/>
      <c r="BB185" s="176"/>
      <c r="BC185" s="176"/>
      <c r="BD185" s="176"/>
      <c r="BE185" s="176"/>
      <c r="BF185" s="176"/>
      <c r="BG185" s="176"/>
      <c r="BH185" s="176"/>
      <c r="BI185" s="176"/>
      <c r="BJ185" s="176"/>
      <c r="BK185" s="176"/>
      <c r="BL185" s="176"/>
      <c r="BM185" s="176"/>
      <c r="BN185" s="176"/>
      <c r="BO185" s="176"/>
      <c r="BP185" s="176"/>
      <c r="BQ185" s="176"/>
      <c r="BR185" s="176"/>
      <c r="BS185" s="176"/>
      <c r="BT185" s="7"/>
      <c r="BU185" s="7"/>
      <c r="BV185" s="7"/>
      <c r="BW185" s="7"/>
      <c r="BX185" s="7"/>
      <c r="BY185" s="7"/>
    </row>
    <row r="186" spans="3:77" ht="15" customHeight="1" x14ac:dyDescent="0.2">
      <c r="C186" s="4"/>
      <c r="E186" s="136" t="s">
        <v>254</v>
      </c>
      <c r="F186" s="137"/>
      <c r="G186" s="137"/>
      <c r="H186" s="137"/>
      <c r="I186" s="137"/>
      <c r="J186" s="137"/>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c r="AH186" s="137"/>
      <c r="AI186" s="137"/>
      <c r="AJ186" s="137"/>
      <c r="AK186" s="137"/>
      <c r="AL186" s="137"/>
      <c r="AM186" s="137"/>
      <c r="AN186" s="137"/>
      <c r="AO186" s="137"/>
      <c r="AP186" s="137"/>
      <c r="AQ186" s="137"/>
      <c r="AR186" s="137"/>
      <c r="AS186" s="137"/>
      <c r="AT186" s="137"/>
      <c r="AU186" s="137"/>
      <c r="AV186" s="137"/>
      <c r="AW186" s="137"/>
      <c r="AX186" s="137"/>
      <c r="AY186" s="137"/>
      <c r="AZ186" s="137"/>
      <c r="BA186" s="137"/>
      <c r="BB186" s="137"/>
      <c r="BC186" s="137"/>
      <c r="BD186" s="137"/>
      <c r="BE186" s="137"/>
      <c r="BF186" s="137"/>
      <c r="BG186" s="137"/>
      <c r="BH186" s="137"/>
      <c r="BI186" s="137"/>
      <c r="BJ186" s="137"/>
      <c r="BK186" s="137"/>
      <c r="BL186" s="137"/>
      <c r="BM186" s="137"/>
      <c r="BN186" s="137"/>
      <c r="BO186" s="137"/>
      <c r="BP186" s="137"/>
      <c r="BQ186" s="137"/>
      <c r="BR186" s="137"/>
      <c r="BT186" s="7"/>
      <c r="BU186" s="7"/>
      <c r="BV186" s="7"/>
      <c r="BW186" s="7"/>
      <c r="BX186" s="7"/>
      <c r="BY186" s="7"/>
    </row>
    <row r="187" spans="3:77" ht="15" customHeight="1" x14ac:dyDescent="0.2">
      <c r="C187" s="4"/>
      <c r="E187" s="136"/>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c r="AH187" s="137"/>
      <c r="AI187" s="137"/>
      <c r="AJ187" s="137"/>
      <c r="AK187" s="137"/>
      <c r="AL187" s="137"/>
      <c r="AM187" s="137"/>
      <c r="AN187" s="137"/>
      <c r="AO187" s="137"/>
      <c r="AP187" s="137"/>
      <c r="AQ187" s="137"/>
      <c r="AR187" s="137"/>
      <c r="AS187" s="137"/>
      <c r="AT187" s="137"/>
      <c r="AU187" s="137"/>
      <c r="AV187" s="137"/>
      <c r="AW187" s="137"/>
      <c r="AX187" s="137"/>
      <c r="AY187" s="137"/>
      <c r="AZ187" s="137"/>
      <c r="BA187" s="137"/>
      <c r="BB187" s="137"/>
      <c r="BC187" s="137"/>
      <c r="BD187" s="137"/>
      <c r="BE187" s="137"/>
      <c r="BF187" s="137"/>
      <c r="BG187" s="137"/>
      <c r="BH187" s="137"/>
      <c r="BI187" s="137"/>
      <c r="BJ187" s="137"/>
      <c r="BK187" s="137"/>
      <c r="BL187" s="137"/>
      <c r="BM187" s="137"/>
      <c r="BN187" s="137"/>
      <c r="BO187" s="137"/>
      <c r="BP187" s="137"/>
      <c r="BQ187" s="137"/>
      <c r="BR187" s="137"/>
      <c r="BT187" s="7"/>
      <c r="BU187" s="7"/>
      <c r="BV187" s="7"/>
      <c r="BW187" s="7"/>
      <c r="BX187" s="7"/>
      <c r="BY187" s="7"/>
    </row>
    <row r="188" spans="3:77" ht="15" customHeight="1" x14ac:dyDescent="0.2">
      <c r="C188" s="4"/>
      <c r="E188" s="136"/>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c r="AH188" s="137"/>
      <c r="AI188" s="137"/>
      <c r="AJ188" s="137"/>
      <c r="AK188" s="137"/>
      <c r="AL188" s="137"/>
      <c r="AM188" s="137"/>
      <c r="AN188" s="137"/>
      <c r="AO188" s="137"/>
      <c r="AP188" s="137"/>
      <c r="AQ188" s="137"/>
      <c r="AR188" s="137"/>
      <c r="AS188" s="137"/>
      <c r="AT188" s="137"/>
      <c r="AU188" s="137"/>
      <c r="AV188" s="137"/>
      <c r="AW188" s="137"/>
      <c r="AX188" s="137"/>
      <c r="AY188" s="137"/>
      <c r="AZ188" s="137"/>
      <c r="BA188" s="137"/>
      <c r="BB188" s="137"/>
      <c r="BC188" s="137"/>
      <c r="BD188" s="137"/>
      <c r="BE188" s="137"/>
      <c r="BF188" s="137"/>
      <c r="BG188" s="137"/>
      <c r="BH188" s="137"/>
      <c r="BI188" s="137"/>
      <c r="BJ188" s="137"/>
      <c r="BK188" s="137"/>
      <c r="BL188" s="137"/>
      <c r="BM188" s="137"/>
      <c r="BN188" s="137"/>
      <c r="BO188" s="137"/>
      <c r="BP188" s="137"/>
      <c r="BQ188" s="137"/>
      <c r="BR188" s="137"/>
      <c r="BT188" s="7"/>
      <c r="BU188" s="7"/>
      <c r="BV188" s="7"/>
      <c r="BW188" s="7"/>
      <c r="BX188" s="7"/>
      <c r="BY188" s="7"/>
    </row>
    <row r="189" spans="3:77" ht="15" customHeight="1" x14ac:dyDescent="0.2">
      <c r="C189" s="4"/>
      <c r="E189" s="136"/>
      <c r="F189" s="137"/>
      <c r="G189" s="137"/>
      <c r="H189" s="137"/>
      <c r="I189" s="137"/>
      <c r="J189" s="137"/>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c r="AH189" s="137"/>
      <c r="AI189" s="137"/>
      <c r="AJ189" s="137"/>
      <c r="AK189" s="137"/>
      <c r="AL189" s="137"/>
      <c r="AM189" s="137"/>
      <c r="AN189" s="137"/>
      <c r="AO189" s="137"/>
      <c r="AP189" s="137"/>
      <c r="AQ189" s="137"/>
      <c r="AR189" s="137"/>
      <c r="AS189" s="137"/>
      <c r="AT189" s="137"/>
      <c r="AU189" s="137"/>
      <c r="AV189" s="137"/>
      <c r="AW189" s="137"/>
      <c r="AX189" s="137"/>
      <c r="AY189" s="137"/>
      <c r="AZ189" s="137"/>
      <c r="BA189" s="137"/>
      <c r="BB189" s="137"/>
      <c r="BC189" s="137"/>
      <c r="BD189" s="137"/>
      <c r="BE189" s="137"/>
      <c r="BF189" s="137"/>
      <c r="BG189" s="137"/>
      <c r="BH189" s="137"/>
      <c r="BI189" s="137"/>
      <c r="BJ189" s="137"/>
      <c r="BK189" s="137"/>
      <c r="BL189" s="137"/>
      <c r="BM189" s="137"/>
      <c r="BN189" s="137"/>
      <c r="BO189" s="137"/>
      <c r="BP189" s="137"/>
      <c r="BQ189" s="137"/>
      <c r="BR189" s="137"/>
      <c r="BT189" s="7"/>
      <c r="BU189" s="7"/>
      <c r="BV189" s="7"/>
      <c r="BW189" s="7"/>
      <c r="BX189" s="7"/>
      <c r="BY189" s="7"/>
    </row>
    <row r="190" spans="3:77" ht="15" customHeight="1" x14ac:dyDescent="0.2">
      <c r="C190" s="4"/>
      <c r="E190" s="136"/>
      <c r="F190" s="137"/>
      <c r="G190" s="137"/>
      <c r="H190" s="137"/>
      <c r="I190" s="137"/>
      <c r="J190" s="137"/>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c r="AH190" s="137"/>
      <c r="AI190" s="137"/>
      <c r="AJ190" s="137"/>
      <c r="AK190" s="137"/>
      <c r="AL190" s="137"/>
      <c r="AM190" s="137"/>
      <c r="AN190" s="137"/>
      <c r="AO190" s="137"/>
      <c r="AP190" s="137"/>
      <c r="AQ190" s="137"/>
      <c r="AR190" s="137"/>
      <c r="AS190" s="137"/>
      <c r="AT190" s="137"/>
      <c r="AU190" s="137"/>
      <c r="AV190" s="137"/>
      <c r="AW190" s="137"/>
      <c r="AX190" s="137"/>
      <c r="AY190" s="137"/>
      <c r="AZ190" s="137"/>
      <c r="BA190" s="137"/>
      <c r="BB190" s="137"/>
      <c r="BC190" s="137"/>
      <c r="BD190" s="137"/>
      <c r="BE190" s="137"/>
      <c r="BF190" s="137"/>
      <c r="BG190" s="137"/>
      <c r="BH190" s="137"/>
      <c r="BI190" s="137"/>
      <c r="BJ190" s="137"/>
      <c r="BK190" s="137"/>
      <c r="BL190" s="137"/>
      <c r="BM190" s="137"/>
      <c r="BN190" s="137"/>
      <c r="BO190" s="137"/>
      <c r="BP190" s="137"/>
      <c r="BQ190" s="137"/>
      <c r="BR190" s="137"/>
      <c r="BT190" s="7"/>
      <c r="BU190" s="7"/>
      <c r="BV190" s="7"/>
      <c r="BW190" s="7"/>
      <c r="BX190" s="7"/>
      <c r="BY190" s="7"/>
    </row>
    <row r="191" spans="3:77" ht="15" customHeight="1" x14ac:dyDescent="0.2">
      <c r="C191" s="4"/>
      <c r="E191" s="136"/>
      <c r="F191" s="137"/>
      <c r="G191" s="137"/>
      <c r="H191" s="137"/>
      <c r="I191" s="137"/>
      <c r="J191" s="137"/>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c r="AH191" s="137"/>
      <c r="AI191" s="137"/>
      <c r="AJ191" s="137"/>
      <c r="AK191" s="137"/>
      <c r="AL191" s="137"/>
      <c r="AM191" s="137"/>
      <c r="AN191" s="137"/>
      <c r="AO191" s="137"/>
      <c r="AP191" s="137"/>
      <c r="AQ191" s="137"/>
      <c r="AR191" s="137"/>
      <c r="AS191" s="137"/>
      <c r="AT191" s="137"/>
      <c r="AU191" s="137"/>
      <c r="AV191" s="137"/>
      <c r="AW191" s="137"/>
      <c r="AX191" s="137"/>
      <c r="AY191" s="137"/>
      <c r="AZ191" s="137"/>
      <c r="BA191" s="137"/>
      <c r="BB191" s="137"/>
      <c r="BC191" s="137"/>
      <c r="BD191" s="137"/>
      <c r="BE191" s="137"/>
      <c r="BF191" s="137"/>
      <c r="BG191" s="137"/>
      <c r="BH191" s="137"/>
      <c r="BI191" s="137"/>
      <c r="BJ191" s="137"/>
      <c r="BK191" s="137"/>
      <c r="BL191" s="137"/>
      <c r="BM191" s="137"/>
      <c r="BN191" s="137"/>
      <c r="BO191" s="137"/>
      <c r="BP191" s="137"/>
      <c r="BQ191" s="137"/>
      <c r="BR191" s="137"/>
      <c r="BT191" s="7"/>
      <c r="BU191" s="7"/>
      <c r="BV191" s="7"/>
      <c r="BW191" s="7"/>
      <c r="BX191" s="7"/>
      <c r="BY191" s="7"/>
    </row>
    <row r="192" spans="3:77" ht="15" customHeight="1" x14ac:dyDescent="0.2">
      <c r="C192" s="4"/>
      <c r="E192" s="136"/>
      <c r="F192" s="137"/>
      <c r="G192" s="137"/>
      <c r="H192" s="137"/>
      <c r="I192" s="137"/>
      <c r="J192" s="137"/>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c r="AH192" s="137"/>
      <c r="AI192" s="137"/>
      <c r="AJ192" s="137"/>
      <c r="AK192" s="137"/>
      <c r="AL192" s="137"/>
      <c r="AM192" s="137"/>
      <c r="AN192" s="137"/>
      <c r="AO192" s="137"/>
      <c r="AP192" s="137"/>
      <c r="AQ192" s="137"/>
      <c r="AR192" s="137"/>
      <c r="AS192" s="137"/>
      <c r="AT192" s="137"/>
      <c r="AU192" s="137"/>
      <c r="AV192" s="137"/>
      <c r="AW192" s="137"/>
      <c r="AX192" s="137"/>
      <c r="AY192" s="137"/>
      <c r="AZ192" s="137"/>
      <c r="BA192" s="137"/>
      <c r="BB192" s="137"/>
      <c r="BC192" s="137"/>
      <c r="BD192" s="137"/>
      <c r="BE192" s="137"/>
      <c r="BF192" s="137"/>
      <c r="BG192" s="137"/>
      <c r="BH192" s="137"/>
      <c r="BI192" s="137"/>
      <c r="BJ192" s="137"/>
      <c r="BK192" s="137"/>
      <c r="BL192" s="137"/>
      <c r="BM192" s="137"/>
      <c r="BN192" s="137"/>
      <c r="BO192" s="137"/>
      <c r="BP192" s="137"/>
      <c r="BQ192" s="137"/>
      <c r="BR192" s="137"/>
      <c r="BT192" s="7"/>
      <c r="BU192" s="7"/>
      <c r="BV192" s="7"/>
      <c r="BW192" s="7"/>
      <c r="BX192" s="7"/>
      <c r="BY192" s="7"/>
    </row>
    <row r="193" spans="3:77" ht="15" customHeight="1" x14ac:dyDescent="0.2">
      <c r="C193" s="4"/>
      <c r="E193" s="136"/>
      <c r="F193" s="137"/>
      <c r="G193" s="137"/>
      <c r="H193" s="137"/>
      <c r="I193" s="137"/>
      <c r="J193" s="137"/>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c r="AH193" s="137"/>
      <c r="AI193" s="137"/>
      <c r="AJ193" s="137"/>
      <c r="AK193" s="137"/>
      <c r="AL193" s="137"/>
      <c r="AM193" s="137"/>
      <c r="AN193" s="137"/>
      <c r="AO193" s="137"/>
      <c r="AP193" s="137"/>
      <c r="AQ193" s="137"/>
      <c r="AR193" s="137"/>
      <c r="AS193" s="137"/>
      <c r="AT193" s="137"/>
      <c r="AU193" s="137"/>
      <c r="AV193" s="137"/>
      <c r="AW193" s="137"/>
      <c r="AX193" s="137"/>
      <c r="AY193" s="137"/>
      <c r="AZ193" s="137"/>
      <c r="BA193" s="137"/>
      <c r="BB193" s="137"/>
      <c r="BC193" s="137"/>
      <c r="BD193" s="137"/>
      <c r="BE193" s="137"/>
      <c r="BF193" s="137"/>
      <c r="BG193" s="137"/>
      <c r="BH193" s="137"/>
      <c r="BI193" s="137"/>
      <c r="BJ193" s="137"/>
      <c r="BK193" s="137"/>
      <c r="BL193" s="137"/>
      <c r="BM193" s="137"/>
      <c r="BN193" s="137"/>
      <c r="BO193" s="137"/>
      <c r="BP193" s="137"/>
      <c r="BQ193" s="137"/>
      <c r="BR193" s="137"/>
      <c r="BT193" s="7"/>
      <c r="BU193" s="7"/>
      <c r="BV193" s="7"/>
      <c r="BW193" s="7"/>
      <c r="BX193" s="7"/>
      <c r="BY193" s="7"/>
    </row>
    <row r="194" spans="3:77" ht="15" customHeight="1" x14ac:dyDescent="0.2">
      <c r="C194" s="4"/>
      <c r="E194" s="136"/>
      <c r="F194" s="137"/>
      <c r="G194" s="137"/>
      <c r="H194" s="137"/>
      <c r="I194" s="137"/>
      <c r="J194" s="137"/>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c r="AH194" s="137"/>
      <c r="AI194" s="137"/>
      <c r="AJ194" s="137"/>
      <c r="AK194" s="137"/>
      <c r="AL194" s="137"/>
      <c r="AM194" s="137"/>
      <c r="AN194" s="137"/>
      <c r="AO194" s="137"/>
      <c r="AP194" s="137"/>
      <c r="AQ194" s="137"/>
      <c r="AR194" s="137"/>
      <c r="AS194" s="137"/>
      <c r="AT194" s="137"/>
      <c r="AU194" s="137"/>
      <c r="AV194" s="137"/>
      <c r="AW194" s="137"/>
      <c r="AX194" s="137"/>
      <c r="AY194" s="137"/>
      <c r="AZ194" s="137"/>
      <c r="BA194" s="137"/>
      <c r="BB194" s="137"/>
      <c r="BC194" s="137"/>
      <c r="BD194" s="137"/>
      <c r="BE194" s="137"/>
      <c r="BF194" s="137"/>
      <c r="BG194" s="137"/>
      <c r="BH194" s="137"/>
      <c r="BI194" s="137"/>
      <c r="BJ194" s="137"/>
      <c r="BK194" s="137"/>
      <c r="BL194" s="137"/>
      <c r="BM194" s="137"/>
      <c r="BN194" s="137"/>
      <c r="BO194" s="137"/>
      <c r="BP194" s="137"/>
      <c r="BQ194" s="137"/>
      <c r="BR194" s="137"/>
      <c r="BT194" s="7"/>
      <c r="BU194" s="7"/>
      <c r="BV194" s="7"/>
      <c r="BW194" s="7"/>
      <c r="BX194" s="7"/>
      <c r="BY194" s="7"/>
    </row>
    <row r="195" spans="3:77" ht="15" customHeight="1" x14ac:dyDescent="0.2">
      <c r="C195" s="4"/>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c r="AH195" s="137"/>
      <c r="AI195" s="137"/>
      <c r="AJ195" s="137"/>
      <c r="AK195" s="137"/>
      <c r="AL195" s="137"/>
      <c r="AM195" s="137"/>
      <c r="AN195" s="137"/>
      <c r="AO195" s="137"/>
      <c r="AP195" s="137"/>
      <c r="AQ195" s="137"/>
      <c r="AR195" s="137"/>
      <c r="AS195" s="137"/>
      <c r="AT195" s="137"/>
      <c r="AU195" s="137"/>
      <c r="AV195" s="137"/>
      <c r="AW195" s="137"/>
      <c r="AX195" s="137"/>
      <c r="AY195" s="137"/>
      <c r="AZ195" s="137"/>
      <c r="BA195" s="137"/>
      <c r="BB195" s="137"/>
      <c r="BC195" s="137"/>
      <c r="BD195" s="137"/>
      <c r="BE195" s="137"/>
      <c r="BF195" s="137"/>
      <c r="BG195" s="137"/>
      <c r="BH195" s="137"/>
      <c r="BI195" s="137"/>
      <c r="BJ195" s="137"/>
      <c r="BK195" s="137"/>
      <c r="BL195" s="137"/>
      <c r="BM195" s="137"/>
      <c r="BN195" s="137"/>
      <c r="BO195" s="137"/>
      <c r="BP195" s="137"/>
      <c r="BQ195" s="137"/>
      <c r="BR195" s="137"/>
      <c r="BT195" s="7"/>
      <c r="BU195" s="7"/>
      <c r="BV195" s="7"/>
      <c r="BW195" s="7"/>
      <c r="BX195" s="7"/>
      <c r="BY195" s="7"/>
    </row>
    <row r="196" spans="3:77" ht="15" customHeight="1" x14ac:dyDescent="0.2">
      <c r="C196" s="140" t="s">
        <v>182</v>
      </c>
      <c r="D196" s="141"/>
      <c r="E196" s="141"/>
      <c r="F196" s="141"/>
      <c r="G196" s="148" t="s">
        <v>184</v>
      </c>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c r="AD196" s="148"/>
      <c r="AE196" s="148"/>
      <c r="AF196" s="148"/>
      <c r="AG196" s="148"/>
      <c r="AH196" s="148"/>
      <c r="AI196" s="148"/>
      <c r="AJ196" s="148"/>
      <c r="AK196" s="148"/>
      <c r="AL196" s="148"/>
      <c r="AM196" s="148"/>
      <c r="AN196" s="148"/>
      <c r="AO196" s="148"/>
      <c r="AP196" s="148"/>
      <c r="AQ196" s="148"/>
      <c r="AR196" s="148"/>
      <c r="AS196" s="148"/>
      <c r="AT196" s="148"/>
      <c r="AU196" s="148"/>
      <c r="AV196" s="148"/>
      <c r="AW196" s="148"/>
      <c r="AX196" s="148"/>
      <c r="AY196" s="148"/>
      <c r="AZ196" s="148"/>
      <c r="BA196" s="148"/>
      <c r="BB196" s="148"/>
      <c r="BC196" s="148"/>
      <c r="BD196" s="148"/>
      <c r="BE196" s="148"/>
      <c r="BF196" s="148"/>
      <c r="BG196" s="148"/>
      <c r="BH196" s="148"/>
      <c r="BI196" s="148"/>
      <c r="BJ196" s="148"/>
      <c r="BK196" s="148"/>
      <c r="BL196" s="148"/>
      <c r="BM196" s="148"/>
      <c r="BN196" s="148"/>
      <c r="BO196" s="148"/>
      <c r="BP196" s="148"/>
      <c r="BQ196" s="148"/>
      <c r="BR196" s="148"/>
      <c r="BT196" s="7"/>
      <c r="BU196" s="7"/>
      <c r="BV196" s="7"/>
      <c r="BW196" s="7"/>
      <c r="BX196" s="7"/>
      <c r="BY196" s="7"/>
    </row>
    <row r="197" spans="3:77" ht="15" customHeight="1" x14ac:dyDescent="0.2">
      <c r="C197" s="140"/>
      <c r="D197" s="141"/>
      <c r="E197" s="141"/>
      <c r="F197" s="141"/>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c r="AD197" s="148"/>
      <c r="AE197" s="148"/>
      <c r="AF197" s="148"/>
      <c r="AG197" s="148"/>
      <c r="AH197" s="148"/>
      <c r="AI197" s="148"/>
      <c r="AJ197" s="148"/>
      <c r="AK197" s="148"/>
      <c r="AL197" s="148"/>
      <c r="AM197" s="148"/>
      <c r="AN197" s="148"/>
      <c r="AO197" s="148"/>
      <c r="AP197" s="148"/>
      <c r="AQ197" s="148"/>
      <c r="AR197" s="148"/>
      <c r="AS197" s="148"/>
      <c r="AT197" s="148"/>
      <c r="AU197" s="148"/>
      <c r="AV197" s="148"/>
      <c r="AW197" s="148"/>
      <c r="AX197" s="148"/>
      <c r="AY197" s="148"/>
      <c r="AZ197" s="148"/>
      <c r="BA197" s="148"/>
      <c r="BB197" s="148"/>
      <c r="BC197" s="148"/>
      <c r="BD197" s="148"/>
      <c r="BE197" s="148"/>
      <c r="BF197" s="148"/>
      <c r="BG197" s="148"/>
      <c r="BH197" s="148"/>
      <c r="BI197" s="148"/>
      <c r="BJ197" s="148"/>
      <c r="BK197" s="148"/>
      <c r="BL197" s="148"/>
      <c r="BM197" s="148"/>
      <c r="BN197" s="148"/>
      <c r="BO197" s="148"/>
      <c r="BP197" s="148"/>
      <c r="BQ197" s="148"/>
      <c r="BR197" s="148"/>
      <c r="BT197" s="7"/>
      <c r="BU197" s="7"/>
      <c r="BV197" s="7"/>
      <c r="BW197" s="7"/>
      <c r="BX197" s="7"/>
      <c r="BY197" s="7"/>
    </row>
    <row r="198" spans="3:77" ht="15" customHeight="1" x14ac:dyDescent="0.25">
      <c r="C198" s="52"/>
      <c r="D198" s="53"/>
      <c r="E198" s="53"/>
      <c r="F198" s="53"/>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T198" s="7"/>
      <c r="BU198" s="7"/>
      <c r="BV198" s="7"/>
      <c r="BW198" s="7"/>
      <c r="BX198" s="7"/>
      <c r="BY198" s="7"/>
    </row>
    <row r="199" spans="3:77" ht="15" customHeight="1" x14ac:dyDescent="0.25">
      <c r="C199" s="4"/>
      <c r="W199" s="13" t="s">
        <v>154</v>
      </c>
      <c r="X199" s="144">
        <f>D.bs+(S.h/2-D.bs)*((L.bs-0.1*L.s)/L.bs)^2</f>
        <v>0.60483750000000014</v>
      </c>
      <c r="Y199" s="144"/>
      <c r="Z199" s="144"/>
      <c r="AA199" s="144"/>
      <c r="AB199" s="144"/>
      <c r="BT199" s="7"/>
      <c r="BU199" s="7"/>
      <c r="BV199" s="7"/>
      <c r="BW199" s="7"/>
      <c r="BX199" s="7"/>
      <c r="BY199" s="7"/>
    </row>
    <row r="200" spans="3:77" ht="15" customHeight="1" x14ac:dyDescent="0.2">
      <c r="C200" s="4"/>
      <c r="W200" s="12" t="s">
        <v>132</v>
      </c>
      <c r="X200" s="185">
        <f>DEGREES(ATAN((S.h/2-y.b2.9)/(L.s*0.1)))</f>
        <v>3.3704975674964706</v>
      </c>
      <c r="Y200" s="185"/>
      <c r="Z200" s="185"/>
      <c r="AA200" s="185"/>
      <c r="AB200" s="185"/>
      <c r="BT200" s="7"/>
      <c r="BU200" s="7"/>
      <c r="BV200" s="7"/>
      <c r="BW200" s="7"/>
      <c r="BX200" s="7"/>
      <c r="BY200" s="7"/>
    </row>
    <row r="201" spans="3:77" ht="15" customHeight="1" x14ac:dyDescent="0.2">
      <c r="C201" s="4"/>
      <c r="W201" s="12"/>
      <c r="X201" s="24"/>
      <c r="Y201" s="24"/>
      <c r="Z201" s="24"/>
      <c r="AA201" s="22"/>
      <c r="BT201" s="7"/>
      <c r="BU201" s="7"/>
      <c r="BV201" s="7"/>
      <c r="BW201" s="7"/>
      <c r="BX201" s="7"/>
      <c r="BY201" s="7"/>
    </row>
    <row r="202" spans="3:77" ht="15" customHeight="1" x14ac:dyDescent="0.2">
      <c r="C202" s="140">
        <v>4.2</v>
      </c>
      <c r="D202" s="141"/>
      <c r="E202" s="141"/>
      <c r="F202" s="141"/>
      <c r="G202" s="148" t="s">
        <v>188</v>
      </c>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c r="AD202" s="148"/>
      <c r="AE202" s="148"/>
      <c r="AF202" s="148"/>
      <c r="AG202" s="148"/>
      <c r="AH202" s="148"/>
      <c r="AI202" s="148"/>
      <c r="AJ202" s="148"/>
      <c r="AK202" s="148"/>
      <c r="AL202" s="148"/>
      <c r="AM202" s="148"/>
      <c r="AN202" s="148"/>
      <c r="AO202" s="148"/>
      <c r="AP202" s="148"/>
      <c r="AQ202" s="148"/>
      <c r="AR202" s="148"/>
      <c r="AS202" s="148"/>
      <c r="AT202" s="148"/>
      <c r="AU202" s="148"/>
      <c r="AV202" s="148"/>
      <c r="AW202" s="148"/>
      <c r="AX202" s="148"/>
      <c r="AY202" s="148"/>
      <c r="AZ202" s="148"/>
      <c r="BA202" s="148"/>
      <c r="BB202" s="148"/>
      <c r="BC202" s="148"/>
      <c r="BD202" s="148"/>
      <c r="BE202" s="148"/>
      <c r="BF202" s="148"/>
      <c r="BG202" s="148"/>
      <c r="BH202" s="148"/>
      <c r="BI202" s="148"/>
      <c r="BJ202" s="148"/>
      <c r="BK202" s="148"/>
      <c r="BL202" s="148"/>
      <c r="BM202" s="148"/>
      <c r="BN202" s="148"/>
      <c r="BO202" s="148"/>
      <c r="BP202" s="148"/>
      <c r="BQ202" s="148"/>
      <c r="BR202" s="148"/>
      <c r="BT202" s="7"/>
      <c r="BU202" s="7"/>
      <c r="BV202" s="7"/>
      <c r="BW202" s="7"/>
      <c r="BX202" s="7"/>
      <c r="BY202" s="7"/>
    </row>
    <row r="203" spans="3:77" ht="15" customHeight="1" x14ac:dyDescent="0.2">
      <c r="C203" s="140"/>
      <c r="D203" s="141"/>
      <c r="E203" s="141"/>
      <c r="F203" s="141"/>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c r="AD203" s="148"/>
      <c r="AE203" s="148"/>
      <c r="AF203" s="148"/>
      <c r="AG203" s="148"/>
      <c r="AH203" s="148"/>
      <c r="AI203" s="148"/>
      <c r="AJ203" s="148"/>
      <c r="AK203" s="148"/>
      <c r="AL203" s="148"/>
      <c r="AM203" s="148"/>
      <c r="AN203" s="148"/>
      <c r="AO203" s="148"/>
      <c r="AP203" s="148"/>
      <c r="AQ203" s="148"/>
      <c r="AR203" s="148"/>
      <c r="AS203" s="148"/>
      <c r="AT203" s="148"/>
      <c r="AU203" s="148"/>
      <c r="AV203" s="148"/>
      <c r="AW203" s="148"/>
      <c r="AX203" s="148"/>
      <c r="AY203" s="148"/>
      <c r="AZ203" s="148"/>
      <c r="BA203" s="148"/>
      <c r="BB203" s="148"/>
      <c r="BC203" s="148"/>
      <c r="BD203" s="148"/>
      <c r="BE203" s="148"/>
      <c r="BF203" s="148"/>
      <c r="BG203" s="148"/>
      <c r="BH203" s="148"/>
      <c r="BI203" s="148"/>
      <c r="BJ203" s="148"/>
      <c r="BK203" s="148"/>
      <c r="BL203" s="148"/>
      <c r="BM203" s="148"/>
      <c r="BN203" s="148"/>
      <c r="BO203" s="148"/>
      <c r="BP203" s="148"/>
      <c r="BQ203" s="148"/>
      <c r="BR203" s="148"/>
      <c r="BT203" s="7"/>
      <c r="BU203" s="7"/>
      <c r="BV203" s="7"/>
      <c r="BW203" s="7"/>
      <c r="BX203" s="7"/>
      <c r="BY203" s="7"/>
    </row>
    <row r="204" spans="3:77" ht="15" customHeight="1" x14ac:dyDescent="0.2">
      <c r="C204" s="19"/>
      <c r="BU204" s="7"/>
      <c r="BV204" s="7"/>
      <c r="BW204" s="7"/>
      <c r="BX204" s="7"/>
      <c r="BY204" s="7"/>
    </row>
    <row r="205" spans="3:77" ht="15" customHeight="1" x14ac:dyDescent="0.25">
      <c r="C205" s="4"/>
      <c r="W205" s="12" t="s">
        <v>122</v>
      </c>
      <c r="X205" s="169">
        <f>Inputs!B27</f>
        <v>0.41655999999999993</v>
      </c>
      <c r="Y205" s="169"/>
      <c r="Z205" s="169"/>
      <c r="AA205" s="169"/>
      <c r="AB205" s="169"/>
      <c r="BT205" s="7"/>
      <c r="BU205" s="7"/>
      <c r="BV205" s="7"/>
      <c r="BW205" s="7"/>
      <c r="BX205" s="7"/>
      <c r="BY205" s="9" t="s">
        <v>167</v>
      </c>
    </row>
    <row r="206" spans="3:77" ht="15" customHeight="1" x14ac:dyDescent="0.25">
      <c r="C206" s="4"/>
      <c r="W206" s="12" t="s">
        <v>148</v>
      </c>
      <c r="X206" s="169">
        <f>Inputs!B28</f>
        <v>0.38100000000000001</v>
      </c>
      <c r="Y206" s="169"/>
      <c r="Z206" s="169"/>
      <c r="AA206" s="169"/>
      <c r="AB206" s="169"/>
      <c r="BT206" s="7"/>
      <c r="BU206" s="7"/>
      <c r="BV206" s="7"/>
      <c r="BW206" s="7"/>
      <c r="BY206" s="9" t="s">
        <v>168</v>
      </c>
    </row>
    <row r="207" spans="3:77" ht="15" customHeight="1" x14ac:dyDescent="0.25">
      <c r="C207" s="4"/>
      <c r="W207" s="12" t="s">
        <v>34</v>
      </c>
      <c r="X207" s="203">
        <f>MIN(MAX(W.lz, L.anchorage), 1.5*W.lz)</f>
        <v>0.41655999999999993</v>
      </c>
      <c r="Y207" s="203"/>
      <c r="Z207" s="203"/>
      <c r="AA207" s="203"/>
      <c r="AB207" s="203"/>
      <c r="BT207" s="7"/>
      <c r="BU207" s="7"/>
      <c r="BV207" s="7"/>
      <c r="BW207" s="7"/>
      <c r="BX207" s="7"/>
      <c r="BY207" s="9" t="s">
        <v>169</v>
      </c>
    </row>
    <row r="208" spans="3:77" ht="15" customHeight="1" x14ac:dyDescent="0.2">
      <c r="C208" s="4"/>
      <c r="W208" s="12"/>
      <c r="X208" s="24"/>
      <c r="Y208" s="24"/>
      <c r="Z208" s="24"/>
      <c r="AA208" s="22"/>
      <c r="BT208" s="7"/>
      <c r="BU208" s="7"/>
      <c r="BV208" s="7"/>
      <c r="BW208" s="7"/>
      <c r="BX208" s="7"/>
      <c r="BY208" s="7"/>
    </row>
    <row r="209" spans="3:77" ht="15" customHeight="1" x14ac:dyDescent="0.2">
      <c r="C209" s="140">
        <v>4.3</v>
      </c>
      <c r="D209" s="141"/>
      <c r="E209" s="141"/>
      <c r="F209" s="141"/>
      <c r="G209" s="148" t="s">
        <v>189</v>
      </c>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c r="AD209" s="148"/>
      <c r="AE209" s="148"/>
      <c r="AF209" s="148"/>
      <c r="AG209" s="148"/>
      <c r="AH209" s="148"/>
      <c r="AI209" s="148"/>
      <c r="AJ209" s="148"/>
      <c r="AK209" s="148"/>
      <c r="AL209" s="148"/>
      <c r="AM209" s="148"/>
      <c r="AN209" s="148"/>
      <c r="AO209" s="148"/>
      <c r="AP209" s="148"/>
      <c r="AQ209" s="148"/>
      <c r="AR209" s="148"/>
      <c r="AS209" s="148"/>
      <c r="AT209" s="148"/>
      <c r="AU209" s="148"/>
      <c r="AV209" s="148"/>
      <c r="AW209" s="148"/>
      <c r="AX209" s="148"/>
      <c r="AY209" s="148"/>
      <c r="AZ209" s="148"/>
      <c r="BA209" s="148"/>
      <c r="BB209" s="148"/>
      <c r="BC209" s="148"/>
      <c r="BD209" s="148"/>
      <c r="BE209" s="148"/>
      <c r="BF209" s="148"/>
      <c r="BG209" s="148"/>
      <c r="BH209" s="148"/>
      <c r="BI209" s="148"/>
      <c r="BJ209" s="148"/>
      <c r="BK209" s="148"/>
      <c r="BL209" s="148"/>
      <c r="BM209" s="148"/>
      <c r="BN209" s="148"/>
      <c r="BO209" s="148"/>
      <c r="BP209" s="148"/>
      <c r="BQ209" s="148"/>
      <c r="BR209" s="148"/>
      <c r="BT209" s="7"/>
      <c r="BU209" s="7"/>
      <c r="BV209" s="7"/>
      <c r="BW209" s="7"/>
      <c r="BX209" s="7"/>
      <c r="BY209" s="7"/>
    </row>
    <row r="210" spans="3:77" ht="15" customHeight="1" x14ac:dyDescent="0.2">
      <c r="C210" s="140"/>
      <c r="D210" s="141"/>
      <c r="E210" s="141"/>
      <c r="F210" s="141"/>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c r="AD210" s="148"/>
      <c r="AE210" s="148"/>
      <c r="AF210" s="148"/>
      <c r="AG210" s="148"/>
      <c r="AH210" s="148"/>
      <c r="AI210" s="148"/>
      <c r="AJ210" s="148"/>
      <c r="AK210" s="148"/>
      <c r="AL210" s="148"/>
      <c r="AM210" s="148"/>
      <c r="AN210" s="148"/>
      <c r="AO210" s="148"/>
      <c r="AP210" s="148"/>
      <c r="AQ210" s="148"/>
      <c r="AR210" s="148"/>
      <c r="AS210" s="148"/>
      <c r="AT210" s="148"/>
      <c r="AU210" s="148"/>
      <c r="AV210" s="148"/>
      <c r="AW210" s="148"/>
      <c r="AX210" s="148"/>
      <c r="AY210" s="148"/>
      <c r="AZ210" s="148"/>
      <c r="BA210" s="148"/>
      <c r="BB210" s="148"/>
      <c r="BC210" s="148"/>
      <c r="BD210" s="148"/>
      <c r="BE210" s="148"/>
      <c r="BF210" s="148"/>
      <c r="BG210" s="148"/>
      <c r="BH210" s="148"/>
      <c r="BI210" s="148"/>
      <c r="BJ210" s="148"/>
      <c r="BK210" s="148"/>
      <c r="BL210" s="148"/>
      <c r="BM210" s="148"/>
      <c r="BN210" s="148"/>
      <c r="BO210" s="148"/>
      <c r="BP210" s="148"/>
      <c r="BQ210" s="148"/>
      <c r="BR210" s="148"/>
      <c r="BT210" s="7"/>
      <c r="BU210" s="7"/>
      <c r="BV210" s="7"/>
      <c r="BW210" s="7"/>
      <c r="BX210" s="7"/>
      <c r="BY210" s="7"/>
    </row>
    <row r="211" spans="3:77" ht="15" customHeight="1" x14ac:dyDescent="0.2">
      <c r="C211" s="19"/>
      <c r="BU211" s="7"/>
      <c r="BV211" s="7"/>
      <c r="BW211" s="7"/>
      <c r="BX211" s="7"/>
      <c r="BY211" s="7"/>
    </row>
    <row r="212" spans="3:77" ht="15" customHeight="1" x14ac:dyDescent="0.25">
      <c r="C212" s="19"/>
      <c r="W212" s="12" t="s">
        <v>123</v>
      </c>
      <c r="X212" s="169">
        <f>Inputs!B29</f>
        <v>1.6763999999999999</v>
      </c>
      <c r="Y212" s="169"/>
      <c r="Z212" s="169"/>
      <c r="AA212" s="169"/>
      <c r="AB212" s="169"/>
      <c r="BT212" s="7"/>
      <c r="BU212" s="7"/>
      <c r="BV212" s="7"/>
      <c r="BW212" s="7"/>
      <c r="BX212" s="7"/>
      <c r="BY212" s="7"/>
    </row>
    <row r="213" spans="3:77" ht="15" customHeight="1" x14ac:dyDescent="0.25">
      <c r="C213" s="4"/>
      <c r="W213" s="12" t="s">
        <v>124</v>
      </c>
      <c r="X213" s="169">
        <f>Inputs!B30</f>
        <v>2.3622000000000001</v>
      </c>
      <c r="Y213" s="169"/>
      <c r="Z213" s="169"/>
      <c r="AA213" s="169"/>
      <c r="AB213" s="169"/>
      <c r="BT213" s="7"/>
      <c r="BU213" s="7"/>
      <c r="BV213" s="7"/>
      <c r="BW213" s="7"/>
      <c r="BX213" s="7"/>
      <c r="BY213" s="7"/>
    </row>
    <row r="214" spans="3:77" ht="15" customHeight="1" x14ac:dyDescent="0.25">
      <c r="C214" s="4"/>
      <c r="W214" s="12" t="s">
        <v>35</v>
      </c>
      <c r="X214" s="144">
        <f>MIN(MAX(S.w, S.h), 1.5*MAX(S.w, S.h))</f>
        <v>2.3622000000000001</v>
      </c>
      <c r="Y214" s="144"/>
      <c r="Z214" s="144"/>
      <c r="AA214" s="144"/>
      <c r="AB214" s="144"/>
      <c r="BU214" s="7"/>
      <c r="BV214" s="7"/>
      <c r="BW214" s="7"/>
      <c r="BX214" s="7"/>
      <c r="BY214" s="9" t="s">
        <v>166</v>
      </c>
    </row>
    <row r="215" spans="3:77" ht="15" customHeight="1" x14ac:dyDescent="0.2">
      <c r="C215" s="4"/>
      <c r="W215" s="12"/>
      <c r="X215" s="14"/>
      <c r="Y215" s="14"/>
      <c r="Z215" s="14"/>
      <c r="AA215" s="22"/>
      <c r="BT215" s="7"/>
      <c r="BU215" s="7"/>
      <c r="BV215" s="7"/>
      <c r="BW215" s="7"/>
      <c r="BX215" s="7"/>
      <c r="BY215" s="7"/>
    </row>
    <row r="216" spans="3:77" ht="15" customHeight="1" x14ac:dyDescent="0.2">
      <c r="C216" s="140">
        <v>4.4000000000000004</v>
      </c>
      <c r="D216" s="141"/>
      <c r="E216" s="141"/>
      <c r="F216" s="141"/>
      <c r="G216" s="148" t="s">
        <v>183</v>
      </c>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c r="AD216" s="148"/>
      <c r="AE216" s="148"/>
      <c r="AF216" s="148"/>
      <c r="AG216" s="148"/>
      <c r="AH216" s="148"/>
      <c r="AI216" s="148"/>
      <c r="AJ216" s="148"/>
      <c r="AK216" s="148"/>
      <c r="AL216" s="148"/>
      <c r="AM216" s="148"/>
      <c r="AN216" s="148"/>
      <c r="AO216" s="148"/>
      <c r="AP216" s="148"/>
      <c r="AQ216" s="148"/>
      <c r="AR216" s="148"/>
      <c r="AS216" s="148"/>
      <c r="AT216" s="148"/>
      <c r="AU216" s="148"/>
      <c r="AV216" s="148"/>
      <c r="AW216" s="148"/>
      <c r="AX216" s="148"/>
      <c r="AY216" s="148"/>
      <c r="AZ216" s="148"/>
      <c r="BA216" s="148"/>
      <c r="BB216" s="148"/>
      <c r="BC216" s="148"/>
      <c r="BD216" s="148"/>
      <c r="BE216" s="148"/>
      <c r="BF216" s="148"/>
      <c r="BG216" s="148"/>
      <c r="BH216" s="148"/>
      <c r="BI216" s="148"/>
      <c r="BJ216" s="148"/>
      <c r="BK216" s="148"/>
      <c r="BL216" s="148"/>
      <c r="BM216" s="148"/>
      <c r="BN216" s="148"/>
      <c r="BO216" s="148"/>
      <c r="BP216" s="148"/>
      <c r="BQ216" s="148"/>
      <c r="BR216" s="148"/>
      <c r="BT216" s="7"/>
      <c r="BU216" s="7"/>
      <c r="BV216" s="7"/>
      <c r="BW216" s="7"/>
      <c r="BX216" s="7"/>
      <c r="BY216" s="7"/>
    </row>
    <row r="217" spans="3:77" ht="15" customHeight="1" x14ac:dyDescent="0.2">
      <c r="C217" s="140"/>
      <c r="D217" s="141"/>
      <c r="E217" s="141"/>
      <c r="F217" s="141"/>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c r="AD217" s="148"/>
      <c r="AE217" s="148"/>
      <c r="AF217" s="148"/>
      <c r="AG217" s="148"/>
      <c r="AH217" s="148"/>
      <c r="AI217" s="148"/>
      <c r="AJ217" s="148"/>
      <c r="AK217" s="148"/>
      <c r="AL217" s="148"/>
      <c r="AM217" s="148"/>
      <c r="AN217" s="148"/>
      <c r="AO217" s="148"/>
      <c r="AP217" s="148"/>
      <c r="AQ217" s="148"/>
      <c r="AR217" s="148"/>
      <c r="AS217" s="148"/>
      <c r="AT217" s="148"/>
      <c r="AU217" s="148"/>
      <c r="AV217" s="148"/>
      <c r="AW217" s="148"/>
      <c r="AX217" s="148"/>
      <c r="AY217" s="148"/>
      <c r="AZ217" s="148"/>
      <c r="BA217" s="148"/>
      <c r="BB217" s="148"/>
      <c r="BC217" s="148"/>
      <c r="BD217" s="148"/>
      <c r="BE217" s="148"/>
      <c r="BF217" s="148"/>
      <c r="BG217" s="148"/>
      <c r="BH217" s="148"/>
      <c r="BI217" s="148"/>
      <c r="BJ217" s="148"/>
      <c r="BK217" s="148"/>
      <c r="BL217" s="148"/>
      <c r="BM217" s="148"/>
      <c r="BN217" s="148"/>
      <c r="BO217" s="148"/>
      <c r="BP217" s="148"/>
      <c r="BQ217" s="148"/>
      <c r="BR217" s="148"/>
      <c r="BT217" s="7"/>
      <c r="BU217" s="7"/>
      <c r="BV217" s="7"/>
      <c r="BW217" s="7"/>
      <c r="BX217" s="7"/>
      <c r="BY217" s="7"/>
    </row>
    <row r="218" spans="3:77" ht="15" customHeight="1" x14ac:dyDescent="0.2">
      <c r="C218" s="19"/>
      <c r="BU218" s="7"/>
      <c r="BV218" s="7"/>
      <c r="BW218" s="7"/>
      <c r="BX218" s="7"/>
      <c r="BY218" s="7"/>
    </row>
    <row r="219" spans="3:77" ht="15" customHeight="1" x14ac:dyDescent="0.25">
      <c r="C219" s="19"/>
      <c r="W219" s="12" t="s">
        <v>125</v>
      </c>
      <c r="X219" s="144">
        <f>b.w2+(b.w1-b.w2)*(L.b+L.CL1+L.F-L.Gz)/(L.F)</f>
        <v>0.40841578847399673</v>
      </c>
      <c r="Y219" s="144"/>
      <c r="Z219" s="144"/>
      <c r="AA219" s="144"/>
      <c r="AB219" s="144"/>
      <c r="BT219" s="7"/>
      <c r="BU219" s="7"/>
      <c r="BV219" s="7"/>
      <c r="BW219" s="7"/>
      <c r="BX219" s="7"/>
      <c r="BY219" s="7"/>
    </row>
    <row r="220" spans="3:77" ht="15" customHeight="1" x14ac:dyDescent="0.25">
      <c r="C220" s="19"/>
      <c r="W220" s="12" t="s">
        <v>126</v>
      </c>
      <c r="X220" s="144">
        <f>W.fw*(2/COS(RADIANS(β))+N.web)</f>
        <v>2.5134090297075722</v>
      </c>
      <c r="Y220" s="144"/>
      <c r="Z220" s="144"/>
      <c r="AA220" s="144"/>
      <c r="AB220" s="144"/>
      <c r="BL220" s="139"/>
      <c r="BM220" s="139"/>
      <c r="BT220" s="7"/>
      <c r="BU220" s="7"/>
      <c r="BV220" s="7"/>
      <c r="BW220" s="7"/>
      <c r="BX220" s="7"/>
      <c r="BY220" s="7"/>
    </row>
    <row r="221" spans="3:77" ht="15" customHeight="1" x14ac:dyDescent="0.25">
      <c r="C221" s="19"/>
      <c r="W221" s="12" t="s">
        <v>127</v>
      </c>
      <c r="X221" s="213">
        <f>Inputs!B31</f>
        <v>7.9670808399999995</v>
      </c>
      <c r="Y221" s="213"/>
      <c r="Z221" s="213"/>
      <c r="AA221" s="213"/>
      <c r="AB221" s="213"/>
      <c r="BT221" s="7"/>
      <c r="BU221" s="7"/>
      <c r="BV221" s="7"/>
      <c r="BW221" s="7"/>
      <c r="BX221" s="7"/>
      <c r="BY221" s="7"/>
    </row>
    <row r="222" spans="3:77" ht="15" customHeight="1" x14ac:dyDescent="0.25">
      <c r="C222" s="19"/>
      <c r="W222" s="12" t="s">
        <v>128</v>
      </c>
      <c r="X222" s="214">
        <f>Inputs!B32</f>
        <v>2.9802369892684482</v>
      </c>
      <c r="Y222" s="214"/>
      <c r="Z222" s="214"/>
      <c r="AA222" s="214"/>
      <c r="AB222" s="214"/>
      <c r="AK222" s="40"/>
      <c r="BT222" s="7"/>
      <c r="BU222" s="7"/>
      <c r="BV222" s="7"/>
      <c r="BW222" s="7"/>
      <c r="BX222" s="7"/>
      <c r="BY222" s="7"/>
    </row>
    <row r="223" spans="3:77" ht="15" customHeight="1" x14ac:dyDescent="0.25">
      <c r="C223" s="19"/>
      <c r="W223" s="12" t="s">
        <v>129</v>
      </c>
      <c r="X223" s="169">
        <f>Inputs!B33</f>
        <v>0.93550739999999999</v>
      </c>
      <c r="Y223" s="169"/>
      <c r="Z223" s="169"/>
      <c r="AA223" s="169"/>
      <c r="AB223" s="169"/>
      <c r="BT223" s="7"/>
      <c r="BU223" s="7"/>
      <c r="BV223" s="7"/>
      <c r="BW223" s="7"/>
      <c r="BX223" s="7"/>
      <c r="BY223" s="7"/>
    </row>
    <row r="224" spans="3:77" ht="15" customHeight="1" x14ac:dyDescent="0.25">
      <c r="C224" s="19"/>
      <c r="W224" s="12" t="s">
        <v>130</v>
      </c>
      <c r="X224" s="169">
        <f>Inputs!B34</f>
        <v>0.74089260000000001</v>
      </c>
      <c r="Y224" s="169"/>
      <c r="Z224" s="169"/>
      <c r="AA224" s="169"/>
      <c r="AB224" s="169"/>
      <c r="BT224" s="7"/>
      <c r="BU224" s="7"/>
      <c r="BV224" s="7"/>
      <c r="BW224" s="7"/>
      <c r="BX224" s="7"/>
      <c r="BY224" s="7"/>
    </row>
    <row r="225" spans="3:77" ht="15" customHeight="1" x14ac:dyDescent="0.2">
      <c r="C225" s="93"/>
      <c r="W225" s="12"/>
      <c r="X225" s="57"/>
      <c r="Y225" s="57"/>
      <c r="Z225" s="57"/>
      <c r="AA225" s="57"/>
      <c r="AB225" s="57"/>
      <c r="BT225" s="7"/>
      <c r="BU225" s="7"/>
      <c r="BV225" s="7"/>
      <c r="BW225" s="7"/>
      <c r="BX225" s="7"/>
      <c r="BY225" s="7"/>
    </row>
    <row r="226" spans="3:77" ht="15" customHeight="1" x14ac:dyDescent="0.2">
      <c r="C226" s="93"/>
      <c r="W226" s="12"/>
      <c r="X226" s="57"/>
      <c r="Y226" s="57"/>
      <c r="Z226" s="57"/>
      <c r="AA226" s="57"/>
      <c r="AB226" s="57"/>
      <c r="BT226" s="7"/>
      <c r="BU226" s="7"/>
      <c r="BV226" s="7"/>
      <c r="BW226" s="7"/>
      <c r="BX226" s="7"/>
      <c r="BY226" s="7"/>
    </row>
    <row r="227" spans="3:77" ht="15" customHeight="1" x14ac:dyDescent="0.2">
      <c r="C227" s="93"/>
      <c r="W227" s="12"/>
      <c r="X227" s="57"/>
      <c r="Y227" s="57"/>
      <c r="Z227" s="57"/>
      <c r="AA227" s="57"/>
      <c r="AB227" s="57"/>
      <c r="BT227" s="7"/>
      <c r="BU227" s="7"/>
      <c r="BV227" s="7"/>
      <c r="BW227" s="7"/>
      <c r="BX227" s="7"/>
      <c r="BY227" s="7"/>
    </row>
    <row r="228" spans="3:77" ht="15" customHeight="1" x14ac:dyDescent="0.2">
      <c r="C228" s="174">
        <v>5</v>
      </c>
      <c r="D228" s="175"/>
      <c r="E228" s="176" t="s">
        <v>186</v>
      </c>
      <c r="F228" s="176"/>
      <c r="G228" s="176"/>
      <c r="H228" s="176"/>
      <c r="I228" s="176"/>
      <c r="J228" s="176"/>
      <c r="K228" s="176"/>
      <c r="L228" s="176"/>
      <c r="M228" s="176"/>
      <c r="N228" s="176"/>
      <c r="O228" s="176"/>
      <c r="P228" s="176"/>
      <c r="Q228" s="176"/>
      <c r="R228" s="176"/>
      <c r="S228" s="176"/>
      <c r="T228" s="176"/>
      <c r="U228" s="176"/>
      <c r="V228" s="176"/>
      <c r="W228" s="176"/>
      <c r="X228" s="176"/>
      <c r="Y228" s="176"/>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176"/>
      <c r="AX228" s="176"/>
      <c r="AY228" s="176"/>
      <c r="AZ228" s="176"/>
      <c r="BA228" s="176"/>
      <c r="BB228" s="176"/>
      <c r="BC228" s="176"/>
      <c r="BD228" s="176"/>
      <c r="BE228" s="176"/>
      <c r="BF228" s="176"/>
      <c r="BG228" s="176"/>
      <c r="BH228" s="176"/>
      <c r="BI228" s="176"/>
      <c r="BJ228" s="176"/>
      <c r="BK228" s="176"/>
      <c r="BL228" s="176"/>
      <c r="BM228" s="176"/>
      <c r="BN228" s="176"/>
      <c r="BO228" s="176"/>
      <c r="BP228" s="176"/>
      <c r="BQ228" s="176"/>
      <c r="BR228" s="176"/>
      <c r="BS228" s="176"/>
      <c r="BT228" s="7"/>
      <c r="BU228" s="7"/>
      <c r="BV228" s="7"/>
      <c r="BW228" s="7"/>
      <c r="BX228" s="7"/>
      <c r="BY228" s="7"/>
    </row>
    <row r="229" spans="3:77" ht="15" customHeight="1" x14ac:dyDescent="0.2">
      <c r="C229" s="174"/>
      <c r="D229" s="175"/>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176"/>
      <c r="AX229" s="176"/>
      <c r="AY229" s="176"/>
      <c r="AZ229" s="176"/>
      <c r="BA229" s="176"/>
      <c r="BB229" s="176"/>
      <c r="BC229" s="176"/>
      <c r="BD229" s="176"/>
      <c r="BE229" s="176"/>
      <c r="BF229" s="176"/>
      <c r="BG229" s="176"/>
      <c r="BH229" s="176"/>
      <c r="BI229" s="176"/>
      <c r="BJ229" s="176"/>
      <c r="BK229" s="176"/>
      <c r="BL229" s="176"/>
      <c r="BM229" s="176"/>
      <c r="BN229" s="176"/>
      <c r="BO229" s="176"/>
      <c r="BP229" s="176"/>
      <c r="BQ229" s="176"/>
      <c r="BR229" s="176"/>
      <c r="BS229" s="176"/>
      <c r="BT229" s="7"/>
      <c r="BU229" s="7"/>
      <c r="BV229" s="7"/>
      <c r="BW229" s="7"/>
      <c r="BX229" s="7"/>
      <c r="BY229" s="7"/>
    </row>
    <row r="230" spans="3:77" ht="15" customHeight="1" x14ac:dyDescent="0.2">
      <c r="C230" s="19"/>
      <c r="E230" s="136" t="s">
        <v>255</v>
      </c>
      <c r="F230" s="137"/>
      <c r="G230" s="137"/>
      <c r="H230" s="137"/>
      <c r="I230" s="137"/>
      <c r="J230" s="137"/>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137"/>
      <c r="AJ230" s="137"/>
      <c r="AK230" s="137"/>
      <c r="AL230" s="137"/>
      <c r="AM230" s="137"/>
      <c r="AN230" s="137"/>
      <c r="AO230" s="137"/>
      <c r="AP230" s="137"/>
      <c r="AQ230" s="137"/>
      <c r="AR230" s="137"/>
      <c r="AS230" s="137"/>
      <c r="AT230" s="137"/>
      <c r="AU230" s="137"/>
      <c r="AV230" s="137"/>
      <c r="AW230" s="137"/>
      <c r="AX230" s="137"/>
      <c r="AY230" s="137"/>
      <c r="AZ230" s="137"/>
      <c r="BA230" s="137"/>
      <c r="BB230" s="137"/>
      <c r="BC230" s="137"/>
      <c r="BD230" s="137"/>
      <c r="BE230" s="137"/>
      <c r="BF230" s="137"/>
      <c r="BG230" s="137"/>
      <c r="BH230" s="137"/>
      <c r="BI230" s="137"/>
      <c r="BJ230" s="137"/>
      <c r="BK230" s="137"/>
      <c r="BL230" s="137"/>
      <c r="BM230" s="137"/>
      <c r="BN230" s="137"/>
      <c r="BO230" s="137"/>
      <c r="BP230" s="137"/>
      <c r="BQ230" s="137"/>
      <c r="BR230" s="137"/>
      <c r="BT230" s="7"/>
      <c r="BU230" s="7"/>
      <c r="BV230" s="7"/>
      <c r="BW230" s="7"/>
      <c r="BX230" s="7"/>
      <c r="BY230" s="7"/>
    </row>
    <row r="231" spans="3:77" ht="15" customHeight="1" x14ac:dyDescent="0.2">
      <c r="C231" s="19"/>
      <c r="E231" s="136"/>
      <c r="F231" s="137"/>
      <c r="G231" s="137"/>
      <c r="H231" s="137"/>
      <c r="I231" s="137"/>
      <c r="J231" s="137"/>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c r="AH231" s="137"/>
      <c r="AI231" s="137"/>
      <c r="AJ231" s="137"/>
      <c r="AK231" s="137"/>
      <c r="AL231" s="137"/>
      <c r="AM231" s="137"/>
      <c r="AN231" s="137"/>
      <c r="AO231" s="137"/>
      <c r="AP231" s="137"/>
      <c r="AQ231" s="137"/>
      <c r="AR231" s="137"/>
      <c r="AS231" s="137"/>
      <c r="AT231" s="137"/>
      <c r="AU231" s="137"/>
      <c r="AV231" s="137"/>
      <c r="AW231" s="137"/>
      <c r="AX231" s="137"/>
      <c r="AY231" s="137"/>
      <c r="AZ231" s="137"/>
      <c r="BA231" s="137"/>
      <c r="BB231" s="137"/>
      <c r="BC231" s="137"/>
      <c r="BD231" s="137"/>
      <c r="BE231" s="137"/>
      <c r="BF231" s="137"/>
      <c r="BG231" s="137"/>
      <c r="BH231" s="137"/>
      <c r="BI231" s="137"/>
      <c r="BJ231" s="137"/>
      <c r="BK231" s="137"/>
      <c r="BL231" s="137"/>
      <c r="BM231" s="137"/>
      <c r="BN231" s="137"/>
      <c r="BO231" s="137"/>
      <c r="BP231" s="137"/>
      <c r="BQ231" s="137"/>
      <c r="BR231" s="137"/>
      <c r="BT231" s="7"/>
      <c r="BU231" s="7"/>
      <c r="BV231" s="7"/>
      <c r="BW231" s="7"/>
      <c r="BX231" s="7"/>
      <c r="BY231" s="7"/>
    </row>
    <row r="232" spans="3:77" ht="15" customHeight="1" x14ac:dyDescent="0.2">
      <c r="C232" s="19"/>
      <c r="E232" s="136"/>
      <c r="F232" s="137"/>
      <c r="G232" s="137"/>
      <c r="H232" s="137"/>
      <c r="I232" s="137"/>
      <c r="J232" s="137"/>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c r="AH232" s="137"/>
      <c r="AI232" s="137"/>
      <c r="AJ232" s="137"/>
      <c r="AK232" s="137"/>
      <c r="AL232" s="137"/>
      <c r="AM232" s="137"/>
      <c r="AN232" s="137"/>
      <c r="AO232" s="137"/>
      <c r="AP232" s="137"/>
      <c r="AQ232" s="137"/>
      <c r="AR232" s="137"/>
      <c r="AS232" s="137"/>
      <c r="AT232" s="137"/>
      <c r="AU232" s="137"/>
      <c r="AV232" s="137"/>
      <c r="AW232" s="137"/>
      <c r="AX232" s="137"/>
      <c r="AY232" s="137"/>
      <c r="AZ232" s="137"/>
      <c r="BA232" s="137"/>
      <c r="BB232" s="137"/>
      <c r="BC232" s="137"/>
      <c r="BD232" s="137"/>
      <c r="BE232" s="137"/>
      <c r="BF232" s="137"/>
      <c r="BG232" s="137"/>
      <c r="BH232" s="137"/>
      <c r="BI232" s="137"/>
      <c r="BJ232" s="137"/>
      <c r="BK232" s="137"/>
      <c r="BL232" s="137"/>
      <c r="BM232" s="137"/>
      <c r="BN232" s="137"/>
      <c r="BO232" s="137"/>
      <c r="BP232" s="137"/>
      <c r="BQ232" s="137"/>
      <c r="BR232" s="137"/>
      <c r="BT232" s="7"/>
      <c r="BU232" s="7"/>
      <c r="BV232" s="7"/>
      <c r="BW232" s="7"/>
      <c r="BX232" s="7"/>
      <c r="BY232" s="7"/>
    </row>
    <row r="233" spans="3:77" ht="15" customHeight="1" x14ac:dyDescent="0.2">
      <c r="C233" s="19"/>
      <c r="E233" s="136"/>
      <c r="F233" s="137"/>
      <c r="G233" s="137"/>
      <c r="H233" s="137"/>
      <c r="I233" s="137"/>
      <c r="J233" s="137"/>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c r="AH233" s="137"/>
      <c r="AI233" s="137"/>
      <c r="AJ233" s="137"/>
      <c r="AK233" s="137"/>
      <c r="AL233" s="137"/>
      <c r="AM233" s="137"/>
      <c r="AN233" s="137"/>
      <c r="AO233" s="137"/>
      <c r="AP233" s="137"/>
      <c r="AQ233" s="137"/>
      <c r="AR233" s="137"/>
      <c r="AS233" s="137"/>
      <c r="AT233" s="137"/>
      <c r="AU233" s="137"/>
      <c r="AV233" s="137"/>
      <c r="AW233" s="137"/>
      <c r="AX233" s="137"/>
      <c r="AY233" s="137"/>
      <c r="AZ233" s="137"/>
      <c r="BA233" s="137"/>
      <c r="BB233" s="137"/>
      <c r="BC233" s="137"/>
      <c r="BD233" s="137"/>
      <c r="BE233" s="137"/>
      <c r="BF233" s="137"/>
      <c r="BG233" s="137"/>
      <c r="BH233" s="137"/>
      <c r="BI233" s="137"/>
      <c r="BJ233" s="137"/>
      <c r="BK233" s="137"/>
      <c r="BL233" s="137"/>
      <c r="BM233" s="137"/>
      <c r="BN233" s="137"/>
      <c r="BO233" s="137"/>
      <c r="BP233" s="137"/>
      <c r="BQ233" s="137"/>
      <c r="BR233" s="137"/>
      <c r="BT233" s="7"/>
      <c r="BU233" s="7"/>
      <c r="BV233" s="7"/>
      <c r="BW233" s="7"/>
      <c r="BX233" s="7"/>
      <c r="BY233" s="7"/>
    </row>
    <row r="234" spans="3:77" ht="15" customHeight="1" x14ac:dyDescent="0.2">
      <c r="C234" s="19"/>
      <c r="E234" s="136"/>
      <c r="F234" s="137"/>
      <c r="G234" s="137"/>
      <c r="H234" s="137"/>
      <c r="I234" s="137"/>
      <c r="J234" s="137"/>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c r="AH234" s="137"/>
      <c r="AI234" s="137"/>
      <c r="AJ234" s="137"/>
      <c r="AK234" s="137"/>
      <c r="AL234" s="137"/>
      <c r="AM234" s="137"/>
      <c r="AN234" s="137"/>
      <c r="AO234" s="137"/>
      <c r="AP234" s="137"/>
      <c r="AQ234" s="137"/>
      <c r="AR234" s="137"/>
      <c r="AS234" s="137"/>
      <c r="AT234" s="137"/>
      <c r="AU234" s="137"/>
      <c r="AV234" s="137"/>
      <c r="AW234" s="137"/>
      <c r="AX234" s="137"/>
      <c r="AY234" s="137"/>
      <c r="AZ234" s="137"/>
      <c r="BA234" s="137"/>
      <c r="BB234" s="137"/>
      <c r="BC234" s="137"/>
      <c r="BD234" s="137"/>
      <c r="BE234" s="137"/>
      <c r="BF234" s="137"/>
      <c r="BG234" s="137"/>
      <c r="BH234" s="137"/>
      <c r="BI234" s="137"/>
      <c r="BJ234" s="137"/>
      <c r="BK234" s="137"/>
      <c r="BL234" s="137"/>
      <c r="BM234" s="137"/>
      <c r="BN234" s="137"/>
      <c r="BO234" s="137"/>
      <c r="BP234" s="137"/>
      <c r="BQ234" s="137"/>
      <c r="BR234" s="137"/>
      <c r="BT234" s="7"/>
      <c r="BU234" s="7"/>
      <c r="BV234" s="7"/>
      <c r="BW234" s="7"/>
      <c r="BX234" s="7"/>
      <c r="BY234" s="7"/>
    </row>
    <row r="235" spans="3:77" ht="15" customHeight="1" x14ac:dyDescent="0.2">
      <c r="C235" s="19"/>
      <c r="E235" s="136"/>
      <c r="F235" s="137"/>
      <c r="G235" s="137"/>
      <c r="H235" s="137"/>
      <c r="I235" s="137"/>
      <c r="J235" s="137"/>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c r="AH235" s="137"/>
      <c r="AI235" s="137"/>
      <c r="AJ235" s="137"/>
      <c r="AK235" s="137"/>
      <c r="AL235" s="137"/>
      <c r="AM235" s="137"/>
      <c r="AN235" s="137"/>
      <c r="AO235" s="137"/>
      <c r="AP235" s="137"/>
      <c r="AQ235" s="137"/>
      <c r="AR235" s="137"/>
      <c r="AS235" s="137"/>
      <c r="AT235" s="137"/>
      <c r="AU235" s="137"/>
      <c r="AV235" s="137"/>
      <c r="AW235" s="137"/>
      <c r="AX235" s="137"/>
      <c r="AY235" s="137"/>
      <c r="AZ235" s="137"/>
      <c r="BA235" s="137"/>
      <c r="BB235" s="137"/>
      <c r="BC235" s="137"/>
      <c r="BD235" s="137"/>
      <c r="BE235" s="137"/>
      <c r="BF235" s="137"/>
      <c r="BG235" s="137"/>
      <c r="BH235" s="137"/>
      <c r="BI235" s="137"/>
      <c r="BJ235" s="137"/>
      <c r="BK235" s="137"/>
      <c r="BL235" s="137"/>
      <c r="BM235" s="137"/>
      <c r="BN235" s="137"/>
      <c r="BO235" s="137"/>
      <c r="BP235" s="137"/>
      <c r="BQ235" s="137"/>
      <c r="BR235" s="137"/>
      <c r="BT235" s="7"/>
      <c r="BU235" s="7"/>
      <c r="BV235" s="7"/>
      <c r="BW235" s="7"/>
      <c r="BX235" s="7"/>
      <c r="BY235" s="7"/>
    </row>
    <row r="236" spans="3:77" ht="15" customHeight="1" x14ac:dyDescent="0.2">
      <c r="C236" s="19"/>
      <c r="E236" s="136"/>
      <c r="F236" s="137"/>
      <c r="G236" s="137"/>
      <c r="H236" s="137"/>
      <c r="I236" s="137"/>
      <c r="J236" s="137"/>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c r="AH236" s="137"/>
      <c r="AI236" s="137"/>
      <c r="AJ236" s="137"/>
      <c r="AK236" s="137"/>
      <c r="AL236" s="137"/>
      <c r="AM236" s="137"/>
      <c r="AN236" s="137"/>
      <c r="AO236" s="137"/>
      <c r="AP236" s="137"/>
      <c r="AQ236" s="137"/>
      <c r="AR236" s="137"/>
      <c r="AS236" s="137"/>
      <c r="AT236" s="137"/>
      <c r="AU236" s="137"/>
      <c r="AV236" s="137"/>
      <c r="AW236" s="137"/>
      <c r="AX236" s="137"/>
      <c r="AY236" s="137"/>
      <c r="AZ236" s="137"/>
      <c r="BA236" s="137"/>
      <c r="BB236" s="137"/>
      <c r="BC236" s="137"/>
      <c r="BD236" s="137"/>
      <c r="BE236" s="137"/>
      <c r="BF236" s="137"/>
      <c r="BG236" s="137"/>
      <c r="BH236" s="137"/>
      <c r="BI236" s="137"/>
      <c r="BJ236" s="137"/>
      <c r="BK236" s="137"/>
      <c r="BL236" s="137"/>
      <c r="BM236" s="137"/>
      <c r="BN236" s="137"/>
      <c r="BO236" s="137"/>
      <c r="BP236" s="137"/>
      <c r="BQ236" s="137"/>
      <c r="BR236" s="137"/>
      <c r="BT236" s="7"/>
      <c r="BU236" s="7"/>
      <c r="BV236" s="7"/>
      <c r="BW236" s="7"/>
      <c r="BX236" s="7"/>
      <c r="BY236" s="7"/>
    </row>
    <row r="237" spans="3:77" ht="15" customHeight="1" x14ac:dyDescent="0.2">
      <c r="C237" s="19"/>
      <c r="E237" s="136"/>
      <c r="F237" s="137"/>
      <c r="G237" s="137"/>
      <c r="H237" s="137"/>
      <c r="I237" s="137"/>
      <c r="J237" s="137"/>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c r="AH237" s="137"/>
      <c r="AI237" s="137"/>
      <c r="AJ237" s="137"/>
      <c r="AK237" s="137"/>
      <c r="AL237" s="137"/>
      <c r="AM237" s="137"/>
      <c r="AN237" s="137"/>
      <c r="AO237" s="137"/>
      <c r="AP237" s="137"/>
      <c r="AQ237" s="137"/>
      <c r="AR237" s="137"/>
      <c r="AS237" s="137"/>
      <c r="AT237" s="137"/>
      <c r="AU237" s="137"/>
      <c r="AV237" s="137"/>
      <c r="AW237" s="137"/>
      <c r="AX237" s="137"/>
      <c r="AY237" s="137"/>
      <c r="AZ237" s="137"/>
      <c r="BA237" s="137"/>
      <c r="BB237" s="137"/>
      <c r="BC237" s="137"/>
      <c r="BD237" s="137"/>
      <c r="BE237" s="137"/>
      <c r="BF237" s="137"/>
      <c r="BG237" s="137"/>
      <c r="BH237" s="137"/>
      <c r="BI237" s="137"/>
      <c r="BJ237" s="137"/>
      <c r="BK237" s="137"/>
      <c r="BL237" s="137"/>
      <c r="BM237" s="137"/>
      <c r="BN237" s="137"/>
      <c r="BO237" s="137"/>
      <c r="BP237" s="137"/>
      <c r="BQ237" s="137"/>
      <c r="BR237" s="137"/>
      <c r="BT237" s="7"/>
      <c r="BU237" s="7"/>
      <c r="BV237" s="7"/>
      <c r="BW237" s="7"/>
      <c r="BX237" s="7"/>
      <c r="BY237" s="7"/>
    </row>
    <row r="238" spans="3:77" ht="15" customHeight="1" x14ac:dyDescent="0.2">
      <c r="C238" s="19"/>
      <c r="E238" s="136"/>
      <c r="F238" s="137"/>
      <c r="G238" s="137"/>
      <c r="H238" s="137"/>
      <c r="I238" s="137"/>
      <c r="J238" s="137"/>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c r="AH238" s="137"/>
      <c r="AI238" s="137"/>
      <c r="AJ238" s="137"/>
      <c r="AK238" s="137"/>
      <c r="AL238" s="137"/>
      <c r="AM238" s="137"/>
      <c r="AN238" s="137"/>
      <c r="AO238" s="137"/>
      <c r="AP238" s="137"/>
      <c r="AQ238" s="137"/>
      <c r="AR238" s="137"/>
      <c r="AS238" s="137"/>
      <c r="AT238" s="137"/>
      <c r="AU238" s="137"/>
      <c r="AV238" s="137"/>
      <c r="AW238" s="137"/>
      <c r="AX238" s="137"/>
      <c r="AY238" s="137"/>
      <c r="AZ238" s="137"/>
      <c r="BA238" s="137"/>
      <c r="BB238" s="137"/>
      <c r="BC238" s="137"/>
      <c r="BD238" s="137"/>
      <c r="BE238" s="137"/>
      <c r="BF238" s="137"/>
      <c r="BG238" s="137"/>
      <c r="BH238" s="137"/>
      <c r="BI238" s="137"/>
      <c r="BJ238" s="137"/>
      <c r="BK238" s="137"/>
      <c r="BL238" s="137"/>
      <c r="BM238" s="137"/>
      <c r="BN238" s="137"/>
      <c r="BO238" s="137"/>
      <c r="BP238" s="137"/>
      <c r="BQ238" s="137"/>
      <c r="BR238" s="137"/>
      <c r="BT238" s="7"/>
      <c r="BU238" s="7"/>
      <c r="BV238" s="7"/>
      <c r="BW238" s="7"/>
      <c r="BX238" s="7"/>
      <c r="BY238" s="7"/>
    </row>
    <row r="239" spans="3:77" ht="15" customHeight="1" x14ac:dyDescent="0.2">
      <c r="C239" s="19"/>
      <c r="E239" s="136"/>
      <c r="F239" s="137"/>
      <c r="G239" s="137"/>
      <c r="H239" s="137"/>
      <c r="I239" s="137"/>
      <c r="J239" s="137"/>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c r="AH239" s="137"/>
      <c r="AI239" s="137"/>
      <c r="AJ239" s="137"/>
      <c r="AK239" s="137"/>
      <c r="AL239" s="137"/>
      <c r="AM239" s="137"/>
      <c r="AN239" s="137"/>
      <c r="AO239" s="137"/>
      <c r="AP239" s="137"/>
      <c r="AQ239" s="137"/>
      <c r="AR239" s="137"/>
      <c r="AS239" s="137"/>
      <c r="AT239" s="137"/>
      <c r="AU239" s="137"/>
      <c r="AV239" s="137"/>
      <c r="AW239" s="137"/>
      <c r="AX239" s="137"/>
      <c r="AY239" s="137"/>
      <c r="AZ239" s="137"/>
      <c r="BA239" s="137"/>
      <c r="BB239" s="137"/>
      <c r="BC239" s="137"/>
      <c r="BD239" s="137"/>
      <c r="BE239" s="137"/>
      <c r="BF239" s="137"/>
      <c r="BG239" s="137"/>
      <c r="BH239" s="137"/>
      <c r="BI239" s="137"/>
      <c r="BJ239" s="137"/>
      <c r="BK239" s="137"/>
      <c r="BL239" s="137"/>
      <c r="BM239" s="137"/>
      <c r="BN239" s="137"/>
      <c r="BO239" s="137"/>
      <c r="BP239" s="137"/>
      <c r="BQ239" s="137"/>
      <c r="BR239" s="137"/>
      <c r="BT239" s="7"/>
      <c r="BU239" s="7"/>
      <c r="BV239" s="7"/>
      <c r="BW239" s="7"/>
      <c r="BX239" s="7"/>
      <c r="BY239" s="7"/>
    </row>
    <row r="240" spans="3:77" ht="15" customHeight="1" x14ac:dyDescent="0.2">
      <c r="C240" s="19"/>
      <c r="E240" s="136"/>
      <c r="F240" s="137"/>
      <c r="G240" s="137"/>
      <c r="H240" s="137"/>
      <c r="I240" s="137"/>
      <c r="J240" s="137"/>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c r="AH240" s="137"/>
      <c r="AI240" s="137"/>
      <c r="AJ240" s="137"/>
      <c r="AK240" s="137"/>
      <c r="AL240" s="137"/>
      <c r="AM240" s="137"/>
      <c r="AN240" s="137"/>
      <c r="AO240" s="137"/>
      <c r="AP240" s="137"/>
      <c r="AQ240" s="137"/>
      <c r="AR240" s="137"/>
      <c r="AS240" s="137"/>
      <c r="AT240" s="137"/>
      <c r="AU240" s="137"/>
      <c r="AV240" s="137"/>
      <c r="AW240" s="137"/>
      <c r="AX240" s="137"/>
      <c r="AY240" s="137"/>
      <c r="AZ240" s="137"/>
      <c r="BA240" s="137"/>
      <c r="BB240" s="137"/>
      <c r="BC240" s="137"/>
      <c r="BD240" s="137"/>
      <c r="BE240" s="137"/>
      <c r="BF240" s="137"/>
      <c r="BG240" s="137"/>
      <c r="BH240" s="137"/>
      <c r="BI240" s="137"/>
      <c r="BJ240" s="137"/>
      <c r="BK240" s="137"/>
      <c r="BL240" s="137"/>
      <c r="BM240" s="137"/>
      <c r="BN240" s="137"/>
      <c r="BO240" s="137"/>
      <c r="BP240" s="137"/>
      <c r="BQ240" s="137"/>
      <c r="BR240" s="137"/>
      <c r="BT240" s="7"/>
      <c r="BU240" s="7"/>
      <c r="BV240" s="7"/>
      <c r="BW240" s="7"/>
      <c r="BX240" s="7"/>
      <c r="BY240" s="7"/>
    </row>
    <row r="241" spans="3:77" ht="15" customHeight="1" x14ac:dyDescent="0.2">
      <c r="C241" s="140">
        <v>5.0999999999999996</v>
      </c>
      <c r="D241" s="141"/>
      <c r="E241" s="141"/>
      <c r="F241" s="141"/>
      <c r="G241" s="148" t="s">
        <v>185</v>
      </c>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c r="AD241" s="148"/>
      <c r="AE241" s="148"/>
      <c r="AF241" s="148"/>
      <c r="AG241" s="148"/>
      <c r="AH241" s="148"/>
      <c r="AI241" s="148"/>
      <c r="AJ241" s="148"/>
      <c r="AK241" s="148"/>
      <c r="AL241" s="148"/>
      <c r="AM241" s="148"/>
      <c r="AN241" s="148"/>
      <c r="AO241" s="148"/>
      <c r="AP241" s="148"/>
      <c r="AQ241" s="148"/>
      <c r="AR241" s="148"/>
      <c r="AS241" s="148"/>
      <c r="AT241" s="148"/>
      <c r="AU241" s="148"/>
      <c r="AV241" s="148"/>
      <c r="AW241" s="148"/>
      <c r="AX241" s="148"/>
      <c r="AY241" s="148"/>
      <c r="AZ241" s="148"/>
      <c r="BA241" s="148"/>
      <c r="BB241" s="148"/>
      <c r="BC241" s="148"/>
      <c r="BD241" s="148"/>
      <c r="BE241" s="148"/>
      <c r="BF241" s="148"/>
      <c r="BG241" s="148"/>
      <c r="BH241" s="148"/>
      <c r="BI241" s="148"/>
      <c r="BJ241" s="148"/>
      <c r="BK241" s="148"/>
      <c r="BL241" s="148"/>
      <c r="BM241" s="148"/>
      <c r="BN241" s="148"/>
      <c r="BO241" s="148"/>
      <c r="BP241" s="148"/>
      <c r="BQ241" s="148"/>
      <c r="BR241" s="148"/>
      <c r="BT241" s="7"/>
      <c r="BU241" s="7"/>
      <c r="BV241" s="7"/>
      <c r="BW241" s="7"/>
      <c r="BX241" s="7"/>
      <c r="BY241" s="7"/>
    </row>
    <row r="242" spans="3:77" ht="15" customHeight="1" x14ac:dyDescent="0.2">
      <c r="C242" s="140"/>
      <c r="D242" s="141"/>
      <c r="E242" s="141"/>
      <c r="F242" s="141"/>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c r="AD242" s="148"/>
      <c r="AE242" s="148"/>
      <c r="AF242" s="148"/>
      <c r="AG242" s="148"/>
      <c r="AH242" s="148"/>
      <c r="AI242" s="148"/>
      <c r="AJ242" s="148"/>
      <c r="AK242" s="148"/>
      <c r="AL242" s="148"/>
      <c r="AM242" s="148"/>
      <c r="AN242" s="148"/>
      <c r="AO242" s="148"/>
      <c r="AP242" s="148"/>
      <c r="AQ242" s="148"/>
      <c r="AR242" s="148"/>
      <c r="AS242" s="148"/>
      <c r="AT242" s="148"/>
      <c r="AU242" s="148"/>
      <c r="AV242" s="148"/>
      <c r="AW242" s="148"/>
      <c r="AX242" s="148"/>
      <c r="AY242" s="148"/>
      <c r="AZ242" s="148"/>
      <c r="BA242" s="148"/>
      <c r="BB242" s="148"/>
      <c r="BC242" s="148"/>
      <c r="BD242" s="148"/>
      <c r="BE242" s="148"/>
      <c r="BF242" s="148"/>
      <c r="BG242" s="148"/>
      <c r="BH242" s="148"/>
      <c r="BI242" s="148"/>
      <c r="BJ242" s="148"/>
      <c r="BK242" s="148"/>
      <c r="BL242" s="148"/>
      <c r="BM242" s="148"/>
      <c r="BN242" s="148"/>
      <c r="BO242" s="148"/>
      <c r="BP242" s="148"/>
      <c r="BQ242" s="148"/>
      <c r="BR242" s="148"/>
      <c r="BT242" s="7"/>
      <c r="BU242" s="7"/>
      <c r="BV242" s="7"/>
      <c r="BW242" s="7"/>
      <c r="BX242" s="7"/>
      <c r="BY242" s="7"/>
    </row>
    <row r="243" spans="3:77" ht="15" customHeight="1" x14ac:dyDescent="0.2">
      <c r="C243" s="19"/>
      <c r="W243" s="12"/>
      <c r="X243" s="14"/>
      <c r="Y243" s="14"/>
      <c r="Z243" s="14"/>
      <c r="AA243" s="22"/>
      <c r="BT243" s="7"/>
      <c r="BU243" s="7"/>
      <c r="BV243" s="7"/>
      <c r="BW243" s="7"/>
      <c r="BX243" s="7"/>
      <c r="BY243" s="7"/>
    </row>
    <row r="244" spans="3:77" ht="15" customHeight="1" x14ac:dyDescent="0.25">
      <c r="C244" s="19"/>
      <c r="W244" s="12" t="s">
        <v>275</v>
      </c>
      <c r="X244" s="179">
        <f>Inputs!B35</f>
        <v>200</v>
      </c>
      <c r="Y244" s="179"/>
      <c r="Z244" s="179"/>
      <c r="AA244" s="179"/>
      <c r="AB244" s="179"/>
      <c r="BT244" s="7"/>
      <c r="BU244" s="7"/>
      <c r="BV244" s="7"/>
      <c r="BW244" s="7"/>
      <c r="BX244" s="7"/>
      <c r="BY244" s="7"/>
    </row>
    <row r="245" spans="3:77" ht="15" customHeight="1" x14ac:dyDescent="0.25">
      <c r="C245" s="19"/>
      <c r="W245" s="12" t="s">
        <v>41</v>
      </c>
      <c r="X245" s="204">
        <f>Inputs!B36</f>
        <v>1.3999972000000001</v>
      </c>
      <c r="Y245" s="204"/>
      <c r="Z245" s="204"/>
      <c r="AA245" s="204"/>
      <c r="AB245" s="204"/>
      <c r="BT245" s="7"/>
      <c r="BU245" s="7"/>
      <c r="BV245" s="7"/>
      <c r="BW245" s="7"/>
      <c r="BX245" s="7"/>
      <c r="BY245" s="7"/>
    </row>
    <row r="246" spans="3:77" ht="15" customHeight="1" x14ac:dyDescent="0.25">
      <c r="C246" s="4"/>
      <c r="W246" s="12" t="s">
        <v>40</v>
      </c>
      <c r="X246" s="173">
        <f>Inputs!B37</f>
        <v>1861.584469164</v>
      </c>
      <c r="Y246" s="173"/>
      <c r="Z246" s="173"/>
      <c r="AA246" s="173"/>
      <c r="AB246" s="173"/>
      <c r="BT246" s="7"/>
      <c r="BU246" s="7"/>
      <c r="BV246" s="7"/>
      <c r="BW246" s="7"/>
      <c r="BX246" s="7"/>
      <c r="BY246" s="7"/>
    </row>
    <row r="247" spans="3:77" ht="15" customHeight="1" x14ac:dyDescent="0.25">
      <c r="C247" s="4"/>
      <c r="W247" s="12" t="s">
        <v>39</v>
      </c>
      <c r="X247" s="143">
        <f>((1.2*0.77*fpu*No.str*A.ps))/10</f>
        <v>48162.81706038423</v>
      </c>
      <c r="Y247" s="143"/>
      <c r="Z247" s="143"/>
      <c r="AA247" s="143"/>
      <c r="AB247" s="143"/>
      <c r="BT247" s="7"/>
      <c r="BU247" s="7"/>
      <c r="BV247" s="7"/>
      <c r="BW247" s="7"/>
      <c r="BX247" s="7"/>
      <c r="BY247" s="9" t="s">
        <v>170</v>
      </c>
    </row>
    <row r="248" spans="3:77" ht="15" customHeight="1" x14ac:dyDescent="0.25">
      <c r="C248" s="4"/>
      <c r="W248" s="12" t="s">
        <v>43</v>
      </c>
      <c r="X248" s="143">
        <f>COS(RADIANS(α))*Pu</f>
        <v>48079.506623445595</v>
      </c>
      <c r="Y248" s="143"/>
      <c r="Z248" s="143"/>
      <c r="AA248" s="143"/>
      <c r="AB248" s="143"/>
      <c r="BT248" s="7"/>
      <c r="BU248" s="7"/>
      <c r="BV248" s="7"/>
      <c r="BW248" s="7"/>
      <c r="BX248" s="7"/>
      <c r="BY248" s="7"/>
    </row>
    <row r="249" spans="3:77" ht="15" customHeight="1" x14ac:dyDescent="0.25">
      <c r="C249" s="4"/>
      <c r="W249" s="12" t="s">
        <v>104</v>
      </c>
      <c r="X249" s="143">
        <f>SIN(RADIANS(α))*Pu</f>
        <v>2831.6055583519619</v>
      </c>
      <c r="Y249" s="143"/>
      <c r="Z249" s="143"/>
      <c r="AA249" s="143"/>
      <c r="AB249" s="143"/>
      <c r="BT249" s="7"/>
      <c r="BU249" s="7"/>
      <c r="BV249" s="7"/>
      <c r="BW249" s="7"/>
      <c r="BX249" s="7"/>
      <c r="BY249" s="7"/>
    </row>
    <row r="250" spans="3:77" ht="15" customHeight="1" x14ac:dyDescent="0.25">
      <c r="C250" s="4"/>
      <c r="W250" s="12" t="s">
        <v>133</v>
      </c>
      <c r="X250" s="179">
        <f>Inputs!B38</f>
        <v>102</v>
      </c>
      <c r="Y250" s="179"/>
      <c r="Z250" s="179"/>
      <c r="AA250" s="179"/>
      <c r="AB250" s="179"/>
      <c r="BT250" s="7"/>
      <c r="BU250" s="7"/>
      <c r="BV250" s="7"/>
      <c r="BW250" s="7"/>
      <c r="BX250" s="7"/>
      <c r="BY250" s="7"/>
    </row>
    <row r="251" spans="3:77" ht="15" customHeight="1" x14ac:dyDescent="0.25">
      <c r="C251" s="4"/>
      <c r="W251" s="12" t="s">
        <v>134</v>
      </c>
      <c r="X251" s="179">
        <f>Inputs!B39</f>
        <v>98</v>
      </c>
      <c r="Y251" s="179"/>
      <c r="Z251" s="179"/>
      <c r="AA251" s="179"/>
      <c r="AB251" s="179"/>
      <c r="BT251" s="7"/>
      <c r="BU251" s="7"/>
      <c r="BV251" s="7"/>
      <c r="BW251" s="7"/>
      <c r="BX251" s="7"/>
      <c r="BY251" s="7"/>
    </row>
    <row r="252" spans="3:77" ht="15" customHeight="1" x14ac:dyDescent="0.25">
      <c r="C252" s="4"/>
      <c r="W252" s="12" t="s">
        <v>150</v>
      </c>
      <c r="X252" s="143">
        <f>P.uh*N.TT/(N.TT+N.BT)</f>
        <v>24520.548377957257</v>
      </c>
      <c r="Y252" s="143"/>
      <c r="Z252" s="143"/>
      <c r="AA252" s="143"/>
      <c r="AB252" s="143"/>
      <c r="BT252" s="7"/>
      <c r="BU252" s="7"/>
      <c r="BV252" s="7"/>
      <c r="BW252" s="7"/>
      <c r="BX252" s="7"/>
      <c r="BY252" s="7"/>
    </row>
    <row r="253" spans="3:77" ht="15" customHeight="1" x14ac:dyDescent="0.25">
      <c r="C253" s="4"/>
      <c r="W253" s="12" t="s">
        <v>151</v>
      </c>
      <c r="X253" s="143">
        <f>P.uv*N.TT/(N.TT+N.BT)</f>
        <v>1444.1188347595005</v>
      </c>
      <c r="Y253" s="143"/>
      <c r="Z253" s="143"/>
      <c r="AA253" s="143"/>
      <c r="AB253" s="143"/>
      <c r="BT253" s="7"/>
      <c r="BU253" s="7"/>
      <c r="BV253" s="7"/>
      <c r="BW253" s="7"/>
      <c r="BX253" s="7"/>
      <c r="BY253" s="7"/>
    </row>
    <row r="254" spans="3:77" ht="15" customHeight="1" x14ac:dyDescent="0.25">
      <c r="C254" s="4"/>
      <c r="W254" s="12" t="s">
        <v>152</v>
      </c>
      <c r="X254" s="143">
        <f>P.uh*N.BT/(N.BT+N.TT)</f>
        <v>23558.958245488338</v>
      </c>
      <c r="Y254" s="143"/>
      <c r="Z254" s="143"/>
      <c r="AA254" s="143"/>
      <c r="AB254" s="143"/>
      <c r="BT254" s="7"/>
      <c r="BU254" s="7"/>
      <c r="BV254" s="7"/>
      <c r="BW254" s="7"/>
      <c r="BX254" s="7"/>
      <c r="BY254" s="7"/>
    </row>
    <row r="255" spans="3:77" ht="15" customHeight="1" x14ac:dyDescent="0.25">
      <c r="C255" s="4"/>
      <c r="W255" s="12" t="s">
        <v>153</v>
      </c>
      <c r="X255" s="143">
        <f>P.uv*N.BT/(N.BT+N.TT)</f>
        <v>1387.4867235924612</v>
      </c>
      <c r="Y255" s="143"/>
      <c r="Z255" s="143"/>
      <c r="AA255" s="143"/>
      <c r="AB255" s="143"/>
      <c r="BT255" s="7"/>
      <c r="BU255" s="7"/>
      <c r="BV255" s="7"/>
      <c r="BW255" s="7"/>
      <c r="BX255" s="7"/>
      <c r="BY255" s="7"/>
    </row>
    <row r="256" spans="3:77" ht="15" customHeight="1" x14ac:dyDescent="0.2">
      <c r="C256" s="4"/>
      <c r="BT256" s="7"/>
      <c r="BU256" s="7"/>
      <c r="BV256" s="7"/>
      <c r="BW256" s="7"/>
      <c r="BX256" s="7"/>
      <c r="BY256" s="7"/>
    </row>
    <row r="257" spans="3:77" ht="15" customHeight="1" x14ac:dyDescent="0.2">
      <c r="C257" s="4"/>
      <c r="BT257" s="7"/>
      <c r="BU257" s="7"/>
      <c r="BV257" s="7"/>
      <c r="BW257" s="7"/>
      <c r="BX257" s="7"/>
      <c r="BY257" s="7"/>
    </row>
    <row r="258" spans="3:77" ht="15" customHeight="1" x14ac:dyDescent="0.2">
      <c r="C258" s="140">
        <v>5.2</v>
      </c>
      <c r="D258" s="141"/>
      <c r="E258" s="141"/>
      <c r="F258" s="141"/>
      <c r="G258" s="148" t="s">
        <v>190</v>
      </c>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c r="AD258" s="148"/>
      <c r="AE258" s="148"/>
      <c r="AF258" s="148"/>
      <c r="AG258" s="148"/>
      <c r="AH258" s="148"/>
      <c r="AI258" s="148"/>
      <c r="AJ258" s="148"/>
      <c r="AK258" s="148"/>
      <c r="AL258" s="148"/>
      <c r="AM258" s="148"/>
      <c r="AN258" s="148"/>
      <c r="AO258" s="148"/>
      <c r="AP258" s="148"/>
      <c r="AQ258" s="148"/>
      <c r="AR258" s="148"/>
      <c r="AS258" s="148"/>
      <c r="AT258" s="148"/>
      <c r="AU258" s="148"/>
      <c r="AV258" s="148"/>
      <c r="AW258" s="148"/>
      <c r="AX258" s="148"/>
      <c r="AY258" s="148"/>
      <c r="AZ258" s="148"/>
      <c r="BA258" s="148"/>
      <c r="BB258" s="148"/>
      <c r="BC258" s="148"/>
      <c r="BD258" s="148"/>
      <c r="BE258" s="148"/>
      <c r="BF258" s="148"/>
      <c r="BG258" s="148"/>
      <c r="BH258" s="148"/>
      <c r="BI258" s="148"/>
      <c r="BJ258" s="148"/>
      <c r="BK258" s="148"/>
      <c r="BL258" s="148"/>
      <c r="BM258" s="148"/>
      <c r="BN258" s="148"/>
      <c r="BO258" s="148"/>
      <c r="BP258" s="148"/>
      <c r="BQ258" s="148"/>
      <c r="BR258" s="148"/>
      <c r="BT258" s="7"/>
      <c r="BU258" s="7"/>
      <c r="BV258" s="7"/>
      <c r="BW258" s="7"/>
      <c r="BX258" s="7"/>
      <c r="BY258" s="7"/>
    </row>
    <row r="259" spans="3:77" ht="15" customHeight="1" x14ac:dyDescent="0.2">
      <c r="C259" s="140"/>
      <c r="D259" s="141"/>
      <c r="E259" s="141"/>
      <c r="F259" s="141"/>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c r="AD259" s="148"/>
      <c r="AE259" s="148"/>
      <c r="AF259" s="148"/>
      <c r="AG259" s="148"/>
      <c r="AH259" s="148"/>
      <c r="AI259" s="148"/>
      <c r="AJ259" s="148"/>
      <c r="AK259" s="148"/>
      <c r="AL259" s="148"/>
      <c r="AM259" s="148"/>
      <c r="AN259" s="148"/>
      <c r="AO259" s="148"/>
      <c r="AP259" s="148"/>
      <c r="AQ259" s="148"/>
      <c r="AR259" s="148"/>
      <c r="AS259" s="148"/>
      <c r="AT259" s="148"/>
      <c r="AU259" s="148"/>
      <c r="AV259" s="148"/>
      <c r="AW259" s="148"/>
      <c r="AX259" s="148"/>
      <c r="AY259" s="148"/>
      <c r="AZ259" s="148"/>
      <c r="BA259" s="148"/>
      <c r="BB259" s="148"/>
      <c r="BC259" s="148"/>
      <c r="BD259" s="148"/>
      <c r="BE259" s="148"/>
      <c r="BF259" s="148"/>
      <c r="BG259" s="148"/>
      <c r="BH259" s="148"/>
      <c r="BI259" s="148"/>
      <c r="BJ259" s="148"/>
      <c r="BK259" s="148"/>
      <c r="BL259" s="148"/>
      <c r="BM259" s="148"/>
      <c r="BN259" s="148"/>
      <c r="BO259" s="148"/>
      <c r="BP259" s="148"/>
      <c r="BQ259" s="148"/>
      <c r="BR259" s="148"/>
      <c r="BT259" s="7"/>
      <c r="BU259" s="7"/>
      <c r="BV259" s="7"/>
      <c r="BW259" s="7"/>
      <c r="BX259" s="7"/>
      <c r="BY259" s="7"/>
    </row>
    <row r="260" spans="3:77" ht="15" customHeight="1" x14ac:dyDescent="0.2">
      <c r="C260" s="4"/>
      <c r="BT260" s="7"/>
      <c r="BU260" s="7"/>
      <c r="BV260" s="7"/>
      <c r="BW260" s="7"/>
      <c r="BX260" s="7"/>
      <c r="BY260" s="7"/>
    </row>
    <row r="261" spans="3:77" ht="15" customHeight="1" x14ac:dyDescent="0.25">
      <c r="C261" s="4"/>
      <c r="W261" s="12" t="s">
        <v>44</v>
      </c>
      <c r="X261" s="144">
        <f>y.bf-(S.h/2-(S.h/2-y.b2.9)*(S.w-L.b)/(L.s*0.1))</f>
        <v>0.21617331787592919</v>
      </c>
      <c r="Y261" s="144"/>
      <c r="Z261" s="144"/>
      <c r="AA261" s="144"/>
      <c r="AB261" s="144"/>
      <c r="BT261" s="7"/>
      <c r="BU261" s="7"/>
      <c r="BV261" s="7"/>
      <c r="BW261" s="7"/>
      <c r="BX261" s="7"/>
      <c r="BY261" s="7"/>
    </row>
    <row r="262" spans="3:77" ht="15" customHeight="1" x14ac:dyDescent="0.2">
      <c r="C262" s="4"/>
      <c r="W262" s="12"/>
      <c r="X262" s="14"/>
      <c r="Y262" s="14"/>
      <c r="Z262" s="14"/>
      <c r="BT262" s="7"/>
      <c r="BU262" s="7"/>
      <c r="BV262" s="7"/>
      <c r="BW262" s="7"/>
      <c r="BX262" s="7"/>
      <c r="BY262" s="7"/>
    </row>
    <row r="263" spans="3:77" ht="15" customHeight="1" x14ac:dyDescent="0.2">
      <c r="C263" s="4"/>
      <c r="G263" s="184" t="s">
        <v>192</v>
      </c>
      <c r="H263" s="184"/>
      <c r="I263" s="184"/>
      <c r="J263" s="184"/>
      <c r="K263" s="184"/>
      <c r="L263" s="184"/>
      <c r="M263" s="184"/>
      <c r="N263" s="184"/>
      <c r="O263" s="184"/>
      <c r="P263" s="184"/>
      <c r="Q263" s="184"/>
      <c r="R263" s="184"/>
      <c r="S263" s="184"/>
      <c r="T263" s="184"/>
      <c r="U263" s="184"/>
      <c r="V263" s="184"/>
      <c r="W263" s="184"/>
      <c r="X263" s="184"/>
      <c r="Y263" s="184"/>
      <c r="Z263" s="184"/>
      <c r="AA263" s="184"/>
      <c r="AB263" s="184"/>
      <c r="AC263" s="184"/>
      <c r="AD263" s="184"/>
      <c r="AE263" s="184"/>
      <c r="AF263" s="184"/>
      <c r="AG263" s="184"/>
      <c r="AH263" s="184"/>
      <c r="AI263" s="184"/>
      <c r="AJ263" s="184"/>
      <c r="AK263" s="184"/>
      <c r="AL263" s="184"/>
      <c r="AM263" s="184"/>
      <c r="AN263" s="184"/>
      <c r="AO263" s="184"/>
      <c r="AP263" s="184"/>
      <c r="AQ263" s="184"/>
      <c r="AR263" s="184"/>
      <c r="AS263" s="184"/>
      <c r="AT263" s="184"/>
      <c r="AU263" s="184"/>
      <c r="AV263" s="184"/>
      <c r="AW263" s="184"/>
      <c r="AX263" s="184"/>
      <c r="AY263" s="184"/>
      <c r="AZ263" s="184"/>
      <c r="BA263" s="184"/>
      <c r="BB263" s="184"/>
      <c r="BC263" s="184"/>
      <c r="BD263" s="184"/>
      <c r="BE263" s="184"/>
      <c r="BF263" s="184"/>
      <c r="BG263" s="184"/>
      <c r="BH263" s="184"/>
      <c r="BI263" s="184"/>
      <c r="BJ263" s="184"/>
      <c r="BK263" s="184"/>
      <c r="BL263" s="184"/>
      <c r="BM263" s="184"/>
      <c r="BN263" s="184"/>
      <c r="BO263" s="184"/>
      <c r="BP263" s="184"/>
      <c r="BQ263" s="184"/>
      <c r="BR263" s="184"/>
      <c r="BT263" s="7"/>
      <c r="BU263" s="7"/>
      <c r="BV263" s="7"/>
      <c r="BW263" s="7"/>
      <c r="BX263" s="7"/>
      <c r="BY263" s="7"/>
    </row>
    <row r="264" spans="3:77" ht="15" customHeight="1" x14ac:dyDescent="0.2">
      <c r="C264" s="4"/>
      <c r="V264" s="12"/>
      <c r="BT264" s="7"/>
      <c r="BU264" s="7"/>
      <c r="BV264" s="7"/>
      <c r="BW264" s="7"/>
      <c r="BX264" s="7"/>
      <c r="BY264" s="7"/>
    </row>
    <row r="265" spans="3:77" ht="15" customHeight="1" x14ac:dyDescent="0.25">
      <c r="C265" s="4"/>
      <c r="W265" s="12" t="s">
        <v>135</v>
      </c>
      <c r="X265" s="182">
        <f>(P.uh*((1/S.a)-(e.genzone*y.tf)/m.I))/1000</f>
        <v>3.4509252434740985</v>
      </c>
      <c r="Y265" s="182"/>
      <c r="Z265" s="182"/>
      <c r="AA265" s="182"/>
      <c r="AB265" s="182"/>
      <c r="BT265" s="29"/>
      <c r="BU265" s="7"/>
      <c r="BV265" s="7"/>
      <c r="BW265" s="7"/>
      <c r="BX265" s="7"/>
      <c r="BY265" s="7"/>
    </row>
    <row r="266" spans="3:77" ht="15" customHeight="1" x14ac:dyDescent="0.25">
      <c r="C266" s="4"/>
      <c r="W266" s="12" t="s">
        <v>136</v>
      </c>
      <c r="X266" s="182">
        <f>(P.uh*((1/S.a)-(e.genzone*(y.tf-H.ts)/m.I)))/1000</f>
        <v>4.1595804685552471</v>
      </c>
      <c r="Y266" s="182"/>
      <c r="Z266" s="182"/>
      <c r="AA266" s="182"/>
      <c r="AB266" s="182"/>
      <c r="BT266" s="29"/>
      <c r="BU266" s="7"/>
      <c r="BV266" s="7"/>
      <c r="BW266" s="7"/>
      <c r="BX266" s="7"/>
      <c r="BY266" s="7"/>
    </row>
    <row r="267" spans="3:77" ht="15" customHeight="1" x14ac:dyDescent="0.25">
      <c r="C267" s="4"/>
      <c r="W267" s="12" t="s">
        <v>137</v>
      </c>
      <c r="X267" s="182">
        <f>(P.uh*((1/S.a)-(e.genzone*(y.tf-H.ts-(H.o-H.ts))/m.I)))/1000</f>
        <v>4.2481623716903911</v>
      </c>
      <c r="Y267" s="182"/>
      <c r="Z267" s="182"/>
      <c r="AA267" s="182"/>
      <c r="AB267" s="182"/>
      <c r="BT267" s="7"/>
      <c r="BU267" s="7"/>
      <c r="BV267" s="7"/>
      <c r="BW267" s="7"/>
      <c r="BX267" s="7"/>
      <c r="BY267" s="7"/>
    </row>
    <row r="268" spans="3:77" ht="15" customHeight="1" x14ac:dyDescent="0.25">
      <c r="C268" s="4"/>
      <c r="W268" s="12" t="s">
        <v>375</v>
      </c>
      <c r="X268" s="182">
        <f>(P.uh*((1/S.a)-(e.genzone*(y.tf-H.ts-(H.o-H.ts)-Hf.ext)/m.I)))/1000</f>
        <v>4.5139080810958232</v>
      </c>
      <c r="Y268" s="182"/>
      <c r="Z268" s="182"/>
      <c r="AA268" s="182"/>
      <c r="AB268" s="182"/>
      <c r="AQ268" s="12"/>
      <c r="AU268" s="22"/>
      <c r="BT268" s="7"/>
      <c r="BU268" s="7"/>
      <c r="BV268" s="7"/>
      <c r="BW268" s="7"/>
      <c r="BX268" s="7"/>
      <c r="BY268" s="7"/>
    </row>
    <row r="269" spans="3:77" ht="15" customHeight="1" x14ac:dyDescent="0.25">
      <c r="C269" s="4"/>
      <c r="W269" s="12" t="s">
        <v>138</v>
      </c>
      <c r="X269" s="182">
        <f>(P.uh*((1/S.a)+(e.genzone*(y.bf-H.bs)/m.I)))/1000</f>
        <v>8.7658394315827195</v>
      </c>
      <c r="Y269" s="182"/>
      <c r="Z269" s="182"/>
      <c r="AA269" s="182"/>
      <c r="AB269" s="182"/>
      <c r="BT269" s="29"/>
      <c r="BU269" s="7"/>
      <c r="BV269" s="7"/>
      <c r="BW269" s="7"/>
      <c r="BX269" s="7"/>
      <c r="BY269" s="7"/>
    </row>
    <row r="270" spans="3:77" ht="15" customHeight="1" x14ac:dyDescent="0.25">
      <c r="C270" s="4"/>
      <c r="W270" s="12" t="s">
        <v>139</v>
      </c>
      <c r="X270" s="182">
        <f>(P.uh*((1/S.a)+(e.genzone*(y.bf)/m.I)))/1000</f>
        <v>9.2973308503935801</v>
      </c>
      <c r="Y270" s="182"/>
      <c r="Z270" s="182"/>
      <c r="AA270" s="182"/>
      <c r="AB270" s="182"/>
      <c r="BT270" s="29"/>
      <c r="BU270" s="7"/>
      <c r="BV270" s="7"/>
      <c r="BW270" s="7"/>
      <c r="BX270" s="7"/>
      <c r="BY270" s="7"/>
    </row>
    <row r="271" spans="3:77" ht="15" customHeight="1" x14ac:dyDescent="0.2">
      <c r="C271" s="4"/>
      <c r="BT271" s="7"/>
      <c r="BU271" s="7"/>
      <c r="BV271" s="7"/>
      <c r="BW271" s="7"/>
      <c r="BX271" s="7"/>
      <c r="BY271" s="7"/>
    </row>
    <row r="272" spans="3:77" ht="15" customHeight="1" x14ac:dyDescent="0.2">
      <c r="C272" s="140">
        <v>5.3</v>
      </c>
      <c r="D272" s="141"/>
      <c r="E272" s="141"/>
      <c r="F272" s="141"/>
      <c r="G272" s="148" t="s">
        <v>191</v>
      </c>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c r="AD272" s="148"/>
      <c r="AE272" s="148"/>
      <c r="AF272" s="148"/>
      <c r="AG272" s="148"/>
      <c r="AH272" s="148"/>
      <c r="AI272" s="148"/>
      <c r="AJ272" s="148"/>
      <c r="AK272" s="148"/>
      <c r="AL272" s="148"/>
      <c r="AM272" s="148"/>
      <c r="AN272" s="148"/>
      <c r="AO272" s="148"/>
      <c r="AP272" s="148"/>
      <c r="AQ272" s="148"/>
      <c r="AR272" s="148"/>
      <c r="AS272" s="148"/>
      <c r="AT272" s="148"/>
      <c r="AU272" s="148"/>
      <c r="AV272" s="148"/>
      <c r="AW272" s="148"/>
      <c r="AX272" s="148"/>
      <c r="AY272" s="148"/>
      <c r="AZ272" s="148"/>
      <c r="BA272" s="148"/>
      <c r="BB272" s="148"/>
      <c r="BC272" s="148"/>
      <c r="BD272" s="148"/>
      <c r="BE272" s="148"/>
      <c r="BF272" s="148"/>
      <c r="BG272" s="148"/>
      <c r="BH272" s="148"/>
      <c r="BI272" s="148"/>
      <c r="BJ272" s="148"/>
      <c r="BK272" s="148"/>
      <c r="BL272" s="148"/>
      <c r="BM272" s="148"/>
      <c r="BN272" s="148"/>
      <c r="BO272" s="148"/>
      <c r="BP272" s="148"/>
      <c r="BQ272" s="148"/>
      <c r="BR272" s="148"/>
      <c r="BT272" s="7"/>
      <c r="BU272" s="7"/>
      <c r="BV272" s="7"/>
      <c r="BW272" s="7"/>
      <c r="BX272" s="7"/>
      <c r="BY272" s="7"/>
    </row>
    <row r="273" spans="3:77" ht="15" customHeight="1" x14ac:dyDescent="0.2">
      <c r="C273" s="140"/>
      <c r="D273" s="141"/>
      <c r="E273" s="141"/>
      <c r="F273" s="141"/>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c r="AD273" s="148"/>
      <c r="AE273" s="148"/>
      <c r="AF273" s="148"/>
      <c r="AG273" s="148"/>
      <c r="AH273" s="148"/>
      <c r="AI273" s="148"/>
      <c r="AJ273" s="148"/>
      <c r="AK273" s="148"/>
      <c r="AL273" s="148"/>
      <c r="AM273" s="148"/>
      <c r="AN273" s="148"/>
      <c r="AO273" s="148"/>
      <c r="AP273" s="148"/>
      <c r="AQ273" s="148"/>
      <c r="AR273" s="148"/>
      <c r="AS273" s="148"/>
      <c r="AT273" s="148"/>
      <c r="AU273" s="148"/>
      <c r="AV273" s="148"/>
      <c r="AW273" s="148"/>
      <c r="AX273" s="148"/>
      <c r="AY273" s="148"/>
      <c r="AZ273" s="148"/>
      <c r="BA273" s="148"/>
      <c r="BB273" s="148"/>
      <c r="BC273" s="148"/>
      <c r="BD273" s="148"/>
      <c r="BE273" s="148"/>
      <c r="BF273" s="148"/>
      <c r="BG273" s="148"/>
      <c r="BH273" s="148"/>
      <c r="BI273" s="148"/>
      <c r="BJ273" s="148"/>
      <c r="BK273" s="148"/>
      <c r="BL273" s="148"/>
      <c r="BM273" s="148"/>
      <c r="BN273" s="148"/>
      <c r="BO273" s="148"/>
      <c r="BP273" s="148"/>
      <c r="BQ273" s="148"/>
      <c r="BR273" s="148"/>
      <c r="BT273" s="7"/>
      <c r="BU273" s="7"/>
      <c r="BV273" s="7"/>
      <c r="BW273" s="7"/>
      <c r="BX273" s="7"/>
      <c r="BY273" s="7"/>
    </row>
    <row r="274" spans="3:77" ht="15" customHeight="1" x14ac:dyDescent="0.2">
      <c r="C274" s="4"/>
      <c r="BT274" s="7"/>
      <c r="BU274" s="7"/>
      <c r="BV274" s="7"/>
      <c r="BW274" s="7"/>
      <c r="BX274" s="7"/>
      <c r="BY274" s="7"/>
    </row>
    <row r="275" spans="3:77" ht="15" customHeight="1" x14ac:dyDescent="0.25">
      <c r="C275" s="19"/>
      <c r="W275" s="12" t="s">
        <v>145</v>
      </c>
      <c r="X275" s="169">
        <f>Inputs!B40</f>
        <v>0.1016</v>
      </c>
      <c r="Y275" s="169"/>
      <c r="Z275" s="169"/>
      <c r="AA275" s="169"/>
      <c r="AB275" s="169"/>
      <c r="BT275" s="29"/>
      <c r="BU275" s="7"/>
      <c r="BV275" s="7"/>
      <c r="BW275" s="7"/>
      <c r="BX275" s="7"/>
      <c r="BY275" s="7"/>
    </row>
    <row r="276" spans="3:77" ht="15" customHeight="1" x14ac:dyDescent="0.25">
      <c r="C276" s="19"/>
      <c r="W276" s="12" t="s">
        <v>144</v>
      </c>
      <c r="X276" s="169">
        <f>Inputs!B41</f>
        <v>0.50800000000000001</v>
      </c>
      <c r="Y276" s="169"/>
      <c r="Z276" s="169"/>
      <c r="AA276" s="169"/>
      <c r="AB276" s="169"/>
      <c r="BT276" s="29"/>
      <c r="BU276" s="7"/>
      <c r="BV276" s="7"/>
      <c r="BW276" s="7"/>
      <c r="BX276" s="7"/>
      <c r="BY276" s="7"/>
    </row>
    <row r="277" spans="3:77" ht="15" customHeight="1" x14ac:dyDescent="0.25">
      <c r="C277" s="19"/>
      <c r="W277" s="12" t="s">
        <v>146</v>
      </c>
      <c r="X277" s="169">
        <f>Inputs!B42</f>
        <v>7.619999999999999E-2</v>
      </c>
      <c r="Y277" s="169"/>
      <c r="Z277" s="169"/>
      <c r="AA277" s="169"/>
      <c r="AB277" s="169"/>
      <c r="BT277" s="29"/>
      <c r="BU277" s="7"/>
      <c r="BV277" s="7"/>
      <c r="BW277" s="7"/>
      <c r="BX277" s="7"/>
      <c r="BY277" s="7"/>
    </row>
    <row r="278" spans="3:77" ht="15" customHeight="1" x14ac:dyDescent="0.2">
      <c r="C278" s="19"/>
      <c r="X278" s="184"/>
      <c r="Y278" s="184"/>
      <c r="Z278" s="184"/>
      <c r="AA278" s="184"/>
      <c r="AB278" s="184"/>
      <c r="BT278" s="29"/>
      <c r="BU278" s="7"/>
      <c r="BV278" s="7"/>
      <c r="BW278" s="7"/>
      <c r="BX278" s="7"/>
      <c r="BY278" s="7"/>
    </row>
    <row r="279" spans="3:77" ht="15" customHeight="1" x14ac:dyDescent="0.2">
      <c r="C279" s="19"/>
      <c r="G279" s="138" t="s">
        <v>46</v>
      </c>
      <c r="H279" s="138"/>
      <c r="I279" s="138"/>
      <c r="J279" s="138"/>
      <c r="K279" s="138"/>
      <c r="L279" s="138"/>
      <c r="M279" s="138"/>
      <c r="N279" s="138"/>
      <c r="O279" s="138"/>
      <c r="P279" s="138"/>
      <c r="Q279" s="138"/>
      <c r="R279" s="138"/>
      <c r="S279" s="138"/>
      <c r="T279" s="138"/>
      <c r="U279" s="138"/>
      <c r="V279" s="138"/>
      <c r="W279" s="138"/>
      <c r="X279" s="138"/>
      <c r="Y279" s="138"/>
      <c r="Z279" s="138"/>
      <c r="AA279" s="138"/>
      <c r="AB279" s="138"/>
      <c r="BT279" s="29"/>
      <c r="BU279" s="7"/>
      <c r="BV279" s="7"/>
      <c r="BW279" s="7"/>
      <c r="BX279" s="7"/>
      <c r="BY279" s="7"/>
    </row>
    <row r="280" spans="3:77" ht="15" customHeight="1" x14ac:dyDescent="0.2">
      <c r="C280" s="4"/>
      <c r="S280" s="91"/>
      <c r="W280" s="12" t="s">
        <v>47</v>
      </c>
      <c r="X280" s="143">
        <f>(t.s*H.ts*L.ds)*1000</f>
        <v>9653.6657608257938</v>
      </c>
      <c r="Y280" s="143"/>
      <c r="Z280" s="143"/>
      <c r="AA280" s="143"/>
      <c r="AB280" s="143"/>
      <c r="BT280" s="29"/>
      <c r="BU280" s="7"/>
      <c r="BV280" s="7"/>
      <c r="BW280" s="7"/>
      <c r="BX280" s="7"/>
      <c r="BY280" s="7"/>
    </row>
    <row r="281" spans="3:77" ht="15" customHeight="1" x14ac:dyDescent="0.2">
      <c r="C281" s="4"/>
      <c r="S281" s="92"/>
      <c r="W281" s="12" t="s">
        <v>48</v>
      </c>
      <c r="X281" s="143">
        <f>((s.s-t.s)*H.ts*L.ds/2)*1000</f>
        <v>991.2009388689512</v>
      </c>
      <c r="Y281" s="143"/>
      <c r="Z281" s="143"/>
      <c r="AA281" s="143"/>
      <c r="AB281" s="143"/>
      <c r="BT281" s="29"/>
      <c r="BU281" s="7"/>
      <c r="BV281" s="7"/>
      <c r="BW281" s="7"/>
      <c r="BX281" s="7"/>
      <c r="BY281" s="7"/>
    </row>
    <row r="282" spans="3:77" ht="15" customHeight="1" x14ac:dyDescent="0.25">
      <c r="C282" s="4"/>
      <c r="S282" s="92"/>
      <c r="U282" s="12"/>
      <c r="W282" s="13" t="s">
        <v>263</v>
      </c>
      <c r="X282" s="144">
        <f>S.h-((TS.F1*(H.ts/2)+TS.F2*H.ts*(2/3))/(TS.F2+TS.F1))</f>
        <v>1.5716464920469764</v>
      </c>
      <c r="Y282" s="144"/>
      <c r="Z282" s="144"/>
      <c r="AA282" s="144"/>
      <c r="AB282" s="144"/>
      <c r="BT282" s="29"/>
      <c r="BU282" s="7"/>
      <c r="BV282" s="7"/>
      <c r="BW282" s="7"/>
      <c r="BX282" s="7"/>
      <c r="BY282" s="7"/>
    </row>
    <row r="283" spans="3:77" ht="15" customHeight="1" x14ac:dyDescent="0.2">
      <c r="C283" s="4"/>
      <c r="S283" s="92"/>
      <c r="X283" s="145"/>
      <c r="Y283" s="145"/>
      <c r="Z283" s="145"/>
      <c r="AA283" s="145"/>
      <c r="AB283" s="145"/>
      <c r="BT283" s="29"/>
      <c r="BU283" s="7"/>
      <c r="BV283" s="7"/>
      <c r="BW283" s="7"/>
      <c r="BX283" s="7"/>
      <c r="BY283" s="7"/>
    </row>
    <row r="284" spans="3:77" ht="15" customHeight="1" x14ac:dyDescent="0.2">
      <c r="C284" s="4"/>
      <c r="G284" s="138" t="s">
        <v>45</v>
      </c>
      <c r="H284" s="138"/>
      <c r="I284" s="138"/>
      <c r="J284" s="138"/>
      <c r="K284" s="138"/>
      <c r="L284" s="138"/>
      <c r="M284" s="138"/>
      <c r="N284" s="138"/>
      <c r="O284" s="138"/>
      <c r="P284" s="138"/>
      <c r="Q284" s="138"/>
      <c r="R284" s="138"/>
      <c r="S284" s="138"/>
      <c r="T284" s="138"/>
      <c r="U284" s="138"/>
      <c r="V284" s="138"/>
      <c r="W284" s="138"/>
      <c r="X284" s="138"/>
      <c r="Y284" s="138"/>
      <c r="Z284" s="138"/>
      <c r="AA284" s="138"/>
      <c r="AB284" s="138"/>
      <c r="BT284" s="29"/>
      <c r="BU284" s="7"/>
      <c r="BV284" s="7"/>
      <c r="BW284" s="7"/>
      <c r="BX284" s="7"/>
      <c r="BY284" s="7"/>
    </row>
    <row r="285" spans="3:77" ht="15" customHeight="1" x14ac:dyDescent="0.2">
      <c r="C285" s="4"/>
      <c r="S285" s="91"/>
      <c r="W285" s="12" t="s">
        <v>49</v>
      </c>
      <c r="X285" s="143">
        <f>(s.s*(H.o-H.ts)*L.oh*2)*1000</f>
        <v>169.06648091086555</v>
      </c>
      <c r="Y285" s="143"/>
      <c r="Z285" s="143"/>
      <c r="AA285" s="143"/>
      <c r="AB285" s="143"/>
      <c r="BT285" s="29"/>
      <c r="BU285" s="7"/>
      <c r="BV285" s="7"/>
      <c r="BW285" s="7"/>
      <c r="BX285" s="7"/>
      <c r="BY285" s="7"/>
    </row>
    <row r="286" spans="3:77" ht="15" customHeight="1" x14ac:dyDescent="0.2">
      <c r="C286" s="4"/>
      <c r="S286" s="92"/>
      <c r="W286" s="12" t="s">
        <v>50</v>
      </c>
      <c r="X286" s="143">
        <f>((o.s-s.s)*(H.o-H.ts)*(L.oh*2)/2)*1000</f>
        <v>1.8002092697400902</v>
      </c>
      <c r="Y286" s="143"/>
      <c r="Z286" s="143"/>
      <c r="AA286" s="143"/>
      <c r="AB286" s="143"/>
      <c r="BT286" s="29"/>
      <c r="BU286" s="7"/>
      <c r="BV286" s="7"/>
      <c r="BW286" s="7"/>
      <c r="BX286" s="7"/>
      <c r="BY286" s="7"/>
    </row>
    <row r="287" spans="3:77" ht="15" customHeight="1" x14ac:dyDescent="0.25">
      <c r="C287" s="4"/>
      <c r="S287" s="92"/>
      <c r="U287" s="12"/>
      <c r="W287" s="12" t="s">
        <v>276</v>
      </c>
      <c r="X287" s="144">
        <f>(O.F3*((H.o-H.ts)/2)+O.F4*((H.o-H.ts)*(2/3)))/(O.F3+O.F4)</f>
        <v>1.2744601355012562E-2</v>
      </c>
      <c r="Y287" s="144"/>
      <c r="Z287" s="144"/>
      <c r="AA287" s="144"/>
      <c r="AB287" s="144"/>
      <c r="BT287" s="29"/>
      <c r="BU287" s="7"/>
      <c r="BV287" s="7"/>
      <c r="BW287" s="7"/>
      <c r="BX287" s="7"/>
      <c r="BY287" s="7"/>
    </row>
    <row r="288" spans="3:77" ht="15" customHeight="1" x14ac:dyDescent="0.2">
      <c r="C288" s="4"/>
      <c r="S288" s="92"/>
      <c r="X288" s="145"/>
      <c r="Y288" s="145"/>
      <c r="Z288" s="145"/>
      <c r="AA288" s="145"/>
      <c r="AB288" s="145"/>
      <c r="BT288" s="29"/>
      <c r="BU288" s="7"/>
      <c r="BV288" s="7"/>
      <c r="BW288" s="7"/>
      <c r="BX288" s="7"/>
      <c r="BY288" s="7"/>
    </row>
    <row r="289" spans="3:77" ht="15" customHeight="1" x14ac:dyDescent="0.2">
      <c r="C289" s="4"/>
      <c r="G289" s="138" t="s">
        <v>51</v>
      </c>
      <c r="H289" s="138"/>
      <c r="I289" s="138"/>
      <c r="J289" s="138"/>
      <c r="K289" s="138"/>
      <c r="L289" s="138"/>
      <c r="M289" s="138"/>
      <c r="N289" s="138"/>
      <c r="O289" s="138"/>
      <c r="P289" s="138"/>
      <c r="Q289" s="138"/>
      <c r="R289" s="138"/>
      <c r="S289" s="138"/>
      <c r="T289" s="138"/>
      <c r="U289" s="138"/>
      <c r="V289" s="138"/>
      <c r="W289" s="138"/>
      <c r="X289" s="138"/>
      <c r="Y289" s="138"/>
      <c r="Z289" s="138"/>
      <c r="AA289" s="138"/>
      <c r="AB289" s="138"/>
      <c r="BT289" s="29"/>
      <c r="BU289" s="7"/>
      <c r="BV289" s="7"/>
      <c r="BW289" s="7"/>
      <c r="BX289" s="7"/>
      <c r="BY289" s="7"/>
    </row>
    <row r="290" spans="3:77" ht="15" customHeight="1" x14ac:dyDescent="0.2">
      <c r="C290" s="4"/>
      <c r="S290" s="91"/>
      <c r="W290" s="12" t="s">
        <v>52</v>
      </c>
      <c r="X290" s="143">
        <f>(o.s*Hf.ext*(L.oh*2)/2)*1000</f>
        <v>259.00034917551847</v>
      </c>
      <c r="Y290" s="143"/>
      <c r="Z290" s="143"/>
      <c r="AA290" s="143"/>
      <c r="AB290" s="143"/>
      <c r="BT290" s="29"/>
      <c r="BU290" s="7"/>
      <c r="BV290" s="7"/>
      <c r="BW290" s="7"/>
      <c r="BX290" s="7"/>
      <c r="BY290" s="7"/>
    </row>
    <row r="291" spans="3:77" ht="15" customHeight="1" x14ac:dyDescent="0.2">
      <c r="C291" s="4"/>
      <c r="S291" s="92"/>
      <c r="W291" s="12" t="s">
        <v>53</v>
      </c>
      <c r="X291" s="143">
        <f>((f.s-o.s)*(Hf.ext*2*L.oh)/6)*1000</f>
        <v>5.4006278092202686</v>
      </c>
      <c r="Y291" s="143"/>
      <c r="Z291" s="143"/>
      <c r="AA291" s="143"/>
      <c r="AB291" s="143"/>
      <c r="BT291" s="29"/>
      <c r="BU291" s="7"/>
      <c r="BV291" s="7"/>
      <c r="BW291" s="7"/>
      <c r="BX291" s="7"/>
      <c r="BY291" s="7"/>
    </row>
    <row r="292" spans="3:77" ht="15" customHeight="1" x14ac:dyDescent="0.25">
      <c r="C292" s="4"/>
      <c r="S292" s="92"/>
      <c r="U292" s="12"/>
      <c r="W292" s="12" t="s">
        <v>264</v>
      </c>
      <c r="X292" s="144">
        <f>((EF.F5*(Hf.ext/3))+EF.F6*(Hf.ext*2))/(EF.F5+EF.F6)</f>
        <v>2.7994089248810004E-2</v>
      </c>
      <c r="Y292" s="144"/>
      <c r="Z292" s="144"/>
      <c r="AA292" s="144"/>
      <c r="AB292" s="144"/>
      <c r="BT292" s="29"/>
      <c r="BU292" s="7"/>
      <c r="BV292" s="7"/>
      <c r="BW292" s="7"/>
      <c r="BX292" s="7"/>
      <c r="BY292" s="7"/>
    </row>
    <row r="293" spans="3:77" ht="15" customHeight="1" x14ac:dyDescent="0.2">
      <c r="C293" s="4"/>
      <c r="S293" s="92"/>
      <c r="X293" s="22"/>
      <c r="Y293" s="22"/>
      <c r="Z293" s="22"/>
      <c r="BT293" s="29"/>
      <c r="BU293" s="7"/>
      <c r="BV293" s="7"/>
      <c r="BW293" s="7"/>
      <c r="BX293" s="7"/>
      <c r="BY293" s="7"/>
    </row>
    <row r="294" spans="3:77" ht="15" customHeight="1" x14ac:dyDescent="0.2">
      <c r="C294" s="4"/>
      <c r="G294" s="138" t="s">
        <v>54</v>
      </c>
      <c r="H294" s="138"/>
      <c r="I294" s="138"/>
      <c r="J294" s="138"/>
      <c r="K294" s="138"/>
      <c r="L294" s="138"/>
      <c r="M294" s="138"/>
      <c r="N294" s="138"/>
      <c r="O294" s="138"/>
      <c r="P294" s="138"/>
      <c r="Q294" s="138"/>
      <c r="R294" s="138"/>
      <c r="S294" s="138"/>
      <c r="T294" s="138"/>
      <c r="U294" s="138"/>
      <c r="V294" s="138"/>
      <c r="W294" s="138"/>
      <c r="X294" s="138"/>
      <c r="Y294" s="138"/>
      <c r="Z294" s="138"/>
      <c r="AA294" s="138"/>
      <c r="AB294" s="138"/>
      <c r="BT294" s="29"/>
      <c r="BU294" s="7"/>
      <c r="BV294" s="7"/>
      <c r="BW294" s="7"/>
      <c r="BX294" s="7"/>
      <c r="BY294" s="7"/>
    </row>
    <row r="295" spans="3:77" ht="15" customHeight="1" x14ac:dyDescent="0.2">
      <c r="C295" s="4"/>
      <c r="S295" s="91"/>
      <c r="W295" s="12" t="s">
        <v>55</v>
      </c>
      <c r="X295" s="143">
        <f>(s.s*Hf.int*Wf.int*2/2)*1000</f>
        <v>214.68759480744825</v>
      </c>
      <c r="Y295" s="143"/>
      <c r="Z295" s="143"/>
      <c r="AA295" s="143"/>
      <c r="AB295" s="143"/>
      <c r="BT295" s="29"/>
      <c r="BU295" s="7"/>
      <c r="BV295" s="7"/>
      <c r="BW295" s="7"/>
      <c r="BX295" s="7"/>
      <c r="BY295" s="7"/>
    </row>
    <row r="296" spans="3:77" ht="15" customHeight="1" x14ac:dyDescent="0.2">
      <c r="C296" s="4"/>
      <c r="S296" s="92"/>
      <c r="W296" s="12" t="s">
        <v>56</v>
      </c>
      <c r="X296" s="143">
        <f>((f.s-s.s)*Hf.int*Wf.int*2/6)*1000</f>
        <v>6.0959467335114166</v>
      </c>
      <c r="Y296" s="143"/>
      <c r="Z296" s="143"/>
      <c r="AA296" s="143"/>
      <c r="AB296" s="143"/>
      <c r="BT296" s="29"/>
      <c r="BU296" s="7"/>
      <c r="BV296" s="7"/>
      <c r="BW296" s="7"/>
      <c r="BX296" s="7"/>
      <c r="BY296" s="7"/>
    </row>
    <row r="297" spans="3:77" ht="15" customHeight="1" x14ac:dyDescent="0.25">
      <c r="C297" s="4"/>
      <c r="S297" s="92"/>
      <c r="U297" s="12"/>
      <c r="W297" s="12" t="s">
        <v>265</v>
      </c>
      <c r="X297" s="144">
        <f>(IF.F7*(Hf.int/3)+IF.F8*(Hf.int/2))/(IF.F7+IF.F8)</f>
        <v>3.4334204678333369E-2</v>
      </c>
      <c r="Y297" s="144"/>
      <c r="Z297" s="144"/>
      <c r="AA297" s="144"/>
      <c r="AB297" s="144"/>
      <c r="BT297" s="29"/>
      <c r="BU297" s="7"/>
      <c r="BV297" s="7"/>
      <c r="BW297" s="7"/>
      <c r="BX297" s="7"/>
      <c r="BY297" s="7"/>
    </row>
    <row r="298" spans="3:77" ht="15" customHeight="1" x14ac:dyDescent="0.2">
      <c r="C298" s="4"/>
      <c r="S298" s="92"/>
      <c r="X298" s="56"/>
      <c r="Y298" s="56"/>
      <c r="Z298" s="56"/>
      <c r="BT298" s="29"/>
      <c r="BU298" s="7"/>
      <c r="BV298" s="7"/>
      <c r="BW298" s="7"/>
      <c r="BX298" s="7"/>
      <c r="BY298" s="7"/>
    </row>
    <row r="299" spans="3:77" ht="15" customHeight="1" x14ac:dyDescent="0.2">
      <c r="C299" s="4"/>
      <c r="G299" s="138" t="s">
        <v>54</v>
      </c>
      <c r="H299" s="138"/>
      <c r="I299" s="138"/>
      <c r="J299" s="138"/>
      <c r="K299" s="138"/>
      <c r="L299" s="138"/>
      <c r="M299" s="138"/>
      <c r="N299" s="138"/>
      <c r="O299" s="138"/>
      <c r="P299" s="138"/>
      <c r="Q299" s="138"/>
      <c r="R299" s="138"/>
      <c r="S299" s="138"/>
      <c r="T299" s="138"/>
      <c r="U299" s="138"/>
      <c r="V299" s="138"/>
      <c r="W299" s="138"/>
      <c r="X299" s="138"/>
      <c r="Y299" s="138"/>
      <c r="Z299" s="138"/>
      <c r="AA299" s="138"/>
      <c r="AB299" s="138"/>
      <c r="BT299" s="29"/>
      <c r="BU299" s="7"/>
      <c r="BV299" s="7"/>
      <c r="BW299" s="7"/>
      <c r="BX299" s="7"/>
      <c r="BY299" s="7"/>
    </row>
    <row r="300" spans="3:77" ht="15" customHeight="1" x14ac:dyDescent="0.2">
      <c r="C300" s="4"/>
      <c r="S300" s="91"/>
      <c r="W300" s="12" t="s">
        <v>57</v>
      </c>
      <c r="X300" s="143">
        <f>(s.s*(S.h-H.ts-H.bs)*TW.fw)*1000</f>
        <v>13808.603566177422</v>
      </c>
      <c r="Y300" s="143"/>
      <c r="Z300" s="143"/>
      <c r="AA300" s="143"/>
      <c r="AB300" s="143"/>
      <c r="BT300" s="29"/>
      <c r="BU300" s="7"/>
      <c r="BV300" s="7"/>
      <c r="BW300" s="7"/>
      <c r="BX300" s="7"/>
      <c r="BY300" s="7"/>
    </row>
    <row r="301" spans="3:77" ht="15" customHeight="1" x14ac:dyDescent="0.2">
      <c r="C301" s="4"/>
      <c r="S301" s="92"/>
      <c r="W301" s="12" t="s">
        <v>58</v>
      </c>
      <c r="X301" s="143">
        <f>((tb.s-s.s)*(S.h-H.ts-H.bs)*TW.fw/2)*1000</f>
        <v>7645.7234599058302</v>
      </c>
      <c r="Y301" s="143"/>
      <c r="Z301" s="143"/>
      <c r="AA301" s="143"/>
      <c r="AB301" s="143"/>
      <c r="BT301" s="29"/>
      <c r="BU301" s="7"/>
      <c r="BV301" s="7"/>
      <c r="BW301" s="7"/>
      <c r="BX301" s="7"/>
      <c r="BY301" s="7"/>
    </row>
    <row r="302" spans="3:77" ht="15" customHeight="1" x14ac:dyDescent="0.25">
      <c r="C302" s="4"/>
      <c r="S302" s="92"/>
      <c r="U302" s="12"/>
      <c r="W302" s="12" t="s">
        <v>266</v>
      </c>
      <c r="X302" s="144">
        <f>(W.F9*(S.h-H.ts-H.bs)/2+W.F10*(S.h-H.ts-H.bs)*(2/3))/(W.F9+W.F10)</f>
        <v>0.73884937708499188</v>
      </c>
      <c r="Y302" s="144"/>
      <c r="Z302" s="144"/>
      <c r="AA302" s="144"/>
      <c r="AB302" s="144"/>
      <c r="BT302" s="29"/>
      <c r="BU302" s="7"/>
      <c r="BV302" s="7"/>
      <c r="BW302" s="7"/>
      <c r="BX302" s="7"/>
      <c r="BY302" s="7"/>
    </row>
    <row r="303" spans="3:77" ht="15" customHeight="1" x14ac:dyDescent="0.2">
      <c r="C303" s="4"/>
      <c r="S303" s="92"/>
      <c r="X303" s="145"/>
      <c r="Y303" s="145"/>
      <c r="Z303" s="145"/>
      <c r="AA303" s="145"/>
      <c r="AB303" s="145"/>
      <c r="BT303" s="29"/>
      <c r="BU303" s="7"/>
      <c r="BV303" s="7"/>
      <c r="BW303" s="7"/>
      <c r="BX303" s="7"/>
      <c r="BY303" s="7"/>
    </row>
    <row r="304" spans="3:77" ht="15" customHeight="1" x14ac:dyDescent="0.2">
      <c r="C304" s="4"/>
      <c r="G304" s="138" t="s">
        <v>267</v>
      </c>
      <c r="H304" s="138"/>
      <c r="I304" s="138"/>
      <c r="J304" s="138"/>
      <c r="K304" s="138"/>
      <c r="L304" s="138"/>
      <c r="M304" s="138"/>
      <c r="N304" s="138"/>
      <c r="O304" s="138"/>
      <c r="P304" s="138"/>
      <c r="Q304" s="138"/>
      <c r="R304" s="138"/>
      <c r="S304" s="138"/>
      <c r="T304" s="138"/>
      <c r="U304" s="138"/>
      <c r="V304" s="138"/>
      <c r="W304" s="138"/>
      <c r="X304" s="138"/>
      <c r="Y304" s="138"/>
      <c r="Z304" s="138"/>
      <c r="AA304" s="138"/>
      <c r="AB304" s="138"/>
      <c r="BT304" s="29"/>
      <c r="BU304" s="7"/>
      <c r="BV304" s="7"/>
      <c r="BW304" s="7"/>
      <c r="BX304" s="7"/>
      <c r="BY304" s="7"/>
    </row>
    <row r="305" spans="3:77" ht="15" customHeight="1" x14ac:dyDescent="0.2">
      <c r="C305" s="4"/>
      <c r="S305" s="103"/>
      <c r="W305" s="12" t="s">
        <v>59</v>
      </c>
      <c r="X305" s="143">
        <f>(O.F3+O.F4)+(EF.F5+EF.F6)+(IF.F7+IF.F8)+(W.F9+W.F10)</f>
        <v>22110.378234789554</v>
      </c>
      <c r="Y305" s="143"/>
      <c r="Z305" s="143"/>
      <c r="AA305" s="143"/>
      <c r="AB305" s="143"/>
      <c r="BT305" s="29"/>
      <c r="BU305" s="7"/>
      <c r="BV305" s="7"/>
      <c r="BW305" s="7"/>
      <c r="BX305" s="7"/>
      <c r="BY305" s="7"/>
    </row>
    <row r="306" spans="3:77" ht="15" customHeight="1" x14ac:dyDescent="0.2">
      <c r="C306" s="4"/>
      <c r="S306" s="92"/>
      <c r="U306" s="12"/>
      <c r="W306" s="12" t="s">
        <v>147</v>
      </c>
      <c r="X306" s="144">
        <f>((O.F3+O.F4)*c.g.overhang+(EF.F5+EF.F6)*c.g.ext.f+(IF.F7+IF.F8)*c.g.int.f+(W.F9+W.F10)*c.g.web)/Comb.F</f>
        <v>0.71770259695214189</v>
      </c>
      <c r="Y306" s="144"/>
      <c r="Z306" s="144"/>
      <c r="AA306" s="144"/>
      <c r="AB306" s="144"/>
      <c r="BT306" s="29"/>
      <c r="BU306" s="7"/>
      <c r="BV306" s="7"/>
      <c r="BW306" s="7"/>
      <c r="BX306" s="7"/>
      <c r="BY306" s="7"/>
    </row>
    <row r="307" spans="3:77" ht="15" customHeight="1" x14ac:dyDescent="0.25">
      <c r="C307" s="4"/>
      <c r="S307" s="92"/>
      <c r="W307" s="13" t="s">
        <v>268</v>
      </c>
      <c r="X307" s="144">
        <f>S.h-H.ts-c.g.comb.</f>
        <v>0.75549740304785795</v>
      </c>
      <c r="Y307" s="144"/>
      <c r="Z307" s="144"/>
      <c r="AA307" s="144"/>
      <c r="AB307" s="144"/>
      <c r="BT307" s="29"/>
      <c r="BU307" s="7"/>
      <c r="BV307" s="7"/>
      <c r="BW307" s="7"/>
      <c r="BX307" s="7"/>
      <c r="BY307" s="7"/>
    </row>
    <row r="308" spans="3:77" ht="15" customHeight="1" x14ac:dyDescent="0.2">
      <c r="C308" s="4"/>
      <c r="S308" s="92"/>
      <c r="X308" s="145"/>
      <c r="Y308" s="145"/>
      <c r="Z308" s="145"/>
      <c r="AA308" s="145"/>
      <c r="AB308" s="145"/>
      <c r="BT308" s="29"/>
      <c r="BU308" s="7"/>
      <c r="BV308" s="7"/>
      <c r="BW308" s="7"/>
      <c r="BX308" s="7"/>
      <c r="BY308" s="7"/>
    </row>
    <row r="309" spans="3:77" ht="15" customHeight="1" x14ac:dyDescent="0.2">
      <c r="C309" s="4"/>
      <c r="G309" s="138" t="s">
        <v>60</v>
      </c>
      <c r="H309" s="138"/>
      <c r="I309" s="138"/>
      <c r="J309" s="138"/>
      <c r="K309" s="138"/>
      <c r="L309" s="138"/>
      <c r="M309" s="138"/>
      <c r="N309" s="138"/>
      <c r="O309" s="138"/>
      <c r="P309" s="138"/>
      <c r="Q309" s="138"/>
      <c r="R309" s="138"/>
      <c r="S309" s="138"/>
      <c r="T309" s="138"/>
      <c r="U309" s="138"/>
      <c r="V309" s="138"/>
      <c r="W309" s="138"/>
      <c r="X309" s="138"/>
      <c r="Y309" s="138"/>
      <c r="Z309" s="138"/>
      <c r="AA309" s="138"/>
      <c r="AB309" s="138"/>
      <c r="BT309" s="29"/>
      <c r="BU309" s="7"/>
      <c r="BV309" s="7"/>
      <c r="BW309" s="7"/>
      <c r="BX309" s="7"/>
      <c r="BY309" s="7"/>
    </row>
    <row r="310" spans="3:77" ht="15" customHeight="1" x14ac:dyDescent="0.2">
      <c r="C310" s="4"/>
      <c r="S310" s="103"/>
      <c r="W310" s="12" t="s">
        <v>61</v>
      </c>
      <c r="X310" s="143">
        <f>(tb.s*H.bs*L.bf)*1000</f>
        <v>14794.445219450636</v>
      </c>
      <c r="Y310" s="143"/>
      <c r="Z310" s="143"/>
      <c r="AA310" s="143"/>
      <c r="AB310" s="143"/>
      <c r="BT310" s="29"/>
      <c r="BU310" s="7"/>
      <c r="BV310" s="7"/>
      <c r="BW310" s="7"/>
      <c r="BX310" s="7"/>
      <c r="BY310" s="7"/>
    </row>
    <row r="311" spans="3:77" ht="15" customHeight="1" x14ac:dyDescent="0.2">
      <c r="C311" s="4"/>
      <c r="W311" s="12" t="s">
        <v>62</v>
      </c>
      <c r="X311" s="143">
        <f>((b.s-tb.s)*H.bs*L.bf/2)*1000</f>
        <v>448.50928091809925</v>
      </c>
      <c r="Y311" s="143"/>
      <c r="Z311" s="143"/>
      <c r="AA311" s="143"/>
      <c r="AB311" s="143"/>
      <c r="BT311" s="29"/>
      <c r="BU311" s="7"/>
      <c r="BV311" s="7"/>
      <c r="BW311" s="7"/>
      <c r="BX311" s="7"/>
      <c r="BY311" s="7"/>
    </row>
    <row r="312" spans="3:77" ht="15" customHeight="1" x14ac:dyDescent="0.2">
      <c r="C312" s="4"/>
      <c r="W312" s="12" t="s">
        <v>63</v>
      </c>
      <c r="X312" s="143">
        <f>(tb.s*H.bs*(H.bs*TAN(RADIANS(β)))*2/2)*1000</f>
        <v>81.431503411894809</v>
      </c>
      <c r="Y312" s="143"/>
      <c r="Z312" s="143"/>
      <c r="AA312" s="143"/>
      <c r="AB312" s="143"/>
      <c r="BT312" s="29"/>
      <c r="BU312" s="7"/>
      <c r="BV312" s="7"/>
      <c r="BW312" s="7"/>
      <c r="BX312" s="7"/>
      <c r="BY312" s="7"/>
    </row>
    <row r="313" spans="3:77" ht="15" customHeight="1" x14ac:dyDescent="0.2">
      <c r="C313" s="4"/>
      <c r="W313" s="12" t="s">
        <v>64</v>
      </c>
      <c r="X313" s="143">
        <f>((b.s-tb.s)*(H.bs*(H.bs*TAN(RADIANS(β))))*2/6)*1000</f>
        <v>1.6457881994489509</v>
      </c>
      <c r="Y313" s="143"/>
      <c r="Z313" s="143"/>
      <c r="AA313" s="143"/>
      <c r="AB313" s="143"/>
      <c r="BT313" s="29"/>
      <c r="BU313" s="7"/>
      <c r="BV313" s="7"/>
      <c r="BW313" s="7"/>
      <c r="BX313" s="7"/>
      <c r="BY313" s="7"/>
    </row>
    <row r="314" spans="3:77" ht="15" customHeight="1" x14ac:dyDescent="0.25">
      <c r="C314" s="4"/>
      <c r="W314" s="13" t="s">
        <v>401</v>
      </c>
      <c r="X314" s="144">
        <f>((BS.F11)*(H.bs/2)+(BS.F12)*(H.bs/3)+BS.F13*H.bs*(2/3)+BS.F14*H.bs/2)/(BS.F11+BS.F12+BS.F13+BS.F14)</f>
        <v>7.5591637987235755E-2</v>
      </c>
      <c r="Y314" s="144"/>
      <c r="Z314" s="144"/>
      <c r="AA314" s="144"/>
      <c r="AB314" s="144"/>
      <c r="BT314" s="29"/>
      <c r="BU314" s="7"/>
      <c r="BV314" s="7"/>
      <c r="BW314" s="7"/>
      <c r="BX314" s="7"/>
      <c r="BY314" s="7"/>
    </row>
    <row r="315" spans="3:77" ht="15" customHeight="1" x14ac:dyDescent="0.2">
      <c r="C315" s="4"/>
      <c r="W315" s="12"/>
      <c r="AA315" s="22"/>
      <c r="BT315" s="29"/>
      <c r="BU315" s="7"/>
      <c r="BV315" s="7"/>
      <c r="BW315" s="7"/>
      <c r="BX315" s="7"/>
      <c r="BY315" s="7"/>
    </row>
    <row r="316" spans="3:77" ht="15" customHeight="1" x14ac:dyDescent="0.2">
      <c r="C316" s="200">
        <v>5.4</v>
      </c>
      <c r="D316" s="201"/>
      <c r="E316" s="201"/>
      <c r="F316" s="201"/>
      <c r="G316" s="202" t="s">
        <v>193</v>
      </c>
      <c r="H316" s="202"/>
      <c r="I316" s="202"/>
      <c r="J316" s="202"/>
      <c r="K316" s="202"/>
      <c r="L316" s="202"/>
      <c r="M316" s="202"/>
      <c r="N316" s="202"/>
      <c r="O316" s="202"/>
      <c r="P316" s="202"/>
      <c r="Q316" s="202"/>
      <c r="R316" s="202"/>
      <c r="S316" s="202"/>
      <c r="T316" s="202"/>
      <c r="U316" s="202"/>
      <c r="V316" s="202"/>
      <c r="W316" s="202"/>
      <c r="X316" s="202"/>
      <c r="Y316" s="202"/>
      <c r="Z316" s="202"/>
      <c r="AA316" s="202"/>
      <c r="AB316" s="202"/>
      <c r="AC316" s="202"/>
      <c r="AD316" s="202"/>
      <c r="AE316" s="202"/>
      <c r="AF316" s="202"/>
      <c r="AG316" s="202"/>
      <c r="AH316" s="202"/>
      <c r="AI316" s="202"/>
      <c r="AJ316" s="202"/>
      <c r="AK316" s="202"/>
      <c r="AL316" s="202"/>
      <c r="AM316" s="202"/>
      <c r="AN316" s="202"/>
      <c r="AO316" s="202"/>
      <c r="AP316" s="202"/>
      <c r="AQ316" s="202"/>
      <c r="AR316" s="202"/>
      <c r="AS316" s="202"/>
      <c r="AT316" s="202"/>
      <c r="AU316" s="202"/>
      <c r="AV316" s="202"/>
      <c r="AW316" s="202"/>
      <c r="AX316" s="202"/>
      <c r="AY316" s="202"/>
      <c r="AZ316" s="202"/>
      <c r="BA316" s="202"/>
      <c r="BB316" s="202"/>
      <c r="BC316" s="202"/>
      <c r="BD316" s="202"/>
      <c r="BE316" s="202"/>
      <c r="BF316" s="202"/>
      <c r="BG316" s="202"/>
      <c r="BH316" s="202"/>
      <c r="BI316" s="202"/>
      <c r="BJ316" s="202"/>
      <c r="BK316" s="202"/>
      <c r="BL316" s="202"/>
      <c r="BM316" s="202"/>
      <c r="BN316" s="202"/>
      <c r="BO316" s="202"/>
      <c r="BP316" s="202"/>
      <c r="BQ316" s="202"/>
      <c r="BR316" s="202"/>
      <c r="BT316" s="29"/>
      <c r="BU316" s="7"/>
      <c r="BV316" s="7"/>
      <c r="BW316" s="7"/>
      <c r="BX316" s="7"/>
      <c r="BY316" s="7"/>
    </row>
    <row r="317" spans="3:77" ht="15" customHeight="1" x14ac:dyDescent="0.2">
      <c r="C317" s="200"/>
      <c r="D317" s="201"/>
      <c r="E317" s="201"/>
      <c r="F317" s="201"/>
      <c r="G317" s="202"/>
      <c r="H317" s="202"/>
      <c r="I317" s="202"/>
      <c r="J317" s="202"/>
      <c r="K317" s="202"/>
      <c r="L317" s="202"/>
      <c r="M317" s="202"/>
      <c r="N317" s="202"/>
      <c r="O317" s="202"/>
      <c r="P317" s="202"/>
      <c r="Q317" s="202"/>
      <c r="R317" s="202"/>
      <c r="S317" s="202"/>
      <c r="T317" s="202"/>
      <c r="U317" s="202"/>
      <c r="V317" s="202"/>
      <c r="W317" s="202"/>
      <c r="X317" s="202"/>
      <c r="Y317" s="202"/>
      <c r="Z317" s="202"/>
      <c r="AA317" s="202"/>
      <c r="AB317" s="202"/>
      <c r="AC317" s="202"/>
      <c r="AD317" s="202"/>
      <c r="AE317" s="202"/>
      <c r="AF317" s="202"/>
      <c r="AG317" s="202"/>
      <c r="AH317" s="202"/>
      <c r="AI317" s="202"/>
      <c r="AJ317" s="202"/>
      <c r="AK317" s="202"/>
      <c r="AL317" s="202"/>
      <c r="AM317" s="202"/>
      <c r="AN317" s="202"/>
      <c r="AO317" s="202"/>
      <c r="AP317" s="202"/>
      <c r="AQ317" s="202"/>
      <c r="AR317" s="202"/>
      <c r="AS317" s="202"/>
      <c r="AT317" s="202"/>
      <c r="AU317" s="202"/>
      <c r="AV317" s="202"/>
      <c r="AW317" s="202"/>
      <c r="AX317" s="202"/>
      <c r="AY317" s="202"/>
      <c r="AZ317" s="202"/>
      <c r="BA317" s="202"/>
      <c r="BB317" s="202"/>
      <c r="BC317" s="202"/>
      <c r="BD317" s="202"/>
      <c r="BE317" s="202"/>
      <c r="BF317" s="202"/>
      <c r="BG317" s="202"/>
      <c r="BH317" s="202"/>
      <c r="BI317" s="202"/>
      <c r="BJ317" s="202"/>
      <c r="BK317" s="202"/>
      <c r="BL317" s="202"/>
      <c r="BM317" s="202"/>
      <c r="BN317" s="202"/>
      <c r="BO317" s="202"/>
      <c r="BP317" s="202"/>
      <c r="BQ317" s="202"/>
      <c r="BR317" s="202"/>
      <c r="BT317" s="29"/>
      <c r="BU317" s="7"/>
      <c r="BV317" s="7"/>
      <c r="BW317" s="7"/>
      <c r="BX317" s="7"/>
      <c r="BY317" s="7"/>
    </row>
    <row r="318" spans="3:77" ht="15" customHeight="1" x14ac:dyDescent="0.2">
      <c r="C318" s="4"/>
      <c r="G318" s="136" t="s">
        <v>269</v>
      </c>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36"/>
      <c r="AK318" s="136"/>
      <c r="AL318" s="136"/>
      <c r="AM318" s="136"/>
      <c r="AN318" s="136"/>
      <c r="AO318" s="136"/>
      <c r="AP318" s="136"/>
      <c r="AQ318" s="136"/>
      <c r="AR318" s="136"/>
      <c r="AS318" s="136"/>
      <c r="AT318" s="136"/>
      <c r="AU318" s="136"/>
      <c r="AV318" s="136"/>
      <c r="AW318" s="136"/>
      <c r="AX318" s="136"/>
      <c r="AY318" s="136"/>
      <c r="AZ318" s="136"/>
      <c r="BA318" s="136"/>
      <c r="BB318" s="136"/>
      <c r="BC318" s="136"/>
      <c r="BD318" s="136"/>
      <c r="BE318" s="136"/>
      <c r="BF318" s="136"/>
      <c r="BG318" s="136"/>
      <c r="BH318" s="136"/>
      <c r="BI318" s="136"/>
      <c r="BJ318" s="136"/>
      <c r="BK318" s="136"/>
      <c r="BL318" s="136"/>
      <c r="BM318" s="136"/>
      <c r="BN318" s="136"/>
      <c r="BO318" s="136"/>
      <c r="BP318" s="136"/>
      <c r="BQ318" s="136"/>
      <c r="BR318" s="136"/>
      <c r="BT318" s="29"/>
      <c r="BU318" s="7"/>
      <c r="BV318" s="7"/>
      <c r="BW318" s="7"/>
      <c r="BX318" s="7"/>
      <c r="BY318" s="7"/>
    </row>
    <row r="319" spans="3:77" ht="15" customHeight="1" x14ac:dyDescent="0.2">
      <c r="C319" s="4"/>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36"/>
      <c r="AK319" s="136"/>
      <c r="AL319" s="136"/>
      <c r="AM319" s="136"/>
      <c r="AN319" s="136"/>
      <c r="AO319" s="136"/>
      <c r="AP319" s="136"/>
      <c r="AQ319" s="136"/>
      <c r="AR319" s="136"/>
      <c r="AS319" s="136"/>
      <c r="AT319" s="136"/>
      <c r="AU319" s="136"/>
      <c r="AV319" s="136"/>
      <c r="AW319" s="136"/>
      <c r="AX319" s="136"/>
      <c r="AY319" s="136"/>
      <c r="AZ319" s="136"/>
      <c r="BA319" s="136"/>
      <c r="BB319" s="136"/>
      <c r="BC319" s="136"/>
      <c r="BD319" s="136"/>
      <c r="BE319" s="136"/>
      <c r="BF319" s="136"/>
      <c r="BG319" s="136"/>
      <c r="BH319" s="136"/>
      <c r="BI319" s="136"/>
      <c r="BJ319" s="136"/>
      <c r="BK319" s="136"/>
      <c r="BL319" s="136"/>
      <c r="BM319" s="136"/>
      <c r="BN319" s="136"/>
      <c r="BO319" s="136"/>
      <c r="BP319" s="136"/>
      <c r="BQ319" s="136"/>
      <c r="BR319" s="136"/>
      <c r="BT319" s="29"/>
      <c r="BU319" s="7"/>
      <c r="BV319" s="7"/>
      <c r="BW319" s="7"/>
      <c r="BX319" s="7"/>
      <c r="BY319" s="7"/>
    </row>
    <row r="320" spans="3:77" ht="15" customHeight="1" x14ac:dyDescent="0.2">
      <c r="C320" s="4"/>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c r="BQ320" s="136"/>
      <c r="BR320" s="136"/>
      <c r="BT320" s="7"/>
      <c r="BU320" s="7"/>
      <c r="BV320" s="7"/>
      <c r="BW320" s="7"/>
      <c r="BX320" s="7"/>
      <c r="BY320" s="7"/>
    </row>
    <row r="321" spans="3:77" ht="15" customHeight="1" x14ac:dyDescent="0.2">
      <c r="C321" s="4"/>
      <c r="H321" s="138" t="s">
        <v>69</v>
      </c>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BK321" s="21"/>
      <c r="BL321" s="21"/>
      <c r="BM321" s="21"/>
      <c r="BN321" s="21"/>
      <c r="BO321" s="21"/>
      <c r="BP321" s="21"/>
      <c r="BQ321" s="21"/>
      <c r="BR321" s="21"/>
      <c r="BT321" s="7"/>
      <c r="BU321" s="7"/>
      <c r="BV321" s="7"/>
      <c r="BW321" s="7"/>
      <c r="BX321" s="7"/>
      <c r="BY321" s="7"/>
    </row>
    <row r="322" spans="3:77" ht="15" customHeight="1" x14ac:dyDescent="0.2">
      <c r="C322" s="4"/>
      <c r="S322" s="25"/>
      <c r="W322" s="12" t="s">
        <v>68</v>
      </c>
      <c r="X322" s="144">
        <f>CG.OFW+(L.Gz-S.h/2)*P.uv/Comb.F</f>
        <v>0.95067121803662102</v>
      </c>
      <c r="Y322" s="144"/>
      <c r="Z322" s="144"/>
      <c r="AA322" s="144"/>
      <c r="AB322" s="144"/>
      <c r="BT322" s="7"/>
      <c r="BU322" s="7"/>
      <c r="BV322" s="7"/>
      <c r="BW322" s="7"/>
      <c r="BX322" s="7"/>
      <c r="BY322" s="7"/>
    </row>
    <row r="323" spans="3:77" ht="15" customHeight="1" x14ac:dyDescent="0.2">
      <c r="C323" s="4"/>
      <c r="BT323" s="7"/>
      <c r="BU323" s="7"/>
      <c r="BV323" s="7"/>
      <c r="BW323" s="7"/>
      <c r="BX323" s="7"/>
      <c r="BY323" s="7"/>
    </row>
    <row r="324" spans="3:77" ht="15" customHeight="1" x14ac:dyDescent="0.2">
      <c r="C324" s="4"/>
      <c r="G324" s="139" t="s">
        <v>270</v>
      </c>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c r="AK324" s="139"/>
      <c r="AL324" s="139"/>
      <c r="AM324" s="139"/>
      <c r="AN324" s="139"/>
      <c r="AO324" s="139"/>
      <c r="AP324" s="139"/>
      <c r="AQ324" s="139"/>
      <c r="AR324" s="139"/>
      <c r="AS324" s="139"/>
      <c r="BT324" s="7"/>
      <c r="BU324" s="7"/>
      <c r="BV324" s="7"/>
      <c r="BW324" s="7"/>
      <c r="BX324" s="7"/>
      <c r="BY324" s="7"/>
    </row>
    <row r="325" spans="3:77" ht="15" customHeight="1" x14ac:dyDescent="0.2">
      <c r="C325" s="4"/>
      <c r="BT325" s="7"/>
      <c r="BU325" s="7"/>
      <c r="BV325" s="7"/>
      <c r="BW325" s="7"/>
      <c r="BX325" s="7"/>
      <c r="BY325" s="7"/>
    </row>
    <row r="326" spans="3:77" ht="15" customHeight="1" x14ac:dyDescent="0.25">
      <c r="C326" s="4"/>
      <c r="W326" s="12" t="s">
        <v>271</v>
      </c>
      <c r="X326" s="199">
        <f>Inputs!B43</f>
        <v>0.4572</v>
      </c>
      <c r="Y326" s="199"/>
      <c r="Z326" s="199"/>
      <c r="AA326" s="199"/>
      <c r="AB326" s="199"/>
      <c r="BT326" s="7"/>
      <c r="BU326" s="7"/>
      <c r="BV326" s="7"/>
      <c r="BW326" s="7"/>
      <c r="BX326" s="7"/>
      <c r="BY326" s="7"/>
    </row>
    <row r="327" spans="3:77" ht="15" customHeight="1" x14ac:dyDescent="0.2">
      <c r="C327" s="4"/>
      <c r="W327" s="12" t="s">
        <v>272</v>
      </c>
      <c r="X327" s="144">
        <f>c.g._spc_tendons*N.TT/(N.TT+N.BT)</f>
        <v>0.23317199999999999</v>
      </c>
      <c r="Y327" s="144"/>
      <c r="Z327" s="144"/>
      <c r="AA327" s="144"/>
      <c r="AB327" s="144"/>
      <c r="BT327" s="7"/>
      <c r="BU327" s="7"/>
      <c r="BV327" s="7"/>
      <c r="BW327" s="7"/>
      <c r="BX327" s="7"/>
      <c r="BY327" s="7"/>
    </row>
    <row r="328" spans="3:77" ht="15" customHeight="1" x14ac:dyDescent="0.2">
      <c r="C328" s="4"/>
      <c r="W328" s="12" t="s">
        <v>273</v>
      </c>
      <c r="X328" s="144">
        <f>c.g._spc_tendons-c.g._bot</f>
        <v>0.224028</v>
      </c>
      <c r="Y328" s="144"/>
      <c r="Z328" s="144"/>
      <c r="AA328" s="144"/>
      <c r="AB328" s="144"/>
      <c r="BT328" s="7"/>
      <c r="BU328" s="7"/>
      <c r="BV328" s="7"/>
      <c r="BW328" s="7"/>
      <c r="BX328" s="7"/>
      <c r="BY328" s="7"/>
    </row>
    <row r="329" spans="3:77" ht="15" customHeight="1" x14ac:dyDescent="0.2">
      <c r="C329" s="4"/>
      <c r="X329" s="14"/>
      <c r="Y329" s="14"/>
      <c r="Z329" s="14"/>
      <c r="BT329" s="7"/>
      <c r="BU329" s="7"/>
      <c r="BV329" s="7"/>
      <c r="BW329" s="7"/>
      <c r="BX329" s="7"/>
      <c r="BY329" s="7"/>
    </row>
    <row r="330" spans="3:77" ht="15" customHeight="1" x14ac:dyDescent="0.2">
      <c r="C330" s="4"/>
      <c r="H330" s="138" t="s">
        <v>71</v>
      </c>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BT330" s="7"/>
      <c r="BU330" s="7"/>
      <c r="BV330" s="7"/>
      <c r="BW330" s="7"/>
      <c r="BX330" s="7"/>
      <c r="BY330" s="7"/>
    </row>
    <row r="331" spans="3:77" ht="15" customHeight="1" x14ac:dyDescent="0.2">
      <c r="C331" s="4"/>
      <c r="S331" s="25"/>
      <c r="W331" s="12" t="s">
        <v>68</v>
      </c>
      <c r="X331" s="144">
        <f>S.h/2+L.b*TAN(RADIANS(α))+c.g._top*COS(RADIANS(α))</f>
        <v>1.0820945178737666</v>
      </c>
      <c r="Y331" s="144"/>
      <c r="Z331" s="144"/>
      <c r="AA331" s="144"/>
      <c r="AB331" s="144"/>
      <c r="BT331" s="7"/>
      <c r="BU331" s="7"/>
      <c r="BV331" s="7"/>
      <c r="BW331" s="7"/>
      <c r="BX331" s="7"/>
      <c r="BY331" s="7"/>
    </row>
    <row r="332" spans="3:77" ht="15" customHeight="1" x14ac:dyDescent="0.2">
      <c r="C332" s="4"/>
      <c r="W332" s="12" t="s">
        <v>70</v>
      </c>
      <c r="X332" s="144">
        <f>c.g._top*SIN(RADIANS(α))</f>
        <v>1.3171134263827312E-2</v>
      </c>
      <c r="Y332" s="144"/>
      <c r="Z332" s="144"/>
      <c r="AA332" s="144"/>
      <c r="AB332" s="144"/>
      <c r="BT332" s="7"/>
      <c r="BU332" s="7"/>
      <c r="BV332" s="7"/>
      <c r="BW332" s="7"/>
      <c r="BX332" s="7"/>
      <c r="BY332" s="7"/>
    </row>
    <row r="333" spans="3:77" ht="15" customHeight="1" x14ac:dyDescent="0.2">
      <c r="C333" s="4"/>
      <c r="W333" s="12"/>
      <c r="X333" s="57"/>
      <c r="Y333" s="57"/>
      <c r="Z333" s="57"/>
      <c r="AA333" s="57"/>
      <c r="AB333" s="57"/>
      <c r="BT333" s="7"/>
      <c r="BU333" s="7"/>
      <c r="BV333" s="7"/>
      <c r="BW333" s="7"/>
      <c r="BX333" s="7"/>
      <c r="BY333" s="7"/>
    </row>
    <row r="334" spans="3:77" ht="15" customHeight="1" x14ac:dyDescent="0.2">
      <c r="C334" s="4"/>
      <c r="H334" s="138" t="s">
        <v>72</v>
      </c>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BT334" s="7"/>
      <c r="BU334" s="7"/>
      <c r="BV334" s="7"/>
      <c r="BW334" s="7"/>
      <c r="BX334" s="7"/>
      <c r="BY334" s="7"/>
    </row>
    <row r="335" spans="3:77" ht="15" customHeight="1" x14ac:dyDescent="0.2">
      <c r="C335" s="4"/>
      <c r="S335" s="25"/>
      <c r="W335" s="12" t="s">
        <v>68</v>
      </c>
      <c r="X335" s="144">
        <f>S.h/2+L.b*TAN(RADIANS(α))-c.g._bot*COS(RADIANS(α))</f>
        <v>0.62568536720719736</v>
      </c>
      <c r="Y335" s="144"/>
      <c r="Z335" s="144"/>
      <c r="AA335" s="144"/>
      <c r="AB335" s="144"/>
      <c r="AU335" s="142" t="str">
        <f>"Figure "&amp;Inputs!$B$3&amp;"-6:  Strut-and-Tie Model Definition"</f>
        <v>Figure C.1-6:  Strut-and-Tie Model Definition</v>
      </c>
      <c r="AV335" s="142"/>
      <c r="AW335" s="142"/>
      <c r="AX335" s="142"/>
      <c r="AY335" s="142"/>
      <c r="AZ335" s="142"/>
      <c r="BA335" s="142"/>
      <c r="BB335" s="142"/>
      <c r="BC335" s="142"/>
      <c r="BD335" s="142"/>
      <c r="BE335" s="142"/>
      <c r="BF335" s="142"/>
      <c r="BG335" s="142"/>
      <c r="BH335" s="142"/>
      <c r="BI335" s="142"/>
      <c r="BJ335" s="142"/>
      <c r="BK335" s="142"/>
      <c r="BL335" s="142"/>
      <c r="BM335" s="142"/>
      <c r="BN335" s="142"/>
      <c r="BO335" s="142"/>
      <c r="BP335" s="142"/>
      <c r="BQ335" s="142"/>
      <c r="BR335" s="142"/>
      <c r="BS335" s="142"/>
      <c r="BT335" s="7"/>
      <c r="BU335" s="7"/>
      <c r="BV335" s="7"/>
      <c r="BW335" s="7"/>
      <c r="BX335" s="7"/>
      <c r="BY335" s="7"/>
    </row>
    <row r="336" spans="3:77" ht="15" customHeight="1" x14ac:dyDescent="0.2">
      <c r="C336" s="4"/>
      <c r="W336" s="12" t="s">
        <v>70</v>
      </c>
      <c r="X336" s="144">
        <f>-c.g._bot*SIN(RADIANS(α))</f>
        <v>-1.3708731580718222E-2</v>
      </c>
      <c r="Y336" s="144"/>
      <c r="Z336" s="144"/>
      <c r="AA336" s="144"/>
      <c r="AB336" s="144"/>
      <c r="BT336" s="7"/>
      <c r="BU336" s="7"/>
      <c r="BV336" s="7"/>
      <c r="BW336" s="7"/>
      <c r="BX336" s="7"/>
      <c r="BY336" s="7"/>
    </row>
    <row r="337" spans="3:77" ht="15" customHeight="1" x14ac:dyDescent="0.2">
      <c r="C337" s="4"/>
      <c r="W337" s="12"/>
      <c r="BT337" s="7"/>
      <c r="BU337" s="7"/>
      <c r="BV337" s="7"/>
      <c r="BW337" s="7"/>
      <c r="BX337" s="7"/>
      <c r="BY337" s="7"/>
    </row>
    <row r="338" spans="3:77" ht="15" customHeight="1" x14ac:dyDescent="0.2">
      <c r="C338" s="55"/>
      <c r="W338" s="12"/>
      <c r="BT338" s="7"/>
      <c r="BU338" s="7"/>
      <c r="BV338" s="7"/>
      <c r="BW338" s="7"/>
      <c r="BX338" s="7"/>
      <c r="BY338" s="7"/>
    </row>
    <row r="339" spans="3:77" ht="15" customHeight="1" x14ac:dyDescent="0.2">
      <c r="C339" s="55"/>
      <c r="W339" s="12"/>
      <c r="BT339" s="7"/>
      <c r="BU339" s="7"/>
      <c r="BV339" s="7"/>
      <c r="BW339" s="7"/>
      <c r="BX339" s="7"/>
      <c r="BY339" s="7"/>
    </row>
    <row r="340" spans="3:77" ht="15" customHeight="1" x14ac:dyDescent="0.2">
      <c r="C340" s="55"/>
      <c r="W340" s="12"/>
      <c r="BT340" s="7"/>
      <c r="BU340" s="7"/>
      <c r="BV340" s="7"/>
      <c r="BW340" s="7"/>
      <c r="BX340" s="7"/>
      <c r="BY340" s="7"/>
    </row>
    <row r="341" spans="3:77" ht="15" customHeight="1" x14ac:dyDescent="0.2">
      <c r="C341" s="55"/>
      <c r="W341" s="12"/>
      <c r="BT341" s="7"/>
      <c r="BU341" s="7"/>
      <c r="BV341" s="7"/>
      <c r="BW341" s="7"/>
      <c r="BX341" s="7"/>
      <c r="BY341" s="7"/>
    </row>
    <row r="342" spans="3:77" ht="15" customHeight="1" x14ac:dyDescent="0.2">
      <c r="C342" s="55"/>
      <c r="W342" s="12"/>
      <c r="BT342" s="7"/>
      <c r="BU342" s="7"/>
      <c r="BV342" s="7"/>
      <c r="BW342" s="7"/>
      <c r="BX342" s="7"/>
      <c r="BY342" s="7"/>
    </row>
    <row r="343" spans="3:77" ht="15" customHeight="1" x14ac:dyDescent="0.2">
      <c r="C343" s="55"/>
      <c r="W343" s="12"/>
      <c r="BT343" s="7"/>
      <c r="BU343" s="7"/>
      <c r="BV343" s="7"/>
      <c r="BW343" s="7"/>
      <c r="BX343" s="7"/>
      <c r="BY343" s="7"/>
    </row>
    <row r="344" spans="3:77" ht="15" customHeight="1" x14ac:dyDescent="0.2">
      <c r="C344" s="55"/>
      <c r="W344" s="12"/>
      <c r="BT344" s="7"/>
      <c r="BU344" s="7"/>
      <c r="BV344" s="7"/>
      <c r="BW344" s="7"/>
      <c r="BX344" s="7"/>
      <c r="BY344" s="7"/>
    </row>
    <row r="345" spans="3:77" ht="15" customHeight="1" x14ac:dyDescent="0.2">
      <c r="C345" s="55"/>
      <c r="W345" s="12"/>
      <c r="BT345" s="7"/>
      <c r="BU345" s="7"/>
      <c r="BV345" s="7"/>
      <c r="BW345" s="7"/>
      <c r="BX345" s="7"/>
      <c r="BY345" s="7"/>
    </row>
    <row r="346" spans="3:77" ht="15" customHeight="1" x14ac:dyDescent="0.2">
      <c r="C346" s="55"/>
      <c r="W346" s="12"/>
      <c r="BT346" s="7"/>
      <c r="BU346" s="7"/>
      <c r="BV346" s="7"/>
      <c r="BW346" s="7"/>
      <c r="BX346" s="7"/>
      <c r="BY346" s="7"/>
    </row>
    <row r="347" spans="3:77" ht="15" customHeight="1" x14ac:dyDescent="0.2">
      <c r="C347" s="55"/>
      <c r="W347" s="12"/>
      <c r="BT347" s="7"/>
      <c r="BU347" s="7"/>
      <c r="BV347" s="7"/>
      <c r="BW347" s="7"/>
      <c r="BX347" s="7"/>
      <c r="BY347" s="7"/>
    </row>
    <row r="348" spans="3:77" ht="15" customHeight="1" x14ac:dyDescent="0.2">
      <c r="C348" s="55"/>
      <c r="W348" s="12"/>
      <c r="BT348" s="7"/>
      <c r="BU348" s="7"/>
      <c r="BV348" s="7"/>
      <c r="BW348" s="7"/>
      <c r="BX348" s="7"/>
      <c r="BY348" s="7"/>
    </row>
    <row r="349" spans="3:77" ht="15" customHeight="1" x14ac:dyDescent="0.2">
      <c r="C349" s="55"/>
      <c r="W349" s="12"/>
      <c r="BT349" s="7"/>
      <c r="BU349" s="7"/>
      <c r="BV349" s="7"/>
      <c r="BW349" s="7"/>
      <c r="BX349" s="7"/>
      <c r="BY349" s="7"/>
    </row>
    <row r="350" spans="3:77" ht="15" customHeight="1" x14ac:dyDescent="0.2">
      <c r="C350" s="55"/>
      <c r="W350" s="12"/>
      <c r="BT350" s="7"/>
      <c r="BU350" s="7"/>
      <c r="BV350" s="7"/>
      <c r="BW350" s="7"/>
      <c r="BX350" s="7"/>
      <c r="BY350" s="7"/>
    </row>
    <row r="351" spans="3:77" ht="15" customHeight="1" x14ac:dyDescent="0.2">
      <c r="C351" s="55"/>
      <c r="W351" s="12"/>
      <c r="BT351" s="7"/>
      <c r="BU351" s="7"/>
      <c r="BV351" s="7"/>
      <c r="BW351" s="7"/>
      <c r="BX351" s="7"/>
      <c r="BY351" s="7"/>
    </row>
    <row r="352" spans="3:77" ht="15" customHeight="1" x14ac:dyDescent="0.2">
      <c r="C352" s="55"/>
      <c r="W352" s="12"/>
      <c r="BT352" s="7"/>
      <c r="BU352" s="7"/>
      <c r="BV352" s="7"/>
      <c r="BW352" s="7"/>
      <c r="BX352" s="7"/>
      <c r="BY352" s="7"/>
    </row>
    <row r="353" spans="3:77" ht="15" customHeight="1" x14ac:dyDescent="0.2">
      <c r="C353" s="55"/>
      <c r="W353" s="12"/>
      <c r="BT353" s="7"/>
      <c r="BU353" s="7"/>
      <c r="BV353" s="7"/>
      <c r="BW353" s="7"/>
      <c r="BX353" s="7"/>
      <c r="BY353" s="7"/>
    </row>
    <row r="354" spans="3:77" ht="15" customHeight="1" x14ac:dyDescent="0.2">
      <c r="C354" s="55"/>
      <c r="W354" s="12"/>
      <c r="BT354" s="7"/>
      <c r="BU354" s="7"/>
      <c r="BV354" s="7"/>
      <c r="BW354" s="7"/>
      <c r="BX354" s="7"/>
      <c r="BY354" s="7"/>
    </row>
    <row r="355" spans="3:77" ht="15" customHeight="1" x14ac:dyDescent="0.2">
      <c r="C355" s="55"/>
      <c r="W355" s="12"/>
      <c r="BT355" s="7"/>
      <c r="BU355" s="7"/>
      <c r="BV355" s="7"/>
      <c r="BW355" s="7"/>
      <c r="BX355" s="7"/>
      <c r="BY355" s="7"/>
    </row>
    <row r="356" spans="3:77" ht="15" customHeight="1" x14ac:dyDescent="0.2">
      <c r="C356" s="55"/>
      <c r="W356" s="12"/>
      <c r="BT356" s="7"/>
      <c r="BU356" s="7"/>
      <c r="BV356" s="7"/>
      <c r="BW356" s="7"/>
      <c r="BX356" s="7"/>
      <c r="BY356" s="7"/>
    </row>
    <row r="357" spans="3:77" ht="15" customHeight="1" x14ac:dyDescent="0.2">
      <c r="C357" s="55"/>
      <c r="W357" s="12"/>
      <c r="BT357" s="7"/>
      <c r="BU357" s="7"/>
      <c r="BV357" s="7"/>
      <c r="BW357" s="7"/>
      <c r="BX357" s="7"/>
      <c r="BY357" s="7"/>
    </row>
    <row r="358" spans="3:77" ht="15" customHeight="1" x14ac:dyDescent="0.2">
      <c r="C358" s="55"/>
      <c r="W358" s="12"/>
      <c r="BT358" s="7"/>
      <c r="BU358" s="7"/>
      <c r="BV358" s="7"/>
      <c r="BW358" s="7"/>
      <c r="BX358" s="7"/>
      <c r="BY358" s="7"/>
    </row>
    <row r="359" spans="3:77" ht="15" customHeight="1" x14ac:dyDescent="0.2">
      <c r="C359" s="55"/>
      <c r="W359" s="12"/>
      <c r="BT359" s="7"/>
      <c r="BU359" s="7"/>
      <c r="BV359" s="7"/>
      <c r="BW359" s="7"/>
      <c r="BX359" s="7"/>
      <c r="BY359" s="7"/>
    </row>
    <row r="360" spans="3:77" ht="15" customHeight="1" x14ac:dyDescent="0.2">
      <c r="C360" s="140">
        <v>5.5</v>
      </c>
      <c r="D360" s="141"/>
      <c r="E360" s="141"/>
      <c r="F360" s="141"/>
      <c r="G360" s="148" t="s">
        <v>194</v>
      </c>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c r="AD360" s="148"/>
      <c r="AE360" s="148"/>
      <c r="AF360" s="148"/>
      <c r="AG360" s="148"/>
      <c r="AH360" s="148"/>
      <c r="AI360" s="148"/>
      <c r="AJ360" s="148"/>
      <c r="AK360" s="148"/>
      <c r="AL360" s="148"/>
      <c r="AM360" s="148"/>
      <c r="AN360" s="148"/>
      <c r="AO360" s="148"/>
      <c r="AP360" s="148"/>
      <c r="AQ360" s="148"/>
      <c r="AR360" s="148"/>
      <c r="AS360" s="148"/>
      <c r="AT360" s="148"/>
      <c r="AU360" s="148"/>
      <c r="AV360" s="148"/>
      <c r="AW360" s="148"/>
      <c r="AX360" s="148"/>
      <c r="AY360" s="148"/>
      <c r="AZ360" s="148"/>
      <c r="BA360" s="148"/>
      <c r="BB360" s="148"/>
      <c r="BC360" s="148"/>
      <c r="BD360" s="148"/>
      <c r="BE360" s="148"/>
      <c r="BF360" s="148"/>
      <c r="BG360" s="148"/>
      <c r="BH360" s="148"/>
      <c r="BI360" s="148"/>
      <c r="BJ360" s="148"/>
      <c r="BK360" s="148"/>
      <c r="BL360" s="148"/>
      <c r="BM360" s="148"/>
      <c r="BN360" s="148"/>
      <c r="BO360" s="148"/>
      <c r="BP360" s="148"/>
      <c r="BQ360" s="148"/>
      <c r="BR360" s="148"/>
      <c r="BT360" s="7"/>
      <c r="BU360" s="7"/>
      <c r="BV360" s="7"/>
      <c r="BW360" s="7"/>
      <c r="BX360" s="7"/>
      <c r="BY360" s="7"/>
    </row>
    <row r="361" spans="3:77" ht="15" customHeight="1" x14ac:dyDescent="0.2">
      <c r="C361" s="140"/>
      <c r="D361" s="141"/>
      <c r="E361" s="141"/>
      <c r="F361" s="141"/>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c r="AD361" s="148"/>
      <c r="AE361" s="148"/>
      <c r="AF361" s="148"/>
      <c r="AG361" s="148"/>
      <c r="AH361" s="148"/>
      <c r="AI361" s="148"/>
      <c r="AJ361" s="148"/>
      <c r="AK361" s="148"/>
      <c r="AL361" s="148"/>
      <c r="AM361" s="148"/>
      <c r="AN361" s="148"/>
      <c r="AO361" s="148"/>
      <c r="AP361" s="148"/>
      <c r="AQ361" s="148"/>
      <c r="AR361" s="148"/>
      <c r="AS361" s="148"/>
      <c r="AT361" s="148"/>
      <c r="AU361" s="148"/>
      <c r="AV361" s="148"/>
      <c r="AW361" s="148"/>
      <c r="AX361" s="148"/>
      <c r="AY361" s="148"/>
      <c r="AZ361" s="148"/>
      <c r="BA361" s="148"/>
      <c r="BB361" s="148"/>
      <c r="BC361" s="148"/>
      <c r="BD361" s="148"/>
      <c r="BE361" s="148"/>
      <c r="BF361" s="148"/>
      <c r="BG361" s="148"/>
      <c r="BH361" s="148"/>
      <c r="BI361" s="148"/>
      <c r="BJ361" s="148"/>
      <c r="BK361" s="148"/>
      <c r="BL361" s="148"/>
      <c r="BM361" s="148"/>
      <c r="BN361" s="148"/>
      <c r="BO361" s="148"/>
      <c r="BP361" s="148"/>
      <c r="BQ361" s="148"/>
      <c r="BR361" s="148"/>
      <c r="BT361" s="7"/>
      <c r="BU361" s="7"/>
      <c r="BV361" s="7"/>
      <c r="BW361" s="7"/>
      <c r="BX361" s="7"/>
      <c r="BY361" s="7"/>
    </row>
    <row r="362" spans="3:77" ht="15" customHeight="1" x14ac:dyDescent="0.2">
      <c r="C362" s="4"/>
      <c r="G362" s="136" t="s">
        <v>195</v>
      </c>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c r="AH362" s="137"/>
      <c r="AI362" s="137"/>
      <c r="AJ362" s="137"/>
      <c r="AK362" s="137"/>
      <c r="AL362" s="137"/>
      <c r="AM362" s="137"/>
      <c r="AN362" s="137"/>
      <c r="AO362" s="137"/>
      <c r="AP362" s="137"/>
      <c r="AQ362" s="137"/>
      <c r="AR362" s="137"/>
      <c r="AS362" s="137"/>
      <c r="AT362" s="137"/>
      <c r="AU362" s="137"/>
      <c r="AV362" s="137"/>
      <c r="AW362" s="137"/>
      <c r="AX362" s="137"/>
      <c r="AY362" s="137"/>
      <c r="AZ362" s="137"/>
      <c r="BA362" s="137"/>
      <c r="BB362" s="137"/>
      <c r="BC362" s="137"/>
      <c r="BD362" s="137"/>
      <c r="BE362" s="137"/>
      <c r="BF362" s="137"/>
      <c r="BG362" s="137"/>
      <c r="BH362" s="137"/>
      <c r="BI362" s="137"/>
      <c r="BJ362" s="137"/>
      <c r="BK362" s="137"/>
      <c r="BL362" s="137"/>
      <c r="BM362" s="137"/>
      <c r="BN362" s="137"/>
      <c r="BO362" s="137"/>
      <c r="BP362" s="137"/>
      <c r="BQ362" s="137"/>
      <c r="BR362" s="137"/>
      <c r="BT362" s="7"/>
      <c r="BU362" s="7"/>
      <c r="BV362" s="7"/>
      <c r="BW362" s="7"/>
      <c r="BX362" s="7"/>
      <c r="BY362" s="7"/>
    </row>
    <row r="363" spans="3:77" ht="15" customHeight="1" x14ac:dyDescent="0.2">
      <c r="C363" s="4"/>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c r="AH363" s="137"/>
      <c r="AI363" s="137"/>
      <c r="AJ363" s="137"/>
      <c r="AK363" s="137"/>
      <c r="AL363" s="137"/>
      <c r="AM363" s="137"/>
      <c r="AN363" s="137"/>
      <c r="AO363" s="137"/>
      <c r="AP363" s="137"/>
      <c r="AQ363" s="137"/>
      <c r="AR363" s="137"/>
      <c r="AS363" s="137"/>
      <c r="AT363" s="137"/>
      <c r="AU363" s="137"/>
      <c r="AV363" s="137"/>
      <c r="AW363" s="137"/>
      <c r="AX363" s="137"/>
      <c r="AY363" s="137"/>
      <c r="AZ363" s="137"/>
      <c r="BA363" s="137"/>
      <c r="BB363" s="137"/>
      <c r="BC363" s="137"/>
      <c r="BD363" s="137"/>
      <c r="BE363" s="137"/>
      <c r="BF363" s="137"/>
      <c r="BG363" s="137"/>
      <c r="BH363" s="137"/>
      <c r="BI363" s="137"/>
      <c r="BJ363" s="137"/>
      <c r="BK363" s="137"/>
      <c r="BL363" s="137"/>
      <c r="BM363" s="137"/>
      <c r="BN363" s="137"/>
      <c r="BO363" s="137"/>
      <c r="BP363" s="137"/>
      <c r="BQ363" s="137"/>
      <c r="BR363" s="137"/>
      <c r="BT363" s="7"/>
      <c r="BU363" s="7"/>
      <c r="BV363" s="7"/>
      <c r="BW363" s="7"/>
      <c r="BX363" s="7"/>
      <c r="BY363" s="7"/>
    </row>
    <row r="364" spans="3:77" ht="15" customHeight="1" x14ac:dyDescent="0.2">
      <c r="C364" s="4"/>
      <c r="BT364" s="7"/>
      <c r="BU364" s="7"/>
      <c r="BV364" s="7"/>
      <c r="BW364" s="7"/>
      <c r="BX364" s="7"/>
      <c r="BY364" s="7"/>
    </row>
    <row r="365" spans="3:77" ht="15" customHeight="1" x14ac:dyDescent="0.2">
      <c r="C365" s="4"/>
      <c r="W365" s="104" t="s">
        <v>73</v>
      </c>
      <c r="X365" s="143">
        <f>(TS.F1+TS.F2)</f>
        <v>10644.866699694745</v>
      </c>
      <c r="Y365" s="143"/>
      <c r="Z365" s="143"/>
      <c r="AA365" s="143"/>
      <c r="AB365" s="143"/>
      <c r="BT365" s="7"/>
      <c r="BU365" s="7"/>
      <c r="BV365" s="7"/>
      <c r="BW365" s="7"/>
      <c r="BX365" s="7"/>
      <c r="BY365" s="7"/>
    </row>
    <row r="366" spans="3:77" ht="15" customHeight="1" x14ac:dyDescent="0.2">
      <c r="C366" s="4"/>
      <c r="O366" s="12"/>
      <c r="W366" s="104" t="s">
        <v>74</v>
      </c>
      <c r="X366" s="143">
        <f>SQRT(Comb.F^2+P.uv^2)</f>
        <v>22290.958160732916</v>
      </c>
      <c r="Y366" s="143"/>
      <c r="Z366" s="143"/>
      <c r="AA366" s="143"/>
      <c r="AB366" s="143"/>
      <c r="BT366" s="7"/>
      <c r="BU366" s="7"/>
      <c r="BV366" s="7"/>
      <c r="BW366" s="7"/>
      <c r="BX366" s="7"/>
      <c r="BY366" s="7"/>
    </row>
    <row r="367" spans="3:77" ht="15" customHeight="1" x14ac:dyDescent="0.2">
      <c r="C367" s="4"/>
      <c r="W367" s="104" t="s">
        <v>75</v>
      </c>
      <c r="X367" s="143">
        <f>BS.F11+BS.F12+BS.F13+BS.F14</f>
        <v>15326.031791980078</v>
      </c>
      <c r="Y367" s="143"/>
      <c r="Z367" s="143"/>
      <c r="AA367" s="143"/>
      <c r="AB367" s="143"/>
      <c r="BT367" s="7"/>
      <c r="BU367" s="7"/>
      <c r="BV367" s="7"/>
      <c r="BW367" s="7"/>
      <c r="BX367" s="7"/>
      <c r="BY367" s="7"/>
    </row>
    <row r="368" spans="3:77" ht="15" customHeight="1" x14ac:dyDescent="0.2">
      <c r="C368" s="4"/>
      <c r="G368" s="136" t="s">
        <v>196</v>
      </c>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c r="AH368" s="137"/>
      <c r="AI368" s="137"/>
      <c r="AJ368" s="137"/>
      <c r="AK368" s="137"/>
      <c r="AL368" s="137"/>
      <c r="AM368" s="137"/>
      <c r="AN368" s="137"/>
      <c r="AO368" s="137"/>
      <c r="AP368" s="137"/>
      <c r="AQ368" s="137"/>
      <c r="AR368" s="137"/>
      <c r="AS368" s="137"/>
      <c r="AT368" s="137"/>
      <c r="AU368" s="137"/>
      <c r="AV368" s="137"/>
      <c r="AW368" s="137"/>
      <c r="AX368" s="137"/>
      <c r="AY368" s="137"/>
      <c r="AZ368" s="137"/>
      <c r="BA368" s="137"/>
      <c r="BB368" s="137"/>
      <c r="BC368" s="137"/>
      <c r="BD368" s="137"/>
      <c r="BE368" s="137"/>
      <c r="BF368" s="137"/>
      <c r="BG368" s="137"/>
      <c r="BH368" s="137"/>
      <c r="BI368" s="137"/>
      <c r="BJ368" s="137"/>
      <c r="BK368" s="137"/>
      <c r="BL368" s="137"/>
      <c r="BM368" s="137"/>
      <c r="BN368" s="137"/>
      <c r="BO368" s="137"/>
      <c r="BP368" s="137"/>
      <c r="BQ368" s="137"/>
      <c r="BR368" s="137"/>
      <c r="BT368" s="7"/>
      <c r="BU368" s="7"/>
      <c r="BV368" s="7"/>
      <c r="BW368" s="7"/>
      <c r="BX368" s="7"/>
      <c r="BY368" s="7"/>
    </row>
    <row r="369" spans="3:77" ht="15" customHeight="1" x14ac:dyDescent="0.2">
      <c r="C369" s="4"/>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c r="AH369" s="137"/>
      <c r="AI369" s="137"/>
      <c r="AJ369" s="137"/>
      <c r="AK369" s="137"/>
      <c r="AL369" s="137"/>
      <c r="AM369" s="137"/>
      <c r="AN369" s="137"/>
      <c r="AO369" s="137"/>
      <c r="AP369" s="137"/>
      <c r="AQ369" s="137"/>
      <c r="AR369" s="137"/>
      <c r="AS369" s="137"/>
      <c r="AT369" s="137"/>
      <c r="AU369" s="137"/>
      <c r="AV369" s="137"/>
      <c r="AW369" s="137"/>
      <c r="AX369" s="137"/>
      <c r="AY369" s="137"/>
      <c r="AZ369" s="137"/>
      <c r="BA369" s="137"/>
      <c r="BB369" s="137"/>
      <c r="BC369" s="137"/>
      <c r="BD369" s="137"/>
      <c r="BE369" s="137"/>
      <c r="BF369" s="137"/>
      <c r="BG369" s="137"/>
      <c r="BH369" s="137"/>
      <c r="BI369" s="137"/>
      <c r="BJ369" s="137"/>
      <c r="BK369" s="137"/>
      <c r="BL369" s="137"/>
      <c r="BM369" s="137"/>
      <c r="BN369" s="137"/>
      <c r="BO369" s="137"/>
      <c r="BP369" s="137"/>
      <c r="BQ369" s="137"/>
      <c r="BR369" s="137"/>
      <c r="BT369" s="7"/>
      <c r="BU369" s="7"/>
      <c r="BV369" s="7"/>
      <c r="BW369" s="7"/>
      <c r="BX369" s="7"/>
      <c r="BY369" s="7"/>
    </row>
    <row r="370" spans="3:77" ht="15" customHeight="1" x14ac:dyDescent="0.2">
      <c r="C370" s="4"/>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c r="BN370" s="59"/>
      <c r="BO370" s="59"/>
      <c r="BP370" s="59"/>
      <c r="BQ370" s="59"/>
      <c r="BR370" s="59"/>
      <c r="BT370" s="7"/>
      <c r="BU370" s="7"/>
      <c r="BV370" s="7"/>
      <c r="BW370" s="7"/>
      <c r="BX370" s="7"/>
      <c r="BY370" s="7"/>
    </row>
    <row r="371" spans="3:77" ht="15" customHeight="1" x14ac:dyDescent="0.2">
      <c r="C371" s="4"/>
      <c r="E371" s="59"/>
      <c r="F371" s="59"/>
      <c r="G371" s="59"/>
      <c r="H371" s="59"/>
      <c r="L371" s="59"/>
      <c r="M371" s="59"/>
      <c r="N371" s="59"/>
      <c r="O371" s="59"/>
      <c r="P371" s="59"/>
      <c r="Q371" s="59"/>
      <c r="R371" s="59"/>
      <c r="T371" s="62"/>
      <c r="U371" s="59"/>
      <c r="V371" s="59"/>
      <c r="W371" s="59"/>
      <c r="X371" s="59"/>
      <c r="Y371" s="59"/>
      <c r="Z371" s="59"/>
      <c r="AA371" s="59"/>
      <c r="AB371" s="59"/>
      <c r="AC371" s="59"/>
      <c r="AD371" s="63"/>
      <c r="AF371" s="59"/>
      <c r="AG371" s="59"/>
      <c r="AH371" s="59"/>
      <c r="AI371" s="59"/>
      <c r="AJ371" s="59"/>
      <c r="AK371" s="59"/>
      <c r="AL371" s="59"/>
      <c r="AM371" s="59"/>
      <c r="AN371" s="59"/>
      <c r="AO371" s="59"/>
      <c r="AP371" s="60"/>
      <c r="AQ371" s="59"/>
      <c r="AR371" s="59"/>
      <c r="AS371" s="59"/>
      <c r="AT371" s="59"/>
      <c r="AU371" s="59"/>
      <c r="AV371" s="59"/>
      <c r="AW371" s="59"/>
      <c r="AX371" s="59"/>
      <c r="AY371" s="59"/>
      <c r="AZ371" s="61"/>
      <c r="BA371" s="59"/>
      <c r="BB371" s="59"/>
      <c r="BC371" s="59"/>
      <c r="BD371" s="59"/>
      <c r="BE371" s="59"/>
      <c r="BF371" s="59"/>
      <c r="BG371" s="59"/>
      <c r="BH371" s="59"/>
      <c r="BI371" s="59"/>
      <c r="BJ371" s="59"/>
      <c r="BK371" s="59"/>
      <c r="BQ371" s="59"/>
      <c r="BR371" s="59"/>
      <c r="BT371" s="7"/>
      <c r="BU371" s="7"/>
      <c r="BV371" s="7"/>
      <c r="BW371" s="7"/>
      <c r="BX371" s="7"/>
      <c r="BY371" s="7"/>
    </row>
    <row r="372" spans="3:77" ht="15" customHeight="1" x14ac:dyDescent="0.2">
      <c r="C372" s="4"/>
      <c r="T372" s="62"/>
      <c r="AD372" s="63"/>
      <c r="AP372" s="62"/>
      <c r="AZ372" s="63"/>
      <c r="BT372" s="7"/>
      <c r="BU372" s="7"/>
      <c r="BV372" s="7"/>
      <c r="BW372" s="7"/>
      <c r="BX372" s="7"/>
      <c r="BY372" s="7"/>
    </row>
    <row r="373" spans="3:77" ht="15" customHeight="1" x14ac:dyDescent="0.2">
      <c r="C373" s="4"/>
      <c r="T373" s="62"/>
      <c r="AD373" s="63"/>
      <c r="AP373" s="62"/>
      <c r="AZ373" s="63"/>
      <c r="BT373" s="7"/>
      <c r="BU373" s="7"/>
      <c r="BV373" s="7"/>
      <c r="BW373" s="7"/>
      <c r="BX373" s="7"/>
      <c r="BY373" s="7"/>
    </row>
    <row r="374" spans="3:77" ht="15" customHeight="1" x14ac:dyDescent="0.2">
      <c r="C374" s="4"/>
      <c r="T374" s="62"/>
      <c r="AD374" s="63"/>
      <c r="AP374" s="62"/>
      <c r="AZ374" s="63"/>
      <c r="BT374" s="7"/>
      <c r="BU374" s="7"/>
      <c r="BV374" s="7"/>
      <c r="BW374" s="7"/>
      <c r="BX374" s="7"/>
      <c r="BY374" s="7"/>
    </row>
    <row r="375" spans="3:77" ht="15" customHeight="1" x14ac:dyDescent="0.2">
      <c r="C375" s="4"/>
      <c r="T375" s="62"/>
      <c r="AD375" s="63"/>
      <c r="AP375" s="62"/>
      <c r="AZ375" s="63"/>
      <c r="BT375" s="7"/>
      <c r="BU375" s="7"/>
      <c r="BV375" s="7"/>
      <c r="BW375" s="7"/>
      <c r="BX375" s="7"/>
      <c r="BY375" s="7"/>
    </row>
    <row r="376" spans="3:77" ht="15" customHeight="1" x14ac:dyDescent="0.2">
      <c r="C376" s="4"/>
      <c r="T376" s="62"/>
      <c r="AD376" s="63"/>
      <c r="AP376" s="62"/>
      <c r="AZ376" s="63"/>
      <c r="BT376" s="7"/>
      <c r="BU376" s="7"/>
      <c r="BV376" s="7"/>
      <c r="BW376" s="7"/>
      <c r="BX376" s="7"/>
      <c r="BY376" s="7"/>
    </row>
    <row r="377" spans="3:77" ht="15" customHeight="1" x14ac:dyDescent="0.2">
      <c r="C377" s="4"/>
      <c r="T377" s="62"/>
      <c r="AD377" s="63"/>
      <c r="AP377" s="62"/>
      <c r="AZ377" s="63"/>
      <c r="BT377" s="7"/>
      <c r="BU377" s="7"/>
      <c r="BV377" s="7"/>
      <c r="BW377" s="7"/>
      <c r="BX377" s="7"/>
      <c r="BY377" s="7"/>
    </row>
    <row r="378" spans="3:77" ht="15" customHeight="1" x14ac:dyDescent="0.2">
      <c r="C378" s="4"/>
      <c r="T378" s="62"/>
      <c r="AD378" s="63"/>
      <c r="AP378" s="62"/>
      <c r="AZ378" s="63"/>
      <c r="BT378" s="7"/>
      <c r="BU378" s="7"/>
      <c r="BV378" s="7"/>
      <c r="BW378" s="7"/>
      <c r="BX378" s="7"/>
      <c r="BY378" s="7"/>
    </row>
    <row r="379" spans="3:77" ht="15" customHeight="1" x14ac:dyDescent="0.2">
      <c r="C379" s="4"/>
      <c r="T379" s="62"/>
      <c r="AD379" s="63"/>
      <c r="AP379" s="62"/>
      <c r="AZ379" s="63"/>
      <c r="BT379" s="7"/>
      <c r="BU379" s="7"/>
      <c r="BV379" s="7"/>
      <c r="BW379" s="7"/>
      <c r="BX379" s="7"/>
      <c r="BY379" s="7"/>
    </row>
    <row r="380" spans="3:77" ht="15" customHeight="1" x14ac:dyDescent="0.2">
      <c r="C380" s="4"/>
      <c r="T380" s="62"/>
      <c r="AD380" s="63"/>
      <c r="AP380" s="62"/>
      <c r="AZ380" s="63"/>
      <c r="BT380" s="7"/>
      <c r="BU380" s="7"/>
      <c r="BV380" s="7"/>
      <c r="BW380" s="7"/>
      <c r="BX380" s="7"/>
      <c r="BY380" s="7"/>
    </row>
    <row r="381" spans="3:77" ht="15" customHeight="1" x14ac:dyDescent="0.25">
      <c r="C381" s="4"/>
      <c r="M381" s="13" t="s">
        <v>91</v>
      </c>
      <c r="N381" s="185">
        <f>DEGREES(ATAN((((CG.TS-J.7_y_Coord)/((S.h/2)-J.7_x_Coord)))))</f>
        <v>30.683858508902844</v>
      </c>
      <c r="O381" s="185"/>
      <c r="P381" s="185"/>
      <c r="Q381" s="185"/>
      <c r="R381" s="185"/>
      <c r="T381" s="62"/>
      <c r="X381" s="13" t="s">
        <v>88</v>
      </c>
      <c r="Y381" s="185">
        <f>DEGREES(ATAN((((J.8_y_Coord-CG.BS)/((S.h/2)-J.8_x_Coord)))))</f>
        <v>32.851102577952098</v>
      </c>
      <c r="Z381" s="185"/>
      <c r="AA381" s="185"/>
      <c r="AB381" s="185"/>
      <c r="AC381" s="185"/>
      <c r="AD381" s="63"/>
      <c r="AI381" s="13" t="s">
        <v>80</v>
      </c>
      <c r="AJ381" s="143">
        <f>P.uh_t</f>
        <v>24520.548377957257</v>
      </c>
      <c r="AK381" s="143"/>
      <c r="AL381" s="143"/>
      <c r="AM381" s="143"/>
      <c r="AN381" s="143"/>
      <c r="AP381" s="62"/>
      <c r="AT381" s="13" t="s">
        <v>84</v>
      </c>
      <c r="AU381" s="143">
        <f>P.uh_b</f>
        <v>23558.958245488338</v>
      </c>
      <c r="AV381" s="143"/>
      <c r="AW381" s="143"/>
      <c r="AX381" s="143"/>
      <c r="AY381" s="143"/>
      <c r="AZ381" s="63"/>
      <c r="BE381" s="12" t="s">
        <v>74</v>
      </c>
      <c r="BF381" s="143">
        <f>X366</f>
        <v>22290.958160732916</v>
      </c>
      <c r="BG381" s="143"/>
      <c r="BH381" s="143"/>
      <c r="BI381" s="143"/>
      <c r="BJ381" s="143"/>
      <c r="BT381" s="7"/>
      <c r="BU381" s="7"/>
      <c r="BV381" s="7"/>
      <c r="BW381" s="7"/>
      <c r="BX381" s="7"/>
      <c r="BY381" s="7"/>
    </row>
    <row r="382" spans="3:77" ht="15" customHeight="1" x14ac:dyDescent="0.25">
      <c r="C382" s="4"/>
      <c r="M382" s="12" t="s">
        <v>77</v>
      </c>
      <c r="N382" s="143">
        <f>X365/COS(RADIANS(N381))</f>
        <v>12377.808558382674</v>
      </c>
      <c r="O382" s="143"/>
      <c r="P382" s="143"/>
      <c r="Q382" s="143"/>
      <c r="R382" s="143"/>
      <c r="T382" s="62"/>
      <c r="X382" s="12" t="s">
        <v>76</v>
      </c>
      <c r="Y382" s="143">
        <f>X367/COS(RADIANS(Y381))</f>
        <v>18243.470812055759</v>
      </c>
      <c r="Z382" s="143"/>
      <c r="AA382" s="143"/>
      <c r="AB382" s="143"/>
      <c r="AC382" s="143"/>
      <c r="AD382" s="63"/>
      <c r="AI382" s="13" t="s">
        <v>81</v>
      </c>
      <c r="AJ382" s="143">
        <f>-P.uv_t</f>
        <v>-1444.1188347595005</v>
      </c>
      <c r="AK382" s="143"/>
      <c r="AL382" s="143"/>
      <c r="AM382" s="143"/>
      <c r="AN382" s="143"/>
      <c r="AP382" s="62"/>
      <c r="AT382" s="13" t="s">
        <v>85</v>
      </c>
      <c r="AU382" s="143">
        <f>-P.uv_b</f>
        <v>-1387.4867235924612</v>
      </c>
      <c r="AV382" s="143"/>
      <c r="AW382" s="143"/>
      <c r="AX382" s="143"/>
      <c r="AY382" s="143"/>
      <c r="AZ382" s="63"/>
      <c r="BE382" s="12" t="s">
        <v>78</v>
      </c>
      <c r="BF382" s="143">
        <f>N383</f>
        <v>-6316.4038545442372</v>
      </c>
      <c r="BG382" s="143"/>
      <c r="BH382" s="143"/>
      <c r="BI382" s="143"/>
      <c r="BJ382" s="143"/>
      <c r="BT382" s="7"/>
      <c r="BU382" s="7"/>
      <c r="BV382" s="7"/>
      <c r="BW382" s="7"/>
      <c r="BX382" s="7"/>
      <c r="BY382" s="7"/>
    </row>
    <row r="383" spans="3:77" ht="15" customHeight="1" x14ac:dyDescent="0.2">
      <c r="C383" s="4"/>
      <c r="M383" s="12" t="s">
        <v>78</v>
      </c>
      <c r="N383" s="143">
        <f>-N382*SIN(RADIANS(N381))</f>
        <v>-6316.4038545442372</v>
      </c>
      <c r="O383" s="143"/>
      <c r="P383" s="143"/>
      <c r="Q383" s="143"/>
      <c r="R383" s="143"/>
      <c r="T383" s="62"/>
      <c r="X383" s="12" t="s">
        <v>79</v>
      </c>
      <c r="Y383" s="143">
        <f>-Y382*SIN(RADIANS(Y381))</f>
        <v>-9896.3112714559611</v>
      </c>
      <c r="Z383" s="143"/>
      <c r="AA383" s="143"/>
      <c r="AB383" s="143"/>
      <c r="AC383" s="143"/>
      <c r="AD383" s="63"/>
      <c r="AI383" s="12" t="s">
        <v>77</v>
      </c>
      <c r="AJ383" s="143">
        <f>N382</f>
        <v>12377.808558382674</v>
      </c>
      <c r="AK383" s="143"/>
      <c r="AL383" s="143"/>
      <c r="AM383" s="143"/>
      <c r="AN383" s="143"/>
      <c r="AP383" s="62"/>
      <c r="AT383" s="12" t="s">
        <v>76</v>
      </c>
      <c r="AU383" s="143">
        <f>Y382</f>
        <v>18243.470812055759</v>
      </c>
      <c r="AV383" s="143"/>
      <c r="AW383" s="143"/>
      <c r="AX383" s="143"/>
      <c r="AY383" s="143"/>
      <c r="AZ383" s="63"/>
      <c r="BE383" s="12" t="s">
        <v>79</v>
      </c>
      <c r="BF383" s="143">
        <f>Y383</f>
        <v>-9896.3112714559611</v>
      </c>
      <c r="BG383" s="143"/>
      <c r="BH383" s="143"/>
      <c r="BI383" s="143"/>
      <c r="BJ383" s="143"/>
      <c r="BT383" s="7"/>
      <c r="BU383" s="7"/>
      <c r="BV383" s="7"/>
      <c r="BW383" s="7"/>
      <c r="BX383" s="7"/>
      <c r="BY383" s="7"/>
    </row>
    <row r="384" spans="3:77" ht="15" customHeight="1" x14ac:dyDescent="0.25">
      <c r="C384" s="4"/>
      <c r="T384" s="62"/>
      <c r="AD384" s="63"/>
      <c r="AI384" s="13" t="s">
        <v>91</v>
      </c>
      <c r="AJ384" s="185">
        <f>N381</f>
        <v>30.683858508902844</v>
      </c>
      <c r="AK384" s="185"/>
      <c r="AL384" s="185"/>
      <c r="AM384" s="185"/>
      <c r="AN384" s="185"/>
      <c r="AP384" s="62"/>
      <c r="AT384" s="13" t="s">
        <v>89</v>
      </c>
      <c r="AU384" s="185">
        <f>DEGREES(ATAN((((J.5_y_Coord-J.8_y_Coord)/((S.h/2)-J.8_x_Coord)))))</f>
        <v>20.880835427728073</v>
      </c>
      <c r="AV384" s="185"/>
      <c r="AW384" s="185"/>
      <c r="AX384" s="185"/>
      <c r="AY384" s="185"/>
      <c r="AZ384" s="63"/>
      <c r="BE384" s="12" t="s">
        <v>82</v>
      </c>
      <c r="BF384" s="143">
        <f>AJ387</f>
        <v>14378.545734532072</v>
      </c>
      <c r="BG384" s="143"/>
      <c r="BH384" s="143"/>
      <c r="BI384" s="143"/>
      <c r="BJ384" s="143"/>
      <c r="BT384" s="7"/>
      <c r="BU384" s="7"/>
      <c r="BV384" s="7"/>
      <c r="BW384" s="7"/>
      <c r="BX384" s="7"/>
      <c r="BY384" s="7"/>
    </row>
    <row r="385" spans="3:77" ht="15" customHeight="1" x14ac:dyDescent="0.25">
      <c r="C385" s="4"/>
      <c r="T385" s="62"/>
      <c r="AD385" s="63"/>
      <c r="AI385" s="13" t="s">
        <v>90</v>
      </c>
      <c r="AJ385" s="185">
        <f>DEGREES(ATAN((((J.7_y_Coord-J.5_y_Coord)/((S.h/2)-J.7_x_Coord)))))</f>
        <v>9.0509094577481708</v>
      </c>
      <c r="AK385" s="185"/>
      <c r="AL385" s="185"/>
      <c r="AM385" s="185"/>
      <c r="AN385" s="185"/>
      <c r="AP385" s="62"/>
      <c r="AT385" s="13" t="s">
        <v>88</v>
      </c>
      <c r="AU385" s="232">
        <f>Y381</f>
        <v>32.851102577952098</v>
      </c>
      <c r="AV385" s="232"/>
      <c r="AW385" s="232"/>
      <c r="AX385" s="232"/>
      <c r="AY385" s="232"/>
      <c r="AZ385" s="63"/>
      <c r="BE385" s="12" t="s">
        <v>86</v>
      </c>
      <c r="BF385" s="143">
        <f>AU387</f>
        <v>8465.4899870036115</v>
      </c>
      <c r="BG385" s="143"/>
      <c r="BH385" s="143"/>
      <c r="BI385" s="143"/>
      <c r="BJ385" s="143"/>
      <c r="BT385" s="7"/>
      <c r="BU385" s="7"/>
      <c r="BV385" s="7"/>
      <c r="BW385" s="7"/>
      <c r="BX385" s="7"/>
      <c r="BY385" s="7"/>
    </row>
    <row r="386" spans="3:77" ht="15" customHeight="1" x14ac:dyDescent="0.25">
      <c r="C386" s="4"/>
      <c r="T386" s="62"/>
      <c r="AD386" s="63"/>
      <c r="AI386" s="13" t="s">
        <v>87</v>
      </c>
      <c r="AJ386" s="185">
        <f>α</f>
        <v>3.3704975674964706</v>
      </c>
      <c r="AK386" s="185"/>
      <c r="AL386" s="185"/>
      <c r="AM386" s="185"/>
      <c r="AN386" s="185"/>
      <c r="AP386" s="62"/>
      <c r="AT386" s="13" t="s">
        <v>87</v>
      </c>
      <c r="AU386" s="185">
        <f>α</f>
        <v>3.3704975674964706</v>
      </c>
      <c r="AV386" s="185"/>
      <c r="AW386" s="185"/>
      <c r="AX386" s="185"/>
      <c r="AY386" s="185"/>
      <c r="AZ386" s="63"/>
      <c r="BE386" s="13" t="s">
        <v>92</v>
      </c>
      <c r="BF386" s="185">
        <f>DEGREES(ATAN((((J.5_y_Coord-CG.OFW)/(L.Gz-(S.h/2))))))</f>
        <v>7.2979623743852056</v>
      </c>
      <c r="BG386" s="185"/>
      <c r="BH386" s="185"/>
      <c r="BI386" s="185"/>
      <c r="BJ386" s="185"/>
      <c r="BT386" s="7"/>
      <c r="BU386" s="7"/>
      <c r="BV386" s="7"/>
      <c r="BW386" s="7"/>
      <c r="BX386" s="7"/>
      <c r="BY386" s="7"/>
    </row>
    <row r="387" spans="3:77" ht="15" customHeight="1" x14ac:dyDescent="0.25">
      <c r="C387" s="4"/>
      <c r="K387" s="25"/>
      <c r="T387" s="62"/>
      <c r="U387" s="25"/>
      <c r="AD387" s="63"/>
      <c r="AI387" s="12" t="s">
        <v>82</v>
      </c>
      <c r="AJ387" s="143">
        <f>(AJ381-AJ383*(COS(RADIANS(AJ384))-SIN(RADIANS(AJ384))*TAN(RADIANS(AJ386)))-AJ382*TAN(RADIANS(AJ386)))/(COS(RADIANS(AJ385))+SIN(RADIANS(AJ385))*TAN(RADIANS(AJ386)))</f>
        <v>14378.545734532072</v>
      </c>
      <c r="AK387" s="143"/>
      <c r="AL387" s="143"/>
      <c r="AM387" s="143"/>
      <c r="AN387" s="143"/>
      <c r="AP387" s="62"/>
      <c r="AT387" s="12" t="s">
        <v>86</v>
      </c>
      <c r="AU387" s="143">
        <f>(AU381 - AU382*TAN(RADIANS(AU386)) - AU383*(COS(RADIANS(AU385)) + SIN(RADIANS(AU385))*TAN(RADIANS(AU386)))) /
 (COS(RADIANS(AU384)) - SIN(RADIANS(AU384))*TAN(RADIANS(AU386)))</f>
        <v>8465.4899870036115</v>
      </c>
      <c r="AV387" s="143"/>
      <c r="AW387" s="143"/>
      <c r="AX387" s="143"/>
      <c r="AY387" s="143"/>
      <c r="AZ387" s="63"/>
      <c r="BE387" s="13" t="s">
        <v>90</v>
      </c>
      <c r="BF387" s="232">
        <f>AJ385</f>
        <v>9.0509094577481708</v>
      </c>
      <c r="BG387" s="232"/>
      <c r="BH387" s="232"/>
      <c r="BI387" s="232"/>
      <c r="BJ387" s="232"/>
      <c r="BT387" s="7"/>
      <c r="BU387" s="7"/>
      <c r="BV387" s="7"/>
      <c r="BW387" s="7"/>
      <c r="BX387" s="7"/>
      <c r="BY387" s="7"/>
    </row>
    <row r="388" spans="3:77" ht="15" customHeight="1" x14ac:dyDescent="0.25">
      <c r="C388" s="4"/>
      <c r="T388" s="62"/>
      <c r="AD388" s="63"/>
      <c r="AI388" s="12" t="s">
        <v>83</v>
      </c>
      <c r="AJ388" s="195">
        <f>(-AJ382+AJ383*SIN(RADIANS(AJ384))-AJ387*SIN(RADIANS(AJ385)))/COS(RADIANS(AJ386))</f>
        <v>5508.132666200926</v>
      </c>
      <c r="AK388" s="195"/>
      <c r="AL388" s="195"/>
      <c r="AM388" s="195"/>
      <c r="AN388" s="195"/>
      <c r="AP388" s="62"/>
      <c r="AT388" s="12" t="s">
        <v>83</v>
      </c>
      <c r="AU388" s="143">
        <f>(AU382 - AU387*SIN(RADIANS(AU384)) + AU383*SIN(RADIANS(AU385))) / COS(RADIANS(AU386))</f>
        <v>5501.023516058759</v>
      </c>
      <c r="AV388" s="143"/>
      <c r="AW388" s="143"/>
      <c r="AX388" s="143"/>
      <c r="AY388" s="143"/>
      <c r="AZ388" s="63"/>
      <c r="BE388" s="13" t="s">
        <v>89</v>
      </c>
      <c r="BF388" s="185">
        <f>AU384</f>
        <v>20.880835427728073</v>
      </c>
      <c r="BG388" s="185"/>
      <c r="BH388" s="185"/>
      <c r="BI388" s="185"/>
      <c r="BJ388" s="185"/>
      <c r="BT388" s="7"/>
      <c r="BU388" s="7"/>
      <c r="BV388" s="7"/>
      <c r="BW388" s="7"/>
      <c r="BX388" s="7"/>
      <c r="BY388" s="7"/>
    </row>
    <row r="389" spans="3:77" ht="15" customHeight="1" x14ac:dyDescent="0.2">
      <c r="C389" s="4"/>
      <c r="T389" s="62"/>
      <c r="AD389" s="63"/>
      <c r="AP389" s="62"/>
      <c r="AZ389" s="63"/>
      <c r="BT389" s="7"/>
      <c r="BU389" s="7"/>
      <c r="BV389" s="7"/>
      <c r="BW389" s="7"/>
      <c r="BX389" s="7"/>
      <c r="BY389" s="7"/>
    </row>
    <row r="390" spans="3:77" ht="15" customHeight="1" x14ac:dyDescent="0.2">
      <c r="C390" s="4"/>
      <c r="BT390" s="7"/>
      <c r="BU390" s="7"/>
      <c r="BV390" s="7"/>
      <c r="BW390" s="7"/>
      <c r="BX390" s="7"/>
      <c r="BY390" s="7"/>
    </row>
    <row r="391" spans="3:77" ht="15" customHeight="1" x14ac:dyDescent="0.2">
      <c r="C391" s="4"/>
      <c r="I391" s="142" t="str">
        <f>"Figure "&amp;Inputs!$B$3&amp;"-7:  Member Force Calculations"</f>
        <v>Figure C.1-7:  Member Force Calculations</v>
      </c>
      <c r="J391" s="142"/>
      <c r="K391" s="142"/>
      <c r="L391" s="142"/>
      <c r="M391" s="142"/>
      <c r="N391" s="142"/>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c r="BJ391" s="142"/>
      <c r="BK391" s="142"/>
      <c r="BT391" s="7"/>
      <c r="BU391" s="7"/>
      <c r="BV391" s="7"/>
      <c r="BW391" s="7"/>
      <c r="BX391" s="7"/>
      <c r="BY391" s="7"/>
    </row>
    <row r="392" spans="3:77" ht="15" customHeight="1" x14ac:dyDescent="0.2">
      <c r="C392" s="4"/>
      <c r="AV392" s="26"/>
      <c r="BT392" s="7"/>
      <c r="BU392" s="7"/>
      <c r="BV392" s="7"/>
      <c r="BW392" s="7"/>
      <c r="BX392" s="7"/>
      <c r="BY392" s="7"/>
    </row>
    <row r="393" spans="3:77" ht="15" customHeight="1" x14ac:dyDescent="0.2">
      <c r="C393" s="4"/>
      <c r="BT393" s="7"/>
      <c r="BU393" s="7"/>
      <c r="BV393" s="7"/>
      <c r="BW393" s="7"/>
      <c r="BX393" s="7"/>
      <c r="BY393" s="7"/>
    </row>
    <row r="394" spans="3:77" ht="15" customHeight="1" x14ac:dyDescent="0.2">
      <c r="C394" s="4"/>
      <c r="BT394" s="7"/>
      <c r="BU394" s="7"/>
      <c r="BV394" s="7"/>
      <c r="BW394" s="7"/>
      <c r="BX394" s="7"/>
      <c r="BY394" s="7"/>
    </row>
    <row r="395" spans="3:77" ht="15" customHeight="1" x14ac:dyDescent="0.2">
      <c r="C395" s="4"/>
      <c r="BT395" s="7"/>
      <c r="BU395" s="7"/>
      <c r="BV395" s="7"/>
      <c r="BW395" s="7"/>
      <c r="BX395" s="7"/>
      <c r="BY395" s="7"/>
    </row>
    <row r="396" spans="3:77" ht="15" customHeight="1" x14ac:dyDescent="0.2">
      <c r="C396" s="4"/>
      <c r="AJ396" s="12"/>
      <c r="AK396" s="37"/>
      <c r="AL396" s="37"/>
      <c r="AM396" s="37"/>
      <c r="AW396" s="12"/>
      <c r="BJ396" s="13"/>
      <c r="BK396" s="38"/>
      <c r="BL396" s="12"/>
      <c r="BM396" s="12"/>
      <c r="BT396" s="7"/>
      <c r="BU396" s="7"/>
      <c r="BV396" s="7"/>
      <c r="BW396" s="7"/>
      <c r="BX396" s="7"/>
      <c r="BY396" s="7"/>
    </row>
    <row r="397" spans="3:77" ht="15" customHeight="1" x14ac:dyDescent="0.2">
      <c r="C397" s="4"/>
      <c r="AJ397" s="12"/>
      <c r="AK397" s="37"/>
      <c r="AL397" s="37"/>
      <c r="AM397" s="37"/>
      <c r="AW397" s="12"/>
      <c r="BJ397" s="13"/>
      <c r="BK397" s="38"/>
      <c r="BL397" s="12"/>
      <c r="BM397" s="12"/>
      <c r="BT397" s="7"/>
      <c r="BU397" s="7"/>
      <c r="BV397" s="7"/>
      <c r="BW397" s="7"/>
      <c r="BX397" s="7"/>
      <c r="BY397" s="7"/>
    </row>
    <row r="398" spans="3:77" ht="15" customHeight="1" x14ac:dyDescent="0.2">
      <c r="C398" s="4"/>
      <c r="AJ398" s="12"/>
      <c r="AK398" s="37"/>
      <c r="AL398" s="37"/>
      <c r="AM398" s="37"/>
      <c r="AW398" s="12"/>
      <c r="BJ398" s="13"/>
      <c r="BK398" s="38"/>
      <c r="BL398" s="12"/>
      <c r="BM398" s="12"/>
      <c r="BT398" s="7"/>
      <c r="BU398" s="7"/>
      <c r="BV398" s="7"/>
      <c r="BW398" s="7"/>
      <c r="BX398" s="7"/>
      <c r="BY398" s="7"/>
    </row>
    <row r="399" spans="3:77" ht="15" customHeight="1" x14ac:dyDescent="0.2">
      <c r="C399" s="4"/>
      <c r="AJ399" s="12"/>
      <c r="AK399" s="37"/>
      <c r="AL399" s="37"/>
      <c r="AM399" s="37"/>
      <c r="AW399" s="12"/>
      <c r="BJ399" s="13"/>
      <c r="BK399" s="38"/>
      <c r="BL399" s="12"/>
      <c r="BM399" s="12"/>
      <c r="BT399" s="7"/>
      <c r="BU399" s="7"/>
      <c r="BV399" s="7"/>
      <c r="BW399" s="7"/>
      <c r="BX399" s="7"/>
      <c r="BY399" s="7"/>
    </row>
    <row r="400" spans="3:77" ht="15" customHeight="1" x14ac:dyDescent="0.2">
      <c r="C400" s="4"/>
      <c r="AJ400" s="12"/>
      <c r="AK400" s="37"/>
      <c r="AL400" s="37"/>
      <c r="AM400" s="37"/>
      <c r="AW400" s="12"/>
      <c r="BJ400" s="13"/>
      <c r="BK400" s="38"/>
      <c r="BL400" s="12"/>
      <c r="BM400" s="12"/>
      <c r="BT400" s="7"/>
      <c r="BU400" s="7"/>
      <c r="BV400" s="7"/>
      <c r="BW400" s="7"/>
      <c r="BX400" s="7"/>
      <c r="BY400" s="7"/>
    </row>
    <row r="401" spans="3:77" ht="15" customHeight="1" x14ac:dyDescent="0.2">
      <c r="C401" s="4"/>
      <c r="AJ401" s="12"/>
      <c r="AK401" s="37"/>
      <c r="AL401" s="37"/>
      <c r="AM401" s="37"/>
      <c r="AW401" s="12"/>
      <c r="BJ401" s="13"/>
      <c r="BK401" s="38"/>
      <c r="BL401" s="12"/>
      <c r="BM401" s="12"/>
      <c r="BT401" s="7"/>
      <c r="BU401" s="7"/>
      <c r="BV401" s="7"/>
      <c r="BW401" s="7"/>
      <c r="BX401" s="7"/>
      <c r="BY401" s="7"/>
    </row>
    <row r="402" spans="3:77" ht="15" customHeight="1" x14ac:dyDescent="0.2">
      <c r="C402" s="4"/>
      <c r="AJ402" s="12"/>
      <c r="AK402" s="37"/>
      <c r="AL402" s="37"/>
      <c r="AM402" s="37"/>
      <c r="AW402" s="12"/>
      <c r="BJ402" s="13"/>
      <c r="BK402" s="38"/>
      <c r="BL402" s="12"/>
      <c r="BM402" s="12"/>
      <c r="BT402" s="7"/>
      <c r="BU402" s="7"/>
      <c r="BV402" s="7"/>
      <c r="BW402" s="7"/>
      <c r="BX402" s="7"/>
      <c r="BY402" s="7"/>
    </row>
    <row r="403" spans="3:77" ht="15" customHeight="1" x14ac:dyDescent="0.2">
      <c r="C403" s="4"/>
      <c r="AJ403" s="12"/>
      <c r="AK403" s="37"/>
      <c r="AL403" s="37"/>
      <c r="AM403" s="37"/>
      <c r="AW403" s="12"/>
      <c r="BJ403" s="13"/>
      <c r="BK403" s="38"/>
      <c r="BL403" s="12"/>
      <c r="BM403" s="12"/>
      <c r="BT403" s="7"/>
      <c r="BU403" s="7"/>
      <c r="BV403" s="7"/>
      <c r="BW403" s="7"/>
      <c r="BX403" s="7"/>
      <c r="BY403" s="7"/>
    </row>
    <row r="404" spans="3:77" ht="15" customHeight="1" x14ac:dyDescent="0.2">
      <c r="C404" s="174">
        <v>6</v>
      </c>
      <c r="D404" s="175"/>
      <c r="E404" s="176" t="s">
        <v>197</v>
      </c>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c r="AB404" s="176"/>
      <c r="AC404" s="176"/>
      <c r="AD404" s="176"/>
      <c r="AE404" s="176"/>
      <c r="AF404" s="176"/>
      <c r="AG404" s="176"/>
      <c r="AH404" s="176"/>
      <c r="AI404" s="176"/>
      <c r="AJ404" s="176"/>
      <c r="AK404" s="176"/>
      <c r="AL404" s="176"/>
      <c r="AM404" s="176"/>
      <c r="AN404" s="176"/>
      <c r="AO404" s="176"/>
      <c r="AP404" s="176"/>
      <c r="AQ404" s="176"/>
      <c r="AR404" s="176"/>
      <c r="AS404" s="176"/>
      <c r="AT404" s="176"/>
      <c r="AU404" s="176"/>
      <c r="AV404" s="176"/>
      <c r="AW404" s="176"/>
      <c r="AX404" s="176"/>
      <c r="AY404" s="176"/>
      <c r="AZ404" s="176"/>
      <c r="BA404" s="176"/>
      <c r="BB404" s="176"/>
      <c r="BC404" s="176"/>
      <c r="BD404" s="176"/>
      <c r="BE404" s="176"/>
      <c r="BF404" s="176"/>
      <c r="BG404" s="176"/>
      <c r="BH404" s="176"/>
      <c r="BI404" s="176"/>
      <c r="BJ404" s="176"/>
      <c r="BK404" s="176"/>
      <c r="BL404" s="176"/>
      <c r="BM404" s="176"/>
      <c r="BN404" s="176"/>
      <c r="BO404" s="176"/>
      <c r="BP404" s="176"/>
      <c r="BQ404" s="176"/>
      <c r="BR404" s="176"/>
      <c r="BS404" s="176"/>
      <c r="BT404" s="7"/>
      <c r="BU404" s="7"/>
      <c r="BV404" s="7"/>
      <c r="BW404" s="7"/>
      <c r="BX404" s="7"/>
      <c r="BY404" s="7"/>
    </row>
    <row r="405" spans="3:77" ht="15" customHeight="1" x14ac:dyDescent="0.2">
      <c r="C405" s="174"/>
      <c r="D405" s="175"/>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c r="AB405" s="176"/>
      <c r="AC405" s="176"/>
      <c r="AD405" s="176"/>
      <c r="AE405" s="176"/>
      <c r="AF405" s="176"/>
      <c r="AG405" s="176"/>
      <c r="AH405" s="176"/>
      <c r="AI405" s="176"/>
      <c r="AJ405" s="176"/>
      <c r="AK405" s="176"/>
      <c r="AL405" s="176"/>
      <c r="AM405" s="176"/>
      <c r="AN405" s="176"/>
      <c r="AO405" s="176"/>
      <c r="AP405" s="176"/>
      <c r="AQ405" s="176"/>
      <c r="AR405" s="176"/>
      <c r="AS405" s="176"/>
      <c r="AT405" s="176"/>
      <c r="AU405" s="176"/>
      <c r="AV405" s="176"/>
      <c r="AW405" s="176"/>
      <c r="AX405" s="176"/>
      <c r="AY405" s="176"/>
      <c r="AZ405" s="176"/>
      <c r="BA405" s="176"/>
      <c r="BB405" s="176"/>
      <c r="BC405" s="176"/>
      <c r="BD405" s="176"/>
      <c r="BE405" s="176"/>
      <c r="BF405" s="176"/>
      <c r="BG405" s="176"/>
      <c r="BH405" s="176"/>
      <c r="BI405" s="176"/>
      <c r="BJ405" s="176"/>
      <c r="BK405" s="176"/>
      <c r="BL405" s="176"/>
      <c r="BM405" s="176"/>
      <c r="BN405" s="176"/>
      <c r="BO405" s="176"/>
      <c r="BP405" s="176"/>
      <c r="BQ405" s="176"/>
      <c r="BR405" s="176"/>
      <c r="BS405" s="176"/>
      <c r="BT405" s="7"/>
      <c r="BU405" s="7"/>
      <c r="BV405" s="7"/>
      <c r="BW405" s="7"/>
      <c r="BX405" s="7"/>
      <c r="BY405" s="7"/>
    </row>
    <row r="406" spans="3:77" ht="15" customHeight="1" x14ac:dyDescent="0.2">
      <c r="C406" s="19"/>
      <c r="E406" s="136" t="s">
        <v>256</v>
      </c>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36"/>
      <c r="AK406" s="136"/>
      <c r="AL406" s="136"/>
      <c r="AM406" s="136"/>
      <c r="AN406" s="136"/>
      <c r="AO406" s="136"/>
      <c r="AP406" s="136"/>
      <c r="AQ406" s="136"/>
      <c r="AR406" s="136"/>
      <c r="AS406" s="136"/>
      <c r="AT406" s="136"/>
      <c r="AU406" s="136"/>
      <c r="AV406" s="136"/>
      <c r="AW406" s="136"/>
      <c r="AX406" s="136"/>
      <c r="AY406" s="136"/>
      <c r="AZ406" s="136"/>
      <c r="BA406" s="136"/>
      <c r="BB406" s="136"/>
      <c r="BC406" s="136"/>
      <c r="BD406" s="136"/>
      <c r="BE406" s="136"/>
      <c r="BF406" s="136"/>
      <c r="BG406" s="136"/>
      <c r="BH406" s="136"/>
      <c r="BI406" s="136"/>
      <c r="BJ406" s="136"/>
      <c r="BK406" s="136"/>
      <c r="BL406" s="136"/>
      <c r="BM406" s="136"/>
      <c r="BN406" s="136"/>
      <c r="BO406" s="136"/>
      <c r="BP406" s="136"/>
      <c r="BQ406" s="136"/>
      <c r="BR406" s="136"/>
      <c r="BT406" s="7"/>
      <c r="BU406" s="7"/>
      <c r="BV406" s="7"/>
      <c r="BW406" s="7"/>
      <c r="BX406" s="7"/>
      <c r="BY406" s="7"/>
    </row>
    <row r="407" spans="3:77" ht="15" customHeight="1" x14ac:dyDescent="0.2">
      <c r="C407" s="19"/>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36"/>
      <c r="AK407" s="136"/>
      <c r="AL407" s="136"/>
      <c r="AM407" s="136"/>
      <c r="AN407" s="136"/>
      <c r="AO407" s="136"/>
      <c r="AP407" s="136"/>
      <c r="AQ407" s="136"/>
      <c r="AR407" s="136"/>
      <c r="AS407" s="136"/>
      <c r="AT407" s="136"/>
      <c r="AU407" s="136"/>
      <c r="AV407" s="136"/>
      <c r="AW407" s="136"/>
      <c r="AX407" s="136"/>
      <c r="AY407" s="136"/>
      <c r="AZ407" s="136"/>
      <c r="BA407" s="136"/>
      <c r="BB407" s="136"/>
      <c r="BC407" s="136"/>
      <c r="BD407" s="136"/>
      <c r="BE407" s="136"/>
      <c r="BF407" s="136"/>
      <c r="BG407" s="136"/>
      <c r="BH407" s="136"/>
      <c r="BI407" s="136"/>
      <c r="BJ407" s="136"/>
      <c r="BK407" s="136"/>
      <c r="BL407" s="136"/>
      <c r="BM407" s="136"/>
      <c r="BN407" s="136"/>
      <c r="BO407" s="136"/>
      <c r="BP407" s="136"/>
      <c r="BQ407" s="136"/>
      <c r="BR407" s="136"/>
      <c r="BT407" s="7"/>
      <c r="BU407" s="7"/>
      <c r="BV407" s="7"/>
      <c r="BW407" s="7"/>
      <c r="BX407" s="7"/>
      <c r="BY407" s="7"/>
    </row>
    <row r="408" spans="3:77" ht="15" customHeight="1" x14ac:dyDescent="0.2">
      <c r="C408" s="19"/>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36"/>
      <c r="AK408" s="136"/>
      <c r="AL408" s="136"/>
      <c r="AM408" s="136"/>
      <c r="AN408" s="136"/>
      <c r="AO408" s="136"/>
      <c r="AP408" s="136"/>
      <c r="AQ408" s="136"/>
      <c r="AR408" s="136"/>
      <c r="AS408" s="136"/>
      <c r="AT408" s="136"/>
      <c r="AU408" s="136"/>
      <c r="AV408" s="136"/>
      <c r="AW408" s="136"/>
      <c r="AX408" s="136"/>
      <c r="AY408" s="136"/>
      <c r="AZ408" s="136"/>
      <c r="BA408" s="136"/>
      <c r="BB408" s="136"/>
      <c r="BC408" s="136"/>
      <c r="BD408" s="136"/>
      <c r="BE408" s="136"/>
      <c r="BF408" s="136"/>
      <c r="BG408" s="136"/>
      <c r="BH408" s="136"/>
      <c r="BI408" s="136"/>
      <c r="BJ408" s="136"/>
      <c r="BK408" s="136"/>
      <c r="BL408" s="136"/>
      <c r="BM408" s="136"/>
      <c r="BN408" s="136"/>
      <c r="BO408" s="136"/>
      <c r="BP408" s="136"/>
      <c r="BQ408" s="136"/>
      <c r="BR408" s="136"/>
      <c r="BT408" s="7"/>
      <c r="BU408" s="7"/>
      <c r="BV408" s="7"/>
      <c r="BW408" s="7"/>
      <c r="BX408" s="7"/>
      <c r="BY408" s="7"/>
    </row>
    <row r="409" spans="3:77" ht="15" customHeight="1" x14ac:dyDescent="0.2">
      <c r="C409" s="19"/>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c r="BQ409" s="136"/>
      <c r="BR409" s="136"/>
      <c r="BT409" s="7"/>
      <c r="BU409" s="7"/>
      <c r="BV409" s="7"/>
      <c r="BW409" s="7"/>
      <c r="BX409" s="7"/>
      <c r="BY409" s="7"/>
    </row>
    <row r="410" spans="3:77" ht="15" customHeight="1" x14ac:dyDescent="0.2">
      <c r="C410" s="19"/>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c r="AL410" s="136"/>
      <c r="AM410" s="136"/>
      <c r="AN410" s="136"/>
      <c r="AO410" s="136"/>
      <c r="AP410" s="136"/>
      <c r="AQ410" s="136"/>
      <c r="AR410" s="136"/>
      <c r="AS410" s="136"/>
      <c r="AT410" s="136"/>
      <c r="AU410" s="136"/>
      <c r="AV410" s="136"/>
      <c r="AW410" s="136"/>
      <c r="AX410" s="136"/>
      <c r="AY410" s="136"/>
      <c r="AZ410" s="136"/>
      <c r="BA410" s="136"/>
      <c r="BB410" s="136"/>
      <c r="BC410" s="136"/>
      <c r="BD410" s="136"/>
      <c r="BE410" s="136"/>
      <c r="BF410" s="136"/>
      <c r="BG410" s="136"/>
      <c r="BH410" s="136"/>
      <c r="BI410" s="136"/>
      <c r="BJ410" s="136"/>
      <c r="BK410" s="136"/>
      <c r="BL410" s="136"/>
      <c r="BM410" s="136"/>
      <c r="BN410" s="136"/>
      <c r="BO410" s="136"/>
      <c r="BP410" s="136"/>
      <c r="BQ410" s="136"/>
      <c r="BR410" s="136"/>
      <c r="BT410" s="7"/>
      <c r="BU410" s="7"/>
      <c r="BV410" s="7"/>
      <c r="BW410" s="7"/>
      <c r="BX410" s="7"/>
      <c r="BY410" s="7"/>
    </row>
    <row r="411" spans="3:77" ht="15" customHeight="1" x14ac:dyDescent="0.2">
      <c r="C411" s="19"/>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c r="AL411" s="136"/>
      <c r="AM411" s="136"/>
      <c r="AN411" s="136"/>
      <c r="AO411" s="136"/>
      <c r="AP411" s="136"/>
      <c r="AQ411" s="136"/>
      <c r="AR411" s="136"/>
      <c r="AS411" s="136"/>
      <c r="AT411" s="136"/>
      <c r="AU411" s="136"/>
      <c r="AV411" s="136"/>
      <c r="AW411" s="136"/>
      <c r="AX411" s="136"/>
      <c r="AY411" s="136"/>
      <c r="AZ411" s="136"/>
      <c r="BA411" s="136"/>
      <c r="BB411" s="136"/>
      <c r="BC411" s="136"/>
      <c r="BD411" s="136"/>
      <c r="BE411" s="136"/>
      <c r="BF411" s="136"/>
      <c r="BG411" s="136"/>
      <c r="BH411" s="136"/>
      <c r="BI411" s="136"/>
      <c r="BJ411" s="136"/>
      <c r="BK411" s="136"/>
      <c r="BL411" s="136"/>
      <c r="BM411" s="136"/>
      <c r="BN411" s="136"/>
      <c r="BO411" s="136"/>
      <c r="BP411" s="136"/>
      <c r="BQ411" s="136"/>
      <c r="BR411" s="136"/>
      <c r="BT411" s="7"/>
      <c r="BU411" s="7"/>
      <c r="BV411" s="7"/>
      <c r="BW411" s="7"/>
      <c r="BX411" s="7"/>
      <c r="BY411" s="7"/>
    </row>
    <row r="412" spans="3:77" ht="15" customHeight="1" x14ac:dyDescent="0.2">
      <c r="C412" s="19"/>
      <c r="E412" s="196">
        <v>1</v>
      </c>
      <c r="F412" s="196"/>
      <c r="G412" s="197" t="s">
        <v>257</v>
      </c>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c r="AE412" s="197"/>
      <c r="AF412" s="197"/>
      <c r="AG412" s="197"/>
      <c r="AH412" s="197"/>
      <c r="AI412" s="197"/>
      <c r="AJ412" s="197"/>
      <c r="AK412" s="197"/>
      <c r="AL412" s="197"/>
      <c r="AM412" s="197"/>
      <c r="AN412" s="197"/>
      <c r="AO412" s="197"/>
      <c r="AP412" s="197"/>
      <c r="AQ412" s="197"/>
      <c r="AR412" s="197"/>
      <c r="AS412" s="197"/>
      <c r="AT412" s="197"/>
      <c r="AU412" s="197"/>
      <c r="AV412" s="197"/>
      <c r="AW412" s="197"/>
      <c r="AX412" s="197"/>
      <c r="AY412" s="197"/>
      <c r="AZ412" s="197"/>
      <c r="BA412" s="197"/>
      <c r="BB412" s="197"/>
      <c r="BC412" s="197"/>
      <c r="BD412" s="197"/>
      <c r="BE412" s="197"/>
      <c r="BF412" s="197"/>
      <c r="BG412" s="197"/>
      <c r="BH412" s="197"/>
      <c r="BI412" s="197"/>
      <c r="BJ412" s="197"/>
      <c r="BK412" s="197"/>
      <c r="BL412" s="197"/>
      <c r="BM412" s="197"/>
      <c r="BN412" s="197"/>
      <c r="BO412" s="197"/>
      <c r="BP412" s="197"/>
      <c r="BQ412" s="58"/>
      <c r="BR412" s="58"/>
      <c r="BT412" s="7"/>
      <c r="BU412" s="7"/>
      <c r="BV412" s="7"/>
      <c r="BW412" s="7"/>
      <c r="BX412" s="7"/>
      <c r="BY412" s="7"/>
    </row>
    <row r="413" spans="3:77" ht="15" customHeight="1" x14ac:dyDescent="0.2">
      <c r="C413" s="19"/>
      <c r="E413" s="196">
        <v>2</v>
      </c>
      <c r="F413" s="196"/>
      <c r="G413" s="197" t="s">
        <v>258</v>
      </c>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c r="AE413" s="197"/>
      <c r="AF413" s="197"/>
      <c r="AG413" s="197"/>
      <c r="AH413" s="197"/>
      <c r="AI413" s="197"/>
      <c r="AJ413" s="197"/>
      <c r="AK413" s="197"/>
      <c r="AL413" s="197"/>
      <c r="AM413" s="197"/>
      <c r="AN413" s="197"/>
      <c r="AO413" s="197"/>
      <c r="AP413" s="197"/>
      <c r="AQ413" s="197"/>
      <c r="AR413" s="197"/>
      <c r="AS413" s="197"/>
      <c r="AT413" s="197"/>
      <c r="AU413" s="197"/>
      <c r="AV413" s="197"/>
      <c r="AW413" s="197"/>
      <c r="AX413" s="197"/>
      <c r="AY413" s="197"/>
      <c r="AZ413" s="197"/>
      <c r="BA413" s="197"/>
      <c r="BB413" s="197"/>
      <c r="BC413" s="197"/>
      <c r="BD413" s="197"/>
      <c r="BE413" s="197"/>
      <c r="BF413" s="197"/>
      <c r="BG413" s="197"/>
      <c r="BH413" s="197"/>
      <c r="BI413" s="197"/>
      <c r="BJ413" s="197"/>
      <c r="BK413" s="197"/>
      <c r="BL413" s="197"/>
      <c r="BM413" s="197"/>
      <c r="BN413" s="197"/>
      <c r="BO413" s="197"/>
      <c r="BP413" s="197"/>
      <c r="BQ413" s="58"/>
      <c r="BR413" s="58"/>
      <c r="BT413" s="7"/>
      <c r="BU413" s="7"/>
      <c r="BV413" s="7"/>
      <c r="BW413" s="7"/>
      <c r="BX413" s="7"/>
      <c r="BY413" s="7"/>
    </row>
    <row r="414" spans="3:77" ht="15" customHeight="1" x14ac:dyDescent="0.2">
      <c r="C414" s="19"/>
      <c r="E414" s="196">
        <v>3</v>
      </c>
      <c r="F414" s="196"/>
      <c r="G414" s="197" t="s">
        <v>259</v>
      </c>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c r="AE414" s="197"/>
      <c r="AF414" s="197"/>
      <c r="AG414" s="197"/>
      <c r="AH414" s="197"/>
      <c r="AI414" s="197"/>
      <c r="AJ414" s="197"/>
      <c r="AK414" s="197"/>
      <c r="AL414" s="197"/>
      <c r="AM414" s="197"/>
      <c r="AN414" s="197"/>
      <c r="AO414" s="197"/>
      <c r="AP414" s="197"/>
      <c r="AQ414" s="197"/>
      <c r="AR414" s="197"/>
      <c r="AS414" s="197"/>
      <c r="AT414" s="197"/>
      <c r="AU414" s="197"/>
      <c r="AV414" s="197"/>
      <c r="AW414" s="197"/>
      <c r="AX414" s="197"/>
      <c r="AY414" s="197"/>
      <c r="AZ414" s="197"/>
      <c r="BA414" s="197"/>
      <c r="BB414" s="197"/>
      <c r="BC414" s="197"/>
      <c r="BD414" s="197"/>
      <c r="BE414" s="197"/>
      <c r="BF414" s="197"/>
      <c r="BG414" s="197"/>
      <c r="BH414" s="197"/>
      <c r="BI414" s="197"/>
      <c r="BJ414" s="197"/>
      <c r="BK414" s="197"/>
      <c r="BL414" s="197"/>
      <c r="BM414" s="197"/>
      <c r="BN414" s="197"/>
      <c r="BO414" s="197"/>
      <c r="BP414" s="197"/>
      <c r="BQ414" s="58"/>
      <c r="BR414" s="58"/>
      <c r="BT414" s="7"/>
      <c r="BU414" s="7"/>
      <c r="BV414" s="7"/>
      <c r="BW414" s="7"/>
      <c r="BX414" s="7"/>
      <c r="BY414" s="7"/>
    </row>
    <row r="415" spans="3:77" ht="15" customHeight="1" x14ac:dyDescent="0.2">
      <c r="C415" s="19"/>
      <c r="E415" s="136" t="s">
        <v>260</v>
      </c>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c r="BQ415" s="136"/>
      <c r="BR415" s="136"/>
      <c r="BT415" s="7"/>
      <c r="BU415" s="7"/>
      <c r="BV415" s="7"/>
      <c r="BW415" s="7"/>
      <c r="BX415" s="7"/>
      <c r="BY415" s="7"/>
    </row>
    <row r="416" spans="3:77" ht="15" customHeight="1" x14ac:dyDescent="0.2">
      <c r="C416" s="19"/>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c r="AL416" s="136"/>
      <c r="AM416" s="136"/>
      <c r="AN416" s="136"/>
      <c r="AO416" s="136"/>
      <c r="AP416" s="136"/>
      <c r="AQ416" s="136"/>
      <c r="AR416" s="136"/>
      <c r="AS416" s="136"/>
      <c r="AT416" s="136"/>
      <c r="AU416" s="136"/>
      <c r="AV416" s="136"/>
      <c r="AW416" s="136"/>
      <c r="AX416" s="136"/>
      <c r="AY416" s="136"/>
      <c r="AZ416" s="136"/>
      <c r="BA416" s="136"/>
      <c r="BB416" s="136"/>
      <c r="BC416" s="136"/>
      <c r="BD416" s="136"/>
      <c r="BE416" s="136"/>
      <c r="BF416" s="136"/>
      <c r="BG416" s="136"/>
      <c r="BH416" s="136"/>
      <c r="BI416" s="136"/>
      <c r="BJ416" s="136"/>
      <c r="BK416" s="136"/>
      <c r="BL416" s="136"/>
      <c r="BM416" s="136"/>
      <c r="BN416" s="136"/>
      <c r="BO416" s="136"/>
      <c r="BP416" s="136"/>
      <c r="BQ416" s="136"/>
      <c r="BR416" s="136"/>
      <c r="BT416" s="7"/>
      <c r="BU416" s="7"/>
      <c r="BV416" s="7"/>
      <c r="BW416" s="7"/>
      <c r="BX416" s="7"/>
      <c r="BY416" s="7"/>
    </row>
    <row r="417" spans="3:77" ht="15" customHeight="1" x14ac:dyDescent="0.2">
      <c r="C417" s="19"/>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36"/>
      <c r="AK417" s="136"/>
      <c r="AL417" s="136"/>
      <c r="AM417" s="136"/>
      <c r="AN417" s="136"/>
      <c r="AO417" s="136"/>
      <c r="AP417" s="136"/>
      <c r="AQ417" s="136"/>
      <c r="AR417" s="136"/>
      <c r="AS417" s="136"/>
      <c r="AT417" s="136"/>
      <c r="AU417" s="136"/>
      <c r="AV417" s="136"/>
      <c r="AW417" s="136"/>
      <c r="AX417" s="136"/>
      <c r="AY417" s="136"/>
      <c r="AZ417" s="136"/>
      <c r="BA417" s="136"/>
      <c r="BB417" s="136"/>
      <c r="BC417" s="136"/>
      <c r="BD417" s="136"/>
      <c r="BE417" s="136"/>
      <c r="BF417" s="136"/>
      <c r="BG417" s="136"/>
      <c r="BH417" s="136"/>
      <c r="BI417" s="136"/>
      <c r="BJ417" s="136"/>
      <c r="BK417" s="136"/>
      <c r="BL417" s="136"/>
      <c r="BM417" s="136"/>
      <c r="BN417" s="136"/>
      <c r="BO417" s="136"/>
      <c r="BP417" s="136"/>
      <c r="BQ417" s="136"/>
      <c r="BR417" s="136"/>
      <c r="BT417" s="7"/>
      <c r="BU417" s="7"/>
      <c r="BV417" s="7"/>
      <c r="BW417" s="7"/>
      <c r="BX417" s="7"/>
      <c r="BY417" s="7"/>
    </row>
    <row r="418" spans="3:77" ht="15" customHeight="1" x14ac:dyDescent="0.2">
      <c r="C418" s="19"/>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36"/>
      <c r="AK418" s="136"/>
      <c r="AL418" s="136"/>
      <c r="AM418" s="136"/>
      <c r="AN418" s="136"/>
      <c r="AO418" s="136"/>
      <c r="AP418" s="136"/>
      <c r="AQ418" s="136"/>
      <c r="AR418" s="136"/>
      <c r="AS418" s="136"/>
      <c r="AT418" s="136"/>
      <c r="AU418" s="136"/>
      <c r="AV418" s="136"/>
      <c r="AW418" s="136"/>
      <c r="AX418" s="136"/>
      <c r="AY418" s="136"/>
      <c r="AZ418" s="136"/>
      <c r="BA418" s="136"/>
      <c r="BB418" s="136"/>
      <c r="BC418" s="136"/>
      <c r="BD418" s="136"/>
      <c r="BE418" s="136"/>
      <c r="BF418" s="136"/>
      <c r="BG418" s="136"/>
      <c r="BH418" s="136"/>
      <c r="BI418" s="136"/>
      <c r="BJ418" s="136"/>
      <c r="BK418" s="136"/>
      <c r="BL418" s="136"/>
      <c r="BM418" s="136"/>
      <c r="BN418" s="136"/>
      <c r="BO418" s="136"/>
      <c r="BP418" s="136"/>
      <c r="BQ418" s="136"/>
      <c r="BR418" s="136"/>
      <c r="BT418" s="7"/>
      <c r="BU418" s="7"/>
      <c r="BV418" s="7"/>
      <c r="BW418" s="7"/>
      <c r="BX418" s="7"/>
      <c r="BY418" s="7"/>
    </row>
    <row r="419" spans="3:77" ht="15" customHeight="1" x14ac:dyDescent="0.2">
      <c r="C419" s="19"/>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c r="AH419" s="136"/>
      <c r="AI419" s="136"/>
      <c r="AJ419" s="136"/>
      <c r="AK419" s="136"/>
      <c r="AL419" s="136"/>
      <c r="AM419" s="136"/>
      <c r="AN419" s="136"/>
      <c r="AO419" s="136"/>
      <c r="AP419" s="136"/>
      <c r="AQ419" s="136"/>
      <c r="AR419" s="136"/>
      <c r="AS419" s="136"/>
      <c r="AT419" s="136"/>
      <c r="AU419" s="136"/>
      <c r="AV419" s="136"/>
      <c r="AW419" s="136"/>
      <c r="AX419" s="136"/>
      <c r="AY419" s="136"/>
      <c r="AZ419" s="136"/>
      <c r="BA419" s="136"/>
      <c r="BB419" s="136"/>
      <c r="BC419" s="136"/>
      <c r="BD419" s="136"/>
      <c r="BE419" s="136"/>
      <c r="BF419" s="136"/>
      <c r="BG419" s="136"/>
      <c r="BH419" s="136"/>
      <c r="BI419" s="136"/>
      <c r="BJ419" s="136"/>
      <c r="BK419" s="136"/>
      <c r="BL419" s="136"/>
      <c r="BM419" s="136"/>
      <c r="BN419" s="136"/>
      <c r="BO419" s="136"/>
      <c r="BP419" s="136"/>
      <c r="BQ419" s="136"/>
      <c r="BR419" s="136"/>
      <c r="BT419" s="7"/>
      <c r="BU419" s="7"/>
      <c r="BV419" s="7"/>
      <c r="BW419" s="7"/>
      <c r="BX419" s="7"/>
      <c r="BY419" s="7"/>
    </row>
    <row r="420" spans="3:77" ht="15" customHeight="1" x14ac:dyDescent="0.2">
      <c r="C420" s="19"/>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36"/>
      <c r="AK420" s="136"/>
      <c r="AL420" s="136"/>
      <c r="AM420" s="136"/>
      <c r="AN420" s="136"/>
      <c r="AO420" s="136"/>
      <c r="AP420" s="136"/>
      <c r="AQ420" s="136"/>
      <c r="AR420" s="136"/>
      <c r="AS420" s="136"/>
      <c r="AT420" s="136"/>
      <c r="AU420" s="136"/>
      <c r="AV420" s="136"/>
      <c r="AW420" s="136"/>
      <c r="AX420" s="136"/>
      <c r="AY420" s="136"/>
      <c r="AZ420" s="136"/>
      <c r="BA420" s="136"/>
      <c r="BB420" s="136"/>
      <c r="BC420" s="136"/>
      <c r="BD420" s="136"/>
      <c r="BE420" s="136"/>
      <c r="BF420" s="136"/>
      <c r="BG420" s="136"/>
      <c r="BH420" s="136"/>
      <c r="BI420" s="136"/>
      <c r="BJ420" s="136"/>
      <c r="BK420" s="136"/>
      <c r="BL420" s="136"/>
      <c r="BM420" s="136"/>
      <c r="BN420" s="136"/>
      <c r="BO420" s="136"/>
      <c r="BP420" s="136"/>
      <c r="BQ420" s="136"/>
      <c r="BR420" s="136"/>
      <c r="BT420" s="7"/>
      <c r="BU420" s="7"/>
      <c r="BV420" s="7"/>
      <c r="BW420" s="7"/>
      <c r="BX420" s="7"/>
      <c r="BY420" s="7"/>
    </row>
    <row r="421" spans="3:77" ht="15" customHeight="1" x14ac:dyDescent="0.2">
      <c r="C421" s="19"/>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c r="BQ421" s="136"/>
      <c r="BR421" s="136"/>
      <c r="BT421" s="7"/>
      <c r="BU421" s="7"/>
      <c r="BV421" s="7"/>
      <c r="BW421" s="7"/>
      <c r="BX421" s="7"/>
      <c r="BY421" s="7"/>
    </row>
    <row r="422" spans="3:77" ht="15" customHeight="1" x14ac:dyDescent="0.2">
      <c r="C422" s="19"/>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c r="AH422" s="136"/>
      <c r="AI422" s="136"/>
      <c r="AJ422" s="136"/>
      <c r="AK422" s="136"/>
      <c r="AL422" s="136"/>
      <c r="AM422" s="136"/>
      <c r="AN422" s="136"/>
      <c r="AO422" s="136"/>
      <c r="AP422" s="136"/>
      <c r="AQ422" s="136"/>
      <c r="AR422" s="136"/>
      <c r="AS422" s="136"/>
      <c r="AT422" s="136"/>
      <c r="AU422" s="136"/>
      <c r="AV422" s="136"/>
      <c r="AW422" s="136"/>
      <c r="AX422" s="136"/>
      <c r="AY422" s="136"/>
      <c r="AZ422" s="136"/>
      <c r="BA422" s="136"/>
      <c r="BB422" s="136"/>
      <c r="BC422" s="136"/>
      <c r="BD422" s="136"/>
      <c r="BE422" s="136"/>
      <c r="BF422" s="136"/>
      <c r="BG422" s="136"/>
      <c r="BH422" s="136"/>
      <c r="BI422" s="136"/>
      <c r="BJ422" s="136"/>
      <c r="BK422" s="136"/>
      <c r="BL422" s="136"/>
      <c r="BM422" s="136"/>
      <c r="BN422" s="136"/>
      <c r="BO422" s="136"/>
      <c r="BP422" s="136"/>
      <c r="BQ422" s="136"/>
      <c r="BR422" s="136"/>
      <c r="BT422" s="7"/>
      <c r="BU422" s="7"/>
      <c r="BV422" s="7"/>
      <c r="BW422" s="7"/>
      <c r="BX422" s="7"/>
      <c r="BY422" s="7"/>
    </row>
    <row r="423" spans="3:77" ht="15" customHeight="1" x14ac:dyDescent="0.2">
      <c r="C423" s="19"/>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c r="AH423" s="136"/>
      <c r="AI423" s="136"/>
      <c r="AJ423" s="136"/>
      <c r="AK423" s="136"/>
      <c r="AL423" s="136"/>
      <c r="AM423" s="136"/>
      <c r="AN423" s="136"/>
      <c r="AO423" s="136"/>
      <c r="AP423" s="136"/>
      <c r="AQ423" s="136"/>
      <c r="AR423" s="136"/>
      <c r="AS423" s="136"/>
      <c r="AT423" s="136"/>
      <c r="AU423" s="136"/>
      <c r="AV423" s="136"/>
      <c r="AW423" s="136"/>
      <c r="AX423" s="136"/>
      <c r="AY423" s="136"/>
      <c r="AZ423" s="136"/>
      <c r="BA423" s="136"/>
      <c r="BB423" s="136"/>
      <c r="BC423" s="136"/>
      <c r="BD423" s="136"/>
      <c r="BE423" s="136"/>
      <c r="BF423" s="136"/>
      <c r="BG423" s="136"/>
      <c r="BH423" s="136"/>
      <c r="BI423" s="136"/>
      <c r="BJ423" s="136"/>
      <c r="BK423" s="136"/>
      <c r="BL423" s="136"/>
      <c r="BM423" s="136"/>
      <c r="BN423" s="136"/>
      <c r="BO423" s="136"/>
      <c r="BP423" s="136"/>
      <c r="BQ423" s="136"/>
      <c r="BR423" s="136"/>
      <c r="BT423" s="7"/>
      <c r="BU423" s="7"/>
      <c r="BV423" s="7"/>
      <c r="BW423" s="7"/>
      <c r="BX423" s="7"/>
      <c r="BY423" s="7"/>
    </row>
    <row r="424" spans="3:77" ht="15" customHeight="1" x14ac:dyDescent="0.2">
      <c r="C424" s="140">
        <v>6.1</v>
      </c>
      <c r="D424" s="141"/>
      <c r="E424" s="141"/>
      <c r="F424" s="141"/>
      <c r="G424" s="148" t="s">
        <v>198</v>
      </c>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c r="AD424" s="148"/>
      <c r="AE424" s="148"/>
      <c r="AF424" s="148"/>
      <c r="AG424" s="148"/>
      <c r="AH424" s="148"/>
      <c r="AI424" s="148"/>
      <c r="AJ424" s="148"/>
      <c r="AK424" s="148"/>
      <c r="AL424" s="148"/>
      <c r="AM424" s="148"/>
      <c r="AN424" s="148"/>
      <c r="AO424" s="148"/>
      <c r="AP424" s="148"/>
      <c r="AQ424" s="148"/>
      <c r="AR424" s="148"/>
      <c r="AS424" s="148"/>
      <c r="AT424" s="148"/>
      <c r="AU424" s="148"/>
      <c r="AV424" s="148"/>
      <c r="AW424" s="148"/>
      <c r="AX424" s="148"/>
      <c r="AY424" s="148"/>
      <c r="AZ424" s="148"/>
      <c r="BA424" s="148"/>
      <c r="BB424" s="148"/>
      <c r="BC424" s="148"/>
      <c r="BD424" s="148"/>
      <c r="BE424" s="148"/>
      <c r="BF424" s="148"/>
      <c r="BG424" s="148"/>
      <c r="BH424" s="148"/>
      <c r="BI424" s="148"/>
      <c r="BJ424" s="148"/>
      <c r="BK424" s="148"/>
      <c r="BL424" s="148"/>
      <c r="BM424" s="148"/>
      <c r="BN424" s="148"/>
      <c r="BO424" s="148"/>
      <c r="BP424" s="148"/>
      <c r="BQ424" s="148"/>
      <c r="BR424" s="148"/>
      <c r="BT424" s="7"/>
      <c r="BU424" s="7"/>
      <c r="BV424" s="7"/>
      <c r="BW424" s="7"/>
      <c r="BX424" s="7"/>
      <c r="BY424" s="7"/>
    </row>
    <row r="425" spans="3:77" ht="15" customHeight="1" x14ac:dyDescent="0.2">
      <c r="C425" s="140"/>
      <c r="D425" s="141"/>
      <c r="E425" s="141"/>
      <c r="F425" s="141"/>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c r="AD425" s="148"/>
      <c r="AE425" s="148"/>
      <c r="AF425" s="148"/>
      <c r="AG425" s="148"/>
      <c r="AH425" s="148"/>
      <c r="AI425" s="148"/>
      <c r="AJ425" s="148"/>
      <c r="AK425" s="148"/>
      <c r="AL425" s="148"/>
      <c r="AM425" s="148"/>
      <c r="AN425" s="148"/>
      <c r="AO425" s="148"/>
      <c r="AP425" s="148"/>
      <c r="AQ425" s="148"/>
      <c r="AR425" s="148"/>
      <c r="AS425" s="148"/>
      <c r="AT425" s="148"/>
      <c r="AU425" s="148"/>
      <c r="AV425" s="148"/>
      <c r="AW425" s="148"/>
      <c r="AX425" s="148"/>
      <c r="AY425" s="148"/>
      <c r="AZ425" s="148"/>
      <c r="BA425" s="148"/>
      <c r="BB425" s="148"/>
      <c r="BC425" s="148"/>
      <c r="BD425" s="148"/>
      <c r="BE425" s="148"/>
      <c r="BF425" s="148"/>
      <c r="BG425" s="148"/>
      <c r="BH425" s="148"/>
      <c r="BI425" s="148"/>
      <c r="BJ425" s="148"/>
      <c r="BK425" s="148"/>
      <c r="BL425" s="148"/>
      <c r="BM425" s="148"/>
      <c r="BN425" s="148"/>
      <c r="BO425" s="148"/>
      <c r="BP425" s="148"/>
      <c r="BQ425" s="148"/>
      <c r="BR425" s="148"/>
      <c r="BT425" s="7"/>
      <c r="BU425" s="7"/>
      <c r="BV425" s="7"/>
      <c r="BW425" s="7"/>
      <c r="BX425" s="7"/>
      <c r="BY425" s="7"/>
    </row>
    <row r="426" spans="3:77" ht="15" customHeight="1" x14ac:dyDescent="0.2">
      <c r="C426" s="19"/>
      <c r="BT426" s="7"/>
      <c r="BU426" s="7"/>
      <c r="BV426" s="7"/>
      <c r="BW426" s="7"/>
      <c r="BX426" s="7"/>
      <c r="BY426" s="7"/>
    </row>
    <row r="427" spans="3:77" ht="15" customHeight="1" x14ac:dyDescent="0.25">
      <c r="C427" s="19"/>
      <c r="W427" s="13" t="s">
        <v>202</v>
      </c>
      <c r="X427" s="172">
        <f>Inputs!B44</f>
        <v>1</v>
      </c>
      <c r="Y427" s="172"/>
      <c r="Z427" s="172"/>
      <c r="AA427" s="172"/>
      <c r="AB427" s="172"/>
      <c r="BT427" s="7"/>
      <c r="BU427" s="7"/>
      <c r="BV427" s="7"/>
      <c r="BW427" s="7"/>
      <c r="BX427" s="7"/>
      <c r="BY427" s="9" t="s">
        <v>171</v>
      </c>
    </row>
    <row r="428" spans="3:77" ht="15" customHeight="1" x14ac:dyDescent="0.25">
      <c r="C428" s="19"/>
      <c r="W428" s="12" t="s">
        <v>99</v>
      </c>
      <c r="X428" s="173">
        <f>Inputs!B45</f>
        <v>413.68543759199997</v>
      </c>
      <c r="Y428" s="173"/>
      <c r="Z428" s="173"/>
      <c r="AA428" s="173"/>
      <c r="AB428" s="173"/>
      <c r="BT428" s="7"/>
      <c r="BU428" s="7"/>
      <c r="BV428" s="7"/>
      <c r="BW428" s="7"/>
      <c r="BX428" s="7"/>
      <c r="BY428" s="9"/>
    </row>
    <row r="429" spans="3:77" ht="15" customHeight="1" x14ac:dyDescent="0.2">
      <c r="C429" s="4"/>
      <c r="W429" s="12" t="s">
        <v>94</v>
      </c>
      <c r="X429" s="143">
        <f>MAX(ABS(BF382),ABS(BF383))</f>
        <v>9896.3112714559611</v>
      </c>
      <c r="Y429" s="143"/>
      <c r="Z429" s="143"/>
      <c r="AA429" s="143"/>
      <c r="AB429" s="143"/>
      <c r="BT429" s="7"/>
      <c r="BU429" s="7"/>
      <c r="BV429" s="7"/>
      <c r="BW429" s="7"/>
      <c r="BX429" s="7"/>
      <c r="BY429" s="9"/>
    </row>
    <row r="430" spans="3:77" ht="15" customHeight="1" x14ac:dyDescent="0.2">
      <c r="C430" s="4"/>
      <c r="W430" s="12" t="s">
        <v>93</v>
      </c>
      <c r="X430" s="143">
        <f>X429/(N.web+2)</f>
        <v>1649.3852119093269</v>
      </c>
      <c r="Y430" s="143"/>
      <c r="Z430" s="143"/>
      <c r="AA430" s="143"/>
      <c r="AB430" s="143"/>
      <c r="BT430" s="7"/>
      <c r="BU430" s="7"/>
      <c r="BV430" s="7"/>
      <c r="BW430" s="7"/>
      <c r="BX430" s="7"/>
      <c r="BY430" s="9"/>
    </row>
    <row r="431" spans="3:77" ht="15" customHeight="1" x14ac:dyDescent="0.2">
      <c r="C431" s="4"/>
      <c r="W431" s="12" t="s">
        <v>529</v>
      </c>
      <c r="X431" s="149">
        <f>Inputs!B46</f>
        <v>6</v>
      </c>
      <c r="Y431" s="149"/>
      <c r="Z431" s="149"/>
      <c r="AA431" s="149"/>
      <c r="AB431" s="149"/>
      <c r="BT431" s="7"/>
      <c r="BU431" s="7"/>
      <c r="BV431" s="7"/>
      <c r="BW431" s="7"/>
      <c r="BX431" s="7"/>
      <c r="BY431" s="9"/>
    </row>
    <row r="432" spans="3:77" ht="15" customHeight="1" x14ac:dyDescent="0.25">
      <c r="C432" s="4"/>
      <c r="W432" s="12" t="s">
        <v>96</v>
      </c>
      <c r="X432" s="198">
        <f>Inputs!B47</f>
        <v>7</v>
      </c>
      <c r="Y432" s="198"/>
      <c r="Z432" s="198"/>
      <c r="AA432" s="198"/>
      <c r="AB432" s="198"/>
      <c r="BT432" s="7"/>
      <c r="BU432" s="7"/>
      <c r="BV432" s="7"/>
      <c r="BW432" s="7"/>
      <c r="BX432" s="7"/>
      <c r="BY432" s="9"/>
    </row>
    <row r="433" spans="3:77" ht="15" customHeight="1" x14ac:dyDescent="0.25">
      <c r="C433" s="4"/>
      <c r="W433" s="12" t="s">
        <v>107</v>
      </c>
      <c r="X433" s="151">
        <f>(X430/(ϕ.t*fy))*10</f>
        <v>39.870516629982127</v>
      </c>
      <c r="Y433" s="151"/>
      <c r="Z433" s="151"/>
      <c r="AA433" s="151"/>
      <c r="AB433" s="151"/>
      <c r="BT433" s="7"/>
      <c r="BU433" s="7"/>
      <c r="BV433" s="7"/>
      <c r="BW433" s="7"/>
      <c r="BX433" s="7"/>
      <c r="BY433" s="9"/>
    </row>
    <row r="434" spans="3:77" ht="15" customHeight="1" x14ac:dyDescent="0.25">
      <c r="C434" s="4"/>
      <c r="W434" s="12" t="s">
        <v>108</v>
      </c>
      <c r="X434" s="151" cm="1">
        <f t="array" ref="X434">(_xlfn.SWITCH(X.B, 3,0.11, 4,0.2, 5,0.31, 6,0.44, 7,0.6, 8,0.79, 9,1, 10,1.27, 11,1.56, 14,2.25, 18,4,"")*2*N.B)*6.4516</f>
        <v>39.741855999999999</v>
      </c>
      <c r="Y434" s="151"/>
      <c r="Z434" s="151"/>
      <c r="AA434" s="151"/>
      <c r="AB434" s="151"/>
      <c r="BT434" s="7"/>
      <c r="BU434" s="7"/>
      <c r="BV434" s="7"/>
      <c r="BW434" s="7"/>
      <c r="BX434" s="7"/>
      <c r="BY434" s="9"/>
    </row>
    <row r="435" spans="3:77" ht="15" customHeight="1" x14ac:dyDescent="0.2">
      <c r="C435" s="4"/>
      <c r="X435" s="42"/>
      <c r="AW435" s="139"/>
      <c r="AX435" s="139"/>
      <c r="AY435" s="139"/>
      <c r="BT435" s="7"/>
      <c r="BU435" s="7"/>
      <c r="BV435" s="7"/>
      <c r="BW435" s="7"/>
      <c r="BX435" s="7"/>
      <c r="BY435" s="9"/>
    </row>
    <row r="436" spans="3:77" ht="15" customHeight="1" x14ac:dyDescent="0.2">
      <c r="C436" s="4"/>
      <c r="X436" s="42"/>
      <c r="BT436" s="7"/>
      <c r="BU436" s="7"/>
      <c r="BV436" s="7"/>
      <c r="BW436" s="7"/>
      <c r="BX436" s="7"/>
      <c r="BY436" s="9"/>
    </row>
    <row r="437" spans="3:77" ht="15" customHeight="1" x14ac:dyDescent="0.2">
      <c r="C437" s="140">
        <v>6.2</v>
      </c>
      <c r="D437" s="141"/>
      <c r="E437" s="141"/>
      <c r="F437" s="141"/>
      <c r="G437" s="148" t="s">
        <v>199</v>
      </c>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c r="AD437" s="148"/>
      <c r="AE437" s="148"/>
      <c r="AF437" s="148"/>
      <c r="AG437" s="148"/>
      <c r="AH437" s="148"/>
      <c r="AI437" s="148"/>
      <c r="AJ437" s="148"/>
      <c r="AK437" s="148"/>
      <c r="AL437" s="148"/>
      <c r="AM437" s="148"/>
      <c r="AN437" s="148"/>
      <c r="AO437" s="148"/>
      <c r="AP437" s="148"/>
      <c r="AQ437" s="148"/>
      <c r="AR437" s="148"/>
      <c r="AS437" s="148"/>
      <c r="AT437" s="148"/>
      <c r="AU437" s="148"/>
      <c r="AV437" s="148"/>
      <c r="AW437" s="148"/>
      <c r="AX437" s="148"/>
      <c r="AY437" s="148"/>
      <c r="AZ437" s="148"/>
      <c r="BA437" s="148"/>
      <c r="BB437" s="148"/>
      <c r="BC437" s="148"/>
      <c r="BD437" s="148"/>
      <c r="BE437" s="148"/>
      <c r="BF437" s="148"/>
      <c r="BG437" s="148"/>
      <c r="BH437" s="148"/>
      <c r="BI437" s="148"/>
      <c r="BJ437" s="148"/>
      <c r="BK437" s="148"/>
      <c r="BL437" s="148"/>
      <c r="BM437" s="148"/>
      <c r="BN437" s="148"/>
      <c r="BO437" s="148"/>
      <c r="BP437" s="148"/>
      <c r="BQ437" s="148"/>
      <c r="BR437" s="148"/>
      <c r="BT437" s="7"/>
      <c r="BU437" s="7"/>
      <c r="BV437" s="7"/>
      <c r="BW437" s="7"/>
      <c r="BX437" s="7"/>
      <c r="BY437" s="9"/>
    </row>
    <row r="438" spans="3:77" ht="15" customHeight="1" x14ac:dyDescent="0.2">
      <c r="C438" s="140"/>
      <c r="D438" s="141"/>
      <c r="E438" s="141"/>
      <c r="F438" s="141"/>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c r="AD438" s="148"/>
      <c r="AE438" s="148"/>
      <c r="AF438" s="148"/>
      <c r="AG438" s="148"/>
      <c r="AH438" s="148"/>
      <c r="AI438" s="148"/>
      <c r="AJ438" s="148"/>
      <c r="AK438" s="148"/>
      <c r="AL438" s="148"/>
      <c r="AM438" s="148"/>
      <c r="AN438" s="148"/>
      <c r="AO438" s="148"/>
      <c r="AP438" s="148"/>
      <c r="AQ438" s="148"/>
      <c r="AR438" s="148"/>
      <c r="AS438" s="148"/>
      <c r="AT438" s="148"/>
      <c r="AU438" s="148"/>
      <c r="AV438" s="148"/>
      <c r="AW438" s="148"/>
      <c r="AX438" s="148"/>
      <c r="AY438" s="148"/>
      <c r="AZ438" s="148"/>
      <c r="BA438" s="148"/>
      <c r="BB438" s="148"/>
      <c r="BC438" s="148"/>
      <c r="BD438" s="148"/>
      <c r="BE438" s="148"/>
      <c r="BF438" s="148"/>
      <c r="BG438" s="148"/>
      <c r="BH438" s="148"/>
      <c r="BI438" s="148"/>
      <c r="BJ438" s="148"/>
      <c r="BK438" s="148"/>
      <c r="BL438" s="148"/>
      <c r="BM438" s="148"/>
      <c r="BN438" s="148"/>
      <c r="BO438" s="148"/>
      <c r="BP438" s="148"/>
      <c r="BQ438" s="148"/>
      <c r="BR438" s="148"/>
      <c r="BT438" s="7"/>
      <c r="BU438" s="7"/>
      <c r="BV438" s="7"/>
      <c r="BW438" s="7"/>
      <c r="BX438" s="7"/>
      <c r="BY438" s="9"/>
    </row>
    <row r="439" spans="3:77" ht="15" customHeight="1" x14ac:dyDescent="0.2">
      <c r="C439" s="4"/>
      <c r="X439" s="42"/>
      <c r="BT439" s="7"/>
      <c r="BU439" s="7"/>
      <c r="BV439" s="7"/>
      <c r="BW439" s="7"/>
      <c r="BX439" s="7"/>
      <c r="BY439" s="9"/>
    </row>
    <row r="440" spans="3:77" ht="15" customHeight="1" x14ac:dyDescent="0.2">
      <c r="C440" s="4"/>
      <c r="W440" s="12" t="s">
        <v>106</v>
      </c>
      <c r="X440" s="180">
        <f>IF(c.g._spc_tendons&lt;0.4*S.h, 0.02*Pu/(N.web+2))</f>
        <v>160.54272353461411</v>
      </c>
      <c r="Y440" s="180"/>
      <c r="Z440" s="180"/>
      <c r="AA440" s="180"/>
      <c r="AB440" s="180"/>
      <c r="AC440" s="180"/>
      <c r="BT440" s="7"/>
      <c r="BU440" s="7"/>
      <c r="BV440" s="7"/>
      <c r="BW440" s="7"/>
      <c r="BX440" s="7"/>
      <c r="BY440" s="9" t="s">
        <v>172</v>
      </c>
    </row>
    <row r="441" spans="3:77" ht="15" customHeight="1" x14ac:dyDescent="0.25">
      <c r="C441" s="4"/>
      <c r="W441" s="12" t="s">
        <v>97</v>
      </c>
      <c r="X441" s="149">
        <f>Inputs!B48</f>
        <v>5</v>
      </c>
      <c r="Y441" s="149"/>
      <c r="Z441" s="149"/>
      <c r="AA441" s="149"/>
      <c r="AB441" s="149"/>
      <c r="AF441" s="14"/>
      <c r="BT441" s="7"/>
      <c r="BU441" s="7"/>
      <c r="BV441" s="7"/>
      <c r="BW441" s="7"/>
      <c r="BX441" s="7"/>
      <c r="BY441" s="9"/>
    </row>
    <row r="442" spans="3:77" ht="15" customHeight="1" x14ac:dyDescent="0.25">
      <c r="C442" s="4"/>
      <c r="W442" s="12" t="s">
        <v>98</v>
      </c>
      <c r="X442" s="198">
        <f>Inputs!B49</f>
        <v>2</v>
      </c>
      <c r="Y442" s="198"/>
      <c r="Z442" s="198"/>
      <c r="AA442" s="198"/>
      <c r="AB442" s="198"/>
      <c r="AF442" s="14"/>
      <c r="BT442" s="7"/>
      <c r="BU442" s="7"/>
      <c r="BV442" s="7"/>
      <c r="BW442" s="7"/>
      <c r="BX442" s="7"/>
      <c r="BY442" s="9"/>
    </row>
    <row r="443" spans="3:77" ht="15" customHeight="1" x14ac:dyDescent="0.25">
      <c r="C443" s="4"/>
      <c r="W443" s="12" t="s">
        <v>107</v>
      </c>
      <c r="X443" s="151">
        <f>(X440/(ϕ.t*fy))*10</f>
        <v>3.8807922383999998</v>
      </c>
      <c r="Y443" s="151"/>
      <c r="Z443" s="151"/>
      <c r="AA443" s="151"/>
      <c r="AB443" s="151"/>
      <c r="AF443" s="14"/>
      <c r="BT443" s="7"/>
      <c r="BU443" s="7"/>
      <c r="BV443" s="7"/>
      <c r="BW443" s="7"/>
      <c r="BX443" s="7"/>
      <c r="BY443" s="9"/>
    </row>
    <row r="444" spans="3:77" ht="15" customHeight="1" x14ac:dyDescent="0.25">
      <c r="C444" s="4"/>
      <c r="W444" s="12" t="s">
        <v>108</v>
      </c>
      <c r="X444" s="151" cm="1">
        <f t="array" ref="X444">(_xlfn.SWITCH(X.S, 3,0.11, 4,0.2, 5,0.31, 6,0.44, 7,0.6, 8,0.79, 9,1, 10,1.27, 11,1.56, 14,2.25, 18,4,"")*N.S)*6.4516</f>
        <v>3.9999919999999998</v>
      </c>
      <c r="Y444" s="151"/>
      <c r="Z444" s="151"/>
      <c r="AA444" s="151"/>
      <c r="AB444" s="151"/>
      <c r="BT444" s="7"/>
      <c r="BU444" s="7"/>
      <c r="BV444" s="7"/>
      <c r="BW444" s="7"/>
      <c r="BX444" s="7"/>
      <c r="BY444" s="9"/>
    </row>
    <row r="445" spans="3:77" ht="15" customHeight="1" x14ac:dyDescent="0.2">
      <c r="C445" s="4"/>
      <c r="BT445" s="7"/>
      <c r="BU445" s="7"/>
      <c r="BV445" s="7"/>
      <c r="BW445" s="7"/>
      <c r="BX445" s="7"/>
      <c r="BY445" s="9"/>
    </row>
    <row r="446" spans="3:77" ht="15" customHeight="1" x14ac:dyDescent="0.2">
      <c r="C446" s="4"/>
      <c r="BT446" s="7"/>
      <c r="BU446" s="7"/>
      <c r="BV446" s="7"/>
      <c r="BW446" s="7"/>
      <c r="BX446" s="7"/>
      <c r="BY446" s="9"/>
    </row>
    <row r="447" spans="3:77" ht="15" customHeight="1" x14ac:dyDescent="0.2">
      <c r="C447" s="55"/>
      <c r="BT447" s="7"/>
      <c r="BU447" s="7"/>
      <c r="BV447" s="7"/>
      <c r="BW447" s="7"/>
      <c r="BX447" s="7"/>
      <c r="BY447" s="9"/>
    </row>
    <row r="448" spans="3:77" ht="15" customHeight="1" x14ac:dyDescent="0.2">
      <c r="C448" s="140">
        <v>6.3</v>
      </c>
      <c r="D448" s="141"/>
      <c r="E448" s="141"/>
      <c r="F448" s="141"/>
      <c r="G448" s="148" t="s">
        <v>200</v>
      </c>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c r="AD448" s="148"/>
      <c r="AE448" s="148"/>
      <c r="AF448" s="148"/>
      <c r="AG448" s="148"/>
      <c r="AH448" s="148"/>
      <c r="AI448" s="148"/>
      <c r="AJ448" s="148"/>
      <c r="AK448" s="148"/>
      <c r="AL448" s="148"/>
      <c r="AM448" s="148"/>
      <c r="AN448" s="148"/>
      <c r="AO448" s="148"/>
      <c r="AP448" s="148"/>
      <c r="AQ448" s="148"/>
      <c r="AR448" s="148"/>
      <c r="AS448" s="148"/>
      <c r="AT448" s="148"/>
      <c r="AU448" s="148"/>
      <c r="AV448" s="148"/>
      <c r="AW448" s="148"/>
      <c r="AX448" s="148"/>
      <c r="AY448" s="148"/>
      <c r="AZ448" s="148"/>
      <c r="BA448" s="148"/>
      <c r="BB448" s="148"/>
      <c r="BC448" s="148"/>
      <c r="BD448" s="148"/>
      <c r="BE448" s="148"/>
      <c r="BF448" s="148"/>
      <c r="BG448" s="148"/>
      <c r="BH448" s="148"/>
      <c r="BI448" s="148"/>
      <c r="BJ448" s="148"/>
      <c r="BK448" s="148"/>
      <c r="BL448" s="148"/>
      <c r="BM448" s="148"/>
      <c r="BN448" s="148"/>
      <c r="BO448" s="148"/>
      <c r="BP448" s="148"/>
      <c r="BQ448" s="148"/>
      <c r="BR448" s="148"/>
      <c r="BT448" s="7"/>
      <c r="BU448" s="7"/>
      <c r="BV448" s="7"/>
      <c r="BW448" s="7"/>
      <c r="BX448" s="7"/>
      <c r="BY448" s="9"/>
    </row>
    <row r="449" spans="3:77" ht="15" customHeight="1" x14ac:dyDescent="0.2">
      <c r="C449" s="140"/>
      <c r="D449" s="141"/>
      <c r="E449" s="141"/>
      <c r="F449" s="141"/>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c r="AD449" s="148"/>
      <c r="AE449" s="148"/>
      <c r="AF449" s="148"/>
      <c r="AG449" s="148"/>
      <c r="AH449" s="148"/>
      <c r="AI449" s="148"/>
      <c r="AJ449" s="148"/>
      <c r="AK449" s="148"/>
      <c r="AL449" s="148"/>
      <c r="AM449" s="148"/>
      <c r="AN449" s="148"/>
      <c r="AO449" s="148"/>
      <c r="AP449" s="148"/>
      <c r="AQ449" s="148"/>
      <c r="AR449" s="148"/>
      <c r="AS449" s="148"/>
      <c r="AT449" s="148"/>
      <c r="AU449" s="148"/>
      <c r="AV449" s="148"/>
      <c r="AW449" s="148"/>
      <c r="AX449" s="148"/>
      <c r="AY449" s="148"/>
      <c r="AZ449" s="148"/>
      <c r="BA449" s="148"/>
      <c r="BB449" s="148"/>
      <c r="BC449" s="148"/>
      <c r="BD449" s="148"/>
      <c r="BE449" s="148"/>
      <c r="BF449" s="148"/>
      <c r="BG449" s="148"/>
      <c r="BH449" s="148"/>
      <c r="BI449" s="148"/>
      <c r="BJ449" s="148"/>
      <c r="BK449" s="148"/>
      <c r="BL449" s="148"/>
      <c r="BM449" s="148"/>
      <c r="BN449" s="148"/>
      <c r="BO449" s="148"/>
      <c r="BP449" s="148"/>
      <c r="BQ449" s="148"/>
      <c r="BR449" s="148"/>
      <c r="BT449" s="7"/>
      <c r="BU449" s="7"/>
      <c r="BV449" s="7"/>
      <c r="BW449" s="7"/>
      <c r="BX449" s="7"/>
      <c r="BY449" s="9"/>
    </row>
    <row r="450" spans="3:77" ht="15" customHeight="1" x14ac:dyDescent="0.2">
      <c r="C450" s="4"/>
      <c r="G450" s="170" t="s">
        <v>203</v>
      </c>
      <c r="H450" s="171"/>
      <c r="I450" s="171"/>
      <c r="J450" s="171"/>
      <c r="K450" s="171"/>
      <c r="L450" s="171"/>
      <c r="M450" s="171"/>
      <c r="N450" s="171"/>
      <c r="O450" s="171"/>
      <c r="P450" s="171"/>
      <c r="Q450" s="171"/>
      <c r="R450" s="171"/>
      <c r="S450" s="171"/>
      <c r="T450" s="171"/>
      <c r="U450" s="171"/>
      <c r="V450" s="171"/>
      <c r="W450" s="171"/>
      <c r="X450" s="171"/>
      <c r="Y450" s="171"/>
      <c r="Z450" s="171"/>
      <c r="AA450" s="171"/>
      <c r="AB450" s="171"/>
      <c r="AC450" s="171"/>
      <c r="AD450" s="171"/>
      <c r="AE450" s="171"/>
      <c r="AF450" s="171"/>
      <c r="AG450" s="171"/>
      <c r="AH450" s="171"/>
      <c r="AI450" s="171"/>
      <c r="AJ450" s="171"/>
      <c r="AK450" s="171"/>
      <c r="AL450" s="171"/>
      <c r="AM450" s="171"/>
      <c r="AN450" s="171"/>
      <c r="AO450" s="171"/>
      <c r="AP450" s="171"/>
      <c r="AQ450" s="171"/>
      <c r="AR450" s="171"/>
      <c r="AS450" s="171"/>
      <c r="AT450" s="171"/>
      <c r="AU450" s="171"/>
      <c r="AV450" s="171"/>
      <c r="AW450" s="171"/>
      <c r="AX450" s="171"/>
      <c r="AY450" s="171"/>
      <c r="AZ450" s="171"/>
      <c r="BA450" s="171"/>
      <c r="BB450" s="171"/>
      <c r="BC450" s="171"/>
      <c r="BD450" s="171"/>
      <c r="BE450" s="171"/>
      <c r="BF450" s="171"/>
      <c r="BG450" s="171"/>
      <c r="BH450" s="171"/>
      <c r="BI450" s="171"/>
      <c r="BJ450" s="171"/>
      <c r="BK450" s="171"/>
      <c r="BL450" s="171"/>
      <c r="BM450" s="171"/>
      <c r="BN450" s="171"/>
      <c r="BO450" s="171"/>
      <c r="BP450" s="171"/>
      <c r="BQ450" s="171"/>
      <c r="BR450" s="171"/>
      <c r="BT450" s="7"/>
      <c r="BU450" s="7"/>
      <c r="BV450" s="7"/>
      <c r="BW450" s="7"/>
      <c r="BX450" s="7"/>
      <c r="BY450" s="9"/>
    </row>
    <row r="451" spans="3:77" ht="15" customHeight="1" x14ac:dyDescent="0.2">
      <c r="C451" s="33"/>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c r="AC451" s="171"/>
      <c r="AD451" s="171"/>
      <c r="AE451" s="171"/>
      <c r="AF451" s="171"/>
      <c r="AG451" s="171"/>
      <c r="AH451" s="171"/>
      <c r="AI451" s="171"/>
      <c r="AJ451" s="171"/>
      <c r="AK451" s="171"/>
      <c r="AL451" s="171"/>
      <c r="AM451" s="171"/>
      <c r="AN451" s="171"/>
      <c r="AO451" s="171"/>
      <c r="AP451" s="171"/>
      <c r="AQ451" s="171"/>
      <c r="AR451" s="171"/>
      <c r="AS451" s="171"/>
      <c r="AT451" s="171"/>
      <c r="AU451" s="171"/>
      <c r="AV451" s="171"/>
      <c r="AW451" s="171"/>
      <c r="AX451" s="171"/>
      <c r="AY451" s="171"/>
      <c r="AZ451" s="171"/>
      <c r="BA451" s="171"/>
      <c r="BB451" s="171"/>
      <c r="BC451" s="171"/>
      <c r="BD451" s="171"/>
      <c r="BE451" s="171"/>
      <c r="BF451" s="171"/>
      <c r="BG451" s="171"/>
      <c r="BH451" s="171"/>
      <c r="BI451" s="171"/>
      <c r="BJ451" s="171"/>
      <c r="BK451" s="171"/>
      <c r="BL451" s="171"/>
      <c r="BM451" s="171"/>
      <c r="BN451" s="171"/>
      <c r="BO451" s="171"/>
      <c r="BP451" s="171"/>
      <c r="BQ451" s="171"/>
      <c r="BR451" s="171"/>
      <c r="BT451" s="7"/>
      <c r="BU451" s="7"/>
      <c r="BV451" s="7"/>
      <c r="BW451" s="7"/>
      <c r="BX451" s="7"/>
      <c r="BY451" s="9"/>
    </row>
    <row r="452" spans="3:77" ht="15" customHeight="1" x14ac:dyDescent="0.2">
      <c r="C452" s="33"/>
      <c r="BT452" s="7"/>
      <c r="BU452" s="7"/>
      <c r="BV452" s="7"/>
      <c r="BW452" s="7"/>
      <c r="BX452" s="7"/>
      <c r="BY452" s="9"/>
    </row>
    <row r="453" spans="3:77" ht="15" customHeight="1" x14ac:dyDescent="0.2">
      <c r="C453" s="4"/>
      <c r="W453" s="12" t="s">
        <v>109</v>
      </c>
      <c r="X453" s="144" cm="1">
        <f t="array" ref="X453">L.Lz+2*(L.Lz)/3</f>
        <v>0.69426666666666659</v>
      </c>
      <c r="Y453" s="144"/>
      <c r="Z453" s="144"/>
      <c r="AA453" s="144"/>
      <c r="AB453" s="144"/>
      <c r="BT453" s="7"/>
      <c r="BU453" s="7"/>
      <c r="BV453" s="7"/>
      <c r="BW453" s="7"/>
      <c r="BX453" s="7"/>
      <c r="BY453" s="9"/>
    </row>
    <row r="454" spans="3:77" ht="15" customHeight="1" x14ac:dyDescent="0.25">
      <c r="C454" s="4"/>
      <c r="W454" s="12" t="s">
        <v>532</v>
      </c>
      <c r="X454" s="144">
        <f>c.g._spc_tendons+X453</f>
        <v>1.1514666666666666</v>
      </c>
      <c r="Y454" s="144"/>
      <c r="Z454" s="144"/>
      <c r="AA454" s="144"/>
      <c r="AB454" s="144"/>
      <c r="AX454" s="32"/>
      <c r="AY454" s="32"/>
      <c r="AZ454" s="32"/>
      <c r="BT454" s="7"/>
      <c r="BU454" s="7"/>
      <c r="BV454" s="7"/>
      <c r="BW454" s="7"/>
      <c r="BX454" s="7"/>
      <c r="BY454" s="9" t="s">
        <v>171</v>
      </c>
    </row>
    <row r="455" spans="3:77" ht="15" customHeight="1" x14ac:dyDescent="0.25">
      <c r="C455" s="4"/>
      <c r="W455" s="13" t="s">
        <v>173</v>
      </c>
      <c r="X455" s="182">
        <f>((Pu/(N.web+2))/(X453*X454))/1000</f>
        <v>10.0411382373512</v>
      </c>
      <c r="Y455" s="182"/>
      <c r="Z455" s="182"/>
      <c r="AA455" s="182"/>
      <c r="AB455" s="182"/>
      <c r="BT455" s="7"/>
      <c r="BU455" s="7"/>
      <c r="BV455" s="7"/>
      <c r="BW455" s="7"/>
      <c r="BX455" s="7"/>
      <c r="BY455" s="9"/>
    </row>
    <row r="456" spans="3:77" ht="15" customHeight="1" x14ac:dyDescent="0.25">
      <c r="C456" s="4"/>
      <c r="W456" s="12" t="s">
        <v>111</v>
      </c>
      <c r="X456" s="181">
        <f>Inputs!B50</f>
        <v>24.131650526199998</v>
      </c>
      <c r="Y456" s="181"/>
      <c r="Z456" s="181"/>
      <c r="AA456" s="181"/>
      <c r="AB456" s="181"/>
      <c r="BT456" s="7"/>
      <c r="BU456" s="7"/>
      <c r="BV456" s="7"/>
      <c r="BW456" s="7"/>
      <c r="BX456" s="7"/>
      <c r="BY456" s="9"/>
    </row>
    <row r="457" spans="3:77" ht="15" customHeight="1" x14ac:dyDescent="0.25">
      <c r="C457" s="4"/>
      <c r="W457" s="13" t="s">
        <v>277</v>
      </c>
      <c r="X457" s="172">
        <f>Inputs!B51</f>
        <v>0.8</v>
      </c>
      <c r="Y457" s="172"/>
      <c r="Z457" s="172"/>
      <c r="AA457" s="172"/>
      <c r="AB457" s="172"/>
      <c r="BT457" s="7"/>
      <c r="BU457" s="7"/>
      <c r="BV457" s="7"/>
      <c r="BW457" s="7"/>
      <c r="BX457" s="7"/>
      <c r="BY457" s="9"/>
    </row>
    <row r="458" spans="3:77" ht="15" customHeight="1" x14ac:dyDescent="0.2">
      <c r="C458" s="4"/>
      <c r="W458" s="12" t="s">
        <v>110</v>
      </c>
      <c r="X458" s="182">
        <f>0.7*ϕc*fci</f>
        <v>13.513724294671997</v>
      </c>
      <c r="Y458" s="182"/>
      <c r="Z458" s="182"/>
      <c r="AA458" s="182"/>
      <c r="AB458" s="182"/>
      <c r="BT458" s="7"/>
      <c r="BU458" s="7"/>
      <c r="BV458" s="7"/>
      <c r="BW458" s="7"/>
      <c r="BX458" s="7"/>
      <c r="BY458" s="9"/>
    </row>
    <row r="459" spans="3:77" ht="15" customHeight="1" x14ac:dyDescent="0.2">
      <c r="C459" s="4"/>
      <c r="W459" s="12"/>
      <c r="X459" s="65"/>
      <c r="Y459" s="65"/>
      <c r="Z459" s="65"/>
      <c r="BT459" s="7"/>
      <c r="BU459" s="7"/>
      <c r="BV459" s="7"/>
      <c r="BW459" s="7"/>
      <c r="BX459" s="7"/>
      <c r="BY459" s="9"/>
    </row>
    <row r="460" spans="3:77" ht="15" customHeight="1" x14ac:dyDescent="0.2">
      <c r="C460" s="4"/>
      <c r="G460" s="139" t="s">
        <v>204</v>
      </c>
      <c r="H460" s="139"/>
      <c r="I460" s="139"/>
      <c r="J460" s="139"/>
      <c r="K460" s="139"/>
      <c r="L460" s="139"/>
      <c r="M460" s="139"/>
      <c r="N460" s="139"/>
      <c r="O460" s="139"/>
      <c r="P460" s="139"/>
      <c r="Q460" s="139"/>
      <c r="R460" s="139"/>
      <c r="S460" s="139"/>
      <c r="T460" s="139"/>
      <c r="U460" s="139"/>
      <c r="V460" s="139"/>
      <c r="W460" s="139"/>
      <c r="X460" s="139"/>
      <c r="Y460" s="139"/>
      <c r="Z460" s="139"/>
      <c r="AA460" s="139"/>
      <c r="AB460" s="139"/>
      <c r="AC460" s="139"/>
      <c r="AD460" s="139"/>
      <c r="AE460" s="139"/>
      <c r="AF460" s="139"/>
      <c r="AG460" s="139"/>
      <c r="AH460" s="139"/>
      <c r="AI460" s="139"/>
      <c r="AJ460" s="139"/>
      <c r="AK460" s="139"/>
      <c r="AL460" s="139"/>
      <c r="AM460" s="139"/>
      <c r="AN460" s="139"/>
      <c r="AO460" s="139"/>
      <c r="AP460" s="139"/>
      <c r="AQ460" s="139"/>
      <c r="AR460" s="139"/>
      <c r="AS460" s="139"/>
      <c r="AT460" s="139"/>
      <c r="AU460" s="139"/>
      <c r="AV460" s="139"/>
      <c r="AW460" s="139"/>
      <c r="AX460" s="139"/>
      <c r="AY460" s="139"/>
      <c r="AZ460" s="139"/>
      <c r="BA460" s="139"/>
      <c r="BB460" s="139"/>
      <c r="BC460" s="139"/>
      <c r="BD460" s="139"/>
      <c r="BE460" s="139"/>
      <c r="BF460" s="139"/>
      <c r="BG460" s="139"/>
      <c r="BH460" s="139"/>
      <c r="BI460" s="139"/>
      <c r="BJ460" s="139"/>
      <c r="BK460" s="139"/>
      <c r="BL460" s="139"/>
      <c r="BM460" s="139"/>
      <c r="BN460" s="139"/>
      <c r="BO460" s="139"/>
      <c r="BP460" s="139"/>
      <c r="BQ460" s="139"/>
      <c r="BR460" s="139"/>
      <c r="BT460" s="7"/>
      <c r="BU460" s="7"/>
      <c r="BV460" s="7"/>
      <c r="BW460" s="7"/>
      <c r="BX460" s="7"/>
      <c r="BY460" s="9" t="s">
        <v>165</v>
      </c>
    </row>
    <row r="461" spans="3:77" ht="15" customHeight="1" x14ac:dyDescent="0.2">
      <c r="C461" s="4"/>
      <c r="BT461" s="7"/>
      <c r="BU461" s="7"/>
      <c r="BV461" s="7"/>
      <c r="BW461" s="7"/>
      <c r="BX461" s="7"/>
      <c r="BY461" s="9"/>
    </row>
    <row r="462" spans="3:77" ht="15" customHeight="1" x14ac:dyDescent="0.2">
      <c r="C462" s="4"/>
      <c r="W462" s="12" t="s">
        <v>402</v>
      </c>
      <c r="X462" s="144" cm="1">
        <f t="array" ref="X462">L.b+L.CL1-L.Lz</f>
        <v>0.38454523116789641</v>
      </c>
      <c r="Y462" s="144"/>
      <c r="Z462" s="144"/>
      <c r="AA462" s="144"/>
      <c r="AB462" s="144"/>
      <c r="BT462" s="7"/>
      <c r="BU462" s="7"/>
      <c r="BV462" s="7"/>
      <c r="BW462" s="7"/>
      <c r="BX462" s="7"/>
      <c r="BY462" s="7"/>
    </row>
    <row r="463" spans="3:77" ht="15" customHeight="1" x14ac:dyDescent="0.2">
      <c r="C463" s="4"/>
      <c r="W463" s="12" t="s">
        <v>205</v>
      </c>
      <c r="X463" s="144">
        <f>X454+2*X462/3</f>
        <v>1.4078301541119309</v>
      </c>
      <c r="Y463" s="144"/>
      <c r="Z463" s="144"/>
      <c r="AA463" s="144"/>
      <c r="AB463" s="144"/>
      <c r="BT463" s="7"/>
      <c r="BU463" s="7"/>
      <c r="BV463" s="7"/>
      <c r="BW463" s="7"/>
      <c r="BX463" s="7"/>
      <c r="BY463" s="7"/>
    </row>
    <row r="464" spans="3:77" ht="15" customHeight="1" x14ac:dyDescent="0.25">
      <c r="C464" s="4"/>
      <c r="W464" s="13" t="s">
        <v>174</v>
      </c>
      <c r="X464" s="183">
        <f>((Pu/(N.web+2))/(X463*L.CL1))/1000</f>
        <v>12.471082317423432</v>
      </c>
      <c r="Y464" s="183"/>
      <c r="Z464" s="183"/>
      <c r="AA464" s="183"/>
      <c r="AB464" s="27" t="str">
        <f>IF(X464 &lt;= AC464, "&lt;", "&gt;")</f>
        <v>&lt;</v>
      </c>
      <c r="AC464" s="183">
        <f>X458</f>
        <v>13.513724294671997</v>
      </c>
      <c r="AD464" s="183"/>
      <c r="AE464" s="183"/>
      <c r="AF464" s="183"/>
      <c r="AH464" s="109"/>
      <c r="BT464" s="7"/>
      <c r="BU464" s="7"/>
      <c r="BV464" s="7"/>
      <c r="BW464" s="7"/>
      <c r="BX464" s="7"/>
      <c r="BY464" s="7"/>
    </row>
    <row r="465" spans="3:77" ht="15" customHeight="1" x14ac:dyDescent="0.2">
      <c r="C465" s="4"/>
      <c r="W465" s="12" t="s">
        <v>201</v>
      </c>
      <c r="X465" s="184" t="str">
        <f>IF(X464 &lt;= X458, "OK", "NOT GOOD")</f>
        <v>OK</v>
      </c>
      <c r="Y465" s="184"/>
      <c r="Z465" s="184"/>
      <c r="AA465" s="184"/>
      <c r="AV465" s="142" t="str">
        <f>"Figure "&amp;Inputs!$B$3&amp;"-8:  Interface Between Local Zone and General Zone"</f>
        <v>Figure C.1-8:  Interface Between Local Zone and General Zone</v>
      </c>
      <c r="AW465" s="142"/>
      <c r="AX465" s="142"/>
      <c r="AY465" s="142"/>
      <c r="AZ465" s="142"/>
      <c r="BA465" s="142"/>
      <c r="BB465" s="142"/>
      <c r="BC465" s="142"/>
      <c r="BD465" s="142"/>
      <c r="BE465" s="142"/>
      <c r="BF465" s="142"/>
      <c r="BG465" s="142"/>
      <c r="BH465" s="142"/>
      <c r="BI465" s="142"/>
      <c r="BJ465" s="142"/>
      <c r="BK465" s="142"/>
      <c r="BL465" s="142"/>
      <c r="BM465" s="142"/>
      <c r="BN465" s="142"/>
      <c r="BO465" s="142"/>
      <c r="BT465" s="7"/>
      <c r="BU465" s="7"/>
      <c r="BV465" s="7"/>
      <c r="BW465" s="7"/>
      <c r="BX465" s="7"/>
      <c r="BY465" s="7"/>
    </row>
    <row r="466" spans="3:77" ht="15" customHeight="1" x14ac:dyDescent="0.2">
      <c r="C466" s="4"/>
      <c r="W466" s="12"/>
      <c r="X466" s="22"/>
      <c r="Y466" s="22"/>
      <c r="Z466" s="22"/>
      <c r="AA466" s="22"/>
      <c r="AV466" s="46"/>
      <c r="AW466" s="46"/>
      <c r="AX466" s="46"/>
      <c r="AY466" s="46"/>
      <c r="AZ466" s="46"/>
      <c r="BA466" s="46"/>
      <c r="BB466" s="46"/>
      <c r="BC466" s="46"/>
      <c r="BD466" s="46"/>
      <c r="BE466" s="46"/>
      <c r="BF466" s="46"/>
      <c r="BG466" s="46"/>
      <c r="BH466" s="46"/>
      <c r="BI466" s="46"/>
      <c r="BJ466" s="46"/>
      <c r="BK466" s="46"/>
      <c r="BL466" s="46"/>
      <c r="BM466" s="46"/>
      <c r="BN466" s="46"/>
      <c r="BO466" s="46"/>
      <c r="BT466" s="7"/>
      <c r="BU466" s="7"/>
      <c r="BV466" s="7"/>
      <c r="BW466" s="7"/>
      <c r="BX466" s="7"/>
      <c r="BY466" s="7"/>
    </row>
    <row r="467" spans="3:77" ht="15" customHeight="1" x14ac:dyDescent="0.2">
      <c r="C467" s="55"/>
      <c r="BT467" s="7"/>
      <c r="BU467" s="7"/>
      <c r="BV467" s="7"/>
      <c r="BW467" s="7"/>
      <c r="BX467" s="7"/>
      <c r="BY467" s="7"/>
    </row>
    <row r="468" spans="3:77" ht="15" customHeight="1" x14ac:dyDescent="0.2">
      <c r="C468" s="55"/>
      <c r="BT468" s="7"/>
      <c r="BU468" s="7"/>
      <c r="BV468" s="7"/>
      <c r="BW468" s="7"/>
      <c r="BX468" s="7"/>
      <c r="BY468" s="7"/>
    </row>
    <row r="469" spans="3:77" ht="15" customHeight="1" x14ac:dyDescent="0.2">
      <c r="C469" s="55"/>
      <c r="BT469" s="7"/>
      <c r="BU469" s="7"/>
      <c r="BV469" s="7"/>
      <c r="BW469" s="7"/>
      <c r="BX469" s="7"/>
      <c r="BY469" s="7"/>
    </row>
    <row r="470" spans="3:77" ht="15" customHeight="1" x14ac:dyDescent="0.2">
      <c r="C470" s="55"/>
      <c r="BT470" s="7"/>
      <c r="BU470" s="7"/>
      <c r="BV470" s="7"/>
      <c r="BW470" s="7"/>
      <c r="BX470" s="7"/>
      <c r="BY470" s="7"/>
    </row>
    <row r="471" spans="3:77" ht="15" customHeight="1" x14ac:dyDescent="0.2">
      <c r="C471" s="55"/>
      <c r="BT471" s="7"/>
      <c r="BU471" s="7"/>
      <c r="BV471" s="7"/>
      <c r="BW471" s="7"/>
      <c r="BX471" s="7"/>
      <c r="BY471" s="7"/>
    </row>
    <row r="472" spans="3:77" ht="15" customHeight="1" x14ac:dyDescent="0.2">
      <c r="C472" s="55"/>
      <c r="BT472" s="7"/>
      <c r="BU472" s="7"/>
      <c r="BV472" s="7"/>
      <c r="BW472" s="7"/>
      <c r="BX472" s="7"/>
      <c r="BY472" s="7"/>
    </row>
    <row r="473" spans="3:77" ht="15" customHeight="1" x14ac:dyDescent="0.2">
      <c r="C473" s="55"/>
      <c r="BT473" s="7"/>
      <c r="BU473" s="7"/>
      <c r="BV473" s="7"/>
      <c r="BW473" s="7"/>
      <c r="BX473" s="7"/>
      <c r="BY473" s="7"/>
    </row>
    <row r="474" spans="3:77" ht="15" customHeight="1" x14ac:dyDescent="0.2">
      <c r="C474" s="55"/>
      <c r="BT474" s="7"/>
      <c r="BU474" s="7"/>
      <c r="BV474" s="7"/>
      <c r="BW474" s="7"/>
      <c r="BX474" s="7"/>
      <c r="BY474" s="7"/>
    </row>
    <row r="475" spans="3:77" ht="15" customHeight="1" x14ac:dyDescent="0.2">
      <c r="C475" s="55"/>
      <c r="BT475" s="7"/>
      <c r="BU475" s="7"/>
      <c r="BV475" s="7"/>
      <c r="BW475" s="7"/>
      <c r="BX475" s="7"/>
      <c r="BY475" s="7"/>
    </row>
    <row r="476" spans="3:77" ht="15" customHeight="1" x14ac:dyDescent="0.2">
      <c r="C476" s="55"/>
      <c r="BT476" s="7"/>
      <c r="BU476" s="7"/>
      <c r="BV476" s="7"/>
      <c r="BW476" s="7"/>
      <c r="BX476" s="7"/>
      <c r="BY476" s="7"/>
    </row>
    <row r="477" spans="3:77" ht="15" customHeight="1" x14ac:dyDescent="0.2">
      <c r="C477" s="55"/>
      <c r="BT477" s="7"/>
      <c r="BU477" s="7"/>
      <c r="BV477" s="7"/>
      <c r="BW477" s="7"/>
      <c r="BX477" s="7"/>
      <c r="BY477" s="7"/>
    </row>
    <row r="478" spans="3:77" ht="15" customHeight="1" x14ac:dyDescent="0.2">
      <c r="C478" s="55"/>
      <c r="BT478" s="7"/>
      <c r="BU478" s="7"/>
      <c r="BV478" s="7"/>
      <c r="BW478" s="7"/>
      <c r="BX478" s="7"/>
      <c r="BY478" s="7"/>
    </row>
    <row r="479" spans="3:77" ht="15" customHeight="1" x14ac:dyDescent="0.2">
      <c r="C479" s="55"/>
      <c r="BT479" s="7"/>
      <c r="BU479" s="7"/>
      <c r="BV479" s="7"/>
      <c r="BW479" s="7"/>
      <c r="BX479" s="7"/>
      <c r="BY479" s="7"/>
    </row>
    <row r="480" spans="3:77" ht="15" customHeight="1" x14ac:dyDescent="0.2">
      <c r="C480" s="55"/>
      <c r="BT480" s="7"/>
      <c r="BU480" s="7"/>
      <c r="BV480" s="7"/>
      <c r="BW480" s="7"/>
      <c r="BX480" s="7"/>
      <c r="BY480" s="7"/>
    </row>
    <row r="481" spans="3:77" ht="15" customHeight="1" x14ac:dyDescent="0.2">
      <c r="C481" s="55"/>
      <c r="BT481" s="7"/>
      <c r="BU481" s="7"/>
      <c r="BV481" s="7"/>
      <c r="BW481" s="7"/>
      <c r="BX481" s="7"/>
      <c r="BY481" s="7"/>
    </row>
    <row r="482" spans="3:77" ht="15" customHeight="1" x14ac:dyDescent="0.2">
      <c r="C482" s="55"/>
      <c r="BT482" s="7"/>
      <c r="BU482" s="7"/>
      <c r="BV482" s="7"/>
      <c r="BW482" s="7"/>
      <c r="BX482" s="7"/>
      <c r="BY482" s="7"/>
    </row>
    <row r="483" spans="3:77" ht="15" customHeight="1" x14ac:dyDescent="0.2">
      <c r="C483" s="55"/>
      <c r="BT483" s="7"/>
      <c r="BU483" s="7"/>
      <c r="BV483" s="7"/>
      <c r="BW483" s="7"/>
      <c r="BX483" s="7"/>
      <c r="BY483" s="7"/>
    </row>
    <row r="484" spans="3:77" ht="15" customHeight="1" x14ac:dyDescent="0.2">
      <c r="C484" s="55"/>
      <c r="BT484" s="7"/>
      <c r="BU484" s="7"/>
      <c r="BV484" s="7"/>
      <c r="BW484" s="7"/>
      <c r="BX484" s="7"/>
      <c r="BY484" s="7"/>
    </row>
    <row r="485" spans="3:77" ht="15" customHeight="1" x14ac:dyDescent="0.2">
      <c r="C485" s="55"/>
      <c r="BT485" s="7"/>
      <c r="BU485" s="7"/>
      <c r="BV485" s="7"/>
      <c r="BW485" s="7"/>
      <c r="BX485" s="7"/>
      <c r="BY485" s="7"/>
    </row>
    <row r="486" spans="3:77" ht="15" customHeight="1" x14ac:dyDescent="0.2">
      <c r="C486" s="55"/>
      <c r="BT486" s="7"/>
      <c r="BU486" s="7"/>
      <c r="BV486" s="7"/>
      <c r="BW486" s="7"/>
      <c r="BX486" s="7"/>
      <c r="BY486" s="7"/>
    </row>
    <row r="487" spans="3:77" ht="15" customHeight="1" x14ac:dyDescent="0.2">
      <c r="C487" s="55"/>
      <c r="BT487" s="7"/>
      <c r="BU487" s="7"/>
      <c r="BV487" s="7"/>
      <c r="BW487" s="7"/>
      <c r="BX487" s="7"/>
      <c r="BY487" s="7"/>
    </row>
    <row r="488" spans="3:77" ht="15" customHeight="1" x14ac:dyDescent="0.2">
      <c r="C488" s="55"/>
      <c r="BT488" s="7"/>
      <c r="BU488" s="7"/>
      <c r="BV488" s="7"/>
      <c r="BW488" s="7"/>
      <c r="BX488" s="7"/>
      <c r="BY488" s="7"/>
    </row>
    <row r="489" spans="3:77" ht="15" customHeight="1" x14ac:dyDescent="0.2">
      <c r="C489" s="55"/>
      <c r="BT489" s="7"/>
      <c r="BU489" s="7"/>
      <c r="BV489" s="7"/>
      <c r="BW489" s="7"/>
      <c r="BX489" s="7"/>
      <c r="BY489" s="7"/>
    </row>
    <row r="490" spans="3:77" ht="15" customHeight="1" x14ac:dyDescent="0.2">
      <c r="C490" s="55"/>
      <c r="BT490" s="7"/>
      <c r="BU490" s="7"/>
      <c r="BV490" s="7"/>
      <c r="BW490" s="7"/>
      <c r="BX490" s="7"/>
      <c r="BY490" s="7"/>
    </row>
    <row r="491" spans="3:77" ht="15" customHeight="1" x14ac:dyDescent="0.2">
      <c r="C491" s="55"/>
      <c r="BT491" s="7"/>
      <c r="BU491" s="7"/>
      <c r="BV491" s="7"/>
      <c r="BW491" s="7"/>
      <c r="BX491" s="7"/>
      <c r="BY491" s="7"/>
    </row>
    <row r="492" spans="3:77" ht="15" customHeight="1" x14ac:dyDescent="0.2">
      <c r="C492" s="174">
        <v>7</v>
      </c>
      <c r="D492" s="175"/>
      <c r="E492" s="176" t="s">
        <v>208</v>
      </c>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c r="AB492" s="176"/>
      <c r="AC492" s="176"/>
      <c r="AD492" s="176"/>
      <c r="AE492" s="176"/>
      <c r="AF492" s="176"/>
      <c r="AG492" s="176"/>
      <c r="AH492" s="176"/>
      <c r="AI492" s="176"/>
      <c r="AJ492" s="176"/>
      <c r="AK492" s="176"/>
      <c r="AL492" s="176"/>
      <c r="AM492" s="176"/>
      <c r="AN492" s="176"/>
      <c r="AO492" s="176"/>
      <c r="AP492" s="176"/>
      <c r="AQ492" s="176"/>
      <c r="AR492" s="176"/>
      <c r="AS492" s="176"/>
      <c r="AT492" s="176"/>
      <c r="AU492" s="176"/>
      <c r="AV492" s="176"/>
      <c r="AW492" s="176"/>
      <c r="AX492" s="176"/>
      <c r="AY492" s="176"/>
      <c r="AZ492" s="176"/>
      <c r="BA492" s="176"/>
      <c r="BB492" s="176"/>
      <c r="BC492" s="176"/>
      <c r="BD492" s="176"/>
      <c r="BE492" s="176"/>
      <c r="BF492" s="176"/>
      <c r="BG492" s="176"/>
      <c r="BH492" s="176"/>
      <c r="BI492" s="176"/>
      <c r="BJ492" s="176"/>
      <c r="BK492" s="176"/>
      <c r="BL492" s="176"/>
      <c r="BM492" s="176"/>
      <c r="BN492" s="176"/>
      <c r="BO492" s="176"/>
      <c r="BP492" s="176"/>
      <c r="BQ492" s="176"/>
      <c r="BR492" s="176"/>
      <c r="BS492" s="176"/>
      <c r="BT492" s="7"/>
      <c r="BU492" s="7"/>
      <c r="BV492" s="7"/>
      <c r="BW492" s="7"/>
      <c r="BX492" s="7"/>
      <c r="BY492" s="9"/>
    </row>
    <row r="493" spans="3:77" ht="15" customHeight="1" x14ac:dyDescent="0.2">
      <c r="C493" s="174"/>
      <c r="D493" s="175"/>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c r="AB493" s="176"/>
      <c r="AC493" s="176"/>
      <c r="AD493" s="176"/>
      <c r="AE493" s="176"/>
      <c r="AF493" s="176"/>
      <c r="AG493" s="176"/>
      <c r="AH493" s="176"/>
      <c r="AI493" s="176"/>
      <c r="AJ493" s="176"/>
      <c r="AK493" s="176"/>
      <c r="AL493" s="176"/>
      <c r="AM493" s="176"/>
      <c r="AN493" s="176"/>
      <c r="AO493" s="176"/>
      <c r="AP493" s="176"/>
      <c r="AQ493" s="176"/>
      <c r="AR493" s="176"/>
      <c r="AS493" s="176"/>
      <c r="AT493" s="176"/>
      <c r="AU493" s="176"/>
      <c r="AV493" s="176"/>
      <c r="AW493" s="176"/>
      <c r="AX493" s="176"/>
      <c r="AY493" s="176"/>
      <c r="AZ493" s="176"/>
      <c r="BA493" s="176"/>
      <c r="BB493" s="176"/>
      <c r="BC493" s="176"/>
      <c r="BD493" s="176"/>
      <c r="BE493" s="176"/>
      <c r="BF493" s="176"/>
      <c r="BG493" s="176"/>
      <c r="BH493" s="176"/>
      <c r="BI493" s="176"/>
      <c r="BJ493" s="176"/>
      <c r="BK493" s="176"/>
      <c r="BL493" s="176"/>
      <c r="BM493" s="176"/>
      <c r="BN493" s="176"/>
      <c r="BO493" s="176"/>
      <c r="BP493" s="176"/>
      <c r="BQ493" s="176"/>
      <c r="BR493" s="176"/>
      <c r="BS493" s="176"/>
      <c r="BT493" s="7"/>
      <c r="BU493" s="7"/>
      <c r="BV493" s="7"/>
      <c r="BW493" s="7"/>
      <c r="BX493" s="7"/>
      <c r="BY493" s="9"/>
    </row>
    <row r="494" spans="3:77" ht="15" customHeight="1" x14ac:dyDescent="0.3">
      <c r="C494" s="48"/>
      <c r="D494" s="49"/>
      <c r="E494" s="177" t="s">
        <v>261</v>
      </c>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c r="AC494" s="178"/>
      <c r="AD494" s="178"/>
      <c r="AE494" s="178"/>
      <c r="AF494" s="178"/>
      <c r="AG494" s="178"/>
      <c r="AH494" s="178"/>
      <c r="AI494" s="178"/>
      <c r="AJ494" s="178"/>
      <c r="AK494" s="178"/>
      <c r="AL494" s="178"/>
      <c r="AM494" s="178"/>
      <c r="AN494" s="178"/>
      <c r="AO494" s="178"/>
      <c r="AP494" s="178"/>
      <c r="AQ494" s="178"/>
      <c r="AR494" s="178"/>
      <c r="AS494" s="178"/>
      <c r="AT494" s="178"/>
      <c r="AU494" s="178"/>
      <c r="AV494" s="178"/>
      <c r="AW494" s="178"/>
      <c r="AX494" s="178"/>
      <c r="AY494" s="178"/>
      <c r="AZ494" s="178"/>
      <c r="BA494" s="178"/>
      <c r="BB494" s="178"/>
      <c r="BC494" s="178"/>
      <c r="BD494" s="178"/>
      <c r="BE494" s="178"/>
      <c r="BF494" s="178"/>
      <c r="BG494" s="178"/>
      <c r="BH494" s="178"/>
      <c r="BI494" s="178"/>
      <c r="BJ494" s="178"/>
      <c r="BK494" s="178"/>
      <c r="BL494" s="178"/>
      <c r="BM494" s="178"/>
      <c r="BN494" s="178"/>
      <c r="BO494" s="178"/>
      <c r="BP494" s="178"/>
      <c r="BQ494" s="178"/>
      <c r="BR494" s="178"/>
      <c r="BS494" s="47"/>
      <c r="BT494" s="7"/>
      <c r="BU494" s="7"/>
      <c r="BV494" s="7"/>
      <c r="BW494" s="7"/>
      <c r="BX494" s="7"/>
      <c r="BY494" s="9"/>
    </row>
    <row r="495" spans="3:77" ht="15" customHeight="1" x14ac:dyDescent="0.3">
      <c r="C495" s="48"/>
      <c r="D495" s="49"/>
      <c r="E495" s="178"/>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c r="AC495" s="178"/>
      <c r="AD495" s="178"/>
      <c r="AE495" s="178"/>
      <c r="AF495" s="178"/>
      <c r="AG495" s="178"/>
      <c r="AH495" s="178"/>
      <c r="AI495" s="178"/>
      <c r="AJ495" s="178"/>
      <c r="AK495" s="178"/>
      <c r="AL495" s="178"/>
      <c r="AM495" s="178"/>
      <c r="AN495" s="178"/>
      <c r="AO495" s="178"/>
      <c r="AP495" s="178"/>
      <c r="AQ495" s="178"/>
      <c r="AR495" s="178"/>
      <c r="AS495" s="178"/>
      <c r="AT495" s="178"/>
      <c r="AU495" s="178"/>
      <c r="AV495" s="178"/>
      <c r="AW495" s="178"/>
      <c r="AX495" s="178"/>
      <c r="AY495" s="178"/>
      <c r="AZ495" s="178"/>
      <c r="BA495" s="178"/>
      <c r="BB495" s="178"/>
      <c r="BC495" s="178"/>
      <c r="BD495" s="178"/>
      <c r="BE495" s="178"/>
      <c r="BF495" s="178"/>
      <c r="BG495" s="178"/>
      <c r="BH495" s="178"/>
      <c r="BI495" s="178"/>
      <c r="BJ495" s="178"/>
      <c r="BK495" s="178"/>
      <c r="BL495" s="178"/>
      <c r="BM495" s="178"/>
      <c r="BN495" s="178"/>
      <c r="BO495" s="178"/>
      <c r="BP495" s="178"/>
      <c r="BQ495" s="178"/>
      <c r="BR495" s="178"/>
      <c r="BS495" s="47"/>
      <c r="BT495" s="7"/>
      <c r="BU495" s="7"/>
      <c r="BV495" s="7"/>
      <c r="BW495" s="7"/>
      <c r="BX495" s="7"/>
      <c r="BY495" s="9"/>
    </row>
    <row r="496" spans="3:77" ht="15" customHeight="1" x14ac:dyDescent="0.3">
      <c r="C496" s="48"/>
      <c r="D496" s="49"/>
      <c r="E496" s="178"/>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c r="AC496" s="178"/>
      <c r="AD496" s="178"/>
      <c r="AE496" s="178"/>
      <c r="AF496" s="178"/>
      <c r="AG496" s="178"/>
      <c r="AH496" s="178"/>
      <c r="AI496" s="178"/>
      <c r="AJ496" s="178"/>
      <c r="AK496" s="178"/>
      <c r="AL496" s="178"/>
      <c r="AM496" s="178"/>
      <c r="AN496" s="178"/>
      <c r="AO496" s="178"/>
      <c r="AP496" s="178"/>
      <c r="AQ496" s="178"/>
      <c r="AR496" s="178"/>
      <c r="AS496" s="178"/>
      <c r="AT496" s="178"/>
      <c r="AU496" s="178"/>
      <c r="AV496" s="178"/>
      <c r="AW496" s="178"/>
      <c r="AX496" s="178"/>
      <c r="AY496" s="178"/>
      <c r="AZ496" s="178"/>
      <c r="BA496" s="178"/>
      <c r="BB496" s="178"/>
      <c r="BC496" s="178"/>
      <c r="BD496" s="178"/>
      <c r="BE496" s="178"/>
      <c r="BF496" s="178"/>
      <c r="BG496" s="178"/>
      <c r="BH496" s="178"/>
      <c r="BI496" s="178"/>
      <c r="BJ496" s="178"/>
      <c r="BK496" s="178"/>
      <c r="BL496" s="178"/>
      <c r="BM496" s="178"/>
      <c r="BN496" s="178"/>
      <c r="BO496" s="178"/>
      <c r="BP496" s="178"/>
      <c r="BQ496" s="178"/>
      <c r="BR496" s="178"/>
      <c r="BS496" s="47"/>
      <c r="BT496" s="7"/>
      <c r="BU496" s="7"/>
      <c r="BV496" s="7"/>
      <c r="BW496" s="7"/>
      <c r="BX496" s="7"/>
      <c r="BY496" s="9"/>
    </row>
    <row r="497" spans="3:77" ht="15" customHeight="1" x14ac:dyDescent="0.3">
      <c r="C497" s="48"/>
      <c r="D497" s="49"/>
      <c r="E497" s="178"/>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c r="AC497" s="178"/>
      <c r="AD497" s="178"/>
      <c r="AE497" s="178"/>
      <c r="AF497" s="178"/>
      <c r="AG497" s="178"/>
      <c r="AH497" s="178"/>
      <c r="AI497" s="178"/>
      <c r="AJ497" s="178"/>
      <c r="AK497" s="178"/>
      <c r="AL497" s="178"/>
      <c r="AM497" s="178"/>
      <c r="AN497" s="178"/>
      <c r="AO497" s="178"/>
      <c r="AP497" s="178"/>
      <c r="AQ497" s="178"/>
      <c r="AR497" s="178"/>
      <c r="AS497" s="178"/>
      <c r="AT497" s="178"/>
      <c r="AU497" s="178"/>
      <c r="AV497" s="178"/>
      <c r="AW497" s="178"/>
      <c r="AX497" s="178"/>
      <c r="AY497" s="178"/>
      <c r="AZ497" s="178"/>
      <c r="BA497" s="178"/>
      <c r="BB497" s="178"/>
      <c r="BC497" s="178"/>
      <c r="BD497" s="178"/>
      <c r="BE497" s="178"/>
      <c r="BF497" s="178"/>
      <c r="BG497" s="178"/>
      <c r="BH497" s="178"/>
      <c r="BI497" s="178"/>
      <c r="BJ497" s="178"/>
      <c r="BK497" s="178"/>
      <c r="BL497" s="178"/>
      <c r="BM497" s="178"/>
      <c r="BN497" s="178"/>
      <c r="BO497" s="178"/>
      <c r="BP497" s="178"/>
      <c r="BQ497" s="178"/>
      <c r="BR497" s="178"/>
      <c r="BS497" s="47"/>
      <c r="BT497" s="7"/>
      <c r="BU497" s="7"/>
      <c r="BV497" s="7"/>
      <c r="BW497" s="7"/>
      <c r="BX497" s="7"/>
      <c r="BY497" s="9"/>
    </row>
    <row r="498" spans="3:77" ht="15" customHeight="1" x14ac:dyDescent="0.3">
      <c r="C498" s="48"/>
      <c r="D498" s="49"/>
      <c r="E498" s="178"/>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c r="AC498" s="178"/>
      <c r="AD498" s="178"/>
      <c r="AE498" s="178"/>
      <c r="AF498" s="178"/>
      <c r="AG498" s="178"/>
      <c r="AH498" s="178"/>
      <c r="AI498" s="178"/>
      <c r="AJ498" s="178"/>
      <c r="AK498" s="178"/>
      <c r="AL498" s="178"/>
      <c r="AM498" s="178"/>
      <c r="AN498" s="178"/>
      <c r="AO498" s="178"/>
      <c r="AP498" s="178"/>
      <c r="AQ498" s="178"/>
      <c r="AR498" s="178"/>
      <c r="AS498" s="178"/>
      <c r="AT498" s="178"/>
      <c r="AU498" s="178"/>
      <c r="AV498" s="178"/>
      <c r="AW498" s="178"/>
      <c r="AX498" s="178"/>
      <c r="AY498" s="178"/>
      <c r="AZ498" s="178"/>
      <c r="BA498" s="178"/>
      <c r="BB498" s="178"/>
      <c r="BC498" s="178"/>
      <c r="BD498" s="178"/>
      <c r="BE498" s="178"/>
      <c r="BF498" s="178"/>
      <c r="BG498" s="178"/>
      <c r="BH498" s="178"/>
      <c r="BI498" s="178"/>
      <c r="BJ498" s="178"/>
      <c r="BK498" s="178"/>
      <c r="BL498" s="178"/>
      <c r="BM498" s="178"/>
      <c r="BN498" s="178"/>
      <c r="BO498" s="178"/>
      <c r="BP498" s="178"/>
      <c r="BQ498" s="178"/>
      <c r="BR498" s="178"/>
      <c r="BS498" s="47"/>
      <c r="BT498" s="7"/>
      <c r="BU498" s="7"/>
      <c r="BV498" s="7"/>
      <c r="BW498" s="7"/>
      <c r="BX498" s="7"/>
      <c r="BY498" s="9"/>
    </row>
    <row r="499" spans="3:77" ht="15" customHeight="1" x14ac:dyDescent="0.3">
      <c r="C499" s="48"/>
      <c r="D499" s="49"/>
      <c r="E499" s="178"/>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c r="AC499" s="178"/>
      <c r="AD499" s="178"/>
      <c r="AE499" s="178"/>
      <c r="AF499" s="178"/>
      <c r="AG499" s="178"/>
      <c r="AH499" s="178"/>
      <c r="AI499" s="178"/>
      <c r="AJ499" s="178"/>
      <c r="AK499" s="178"/>
      <c r="AL499" s="178"/>
      <c r="AM499" s="178"/>
      <c r="AN499" s="178"/>
      <c r="AO499" s="178"/>
      <c r="AP499" s="178"/>
      <c r="AQ499" s="178"/>
      <c r="AR499" s="178"/>
      <c r="AS499" s="178"/>
      <c r="AT499" s="178"/>
      <c r="AU499" s="178"/>
      <c r="AV499" s="178"/>
      <c r="AW499" s="178"/>
      <c r="AX499" s="178"/>
      <c r="AY499" s="178"/>
      <c r="AZ499" s="178"/>
      <c r="BA499" s="178"/>
      <c r="BB499" s="178"/>
      <c r="BC499" s="178"/>
      <c r="BD499" s="178"/>
      <c r="BE499" s="178"/>
      <c r="BF499" s="178"/>
      <c r="BG499" s="178"/>
      <c r="BH499" s="178"/>
      <c r="BI499" s="178"/>
      <c r="BJ499" s="178"/>
      <c r="BK499" s="178"/>
      <c r="BL499" s="178"/>
      <c r="BM499" s="178"/>
      <c r="BN499" s="178"/>
      <c r="BO499" s="178"/>
      <c r="BP499" s="178"/>
      <c r="BQ499" s="178"/>
      <c r="BR499" s="178"/>
      <c r="BS499" s="47"/>
      <c r="BT499" s="7"/>
      <c r="BU499" s="7"/>
      <c r="BV499" s="7"/>
      <c r="BW499" s="7"/>
      <c r="BX499" s="7"/>
      <c r="BY499" s="9"/>
    </row>
    <row r="500" spans="3:77" ht="15" customHeight="1" x14ac:dyDescent="0.3">
      <c r="C500" s="48"/>
      <c r="D500" s="49"/>
      <c r="E500" s="178"/>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c r="AC500" s="178"/>
      <c r="AD500" s="178"/>
      <c r="AE500" s="178"/>
      <c r="AF500" s="178"/>
      <c r="AG500" s="178"/>
      <c r="AH500" s="178"/>
      <c r="AI500" s="178"/>
      <c r="AJ500" s="178"/>
      <c r="AK500" s="178"/>
      <c r="AL500" s="178"/>
      <c r="AM500" s="178"/>
      <c r="AN500" s="178"/>
      <c r="AO500" s="178"/>
      <c r="AP500" s="178"/>
      <c r="AQ500" s="178"/>
      <c r="AR500" s="178"/>
      <c r="AS500" s="178"/>
      <c r="AT500" s="178"/>
      <c r="AU500" s="178"/>
      <c r="AV500" s="178"/>
      <c r="AW500" s="178"/>
      <c r="AX500" s="178"/>
      <c r="AY500" s="178"/>
      <c r="AZ500" s="178"/>
      <c r="BA500" s="178"/>
      <c r="BB500" s="178"/>
      <c r="BC500" s="178"/>
      <c r="BD500" s="178"/>
      <c r="BE500" s="178"/>
      <c r="BF500" s="178"/>
      <c r="BG500" s="178"/>
      <c r="BH500" s="178"/>
      <c r="BI500" s="178"/>
      <c r="BJ500" s="178"/>
      <c r="BK500" s="178"/>
      <c r="BL500" s="178"/>
      <c r="BM500" s="178"/>
      <c r="BN500" s="178"/>
      <c r="BO500" s="178"/>
      <c r="BP500" s="178"/>
      <c r="BQ500" s="178"/>
      <c r="BR500" s="178"/>
      <c r="BS500" s="47"/>
      <c r="BT500" s="7"/>
      <c r="BU500" s="7"/>
      <c r="BV500" s="7"/>
      <c r="BW500" s="7"/>
      <c r="BX500" s="7"/>
      <c r="BY500" s="9"/>
    </row>
    <row r="501" spans="3:77" ht="15" customHeight="1" x14ac:dyDescent="0.3">
      <c r="C501" s="48"/>
      <c r="D501" s="49"/>
      <c r="E501" s="178"/>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c r="AC501" s="178"/>
      <c r="AD501" s="178"/>
      <c r="AE501" s="178"/>
      <c r="AF501" s="178"/>
      <c r="AG501" s="178"/>
      <c r="AH501" s="178"/>
      <c r="AI501" s="178"/>
      <c r="AJ501" s="178"/>
      <c r="AK501" s="178"/>
      <c r="AL501" s="178"/>
      <c r="AM501" s="178"/>
      <c r="AN501" s="178"/>
      <c r="AO501" s="178"/>
      <c r="AP501" s="178"/>
      <c r="AQ501" s="178"/>
      <c r="AR501" s="178"/>
      <c r="AS501" s="178"/>
      <c r="AT501" s="178"/>
      <c r="AU501" s="178"/>
      <c r="AV501" s="178"/>
      <c r="AW501" s="178"/>
      <c r="AX501" s="178"/>
      <c r="AY501" s="178"/>
      <c r="AZ501" s="178"/>
      <c r="BA501" s="178"/>
      <c r="BB501" s="178"/>
      <c r="BC501" s="178"/>
      <c r="BD501" s="178"/>
      <c r="BE501" s="178"/>
      <c r="BF501" s="178"/>
      <c r="BG501" s="178"/>
      <c r="BH501" s="178"/>
      <c r="BI501" s="178"/>
      <c r="BJ501" s="178"/>
      <c r="BK501" s="178"/>
      <c r="BL501" s="178"/>
      <c r="BM501" s="178"/>
      <c r="BN501" s="178"/>
      <c r="BO501" s="178"/>
      <c r="BP501" s="178"/>
      <c r="BQ501" s="178"/>
      <c r="BR501" s="178"/>
      <c r="BS501" s="47"/>
      <c r="BT501" s="7"/>
      <c r="BU501" s="7"/>
      <c r="BV501" s="7"/>
      <c r="BW501" s="7"/>
      <c r="BX501" s="7"/>
      <c r="BY501" s="9"/>
    </row>
    <row r="502" spans="3:77" ht="15" customHeight="1" x14ac:dyDescent="0.3">
      <c r="C502" s="48"/>
      <c r="D502" s="49"/>
      <c r="E502" s="178"/>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c r="AC502" s="178"/>
      <c r="AD502" s="178"/>
      <c r="AE502" s="178"/>
      <c r="AF502" s="178"/>
      <c r="AG502" s="178"/>
      <c r="AH502" s="178"/>
      <c r="AI502" s="178"/>
      <c r="AJ502" s="178"/>
      <c r="AK502" s="178"/>
      <c r="AL502" s="178"/>
      <c r="AM502" s="178"/>
      <c r="AN502" s="178"/>
      <c r="AO502" s="178"/>
      <c r="AP502" s="178"/>
      <c r="AQ502" s="178"/>
      <c r="AR502" s="178"/>
      <c r="AS502" s="178"/>
      <c r="AT502" s="178"/>
      <c r="AU502" s="178"/>
      <c r="AV502" s="178"/>
      <c r="AW502" s="178"/>
      <c r="AX502" s="178"/>
      <c r="AY502" s="178"/>
      <c r="AZ502" s="178"/>
      <c r="BA502" s="178"/>
      <c r="BB502" s="178"/>
      <c r="BC502" s="178"/>
      <c r="BD502" s="178"/>
      <c r="BE502" s="178"/>
      <c r="BF502" s="178"/>
      <c r="BG502" s="178"/>
      <c r="BH502" s="178"/>
      <c r="BI502" s="178"/>
      <c r="BJ502" s="178"/>
      <c r="BK502" s="178"/>
      <c r="BL502" s="178"/>
      <c r="BM502" s="178"/>
      <c r="BN502" s="178"/>
      <c r="BO502" s="178"/>
      <c r="BP502" s="178"/>
      <c r="BQ502" s="178"/>
      <c r="BR502" s="178"/>
      <c r="BS502" s="47"/>
      <c r="BT502" s="7"/>
      <c r="BU502" s="7"/>
      <c r="BV502" s="7"/>
      <c r="BW502" s="7"/>
      <c r="BX502" s="7"/>
      <c r="BY502" s="9"/>
    </row>
    <row r="503" spans="3:77" ht="15" customHeight="1" x14ac:dyDescent="0.3">
      <c r="C503" s="140">
        <v>7.1</v>
      </c>
      <c r="D503" s="141"/>
      <c r="E503" s="141"/>
      <c r="F503" s="141"/>
      <c r="G503" s="148" t="s">
        <v>200</v>
      </c>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c r="AD503" s="148"/>
      <c r="AE503" s="148"/>
      <c r="AF503" s="148"/>
      <c r="AG503" s="148"/>
      <c r="AH503" s="148"/>
      <c r="AI503" s="148"/>
      <c r="AJ503" s="148"/>
      <c r="AK503" s="148"/>
      <c r="AL503" s="148"/>
      <c r="AM503" s="148"/>
      <c r="AN503" s="148"/>
      <c r="AO503" s="148"/>
      <c r="AP503" s="148"/>
      <c r="AQ503" s="148"/>
      <c r="AR503" s="148"/>
      <c r="AS503" s="148"/>
      <c r="AT503" s="148"/>
      <c r="AU503" s="148"/>
      <c r="AV503" s="148"/>
      <c r="AW503" s="148"/>
      <c r="AX503" s="148"/>
      <c r="AY503" s="148"/>
      <c r="AZ503" s="148"/>
      <c r="BA503" s="148"/>
      <c r="BB503" s="148"/>
      <c r="BC503" s="148"/>
      <c r="BD503" s="148"/>
      <c r="BE503" s="148"/>
      <c r="BF503" s="148"/>
      <c r="BG503" s="148"/>
      <c r="BH503" s="148"/>
      <c r="BI503" s="148"/>
      <c r="BJ503" s="148"/>
      <c r="BK503" s="148"/>
      <c r="BL503" s="148"/>
      <c r="BM503" s="148"/>
      <c r="BN503" s="148"/>
      <c r="BO503" s="148"/>
      <c r="BP503" s="148"/>
      <c r="BQ503" s="148"/>
      <c r="BR503" s="148"/>
      <c r="BS503" s="47"/>
      <c r="BT503" s="7"/>
      <c r="BU503" s="7"/>
      <c r="BV503" s="7"/>
      <c r="BW503" s="7"/>
      <c r="BX503" s="7"/>
      <c r="BY503" s="9"/>
    </row>
    <row r="504" spans="3:77" ht="15" customHeight="1" x14ac:dyDescent="0.3">
      <c r="C504" s="140"/>
      <c r="D504" s="141"/>
      <c r="E504" s="141"/>
      <c r="F504" s="141"/>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c r="AD504" s="148"/>
      <c r="AE504" s="148"/>
      <c r="AF504" s="148"/>
      <c r="AG504" s="148"/>
      <c r="AH504" s="148"/>
      <c r="AI504" s="148"/>
      <c r="AJ504" s="148"/>
      <c r="AK504" s="148"/>
      <c r="AL504" s="148"/>
      <c r="AM504" s="148"/>
      <c r="AN504" s="148"/>
      <c r="AO504" s="148"/>
      <c r="AP504" s="148"/>
      <c r="AQ504" s="148"/>
      <c r="AR504" s="148"/>
      <c r="AS504" s="148"/>
      <c r="AT504" s="148"/>
      <c r="AU504" s="148"/>
      <c r="AV504" s="148"/>
      <c r="AW504" s="148"/>
      <c r="AX504" s="148"/>
      <c r="AY504" s="148"/>
      <c r="AZ504" s="148"/>
      <c r="BA504" s="148"/>
      <c r="BB504" s="148"/>
      <c r="BC504" s="148"/>
      <c r="BD504" s="148"/>
      <c r="BE504" s="148"/>
      <c r="BF504" s="148"/>
      <c r="BG504" s="148"/>
      <c r="BH504" s="148"/>
      <c r="BI504" s="148"/>
      <c r="BJ504" s="148"/>
      <c r="BK504" s="148"/>
      <c r="BL504" s="148"/>
      <c r="BM504" s="148"/>
      <c r="BN504" s="148"/>
      <c r="BO504" s="148"/>
      <c r="BP504" s="148"/>
      <c r="BQ504" s="148"/>
      <c r="BR504" s="148"/>
      <c r="BS504" s="47"/>
      <c r="BT504" s="7"/>
      <c r="BU504" s="7"/>
      <c r="BV504" s="7"/>
      <c r="BW504" s="7"/>
      <c r="BX504" s="7"/>
      <c r="BY504" s="9"/>
    </row>
    <row r="505" spans="3:77" ht="15" customHeight="1" x14ac:dyDescent="0.2">
      <c r="C505" s="33"/>
      <c r="G505" s="170" t="str">
        <f>"
The top slab must disperse the concentrated forces from the webs to the entire width of the slab. A strut-and-tie model (Figure "&amp;Inputs!$B$3&amp;_xlfn._LONGTEXT("-9) is created with one set of nodes at the web top slab interface 0.84 m (33.00 inches) from the anchors and the other set half the web spacing away. At the end of the general zone the stresses are uniformly distributed, with nodes placed between the web","s and the edge of deck.  The force applied at each web equals the force in the top slab divided by the number of webs.  The uniform load equals the top slab force divided by the web width. ")</f>
        <v xml:space="preserve">
The top slab must disperse the concentrated forces from the webs to the entire width of the slab. A strut-and-tie model (Figure C.1-9) is created with one set of nodes at the web top slab interface 0.84 m (33.00 inches) from the anchors and the other set half the web spacing away. At the end of the general zone the stresses are uniformly distributed, with nodes placed between the webs and the edge of deck.  The force applied at each web equals the force in the top slab divided by the number of webs.  The uniform load equals the top slab force divided by the web width. </v>
      </c>
      <c r="H505" s="170"/>
      <c r="I505" s="170"/>
      <c r="J505" s="170"/>
      <c r="K505" s="170"/>
      <c r="L505" s="170"/>
      <c r="M505" s="170"/>
      <c r="N505" s="170"/>
      <c r="O505" s="170"/>
      <c r="P505" s="170"/>
      <c r="Q505" s="170"/>
      <c r="R505" s="170"/>
      <c r="S505" s="170"/>
      <c r="T505" s="170"/>
      <c r="U505" s="170"/>
      <c r="V505" s="170"/>
      <c r="W505" s="170"/>
      <c r="X505" s="170"/>
      <c r="Y505" s="170"/>
      <c r="Z505" s="170"/>
      <c r="AA505" s="170"/>
      <c r="AB505" s="170"/>
      <c r="AC505" s="170"/>
      <c r="AD505" s="170"/>
      <c r="AE505" s="170"/>
      <c r="AF505" s="170"/>
      <c r="AG505" s="170"/>
      <c r="AH505" s="170"/>
      <c r="AI505" s="170"/>
      <c r="AJ505" s="170"/>
      <c r="AK505" s="170"/>
      <c r="AL505" s="170"/>
      <c r="AM505" s="170"/>
      <c r="AN505" s="170"/>
      <c r="AO505" s="170"/>
      <c r="AP505" s="170"/>
      <c r="AQ505" s="170"/>
      <c r="AR505" s="170"/>
      <c r="AS505" s="170"/>
      <c r="AT505" s="170"/>
      <c r="AU505" s="170"/>
      <c r="AV505" s="170"/>
      <c r="AW505" s="170"/>
      <c r="AX505" s="170"/>
      <c r="AY505" s="170"/>
      <c r="AZ505" s="170"/>
      <c r="BA505" s="170"/>
      <c r="BB505" s="170"/>
      <c r="BC505" s="170"/>
      <c r="BD505" s="170"/>
      <c r="BE505" s="170"/>
      <c r="BF505" s="170"/>
      <c r="BG505" s="170"/>
      <c r="BH505" s="170"/>
      <c r="BI505" s="170"/>
      <c r="BJ505" s="170"/>
      <c r="BK505" s="170"/>
      <c r="BL505" s="170"/>
      <c r="BM505" s="170"/>
      <c r="BN505" s="170"/>
      <c r="BO505" s="170"/>
      <c r="BP505" s="170"/>
      <c r="BQ505" s="170"/>
      <c r="BR505" s="170"/>
      <c r="BT505" s="7"/>
      <c r="BU505" s="7"/>
      <c r="BV505" s="7"/>
      <c r="BW505" s="7"/>
      <c r="BX505" s="7"/>
      <c r="BY505" s="7"/>
    </row>
    <row r="506" spans="3:77" ht="15" customHeight="1" x14ac:dyDescent="0.2">
      <c r="C506" s="33"/>
      <c r="G506" s="170"/>
      <c r="H506" s="170"/>
      <c r="I506" s="170"/>
      <c r="J506" s="170"/>
      <c r="K506" s="170"/>
      <c r="L506" s="170"/>
      <c r="M506" s="170"/>
      <c r="N506" s="170"/>
      <c r="O506" s="170"/>
      <c r="P506" s="170"/>
      <c r="Q506" s="170"/>
      <c r="R506" s="170"/>
      <c r="S506" s="170"/>
      <c r="T506" s="170"/>
      <c r="U506" s="170"/>
      <c r="V506" s="170"/>
      <c r="W506" s="170"/>
      <c r="X506" s="170"/>
      <c r="Y506" s="170"/>
      <c r="Z506" s="170"/>
      <c r="AA506" s="170"/>
      <c r="AB506" s="170"/>
      <c r="AC506" s="170"/>
      <c r="AD506" s="170"/>
      <c r="AE506" s="170"/>
      <c r="AF506" s="170"/>
      <c r="AG506" s="170"/>
      <c r="AH506" s="170"/>
      <c r="AI506" s="170"/>
      <c r="AJ506" s="170"/>
      <c r="AK506" s="170"/>
      <c r="AL506" s="170"/>
      <c r="AM506" s="170"/>
      <c r="AN506" s="170"/>
      <c r="AO506" s="170"/>
      <c r="AP506" s="170"/>
      <c r="AQ506" s="170"/>
      <c r="AR506" s="170"/>
      <c r="AS506" s="170"/>
      <c r="AT506" s="170"/>
      <c r="AU506" s="170"/>
      <c r="AV506" s="170"/>
      <c r="AW506" s="170"/>
      <c r="AX506" s="170"/>
      <c r="AY506" s="170"/>
      <c r="AZ506" s="170"/>
      <c r="BA506" s="170"/>
      <c r="BB506" s="170"/>
      <c r="BC506" s="170"/>
      <c r="BD506" s="170"/>
      <c r="BE506" s="170"/>
      <c r="BF506" s="170"/>
      <c r="BG506" s="170"/>
      <c r="BH506" s="170"/>
      <c r="BI506" s="170"/>
      <c r="BJ506" s="170"/>
      <c r="BK506" s="170"/>
      <c r="BL506" s="170"/>
      <c r="BM506" s="170"/>
      <c r="BN506" s="170"/>
      <c r="BO506" s="170"/>
      <c r="BP506" s="170"/>
      <c r="BQ506" s="170"/>
      <c r="BR506" s="170"/>
      <c r="BT506" s="7"/>
      <c r="BU506" s="7"/>
      <c r="BV506" s="7"/>
      <c r="BW506" s="7"/>
      <c r="BX506" s="7"/>
      <c r="BY506" s="7"/>
    </row>
    <row r="507" spans="3:77" ht="15" customHeight="1" x14ac:dyDescent="0.2">
      <c r="C507" s="4"/>
      <c r="G507" s="170"/>
      <c r="H507" s="170"/>
      <c r="I507" s="170"/>
      <c r="J507" s="170"/>
      <c r="K507" s="170"/>
      <c r="L507" s="170"/>
      <c r="M507" s="170"/>
      <c r="N507" s="170"/>
      <c r="O507" s="170"/>
      <c r="P507" s="170"/>
      <c r="Q507" s="170"/>
      <c r="R507" s="170"/>
      <c r="S507" s="170"/>
      <c r="T507" s="170"/>
      <c r="U507" s="170"/>
      <c r="V507" s="170"/>
      <c r="W507" s="170"/>
      <c r="X507" s="170"/>
      <c r="Y507" s="170"/>
      <c r="Z507" s="170"/>
      <c r="AA507" s="170"/>
      <c r="AB507" s="170"/>
      <c r="AC507" s="170"/>
      <c r="AD507" s="170"/>
      <c r="AE507" s="170"/>
      <c r="AF507" s="170"/>
      <c r="AG507" s="170"/>
      <c r="AH507" s="170"/>
      <c r="AI507" s="170"/>
      <c r="AJ507" s="170"/>
      <c r="AK507" s="170"/>
      <c r="AL507" s="170"/>
      <c r="AM507" s="170"/>
      <c r="AN507" s="170"/>
      <c r="AO507" s="170"/>
      <c r="AP507" s="170"/>
      <c r="AQ507" s="170"/>
      <c r="AR507" s="170"/>
      <c r="AS507" s="170"/>
      <c r="AT507" s="170"/>
      <c r="AU507" s="170"/>
      <c r="AV507" s="170"/>
      <c r="AW507" s="170"/>
      <c r="AX507" s="170"/>
      <c r="AY507" s="170"/>
      <c r="AZ507" s="170"/>
      <c r="BA507" s="170"/>
      <c r="BB507" s="170"/>
      <c r="BC507" s="170"/>
      <c r="BD507" s="170"/>
      <c r="BE507" s="170"/>
      <c r="BF507" s="170"/>
      <c r="BG507" s="170"/>
      <c r="BH507" s="170"/>
      <c r="BI507" s="170"/>
      <c r="BJ507" s="170"/>
      <c r="BK507" s="170"/>
      <c r="BL507" s="170"/>
      <c r="BM507" s="170"/>
      <c r="BN507" s="170"/>
      <c r="BO507" s="170"/>
      <c r="BP507" s="170"/>
      <c r="BQ507" s="170"/>
      <c r="BR507" s="170"/>
      <c r="BT507" s="7"/>
      <c r="BU507" s="7"/>
      <c r="BV507" s="7"/>
      <c r="BW507" s="7"/>
      <c r="BX507" s="7"/>
      <c r="BY507" s="7"/>
    </row>
    <row r="508" spans="3:77" ht="15" customHeight="1" x14ac:dyDescent="0.2">
      <c r="C508" s="4"/>
      <c r="G508" s="170"/>
      <c r="H508" s="170"/>
      <c r="I508" s="170"/>
      <c r="J508" s="170"/>
      <c r="K508" s="170"/>
      <c r="L508" s="170"/>
      <c r="M508" s="170"/>
      <c r="N508" s="170"/>
      <c r="O508" s="170"/>
      <c r="P508" s="170"/>
      <c r="Q508" s="170"/>
      <c r="R508" s="170"/>
      <c r="S508" s="170"/>
      <c r="T508" s="170"/>
      <c r="U508" s="170"/>
      <c r="V508" s="170"/>
      <c r="W508" s="170"/>
      <c r="X508" s="170"/>
      <c r="Y508" s="170"/>
      <c r="Z508" s="170"/>
      <c r="AA508" s="170"/>
      <c r="AB508" s="170"/>
      <c r="AC508" s="170"/>
      <c r="AD508" s="170"/>
      <c r="AE508" s="170"/>
      <c r="AF508" s="170"/>
      <c r="AG508" s="170"/>
      <c r="AH508" s="170"/>
      <c r="AI508" s="170"/>
      <c r="AJ508" s="170"/>
      <c r="AK508" s="170"/>
      <c r="AL508" s="170"/>
      <c r="AM508" s="170"/>
      <c r="AN508" s="170"/>
      <c r="AO508" s="170"/>
      <c r="AP508" s="170"/>
      <c r="AQ508" s="170"/>
      <c r="AR508" s="170"/>
      <c r="AS508" s="170"/>
      <c r="AT508" s="170"/>
      <c r="AU508" s="170"/>
      <c r="AV508" s="170"/>
      <c r="AW508" s="170"/>
      <c r="AX508" s="170"/>
      <c r="AY508" s="170"/>
      <c r="AZ508" s="170"/>
      <c r="BA508" s="170"/>
      <c r="BB508" s="170"/>
      <c r="BC508" s="170"/>
      <c r="BD508" s="170"/>
      <c r="BE508" s="170"/>
      <c r="BF508" s="170"/>
      <c r="BG508" s="170"/>
      <c r="BH508" s="170"/>
      <c r="BI508" s="170"/>
      <c r="BJ508" s="170"/>
      <c r="BK508" s="170"/>
      <c r="BL508" s="170"/>
      <c r="BM508" s="170"/>
      <c r="BN508" s="170"/>
      <c r="BO508" s="170"/>
      <c r="BP508" s="170"/>
      <c r="BQ508" s="170"/>
      <c r="BR508" s="170"/>
      <c r="BT508" s="7"/>
      <c r="BU508" s="7"/>
      <c r="BV508" s="7"/>
      <c r="BW508" s="7"/>
      <c r="BX508" s="7"/>
      <c r="BY508" s="7"/>
    </row>
    <row r="509" spans="3:77" ht="15" customHeight="1" x14ac:dyDescent="0.25">
      <c r="C509" s="4"/>
      <c r="R509" s="12"/>
      <c r="W509" s="13" t="s">
        <v>278</v>
      </c>
      <c r="X509" s="143">
        <f>X365/6</f>
        <v>1774.1444499491242</v>
      </c>
      <c r="Y509" s="143"/>
      <c r="Z509" s="143"/>
      <c r="AA509" s="143"/>
      <c r="AB509" s="143"/>
      <c r="BT509" s="7"/>
      <c r="BU509" s="7"/>
      <c r="BV509" s="7"/>
      <c r="BW509" s="7"/>
      <c r="BX509" s="7"/>
      <c r="BY509" s="7"/>
    </row>
    <row r="510" spans="3:77" ht="15" customHeight="1" x14ac:dyDescent="0.2">
      <c r="C510" s="4"/>
      <c r="R510" s="12"/>
      <c r="W510" s="12" t="s">
        <v>374</v>
      </c>
      <c r="X510" s="168">
        <f>X365/L.ds</f>
        <v>773.2273803421815</v>
      </c>
      <c r="Y510" s="168"/>
      <c r="Z510" s="168"/>
      <c r="AA510" s="168"/>
      <c r="AB510" s="168"/>
      <c r="BT510" s="7"/>
      <c r="BU510" s="7"/>
      <c r="BV510" s="7"/>
      <c r="BW510" s="7"/>
      <c r="BX510" s="7"/>
      <c r="BY510" s="7"/>
    </row>
    <row r="511" spans="3:77" ht="15" customHeight="1" x14ac:dyDescent="0.2">
      <c r="C511" s="4"/>
      <c r="R511" s="12"/>
      <c r="W511" s="12"/>
      <c r="X511" s="66"/>
      <c r="Y511" s="66"/>
      <c r="Z511" s="66"/>
      <c r="AA511" s="66"/>
      <c r="AB511" s="66"/>
      <c r="BT511" s="7"/>
      <c r="BU511" s="7"/>
      <c r="BV511" s="7"/>
      <c r="BW511" s="7"/>
      <c r="BX511" s="7"/>
      <c r="BY511" s="7"/>
    </row>
    <row r="512" spans="3:77" ht="15" customHeight="1" x14ac:dyDescent="0.2">
      <c r="C512" s="4"/>
      <c r="G512" s="159" t="str">
        <f>_xlfn._LONGTEXT("The forces applied at the joints due to the uniformly distributed load on the top slab are equal to the uniform load multiplied by the contributing area. In this spreadsheet, a complete strut‑and‑tie model analysis is not performed. Instead, a simplified ","method is used to determine the tension tie forces by constructing free body diagrams, cutting a section, and taking moments.  Then the resulting moment is divided by the distance between the nodes.  Figures ")&amp;Inputs!$B$3&amp;"-10 and "&amp;Inputs!$B$3&amp;"-11 show the free body diagrams used."</f>
        <v>The forces applied at the joints due to the uniformly distributed load on the top slab are equal to the uniform load multiplied by the contributing area. In this spreadsheet, a complete strut‑and‑tie model analysis is not performed. Instead, a simplified method is used to determine the tension tie forces by constructing free body diagrams, cutting a section, and taking moments.  Then the resulting moment is divided by the distance between the nodes.  Figures C.1-10 and C.1-11 show the free body diagrams used.</v>
      </c>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T512" s="7"/>
      <c r="BU512" s="7"/>
      <c r="BV512" s="7"/>
      <c r="BW512" s="7"/>
      <c r="BX512" s="7"/>
      <c r="BY512" s="7"/>
    </row>
    <row r="513" spans="3:77" ht="15" customHeight="1" x14ac:dyDescent="0.2">
      <c r="C513" s="4"/>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T513" s="7"/>
      <c r="BU513" s="7"/>
      <c r="BV513" s="7"/>
      <c r="BW513" s="7"/>
      <c r="BX513" s="7"/>
      <c r="BY513" s="7"/>
    </row>
    <row r="514" spans="3:77" ht="15" customHeight="1" x14ac:dyDescent="0.2">
      <c r="C514" s="4"/>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46"/>
      <c r="BT514" s="7"/>
      <c r="BU514" s="7"/>
      <c r="BV514" s="7"/>
      <c r="BW514" s="7"/>
      <c r="BX514" s="7"/>
      <c r="BY514" s="7"/>
    </row>
    <row r="515" spans="3:77" ht="15" customHeight="1" x14ac:dyDescent="0.2">
      <c r="C515" s="4"/>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67"/>
      <c r="AS515" s="67"/>
      <c r="AT515" s="67"/>
      <c r="AU515" s="67"/>
      <c r="AV515" s="67"/>
      <c r="AW515" s="67"/>
      <c r="AX515" s="67"/>
      <c r="AY515" s="67"/>
      <c r="AZ515" s="67"/>
      <c r="BA515" s="67"/>
      <c r="BB515" s="67"/>
      <c r="BC515" s="67"/>
      <c r="BD515" s="67"/>
      <c r="BE515" s="67"/>
      <c r="BF515" s="67"/>
      <c r="BG515" s="67"/>
      <c r="BH515" s="67"/>
      <c r="BI515" s="67"/>
      <c r="BJ515" s="67"/>
      <c r="BK515" s="67"/>
      <c r="BL515" s="67"/>
      <c r="BM515" s="67"/>
      <c r="BN515" s="67"/>
      <c r="BO515" s="67"/>
      <c r="BP515" s="67"/>
      <c r="BQ515" s="67"/>
      <c r="BR515" s="67"/>
      <c r="BS515" s="46"/>
      <c r="BT515" s="7"/>
      <c r="BU515" s="7"/>
      <c r="BV515" s="7"/>
      <c r="BW515" s="7"/>
      <c r="BX515" s="7"/>
      <c r="BY515" s="7"/>
    </row>
    <row r="516" spans="3:77" ht="15" customHeight="1" x14ac:dyDescent="0.2">
      <c r="C516" s="4"/>
      <c r="G516" s="67"/>
      <c r="H516" s="77"/>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94"/>
      <c r="AJ516" s="78"/>
      <c r="AK516" s="78"/>
      <c r="AL516" s="78"/>
      <c r="AM516" s="78"/>
      <c r="AN516" s="83"/>
      <c r="AO516" s="83"/>
      <c r="AP516" s="83"/>
      <c r="AQ516" s="76"/>
      <c r="AR516" s="188" t="s">
        <v>207</v>
      </c>
      <c r="AS516" s="188"/>
      <c r="AT516" s="188"/>
      <c r="AU516" s="188"/>
      <c r="AV516" s="188"/>
      <c r="AW516" s="188"/>
      <c r="AX516" s="188"/>
      <c r="AY516" s="188"/>
      <c r="AZ516" s="188"/>
      <c r="BA516" s="188"/>
      <c r="BB516" s="188"/>
      <c r="BC516" s="188"/>
      <c r="BD516" s="188"/>
      <c r="BE516" s="188"/>
      <c r="BF516" s="188"/>
      <c r="BG516" s="188"/>
      <c r="BH516" s="188"/>
      <c r="BI516" s="188"/>
      <c r="BJ516" s="188"/>
      <c r="BK516" s="188"/>
      <c r="BL516" s="188"/>
      <c r="BM516" s="188"/>
      <c r="BN516" s="188"/>
      <c r="BO516" s="188"/>
      <c r="BP516" s="188"/>
      <c r="BQ516" s="76"/>
      <c r="BR516" s="67"/>
      <c r="BS516" s="46"/>
      <c r="BT516" s="7"/>
      <c r="BU516" s="7"/>
      <c r="BV516" s="7"/>
      <c r="BW516" s="7"/>
      <c r="BX516" s="7"/>
      <c r="BY516" s="7"/>
    </row>
    <row r="517" spans="3:77" ht="15" customHeight="1" x14ac:dyDescent="0.2">
      <c r="C517" s="4"/>
      <c r="H517" s="80"/>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c r="AI517" s="95"/>
      <c r="AJ517" s="67"/>
      <c r="AK517" s="67"/>
      <c r="AL517" s="67"/>
      <c r="AM517" s="67"/>
      <c r="AN517" s="67"/>
      <c r="AO517" s="67"/>
      <c r="AP517" s="67"/>
      <c r="AQ517" s="76"/>
      <c r="AR517" s="188"/>
      <c r="AS517" s="188"/>
      <c r="AT517" s="188"/>
      <c r="AU517" s="188"/>
      <c r="AV517" s="188"/>
      <c r="AW517" s="188"/>
      <c r="AX517" s="188"/>
      <c r="AY517" s="188"/>
      <c r="AZ517" s="188"/>
      <c r="BA517" s="188"/>
      <c r="BB517" s="188"/>
      <c r="BC517" s="188"/>
      <c r="BD517" s="188"/>
      <c r="BE517" s="188"/>
      <c r="BF517" s="188"/>
      <c r="BG517" s="188"/>
      <c r="BH517" s="188"/>
      <c r="BI517" s="188"/>
      <c r="BJ517" s="188"/>
      <c r="BK517" s="188"/>
      <c r="BL517" s="188"/>
      <c r="BM517" s="188"/>
      <c r="BN517" s="188"/>
      <c r="BO517" s="188"/>
      <c r="BP517" s="188"/>
      <c r="BQ517" s="76"/>
      <c r="BR517" s="67"/>
      <c r="BS517" s="46"/>
      <c r="BT517" s="7"/>
      <c r="BU517" s="7"/>
      <c r="BV517" s="7"/>
      <c r="BW517" s="7"/>
      <c r="BX517" s="7"/>
      <c r="BY517" s="7"/>
    </row>
    <row r="518" spans="3:77" ht="15" customHeight="1" x14ac:dyDescent="0.2">
      <c r="C518" s="4"/>
      <c r="H518" s="80"/>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95"/>
      <c r="AJ518" s="67"/>
      <c r="AK518" s="67"/>
      <c r="AL518" s="67"/>
      <c r="AM518" s="67"/>
      <c r="AN518" s="67"/>
      <c r="AO518" s="67"/>
      <c r="AP518" s="67"/>
      <c r="AQ518" s="67"/>
      <c r="AR518" s="67"/>
      <c r="AS518" s="67"/>
      <c r="AT518" s="67"/>
      <c r="AU518" s="67"/>
      <c r="AV518" s="67"/>
      <c r="AW518" s="67"/>
      <c r="AX518" s="67"/>
      <c r="AY518" s="67"/>
      <c r="AZ518" s="67"/>
      <c r="BA518" s="67"/>
      <c r="BB518" s="67"/>
      <c r="BC518" s="67"/>
      <c r="BD518" s="67"/>
      <c r="BE518" s="67"/>
      <c r="BF518" s="67"/>
      <c r="BG518" s="67"/>
      <c r="BH518" s="67"/>
      <c r="BI518" s="67"/>
      <c r="BJ518" s="67"/>
      <c r="BK518" s="67"/>
      <c r="BL518" s="67"/>
      <c r="BM518" s="67"/>
      <c r="BN518" s="67"/>
      <c r="BO518" s="67"/>
      <c r="BP518" s="67"/>
      <c r="BQ518" s="67"/>
      <c r="BR518" s="67"/>
      <c r="BS518" s="46"/>
      <c r="BT518" s="7"/>
      <c r="BU518" s="7"/>
      <c r="BV518" s="7"/>
      <c r="BW518" s="7"/>
      <c r="BX518" s="7"/>
      <c r="BY518" s="7"/>
    </row>
    <row r="519" spans="3:77" ht="15" customHeight="1" x14ac:dyDescent="0.2">
      <c r="C519" s="4"/>
      <c r="H519" s="80"/>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95"/>
      <c r="AJ519" s="67"/>
      <c r="AK519" s="67"/>
      <c r="AL519" s="67"/>
      <c r="AM519" s="67"/>
      <c r="AN519" s="67"/>
      <c r="AO519" s="67"/>
      <c r="AP519" s="67"/>
      <c r="AQ519" s="67"/>
      <c r="AR519" s="67"/>
      <c r="AS519" s="67"/>
      <c r="AT519" s="67"/>
      <c r="AU519" s="67"/>
      <c r="AV519" s="67"/>
      <c r="AW519" s="67"/>
      <c r="AX519" s="67"/>
      <c r="AY519" s="67"/>
      <c r="AZ519" s="67"/>
      <c r="BA519" s="67"/>
      <c r="BB519" s="67"/>
      <c r="BC519" s="67"/>
      <c r="BD519" s="67"/>
      <c r="BE519" s="67"/>
      <c r="BF519" s="67"/>
      <c r="BG519" s="67"/>
      <c r="BH519" s="67"/>
      <c r="BI519" s="67"/>
      <c r="BJ519" s="67"/>
      <c r="BK519" s="67"/>
      <c r="BL519" s="67"/>
      <c r="BM519" s="67"/>
      <c r="BN519" s="67"/>
      <c r="BO519" s="67"/>
      <c r="BP519" s="67"/>
      <c r="BQ519" s="67"/>
      <c r="BR519" s="67"/>
      <c r="BS519" s="46"/>
      <c r="BT519" s="7"/>
      <c r="BU519" s="7"/>
      <c r="BV519" s="7"/>
      <c r="BW519" s="7"/>
      <c r="BX519" s="7"/>
      <c r="BY519" s="7"/>
    </row>
    <row r="520" spans="3:77" ht="15" customHeight="1" x14ac:dyDescent="0.2">
      <c r="C520" s="4"/>
      <c r="H520" s="80"/>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95"/>
      <c r="AJ520" s="67"/>
      <c r="AK520" s="67"/>
      <c r="AL520" s="67"/>
      <c r="AM520" s="67"/>
      <c r="AN520" s="67"/>
      <c r="AO520" s="67"/>
      <c r="AP520" s="67"/>
      <c r="AQ520" s="67"/>
      <c r="AR520" s="67"/>
      <c r="AS520" s="67"/>
      <c r="AT520" s="67"/>
      <c r="AU520" s="67"/>
      <c r="AV520" s="67"/>
      <c r="AW520" s="67"/>
      <c r="AX520" s="67"/>
      <c r="AY520" s="67"/>
      <c r="AZ520" s="67"/>
      <c r="BA520" s="67"/>
      <c r="BB520" s="67"/>
      <c r="BC520" s="67"/>
      <c r="BD520" s="67"/>
      <c r="BE520" s="67"/>
      <c r="BF520" s="67"/>
      <c r="BG520" s="67"/>
      <c r="BH520" s="67"/>
      <c r="BI520" s="67"/>
      <c r="BJ520" s="67"/>
      <c r="BK520" s="67"/>
      <c r="BL520" s="67"/>
      <c r="BM520" s="67"/>
      <c r="BN520" s="67"/>
      <c r="BO520" s="67"/>
      <c r="BP520" s="67"/>
      <c r="BQ520" s="67"/>
      <c r="BR520" s="67"/>
      <c r="BS520" s="46"/>
      <c r="BT520" s="7"/>
      <c r="BU520" s="7"/>
      <c r="BV520" s="7"/>
      <c r="BW520" s="7"/>
      <c r="BX520" s="7"/>
      <c r="BY520" s="7"/>
    </row>
    <row r="521" spans="3:77" ht="15" customHeight="1" x14ac:dyDescent="0.2">
      <c r="C521" s="4"/>
      <c r="H521" s="80"/>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95"/>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46"/>
      <c r="BT521" s="7"/>
      <c r="BU521" s="7"/>
      <c r="BV521" s="7"/>
      <c r="BW521" s="7"/>
      <c r="BX521" s="7"/>
      <c r="BY521" s="7"/>
    </row>
    <row r="522" spans="3:77" ht="15" customHeight="1" x14ac:dyDescent="0.2">
      <c r="C522" s="4"/>
      <c r="H522" s="80"/>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95"/>
      <c r="AJ522" s="67"/>
      <c r="AK522" s="67"/>
      <c r="AL522" s="67"/>
      <c r="AM522" s="67"/>
      <c r="AN522" s="67"/>
      <c r="AO522" s="67"/>
      <c r="AP522" s="67"/>
      <c r="AQ522" s="67"/>
      <c r="AR522" s="67"/>
      <c r="AS522" s="67"/>
      <c r="AT522" s="67"/>
      <c r="AU522" s="67"/>
      <c r="AV522" s="67"/>
      <c r="AW522" s="67"/>
      <c r="AX522" s="67"/>
      <c r="AY522" s="67"/>
      <c r="AZ522" s="67"/>
      <c r="BA522" s="67"/>
      <c r="BB522" s="67"/>
      <c r="BC522" s="67"/>
      <c r="BD522" s="67"/>
      <c r="BE522" s="67"/>
      <c r="BF522" s="67"/>
      <c r="BG522" s="67"/>
      <c r="BH522" s="67"/>
      <c r="BI522" s="67"/>
      <c r="BJ522" s="67"/>
      <c r="BK522" s="67"/>
      <c r="BL522" s="67"/>
      <c r="BM522" s="67"/>
      <c r="BN522" s="67"/>
      <c r="BO522" s="67"/>
      <c r="BP522" s="67"/>
      <c r="BQ522" s="67"/>
      <c r="BR522" s="67"/>
      <c r="BS522" s="46"/>
      <c r="BT522" s="7"/>
      <c r="BU522" s="7"/>
      <c r="BV522" s="7"/>
      <c r="BW522" s="7"/>
      <c r="BX522" s="7"/>
      <c r="BY522" s="7"/>
    </row>
    <row r="523" spans="3:77" ht="15" customHeight="1" x14ac:dyDescent="0.2">
      <c r="C523" s="4"/>
      <c r="H523" s="80"/>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c r="AI523" s="95"/>
      <c r="AJ523" s="67"/>
      <c r="AK523" s="67"/>
      <c r="AL523" s="67"/>
      <c r="AM523" s="67"/>
      <c r="AN523" s="67"/>
      <c r="AO523" s="67"/>
      <c r="AP523" s="67"/>
      <c r="AQ523" s="67"/>
      <c r="AR523" s="67"/>
      <c r="AS523" s="67"/>
      <c r="AT523" s="67"/>
      <c r="AU523" s="67"/>
      <c r="AV523" s="67"/>
      <c r="AW523" s="67"/>
      <c r="AX523" s="67"/>
      <c r="AY523" s="67"/>
      <c r="AZ523" s="67"/>
      <c r="BA523" s="67"/>
      <c r="BB523" s="67"/>
      <c r="BC523" s="67"/>
      <c r="BD523" s="67"/>
      <c r="BE523" s="67"/>
      <c r="BF523" s="67"/>
      <c r="BG523" s="67"/>
      <c r="BH523" s="67"/>
      <c r="BI523" s="67"/>
      <c r="BJ523" s="67"/>
      <c r="BK523" s="67"/>
      <c r="BL523" s="67"/>
      <c r="BM523" s="67"/>
      <c r="BN523" s="67"/>
      <c r="BO523" s="67"/>
      <c r="BP523" s="67"/>
      <c r="BQ523" s="67"/>
      <c r="BR523" s="67"/>
      <c r="BS523" s="46"/>
      <c r="BT523" s="7"/>
      <c r="BU523" s="7"/>
      <c r="BV523" s="7"/>
      <c r="BW523" s="7"/>
      <c r="BX523" s="7"/>
      <c r="BY523" s="7"/>
    </row>
    <row r="524" spans="3:77" ht="15" customHeight="1" x14ac:dyDescent="0.2">
      <c r="C524" s="4"/>
      <c r="H524" s="80"/>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95"/>
      <c r="AJ524" s="67"/>
      <c r="AK524" s="67"/>
      <c r="AL524" s="67"/>
      <c r="AM524" s="67"/>
      <c r="AN524" s="67"/>
      <c r="AO524" s="67"/>
      <c r="AP524" s="67"/>
      <c r="AQ524" s="67"/>
      <c r="AR524" s="67"/>
      <c r="AS524" s="67"/>
      <c r="AT524" s="67"/>
      <c r="AU524" s="67"/>
      <c r="AV524" s="67"/>
      <c r="AW524" s="67"/>
      <c r="AX524" s="67"/>
      <c r="AY524" s="67"/>
      <c r="AZ524" s="67"/>
      <c r="BA524" s="67"/>
      <c r="BB524" s="67"/>
      <c r="BC524" s="67"/>
      <c r="BD524" s="67"/>
      <c r="BE524" s="67"/>
      <c r="BF524" s="67"/>
      <c r="BG524" s="67"/>
      <c r="BH524" s="67"/>
      <c r="BI524" s="67"/>
      <c r="BJ524" s="67"/>
      <c r="BK524" s="67"/>
      <c r="BL524" s="67"/>
      <c r="BM524" s="67"/>
      <c r="BN524" s="67"/>
      <c r="BO524" s="67"/>
      <c r="BP524" s="67"/>
      <c r="BQ524" s="67"/>
      <c r="BR524" s="67"/>
      <c r="BS524" s="46"/>
      <c r="BT524" s="7"/>
      <c r="BU524" s="7"/>
      <c r="BV524" s="7"/>
      <c r="BW524" s="7"/>
      <c r="BX524" s="7"/>
      <c r="BY524" s="7"/>
    </row>
    <row r="525" spans="3:77" ht="15" customHeight="1" x14ac:dyDescent="0.2">
      <c r="C525" s="4"/>
      <c r="H525" s="80"/>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95"/>
      <c r="AJ525" s="67"/>
      <c r="AK525" s="67"/>
      <c r="AL525" s="67"/>
      <c r="AM525" s="67"/>
      <c r="AN525" s="67"/>
      <c r="AO525" s="67"/>
      <c r="AP525" s="67"/>
      <c r="AQ525" s="67"/>
      <c r="BS525" s="46"/>
      <c r="BT525" s="7"/>
      <c r="BU525" s="7"/>
      <c r="BV525" s="7"/>
      <c r="BW525" s="7"/>
      <c r="BX525" s="7"/>
      <c r="BY525" s="7"/>
    </row>
    <row r="526" spans="3:77" ht="15" customHeight="1" x14ac:dyDescent="0.2">
      <c r="C526" s="4"/>
      <c r="H526" s="80"/>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95"/>
      <c r="AJ526" s="67"/>
      <c r="AK526" s="67"/>
      <c r="AL526" s="67"/>
      <c r="AM526" s="67"/>
      <c r="AN526" s="67"/>
      <c r="AO526" s="67"/>
      <c r="AP526" s="67"/>
      <c r="AQ526" s="67"/>
      <c r="BS526" s="46"/>
      <c r="BT526" s="7"/>
      <c r="BU526" s="7"/>
      <c r="BV526" s="7"/>
      <c r="BW526" s="7"/>
      <c r="BX526" s="7"/>
      <c r="BY526" s="7"/>
    </row>
    <row r="527" spans="3:77" ht="15" customHeight="1" x14ac:dyDescent="0.2">
      <c r="C527" s="4"/>
      <c r="H527" s="80"/>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c r="AI527" s="95"/>
      <c r="AJ527" s="67"/>
      <c r="AK527" s="67"/>
      <c r="AL527" s="67"/>
      <c r="AM527" s="67"/>
      <c r="AN527" s="67"/>
      <c r="AO527" s="67"/>
      <c r="AP527" s="67"/>
      <c r="AQ527" s="67"/>
      <c r="AR527" s="67"/>
      <c r="AS527" s="67"/>
      <c r="AT527" s="67"/>
      <c r="AU527" s="67"/>
      <c r="AV527" s="67"/>
      <c r="AW527" s="67"/>
      <c r="AX527" s="67"/>
      <c r="AY527" s="67"/>
      <c r="AZ527" s="67"/>
      <c r="BA527" s="67"/>
      <c r="BB527" s="67"/>
      <c r="BC527" s="67"/>
      <c r="BD527" s="67"/>
      <c r="BE527" s="67"/>
      <c r="BF527" s="67"/>
      <c r="BG527" s="67"/>
      <c r="BH527" s="67"/>
      <c r="BI527" s="67"/>
      <c r="BJ527" s="67"/>
      <c r="BK527" s="67"/>
      <c r="BL527" s="67"/>
      <c r="BM527" s="67"/>
      <c r="BN527" s="67"/>
      <c r="BO527" s="67"/>
      <c r="BP527" s="67"/>
      <c r="BQ527" s="67"/>
      <c r="BR527" s="67"/>
      <c r="BS527" s="46"/>
      <c r="BT527" s="7"/>
      <c r="BU527" s="7"/>
      <c r="BV527" s="7"/>
      <c r="BW527" s="7"/>
      <c r="BX527" s="7"/>
      <c r="BY527" s="7"/>
    </row>
    <row r="528" spans="3:77" ht="15" customHeight="1" x14ac:dyDescent="0.2">
      <c r="C528" s="4"/>
      <c r="H528" s="80"/>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95"/>
      <c r="AJ528" s="67"/>
      <c r="AK528" s="67"/>
      <c r="AL528" s="67"/>
      <c r="AM528" s="67"/>
      <c r="AN528" s="67"/>
      <c r="AO528" s="67"/>
      <c r="AP528" s="67"/>
      <c r="AQ528" s="67"/>
      <c r="AR528" s="67"/>
      <c r="AS528" s="67"/>
      <c r="AT528" s="67"/>
      <c r="AU528" s="67"/>
      <c r="AV528" s="67"/>
      <c r="AW528" s="67"/>
      <c r="AX528" s="67"/>
      <c r="AY528" s="67"/>
      <c r="AZ528" s="67"/>
      <c r="BA528" s="67"/>
      <c r="BB528" s="67"/>
      <c r="BC528" s="67"/>
      <c r="BD528" s="67"/>
      <c r="BE528" s="67"/>
      <c r="BF528" s="67"/>
      <c r="BG528" s="67"/>
      <c r="BH528" s="67"/>
      <c r="BI528" s="67"/>
      <c r="BJ528" s="67"/>
      <c r="BK528" s="67"/>
      <c r="BL528" s="67"/>
      <c r="BM528" s="67"/>
      <c r="BN528" s="67"/>
      <c r="BO528" s="67"/>
      <c r="BP528" s="67"/>
      <c r="BQ528" s="67"/>
      <c r="BR528" s="67"/>
      <c r="BS528" s="46"/>
      <c r="BT528" s="7"/>
      <c r="BU528" s="7"/>
      <c r="BV528" s="7"/>
      <c r="BW528" s="7"/>
      <c r="BX528" s="7"/>
      <c r="BY528" s="7"/>
    </row>
    <row r="529" spans="3:77" ht="15" customHeight="1" x14ac:dyDescent="0.2">
      <c r="C529" s="4"/>
      <c r="H529" s="80"/>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c r="AI529" s="95"/>
      <c r="AJ529" s="67"/>
      <c r="AK529" s="67"/>
      <c r="AL529" s="67"/>
      <c r="AM529" s="67"/>
      <c r="AN529" s="67"/>
      <c r="AO529" s="67"/>
      <c r="AP529" s="67"/>
      <c r="AQ529" s="67"/>
      <c r="AR529" s="67"/>
      <c r="AS529" s="67"/>
      <c r="AT529" s="67"/>
      <c r="AU529" s="67"/>
      <c r="AV529" s="67"/>
      <c r="AW529" s="67"/>
      <c r="AX529" s="67"/>
      <c r="AY529" s="67"/>
      <c r="AZ529" s="67"/>
      <c r="BA529" s="67"/>
      <c r="BB529" s="67"/>
      <c r="BC529" s="67"/>
      <c r="BD529" s="67"/>
      <c r="BE529" s="67"/>
      <c r="BF529" s="67"/>
      <c r="BG529" s="67"/>
      <c r="BH529" s="67"/>
      <c r="BI529" s="67"/>
      <c r="BJ529" s="67"/>
      <c r="BK529" s="67"/>
      <c r="BL529" s="67"/>
      <c r="BM529" s="67"/>
      <c r="BN529" s="67"/>
      <c r="BO529" s="67"/>
      <c r="BP529" s="67"/>
      <c r="BQ529" s="67"/>
      <c r="BR529" s="67"/>
      <c r="BS529" s="46"/>
      <c r="BT529" s="7"/>
      <c r="BU529" s="7"/>
      <c r="BV529" s="7"/>
      <c r="BW529" s="7"/>
      <c r="BX529" s="7"/>
      <c r="BY529" s="7"/>
    </row>
    <row r="530" spans="3:77" ht="15" customHeight="1" x14ac:dyDescent="0.2">
      <c r="C530" s="4"/>
      <c r="H530" s="80"/>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95"/>
      <c r="AJ530" s="67"/>
      <c r="AK530" s="67"/>
      <c r="AL530" s="67"/>
      <c r="AM530" s="67"/>
      <c r="AN530" s="67"/>
      <c r="AO530" s="67"/>
      <c r="AP530" s="67"/>
      <c r="AQ530" s="67"/>
      <c r="AR530" s="67"/>
      <c r="AS530" s="67"/>
      <c r="AT530" s="67"/>
      <c r="AU530" s="67"/>
      <c r="AV530" s="67"/>
      <c r="AW530" s="67"/>
      <c r="AX530" s="67"/>
      <c r="AY530" s="67"/>
      <c r="AZ530" s="67"/>
      <c r="BA530" s="67"/>
      <c r="BB530" s="67"/>
      <c r="BC530" s="67"/>
      <c r="BD530" s="67"/>
      <c r="BE530" s="67"/>
      <c r="BF530" s="67"/>
      <c r="BG530" s="67"/>
      <c r="BH530" s="67"/>
      <c r="BI530" s="67"/>
      <c r="BJ530" s="67"/>
      <c r="BK530" s="67"/>
      <c r="BL530" s="67"/>
      <c r="BM530" s="67"/>
      <c r="BN530" s="67"/>
      <c r="BO530" s="67"/>
      <c r="BP530" s="67"/>
      <c r="BQ530" s="67"/>
      <c r="BR530" s="67"/>
      <c r="BS530" s="46"/>
      <c r="BT530" s="7"/>
      <c r="BU530" s="7"/>
      <c r="BV530" s="7"/>
      <c r="BW530" s="7"/>
      <c r="BX530" s="7"/>
      <c r="BY530" s="7"/>
    </row>
    <row r="531" spans="3:77" ht="15" customHeight="1" x14ac:dyDescent="0.2">
      <c r="C531" s="4"/>
      <c r="H531" s="80"/>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c r="AI531" s="95"/>
      <c r="AJ531" s="67"/>
      <c r="AK531" s="67"/>
      <c r="AL531" s="67"/>
      <c r="AM531" s="67"/>
      <c r="AN531" s="67"/>
      <c r="AO531" s="67"/>
      <c r="AP531" s="67"/>
      <c r="AQ531" s="67"/>
      <c r="AR531" s="67"/>
      <c r="AS531" s="67"/>
      <c r="AT531" s="67"/>
      <c r="AU531" s="67"/>
      <c r="AV531" s="67"/>
      <c r="AW531" s="67"/>
      <c r="AX531" s="67"/>
      <c r="AY531" s="67"/>
      <c r="AZ531" s="67"/>
      <c r="BA531" s="67"/>
      <c r="BB531" s="67"/>
      <c r="BC531" s="67"/>
      <c r="BD531" s="67"/>
      <c r="BE531" s="67"/>
      <c r="BF531" s="67"/>
      <c r="BG531" s="67"/>
      <c r="BH531" s="67"/>
      <c r="BI531" s="67"/>
      <c r="BJ531" s="67"/>
      <c r="BK531" s="67"/>
      <c r="BL531" s="67"/>
      <c r="BM531" s="67"/>
      <c r="BN531" s="67"/>
      <c r="BO531" s="67"/>
      <c r="BP531" s="67"/>
      <c r="BQ531" s="67"/>
      <c r="BR531" s="67"/>
      <c r="BS531" s="46"/>
      <c r="BT531" s="7"/>
      <c r="BU531" s="7"/>
      <c r="BV531" s="7"/>
      <c r="BW531" s="7"/>
      <c r="BX531" s="7"/>
      <c r="BY531" s="7"/>
    </row>
    <row r="532" spans="3:77" ht="15" customHeight="1" x14ac:dyDescent="0.2">
      <c r="C532" s="4"/>
      <c r="H532" s="80"/>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95"/>
      <c r="AJ532" s="67"/>
      <c r="AK532" s="67"/>
      <c r="AL532" s="67"/>
      <c r="AM532" s="67"/>
      <c r="AN532" s="67"/>
      <c r="AO532" s="67"/>
      <c r="AP532" s="67"/>
      <c r="AQ532" s="67"/>
      <c r="AR532" s="67"/>
      <c r="AS532" s="67"/>
      <c r="AT532" s="67"/>
      <c r="AU532" s="67"/>
      <c r="AV532" s="67"/>
      <c r="AW532" s="67"/>
      <c r="AX532" s="67"/>
      <c r="AY532" s="67"/>
      <c r="AZ532" s="67"/>
      <c r="BA532" s="67"/>
      <c r="BB532" s="67"/>
      <c r="BC532" s="67"/>
      <c r="BD532" s="67"/>
      <c r="BE532" s="67"/>
      <c r="BF532" s="67"/>
      <c r="BG532" s="67"/>
      <c r="BH532" s="67"/>
      <c r="BI532" s="67"/>
      <c r="BJ532" s="67"/>
      <c r="BK532" s="67"/>
      <c r="BL532" s="67"/>
      <c r="BM532" s="67"/>
      <c r="BN532" s="67"/>
      <c r="BO532" s="67"/>
      <c r="BP532" s="67"/>
      <c r="BQ532" s="67"/>
      <c r="BR532" s="67"/>
      <c r="BS532" s="46"/>
      <c r="BT532" s="7"/>
      <c r="BU532" s="7"/>
      <c r="BV532" s="7"/>
      <c r="BW532" s="7"/>
      <c r="BX532" s="7"/>
      <c r="BY532" s="7"/>
    </row>
    <row r="533" spans="3:77" ht="15" customHeight="1" x14ac:dyDescent="0.2">
      <c r="C533" s="4"/>
      <c r="H533" s="80"/>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c r="AI533" s="95"/>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46"/>
      <c r="BT533" s="7"/>
      <c r="BU533" s="7"/>
      <c r="BV533" s="7"/>
      <c r="BW533" s="7"/>
      <c r="BX533" s="7"/>
      <c r="BY533" s="7"/>
    </row>
    <row r="534" spans="3:77" ht="15" customHeight="1" x14ac:dyDescent="0.2">
      <c r="C534" s="4"/>
      <c r="H534" s="186" t="str">
        <f>"Figure "&amp;Inputs!$B$3&amp;"-9:  Strut-and-Tie Model for Top Slab"</f>
        <v>Figure C.1-9:  Strut-and-Tie Model for Top Slab</v>
      </c>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97"/>
      <c r="AJ534" s="96"/>
      <c r="AK534" s="96"/>
      <c r="AL534" s="96"/>
      <c r="AM534" s="96"/>
      <c r="AN534" s="67"/>
      <c r="AO534" s="67"/>
      <c r="AP534" s="67"/>
      <c r="AQ534" s="67"/>
      <c r="AR534" s="67"/>
      <c r="AS534" s="67"/>
      <c r="AT534" s="67"/>
      <c r="AU534" s="67"/>
      <c r="AV534" s="67"/>
      <c r="AW534" s="67"/>
      <c r="AX534" s="67"/>
      <c r="AY534" s="67"/>
      <c r="AZ534" s="67"/>
      <c r="BA534" s="67"/>
      <c r="BB534" s="67"/>
      <c r="BC534" s="67"/>
      <c r="BD534" s="67"/>
      <c r="BE534" s="67"/>
      <c r="BF534" s="67"/>
      <c r="BG534" s="67"/>
      <c r="BH534" s="67"/>
      <c r="BI534" s="67"/>
      <c r="BJ534" s="67"/>
      <c r="BK534" s="67"/>
      <c r="BL534" s="67"/>
      <c r="BM534" s="67"/>
      <c r="BN534" s="67"/>
      <c r="BO534" s="67"/>
      <c r="BP534" s="67"/>
      <c r="BQ534" s="67"/>
      <c r="BR534" s="67"/>
      <c r="BS534" s="46"/>
      <c r="BT534" s="7"/>
      <c r="BU534" s="7"/>
      <c r="BV534" s="7"/>
      <c r="BW534" s="7"/>
      <c r="BX534" s="7"/>
      <c r="BY534" s="7"/>
    </row>
    <row r="535" spans="3:77" ht="15" customHeight="1" x14ac:dyDescent="0.2">
      <c r="C535" s="4"/>
      <c r="H535" s="78"/>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67"/>
      <c r="AS535" s="67"/>
      <c r="AT535" s="67"/>
      <c r="AU535" s="67"/>
      <c r="AV535" s="67"/>
      <c r="AW535" s="67"/>
      <c r="AX535" s="67"/>
      <c r="AY535" s="67"/>
      <c r="AZ535" s="67"/>
      <c r="BA535" s="67"/>
      <c r="BB535" s="67"/>
      <c r="BC535" s="67"/>
      <c r="BD535" s="67"/>
      <c r="BE535" s="67"/>
      <c r="BF535" s="67"/>
      <c r="BG535" s="67"/>
      <c r="BH535" s="67"/>
      <c r="BI535" s="67"/>
      <c r="BJ535" s="67"/>
      <c r="BK535" s="67"/>
      <c r="BL535" s="67"/>
      <c r="BM535" s="67"/>
      <c r="BN535" s="67"/>
      <c r="BO535" s="67"/>
      <c r="BP535" s="67"/>
      <c r="BQ535" s="67"/>
      <c r="BR535" s="67"/>
      <c r="BS535" s="46"/>
      <c r="BT535" s="7"/>
      <c r="BU535" s="7"/>
      <c r="BV535" s="7"/>
      <c r="BW535" s="7"/>
      <c r="BX535" s="7"/>
      <c r="BY535" s="7"/>
    </row>
    <row r="536" spans="3:77" ht="15" customHeight="1" x14ac:dyDescent="0.25">
      <c r="C536" s="4"/>
      <c r="G536" s="139" t="s">
        <v>206</v>
      </c>
      <c r="H536" s="139"/>
      <c r="I536" s="139"/>
      <c r="J536" s="139"/>
      <c r="K536" s="139"/>
      <c r="L536" s="139"/>
      <c r="M536" s="139"/>
      <c r="N536" s="139"/>
      <c r="O536" s="139"/>
      <c r="P536" s="139"/>
      <c r="Q536" s="139"/>
      <c r="R536" s="139"/>
      <c r="S536" s="139"/>
      <c r="T536" s="139"/>
      <c r="U536" s="139"/>
      <c r="V536" s="139"/>
      <c r="W536" s="139"/>
      <c r="X536" s="139"/>
      <c r="Y536" s="139"/>
      <c r="Z536" s="139"/>
      <c r="AA536" s="139"/>
      <c r="AB536" s="139"/>
      <c r="AC536" s="139"/>
      <c r="AD536" s="139"/>
      <c r="AE536" s="139"/>
      <c r="AF536" s="139"/>
      <c r="AG536" s="139"/>
      <c r="AH536" s="139"/>
      <c r="AI536" s="139"/>
      <c r="AJ536" s="139"/>
      <c r="AK536" s="139"/>
      <c r="AL536" s="139"/>
      <c r="AM536" s="139"/>
      <c r="AN536" s="139"/>
      <c r="AO536" s="139"/>
      <c r="AP536" s="139"/>
      <c r="AQ536" s="139"/>
      <c r="AR536" s="139"/>
      <c r="AS536" s="139"/>
      <c r="AT536" s="139"/>
      <c r="AU536" s="139"/>
      <c r="AV536" s="139"/>
      <c r="AW536" s="139"/>
      <c r="AX536" s="139"/>
      <c r="AY536" s="139"/>
      <c r="AZ536" s="139"/>
      <c r="BA536" s="139"/>
      <c r="BB536" s="139"/>
      <c r="BC536" s="139"/>
      <c r="BD536" s="139"/>
      <c r="BE536" s="139"/>
      <c r="BF536" s="139"/>
      <c r="BG536" s="139"/>
      <c r="BH536" s="139"/>
      <c r="BI536" s="139"/>
      <c r="BJ536" s="139"/>
      <c r="BK536" s="139"/>
      <c r="BL536" s="139"/>
      <c r="BM536" s="139"/>
      <c r="BN536" s="139"/>
      <c r="BO536" s="139"/>
      <c r="BP536" s="139"/>
      <c r="BQ536" s="139"/>
      <c r="BR536" s="139"/>
      <c r="BS536" s="46"/>
      <c r="BT536" s="7"/>
      <c r="BU536" s="7"/>
      <c r="BV536" s="7"/>
      <c r="BW536" s="7"/>
      <c r="BX536" s="7"/>
      <c r="BY536" s="7"/>
    </row>
    <row r="537" spans="3:77" ht="15" customHeight="1" x14ac:dyDescent="0.2">
      <c r="C537" s="4"/>
      <c r="BS537" s="46"/>
      <c r="BT537" s="7"/>
      <c r="BU537" s="7"/>
      <c r="BV537" s="7"/>
      <c r="BW537" s="7"/>
      <c r="BX537" s="7"/>
      <c r="BY537" s="7"/>
    </row>
    <row r="538" spans="3:77" ht="15" customHeight="1" x14ac:dyDescent="0.2">
      <c r="C538" s="4"/>
      <c r="S538" s="12"/>
      <c r="W538" s="73"/>
      <c r="X538" s="73"/>
      <c r="Y538" s="73"/>
      <c r="Z538" s="73"/>
      <c r="AA538" s="73"/>
      <c r="AB538" s="73"/>
      <c r="AC538" s="73"/>
      <c r="AD538" s="73"/>
      <c r="AE538" s="73"/>
      <c r="AF538" s="73"/>
      <c r="AG538" s="73"/>
      <c r="AH538" s="73"/>
      <c r="AI538" s="73"/>
      <c r="AJ538" s="73"/>
      <c r="AK538" s="69"/>
      <c r="AL538" s="69"/>
      <c r="AM538" s="69"/>
      <c r="AN538" s="69"/>
      <c r="AO538" s="69"/>
      <c r="AP538" s="69"/>
      <c r="AQ538" s="69"/>
      <c r="AR538" s="69"/>
      <c r="AS538" s="69"/>
      <c r="AT538" s="69"/>
      <c r="AU538" s="69"/>
      <c r="AV538" s="69"/>
      <c r="AW538" s="69"/>
      <c r="AX538" s="69"/>
      <c r="AY538" s="69"/>
      <c r="AZ538" s="69"/>
      <c r="BA538" s="70"/>
      <c r="BB538" s="69"/>
      <c r="BC538" s="69"/>
      <c r="BD538" s="69"/>
      <c r="BE538" s="69"/>
      <c r="BF538" s="69"/>
      <c r="BG538" s="69"/>
      <c r="BH538" s="69"/>
      <c r="BI538" s="69"/>
      <c r="BJ538" s="69"/>
      <c r="BK538" s="69"/>
      <c r="BL538" s="69"/>
      <c r="BM538" s="69"/>
      <c r="BN538" s="69"/>
      <c r="BO538" s="69"/>
      <c r="BP538" s="69"/>
      <c r="BQ538" s="69"/>
      <c r="BR538" s="70"/>
      <c r="BT538" s="7"/>
      <c r="BU538" s="7"/>
      <c r="BV538" s="7"/>
      <c r="BW538" s="7"/>
      <c r="BX538" s="7"/>
      <c r="BY538" s="7"/>
    </row>
    <row r="539" spans="3:77" ht="15" customHeight="1" x14ac:dyDescent="0.2">
      <c r="C539" s="4"/>
      <c r="BB539" s="71"/>
      <c r="BR539" s="72"/>
      <c r="BT539" s="7"/>
      <c r="BU539" s="7"/>
      <c r="BV539" s="7"/>
      <c r="BW539" s="7"/>
      <c r="BX539" s="7"/>
      <c r="BY539" s="7"/>
    </row>
    <row r="540" spans="3:77" ht="15" customHeight="1" x14ac:dyDescent="0.2">
      <c r="C540" s="4"/>
      <c r="R540" s="12"/>
      <c r="BB540" s="71"/>
      <c r="BR540" s="72"/>
      <c r="BT540" s="7"/>
      <c r="BU540" s="7"/>
      <c r="BV540" s="7"/>
      <c r="BW540" s="7"/>
      <c r="BX540" s="7"/>
      <c r="BY540" s="7"/>
    </row>
    <row r="541" spans="3:77" ht="15" customHeight="1" x14ac:dyDescent="0.2">
      <c r="C541" s="4"/>
      <c r="R541" s="12"/>
      <c r="BB541" s="71"/>
      <c r="BR541" s="72"/>
      <c r="BT541" s="7"/>
      <c r="BU541" s="7"/>
      <c r="BV541" s="7"/>
      <c r="BW541" s="7"/>
      <c r="BX541" s="7"/>
      <c r="BY541" s="7"/>
    </row>
    <row r="542" spans="3:77" ht="15" customHeight="1" x14ac:dyDescent="0.2">
      <c r="C542" s="4"/>
      <c r="R542" s="12"/>
      <c r="BB542" s="71"/>
      <c r="BR542" s="72"/>
      <c r="BT542" s="7"/>
      <c r="BU542" s="7"/>
      <c r="BV542" s="7"/>
      <c r="BW542" s="7"/>
      <c r="BX542" s="7"/>
      <c r="BY542" s="7"/>
    </row>
    <row r="543" spans="3:77" ht="15" customHeight="1" x14ac:dyDescent="0.25">
      <c r="C543" s="4"/>
      <c r="G543" s="139" t="s">
        <v>222</v>
      </c>
      <c r="H543" s="139"/>
      <c r="I543" s="139"/>
      <c r="J543" s="139"/>
      <c r="K543" s="139"/>
      <c r="L543" s="139"/>
      <c r="M543" s="139"/>
      <c r="N543" s="139"/>
      <c r="O543" s="139"/>
      <c r="P543" s="139"/>
      <c r="Q543" s="139"/>
      <c r="R543" s="139"/>
      <c r="S543" s="139"/>
      <c r="T543" s="139"/>
      <c r="U543" s="139"/>
      <c r="V543" s="139"/>
      <c r="W543" s="139"/>
      <c r="X543" s="139"/>
      <c r="Y543" s="139"/>
      <c r="Z543" s="139"/>
      <c r="AA543" s="139"/>
      <c r="AB543" s="139"/>
      <c r="AC543" s="139"/>
      <c r="AD543" s="139"/>
      <c r="AE543" s="139"/>
      <c r="AF543" s="139"/>
      <c r="AG543" s="139"/>
      <c r="AH543" s="139"/>
      <c r="AI543" s="139"/>
      <c r="AJ543" s="139"/>
      <c r="AK543" s="139"/>
      <c r="AL543" s="139"/>
      <c r="AM543" s="139"/>
      <c r="AN543" s="139"/>
      <c r="AO543" s="139"/>
      <c r="AP543" s="139"/>
      <c r="AQ543" s="139"/>
      <c r="AR543" s="139"/>
      <c r="AS543" s="139"/>
      <c r="AT543" s="139"/>
      <c r="AU543" s="139"/>
      <c r="AV543" s="139"/>
      <c r="AW543" s="139"/>
      <c r="AX543" s="139"/>
      <c r="BB543" s="71"/>
      <c r="BR543" s="72"/>
      <c r="BT543" s="7"/>
      <c r="BU543" s="7"/>
      <c r="BV543" s="7"/>
      <c r="BW543" s="7"/>
      <c r="BX543" s="7"/>
      <c r="BY543" s="7"/>
    </row>
    <row r="544" spans="3:77" ht="15" customHeight="1" x14ac:dyDescent="0.2">
      <c r="C544" s="4"/>
      <c r="R544" s="12"/>
      <c r="BB544" s="71"/>
      <c r="BR544" s="72"/>
      <c r="BT544" s="7"/>
      <c r="BU544" s="7"/>
      <c r="BV544" s="7"/>
      <c r="BW544" s="7"/>
      <c r="BX544" s="7"/>
      <c r="BY544" s="7"/>
    </row>
    <row r="545" spans="3:77" ht="15" customHeight="1" x14ac:dyDescent="0.2">
      <c r="C545" s="4"/>
      <c r="R545" s="12"/>
      <c r="S545" s="69"/>
      <c r="T545" s="69"/>
      <c r="U545" s="69"/>
      <c r="V545" s="69"/>
      <c r="W545" s="69"/>
      <c r="X545" s="69"/>
      <c r="Y545" s="69"/>
      <c r="Z545" s="69"/>
      <c r="AA545" s="69"/>
      <c r="AB545" s="69"/>
      <c r="AC545" s="69"/>
      <c r="AD545" s="69"/>
      <c r="AE545" s="69"/>
      <c r="AF545" s="69"/>
      <c r="AG545" s="69"/>
      <c r="AH545" s="69"/>
      <c r="AI545" s="69"/>
      <c r="AJ545" s="69"/>
      <c r="AK545" s="69"/>
      <c r="AL545" s="69"/>
      <c r="AM545" s="75"/>
      <c r="BB545" s="71"/>
      <c r="BR545" s="72"/>
      <c r="BT545" s="7"/>
      <c r="BU545" s="7"/>
      <c r="BV545" s="7"/>
      <c r="BW545" s="7"/>
      <c r="BX545" s="7"/>
      <c r="BY545" s="7"/>
    </row>
    <row r="546" spans="3:77" ht="15" customHeight="1" x14ac:dyDescent="0.2">
      <c r="C546" s="4"/>
      <c r="R546" s="12"/>
      <c r="AN546" s="75"/>
      <c r="BB546" s="71"/>
      <c r="BR546" s="72"/>
      <c r="BT546" s="7"/>
      <c r="BU546" s="7"/>
      <c r="BV546" s="7"/>
      <c r="BW546" s="7"/>
      <c r="BX546" s="7"/>
      <c r="BY546" s="7"/>
    </row>
    <row r="547" spans="3:77" ht="15" customHeight="1" x14ac:dyDescent="0.2">
      <c r="C547" s="4"/>
      <c r="AO547" s="75"/>
      <c r="BB547" s="71"/>
      <c r="BR547" s="72"/>
      <c r="BT547" s="7"/>
      <c r="BU547" s="7"/>
      <c r="BV547" s="7"/>
      <c r="BW547" s="7"/>
      <c r="BX547" s="7"/>
      <c r="BY547" s="7"/>
    </row>
    <row r="548" spans="3:77" ht="15" customHeight="1" x14ac:dyDescent="0.2">
      <c r="C548" s="4"/>
      <c r="AP548" s="75"/>
      <c r="BB548" s="71"/>
      <c r="BR548" s="72"/>
      <c r="BT548" s="7"/>
      <c r="BU548" s="7"/>
      <c r="BV548" s="7"/>
      <c r="BW548" s="7"/>
      <c r="BX548" s="7"/>
      <c r="BY548" s="7"/>
    </row>
    <row r="549" spans="3:77" ht="15" customHeight="1" x14ac:dyDescent="0.2">
      <c r="C549" s="4"/>
      <c r="AQ549" s="75"/>
      <c r="BB549" s="153" t="str">
        <f>"Figure "&amp;Inputs!$B$3&amp;"-10:  Free Body Diagram 
for Summing Forces at Joint 8"</f>
        <v>Figure C.1-10:  Free Body Diagram 
for Summing Forces at Joint 8</v>
      </c>
      <c r="BC549" s="154"/>
      <c r="BD549" s="154"/>
      <c r="BE549" s="154"/>
      <c r="BF549" s="154"/>
      <c r="BG549" s="154"/>
      <c r="BH549" s="154"/>
      <c r="BI549" s="154"/>
      <c r="BJ549" s="154"/>
      <c r="BK549" s="154"/>
      <c r="BL549" s="154"/>
      <c r="BM549" s="154"/>
      <c r="BN549" s="154"/>
      <c r="BO549" s="154"/>
      <c r="BP549" s="154"/>
      <c r="BQ549" s="154"/>
      <c r="BR549" s="155"/>
      <c r="BT549" s="7"/>
      <c r="BU549" s="7"/>
      <c r="BV549" s="7"/>
      <c r="BW549" s="7"/>
      <c r="BX549" s="7"/>
      <c r="BY549" s="7"/>
    </row>
    <row r="550" spans="3:77" ht="15" customHeight="1" x14ac:dyDescent="0.2">
      <c r="C550" s="4"/>
      <c r="G550" s="139" t="s">
        <v>224</v>
      </c>
      <c r="H550" s="139"/>
      <c r="I550" s="139"/>
      <c r="J550" s="139"/>
      <c r="K550" s="139"/>
      <c r="L550" s="139"/>
      <c r="M550" s="139"/>
      <c r="N550" s="139"/>
      <c r="O550" s="139"/>
      <c r="P550" s="139"/>
      <c r="Q550" s="139"/>
      <c r="R550" s="139"/>
      <c r="S550" s="139"/>
      <c r="T550" s="139"/>
      <c r="U550" s="139"/>
      <c r="V550" s="139"/>
      <c r="W550" s="139"/>
      <c r="X550" s="139"/>
      <c r="Y550" s="139"/>
      <c r="Z550" s="139"/>
      <c r="AA550" s="139"/>
      <c r="AB550" s="139"/>
      <c r="AC550" s="139"/>
      <c r="AD550" s="139"/>
      <c r="AE550" s="139"/>
      <c r="AF550" s="139"/>
      <c r="AG550" s="139"/>
      <c r="AH550" s="139"/>
      <c r="AI550" s="139"/>
      <c r="AJ550" s="139"/>
      <c r="AK550" s="139"/>
      <c r="AL550" s="139"/>
      <c r="AM550" s="139"/>
      <c r="AR550" s="75"/>
      <c r="BB550" s="156"/>
      <c r="BC550" s="157"/>
      <c r="BD550" s="157"/>
      <c r="BE550" s="157"/>
      <c r="BF550" s="157"/>
      <c r="BG550" s="157"/>
      <c r="BH550" s="157"/>
      <c r="BI550" s="157"/>
      <c r="BJ550" s="157"/>
      <c r="BK550" s="157"/>
      <c r="BL550" s="157"/>
      <c r="BM550" s="157"/>
      <c r="BN550" s="157"/>
      <c r="BO550" s="157"/>
      <c r="BP550" s="157"/>
      <c r="BQ550" s="157"/>
      <c r="BR550" s="158"/>
      <c r="BT550" s="7"/>
      <c r="BU550" s="7"/>
      <c r="BV550" s="7"/>
      <c r="BW550" s="7"/>
      <c r="BX550" s="7"/>
      <c r="BY550" s="7"/>
    </row>
    <row r="551" spans="3:77" ht="15" customHeight="1" x14ac:dyDescent="0.2">
      <c r="C551" s="4"/>
      <c r="AS551" s="75"/>
      <c r="BT551" s="7"/>
      <c r="BU551" s="7"/>
      <c r="BV551" s="7"/>
      <c r="BW551" s="7"/>
      <c r="BX551" s="7"/>
      <c r="BY551" s="7"/>
    </row>
    <row r="552" spans="3:77" ht="15" customHeight="1" x14ac:dyDescent="0.2">
      <c r="C552" s="4"/>
      <c r="H552" s="189" t="str">
        <f>"Table "&amp;Inputs!$B$3&amp;"-1:  Forces in Ties"</f>
        <v>Table C.1-1:  Forces in Ties</v>
      </c>
      <c r="I552" s="190"/>
      <c r="J552" s="190"/>
      <c r="K552" s="190"/>
      <c r="L552" s="190"/>
      <c r="M552" s="190"/>
      <c r="N552" s="190"/>
      <c r="O552" s="190"/>
      <c r="P552" s="190"/>
      <c r="Q552" s="190"/>
      <c r="R552" s="190"/>
      <c r="S552" s="190"/>
      <c r="T552" s="190"/>
      <c r="U552" s="190"/>
      <c r="V552" s="190"/>
      <c r="W552" s="190"/>
      <c r="X552" s="190"/>
      <c r="Y552" s="190"/>
      <c r="Z552" s="190"/>
      <c r="AA552" s="190"/>
      <c r="AB552" s="190"/>
      <c r="AC552" s="190"/>
      <c r="AD552" s="190"/>
      <c r="AE552" s="190"/>
      <c r="AF552" s="190"/>
      <c r="AG552" s="190"/>
      <c r="AH552" s="190"/>
      <c r="AI552" s="190"/>
      <c r="AJ552" s="190"/>
      <c r="AK552" s="190"/>
      <c r="AL552" s="190"/>
      <c r="AM552" s="190"/>
      <c r="AN552" s="190"/>
      <c r="AO552" s="190"/>
      <c r="AP552" s="191"/>
      <c r="AT552" s="75"/>
      <c r="BT552" s="7"/>
      <c r="BU552" s="7"/>
      <c r="BV552" s="7"/>
      <c r="BW552" s="7"/>
      <c r="BX552" s="7"/>
      <c r="BY552" s="7"/>
    </row>
    <row r="553" spans="3:77" ht="15" customHeight="1" x14ac:dyDescent="0.2">
      <c r="C553" s="4"/>
      <c r="D553" s="27"/>
      <c r="E553" s="27"/>
      <c r="F553" s="27"/>
      <c r="G553" s="27"/>
      <c r="H553" s="119" t="s">
        <v>112</v>
      </c>
      <c r="I553" s="119"/>
      <c r="J553" s="115" t="s">
        <v>495</v>
      </c>
      <c r="K553" s="115"/>
      <c r="L553" s="115"/>
      <c r="M553" s="115" t="s">
        <v>496</v>
      </c>
      <c r="N553" s="115"/>
      <c r="O553" s="115"/>
      <c r="P553" s="115" t="s">
        <v>497</v>
      </c>
      <c r="Q553" s="115"/>
      <c r="R553" s="115"/>
      <c r="S553" s="119" t="s">
        <v>112</v>
      </c>
      <c r="T553" s="119"/>
      <c r="U553" s="115" t="s">
        <v>495</v>
      </c>
      <c r="V553" s="115"/>
      <c r="W553" s="115"/>
      <c r="X553" s="115" t="s">
        <v>496</v>
      </c>
      <c r="Y553" s="115"/>
      <c r="Z553" s="115"/>
      <c r="AA553" s="115" t="s">
        <v>175</v>
      </c>
      <c r="AB553" s="115"/>
      <c r="AC553" s="115" t="s">
        <v>498</v>
      </c>
      <c r="AD553" s="115"/>
      <c r="AE553" s="115"/>
      <c r="AF553" s="115" t="s">
        <v>175</v>
      </c>
      <c r="AG553" s="115"/>
      <c r="AH553" s="115" t="s">
        <v>499</v>
      </c>
      <c r="AI553" s="115"/>
      <c r="AJ553" s="115"/>
      <c r="AK553" s="115" t="s">
        <v>175</v>
      </c>
      <c r="AL553" s="115"/>
      <c r="AM553" s="115" t="s">
        <v>500</v>
      </c>
      <c r="AN553" s="115"/>
      <c r="AO553" s="115"/>
      <c r="AP553" s="115"/>
      <c r="AU553" s="73"/>
      <c r="AV553" s="73"/>
      <c r="AW553" s="74"/>
      <c r="AX553" s="68"/>
      <c r="AY553" s="69"/>
      <c r="AZ553" s="69"/>
      <c r="BA553" s="69"/>
      <c r="BB553" s="69"/>
      <c r="BC553" s="69"/>
      <c r="BD553" s="69"/>
      <c r="BE553" s="69"/>
      <c r="BF553" s="69"/>
      <c r="BG553" s="69"/>
      <c r="BH553" s="69"/>
      <c r="BI553" s="69"/>
      <c r="BJ553" s="69"/>
      <c r="BK553" s="69"/>
      <c r="BL553" s="69"/>
      <c r="BM553" s="70"/>
      <c r="BT553" s="7"/>
      <c r="BU553" s="7"/>
      <c r="BV553" s="7"/>
      <c r="BW553" s="7"/>
      <c r="BX553" s="7"/>
      <c r="BY553" s="7"/>
    </row>
    <row r="554" spans="3:77" ht="15" customHeight="1" x14ac:dyDescent="0.2">
      <c r="C554" s="4"/>
      <c r="H554" s="119"/>
      <c r="I554" s="119"/>
      <c r="J554" s="115"/>
      <c r="K554" s="115"/>
      <c r="L554" s="115"/>
      <c r="M554" s="115"/>
      <c r="N554" s="115"/>
      <c r="O554" s="115"/>
      <c r="P554" s="115"/>
      <c r="Q554" s="115"/>
      <c r="R554" s="115"/>
      <c r="S554" s="119"/>
      <c r="T554" s="119"/>
      <c r="U554" s="115"/>
      <c r="V554" s="115"/>
      <c r="W554" s="115"/>
      <c r="X554" s="115"/>
      <c r="Y554" s="115"/>
      <c r="Z554" s="115"/>
      <c r="AA554" s="115"/>
      <c r="AB554" s="115"/>
      <c r="AC554" s="115"/>
      <c r="AD554" s="115"/>
      <c r="AE554" s="115"/>
      <c r="AF554" s="115"/>
      <c r="AG554" s="115"/>
      <c r="AH554" s="115"/>
      <c r="AI554" s="115"/>
      <c r="AJ554" s="115"/>
      <c r="AK554" s="115"/>
      <c r="AL554" s="115"/>
      <c r="AM554" s="115"/>
      <c r="AN554" s="115"/>
      <c r="AO554" s="115"/>
      <c r="AP554" s="115"/>
      <c r="AX554" s="71"/>
      <c r="BM554" s="72"/>
      <c r="BT554" s="7"/>
      <c r="BU554" s="7"/>
      <c r="BV554" s="7"/>
      <c r="BW554" s="7"/>
      <c r="BX554" s="7"/>
      <c r="BY554" s="7"/>
    </row>
    <row r="555" spans="3:77" ht="15" customHeight="1" x14ac:dyDescent="0.2">
      <c r="C555" s="4"/>
      <c r="H555" s="119"/>
      <c r="I555" s="119"/>
      <c r="J555" s="115"/>
      <c r="K555" s="115"/>
      <c r="L555" s="115"/>
      <c r="M555" s="115"/>
      <c r="N555" s="115"/>
      <c r="O555" s="115"/>
      <c r="P555" s="115"/>
      <c r="Q555" s="115"/>
      <c r="R555" s="115"/>
      <c r="S555" s="119"/>
      <c r="T555" s="119"/>
      <c r="U555" s="115"/>
      <c r="V555" s="115"/>
      <c r="W555" s="115"/>
      <c r="X555" s="115"/>
      <c r="Y555" s="115"/>
      <c r="Z555" s="115"/>
      <c r="AA555" s="115"/>
      <c r="AB555" s="115"/>
      <c r="AC555" s="115"/>
      <c r="AD555" s="115"/>
      <c r="AE555" s="115"/>
      <c r="AF555" s="115"/>
      <c r="AG555" s="115"/>
      <c r="AH555" s="115"/>
      <c r="AI555" s="115"/>
      <c r="AJ555" s="115"/>
      <c r="AK555" s="115"/>
      <c r="AL555" s="115"/>
      <c r="AM555" s="115"/>
      <c r="AN555" s="115"/>
      <c r="AO555" s="115"/>
      <c r="AP555" s="115"/>
      <c r="AX555" s="71"/>
      <c r="BM555" s="72"/>
      <c r="BT555" s="7"/>
      <c r="BU555" s="7"/>
      <c r="BV555" s="7"/>
      <c r="BW555" s="7"/>
      <c r="BX555" s="7"/>
      <c r="BY555" s="7"/>
    </row>
    <row r="556" spans="3:77" ht="15" customHeight="1" x14ac:dyDescent="0.2">
      <c r="C556" s="4"/>
      <c r="H556" s="166">
        <f>IF(P557&lt;&gt;"", ROW()-555, "")</f>
        <v>1</v>
      </c>
      <c r="I556" s="162"/>
      <c r="J556" s="167">
        <f>IF(ISNUMBER(H556), $X$212/2, "")</f>
        <v>0.83819999999999995</v>
      </c>
      <c r="K556" s="167"/>
      <c r="L556" s="167"/>
      <c r="M556" s="167">
        <f>IF(ISNUMBER(H556),$X$155-$P$556,"")</f>
        <v>12.801600000000001</v>
      </c>
      <c r="N556" s="167"/>
      <c r="O556" s="167"/>
      <c r="P556" s="167">
        <f>IF(ISNUMBER(Inputs!I12),Inputs!I12,"")</f>
        <v>0.96519999999999995</v>
      </c>
      <c r="Q556" s="167"/>
      <c r="R556" s="167"/>
      <c r="S556" s="162" cm="1">
        <f t="array" ref="S556">IFERROR(LOOKUP(2,1/(ISNUMBER($H$556:$H$576)),$H$556:$H$576)+1,1)</f>
        <v>7</v>
      </c>
      <c r="T556" s="162"/>
      <c r="U556" s="167">
        <f>IF(ISNUMBER(P556),$X$212/2+$X$213/2, "")</f>
        <v>2.0192999999999999</v>
      </c>
      <c r="V556" s="167"/>
      <c r="W556" s="167"/>
      <c r="X556" s="167">
        <f>IF(P556&lt;&gt;"", IF($X$155 - ($P$556/2) = 0, "", $X$155 - ($P$556/2)), "")</f>
        <v>13.2842</v>
      </c>
      <c r="Y556" s="167"/>
      <c r="Z556" s="167"/>
      <c r="AA556" s="162" t="str">
        <f t="shared" ref="AA556:AA562" si="0">IF(S556="","", "P" &amp; S556)</f>
        <v>P7</v>
      </c>
      <c r="AB556" s="162"/>
      <c r="AC556" s="167">
        <f t="shared" ref="AC556:AC562" si="1">IF(P556&lt;&gt;"", IF($X$510*P556=0,"",$X$510*P556), "")</f>
        <v>746.31906750627354</v>
      </c>
      <c r="AD556" s="167"/>
      <c r="AE556" s="167"/>
      <c r="AF556" s="162" t="str">
        <f>IF(H556=1,"-","")</f>
        <v>-</v>
      </c>
      <c r="AG556" s="162"/>
      <c r="AH556" s="162" t="str">
        <f>IF(H556=1,"-","")</f>
        <v>-</v>
      </c>
      <c r="AI556" s="162"/>
      <c r="AJ556" s="162"/>
      <c r="AK556" s="167" t="str">
        <f t="shared" ref="AK556:AK562" si="2">IF(S557="", "", "F" &amp; (S556+11))</f>
        <v>F18</v>
      </c>
      <c r="AL556" s="167"/>
      <c r="AM556" s="233" cm="1">
        <f t="array" ref="AM556">IF(H556="","",
 ( Second_Tie_TOP_SLAB)
)</f>
        <v>-304.94757597030423</v>
      </c>
      <c r="AN556" s="233"/>
      <c r="AO556" s="233"/>
      <c r="AP556" s="234"/>
      <c r="AQ556" s="27"/>
      <c r="AR556" s="27"/>
      <c r="AS556" s="27"/>
      <c r="AT556" s="27"/>
      <c r="AX556" s="71"/>
      <c r="BM556" s="72"/>
      <c r="BT556" s="7"/>
      <c r="BU556" s="7"/>
      <c r="BV556" s="7"/>
      <c r="BW556" s="7"/>
      <c r="BX556" s="7"/>
      <c r="BY556" s="7"/>
    </row>
    <row r="557" spans="3:77" ht="15" customHeight="1" x14ac:dyDescent="0.2">
      <c r="C557" s="4"/>
      <c r="H557" s="166">
        <f t="shared" ref="H557:H576" si="3">IF(P558&lt;&gt;"", ROW()-555, "")</f>
        <v>2</v>
      </c>
      <c r="I557" s="162"/>
      <c r="J557" s="167">
        <f t="shared" ref="J557:J562" si="4">IF(ISNUMBER(H557), $X$212/2, "")</f>
        <v>0.83819999999999995</v>
      </c>
      <c r="K557" s="167"/>
      <c r="L557" s="167"/>
      <c r="M557" s="167">
        <f>IF(ISNUMBER(H557),$X$155-SUM($P$556:P557),"")</f>
        <v>10.4267</v>
      </c>
      <c r="N557" s="167"/>
      <c r="O557" s="167"/>
      <c r="P557" s="167">
        <f>IF(ISNUMBER(Inputs!I13),Inputs!I13,"")</f>
        <v>2.3748999999999998</v>
      </c>
      <c r="Q557" s="167"/>
      <c r="R557" s="167"/>
      <c r="S557" s="162">
        <f t="shared" ref="S557:S563" si="5">IF(P557&lt;&gt;"",S556+1,"")</f>
        <v>8</v>
      </c>
      <c r="T557" s="162"/>
      <c r="U557" s="167">
        <f t="shared" ref="U557:U562" si="6">IF(ISNUMBER(P557),$X$212/2+$X$213/2, "")</f>
        <v>2.0192999999999999</v>
      </c>
      <c r="V557" s="167"/>
      <c r="W557" s="167"/>
      <c r="X557" s="167">
        <f>IF(P557&lt;&gt;"", IF($X$155-SUM($P$556:P557)+P557/2=0, "", $X$155-SUM($P$556:P557)+P557/2), "")</f>
        <v>11.61415</v>
      </c>
      <c r="Y557" s="167"/>
      <c r="Z557" s="167"/>
      <c r="AA557" s="162" t="str">
        <f t="shared" si="0"/>
        <v>P8</v>
      </c>
      <c r="AB557" s="162"/>
      <c r="AC557" s="167">
        <f t="shared" si="1"/>
        <v>1836.3377055746466</v>
      </c>
      <c r="AD557" s="167"/>
      <c r="AE557" s="167"/>
      <c r="AF557" s="162" t="str">
        <f t="shared" ref="AF557:AF562" si="7">IF(H557&lt;&gt;"", "F" &amp; (H557-1), "")</f>
        <v>F1</v>
      </c>
      <c r="AG557" s="162"/>
      <c r="AH557" s="167" cm="1">
        <f t="array" ref="AH557">IF(H557="","",
(First_Tie_TOP_SLAB
))</f>
        <v>-728.40374938890534</v>
      </c>
      <c r="AI557" s="167"/>
      <c r="AJ557" s="167"/>
      <c r="AK557" s="167" t="str">
        <f t="shared" si="2"/>
        <v>F19</v>
      </c>
      <c r="AL557" s="167"/>
      <c r="AM557" s="233" cm="1">
        <f t="array" ref="AM557">IF(H557="","",
 ( Second_Tie_TOP_SLAB)
)</f>
        <v>-84.455414189834016</v>
      </c>
      <c r="AN557" s="233"/>
      <c r="AO557" s="233"/>
      <c r="AP557" s="234"/>
      <c r="AQ557" s="27"/>
      <c r="AR557" s="27"/>
      <c r="AS557" s="27"/>
      <c r="AT557" s="27"/>
      <c r="AX557" s="71"/>
      <c r="BM557" s="72"/>
      <c r="BT557" s="7"/>
      <c r="BU557" s="7"/>
      <c r="BV557" s="7"/>
      <c r="BW557" s="7"/>
      <c r="BX557" s="7"/>
      <c r="BY557" s="7"/>
    </row>
    <row r="558" spans="3:77" ht="15" customHeight="1" x14ac:dyDescent="0.2">
      <c r="C558" s="4"/>
      <c r="H558" s="166">
        <f t="shared" si="3"/>
        <v>3</v>
      </c>
      <c r="I558" s="162"/>
      <c r="J558" s="167">
        <f t="shared" si="4"/>
        <v>0.83819999999999995</v>
      </c>
      <c r="K558" s="167"/>
      <c r="L558" s="167"/>
      <c r="M558" s="167">
        <f>IF(ISNUMBER(H558),$X$155-SUM($P$556:P558),"")</f>
        <v>8.0645000000000007</v>
      </c>
      <c r="N558" s="167"/>
      <c r="O558" s="167"/>
      <c r="P558" s="167">
        <f>IF(ISNUMBER(Inputs!I14),Inputs!I14,"")</f>
        <v>2.3622000000000001</v>
      </c>
      <c r="Q558" s="167"/>
      <c r="R558" s="167"/>
      <c r="S558" s="162">
        <f t="shared" si="5"/>
        <v>9</v>
      </c>
      <c r="T558" s="162"/>
      <c r="U558" s="167">
        <f t="shared" si="6"/>
        <v>2.0192999999999999</v>
      </c>
      <c r="V558" s="167"/>
      <c r="W558" s="167"/>
      <c r="X558" s="167">
        <f>IF(P558&lt;&gt;"", IF($X$155-SUM($P$556:P558)+P558/2=0, "", $X$155-SUM($P$556:P558)+P558/2), "")</f>
        <v>9.2456000000000014</v>
      </c>
      <c r="Y558" s="167"/>
      <c r="Z558" s="167"/>
      <c r="AA558" s="162" t="str">
        <f t="shared" si="0"/>
        <v>P9</v>
      </c>
      <c r="AB558" s="162"/>
      <c r="AC558" s="167">
        <f t="shared" si="1"/>
        <v>1826.5177178443012</v>
      </c>
      <c r="AD558" s="167"/>
      <c r="AE558" s="167"/>
      <c r="AF558" s="162" t="str">
        <f t="shared" si="7"/>
        <v>F2</v>
      </c>
      <c r="AG558" s="162"/>
      <c r="AH558" s="167" cm="1">
        <f t="array" ref="AH558">IF(H558="","",
(First_Tie_TOP_SLAB
))</f>
        <v>-881.17671262749127</v>
      </c>
      <c r="AI558" s="167"/>
      <c r="AJ558" s="167"/>
      <c r="AK558" s="167" t="str">
        <f t="shared" si="2"/>
        <v>F20</v>
      </c>
      <c r="AL558" s="167"/>
      <c r="AM558" s="233" cm="1">
        <f t="array" ref="AM558">IF(H558="","",
 ( Second_Tie_TOP_SLAB)
)</f>
        <v>20.291121600516263</v>
      </c>
      <c r="AN558" s="233"/>
      <c r="AO558" s="233"/>
      <c r="AP558" s="234"/>
      <c r="AQ558" s="27"/>
      <c r="AR558" s="27"/>
      <c r="AS558" s="27"/>
      <c r="AT558" s="27"/>
      <c r="AX558" s="71"/>
      <c r="BM558" s="72"/>
      <c r="BT558" s="7"/>
      <c r="BU558" s="7"/>
      <c r="BV558" s="7"/>
      <c r="BW558" s="7"/>
      <c r="BX558" s="7"/>
      <c r="BY558" s="7"/>
    </row>
    <row r="559" spans="3:77" ht="15" customHeight="1" x14ac:dyDescent="0.2">
      <c r="C559" s="4"/>
      <c r="H559" s="166">
        <f t="shared" si="3"/>
        <v>4</v>
      </c>
      <c r="I559" s="162"/>
      <c r="J559" s="167">
        <f t="shared" si="4"/>
        <v>0.83819999999999995</v>
      </c>
      <c r="K559" s="167"/>
      <c r="L559" s="167"/>
      <c r="M559" s="167">
        <f>IF(ISNUMBER(H559),$X$155-SUM($P$556:P559),"")</f>
        <v>5.702300000000001</v>
      </c>
      <c r="N559" s="167"/>
      <c r="O559" s="167"/>
      <c r="P559" s="167">
        <f>IF(ISNUMBER(Inputs!I15),Inputs!I15,"")</f>
        <v>2.3622000000000001</v>
      </c>
      <c r="Q559" s="167"/>
      <c r="R559" s="167"/>
      <c r="S559" s="162">
        <f t="shared" si="5"/>
        <v>10</v>
      </c>
      <c r="T559" s="162"/>
      <c r="U559" s="167">
        <f t="shared" si="6"/>
        <v>2.0192999999999999</v>
      </c>
      <c r="V559" s="167"/>
      <c r="W559" s="167"/>
      <c r="X559" s="167">
        <f>IF(P559&lt;&gt;"", IF($X$155-SUM($P$556:P559)+P559/2=0, "", $X$155-SUM($P$556:P559)+P559/2), "")</f>
        <v>6.8834000000000009</v>
      </c>
      <c r="Y559" s="167"/>
      <c r="Z559" s="167"/>
      <c r="AA559" s="162" t="str">
        <f t="shared" si="0"/>
        <v>P10</v>
      </c>
      <c r="AB559" s="162"/>
      <c r="AC559" s="167">
        <f t="shared" si="1"/>
        <v>1826.5177178443012</v>
      </c>
      <c r="AD559" s="167"/>
      <c r="AE559" s="167"/>
      <c r="AF559" s="162" t="str">
        <f t="shared" si="7"/>
        <v>F3</v>
      </c>
      <c r="AG559" s="162"/>
      <c r="AH559" s="167" cm="1">
        <f t="array" ref="AH559">IF(H559="","",
(First_Tie_TOP_SLAB
))</f>
        <v>-933.54998052266842</v>
      </c>
      <c r="AI559" s="167"/>
      <c r="AJ559" s="167"/>
      <c r="AK559" s="167" t="str">
        <f t="shared" si="2"/>
        <v>F21</v>
      </c>
      <c r="AL559" s="167"/>
      <c r="AM559" s="233" cm="1">
        <f t="array" ref="AM559">IF(H559="","",
 ( Second_Tie_TOP_SLAB)
)</f>
        <v>20.291121600516263</v>
      </c>
      <c r="AN559" s="233"/>
      <c r="AO559" s="233"/>
      <c r="AP559" s="234"/>
      <c r="AQ559" s="27"/>
      <c r="AR559" s="27"/>
      <c r="AS559" s="27"/>
      <c r="AT559" s="27"/>
      <c r="AX559" s="71"/>
      <c r="BM559" s="72"/>
      <c r="BT559" s="7"/>
      <c r="BU559" s="7"/>
      <c r="BV559" s="7"/>
      <c r="BW559" s="7"/>
      <c r="BX559" s="7"/>
      <c r="BY559" s="7"/>
    </row>
    <row r="560" spans="3:77" ht="15" customHeight="1" x14ac:dyDescent="0.2">
      <c r="C560" s="4"/>
      <c r="H560" s="166">
        <f t="shared" si="3"/>
        <v>5</v>
      </c>
      <c r="I560" s="162"/>
      <c r="J560" s="167">
        <f t="shared" si="4"/>
        <v>0.83819999999999995</v>
      </c>
      <c r="K560" s="167"/>
      <c r="L560" s="167"/>
      <c r="M560" s="167">
        <f>IF(ISNUMBER(H560),$X$155-SUM($P$556:P560),"")</f>
        <v>3.3401000000000014</v>
      </c>
      <c r="N560" s="167"/>
      <c r="O560" s="167"/>
      <c r="P560" s="167">
        <f>IF(ISNUMBER(Inputs!I16),Inputs!I16,"")</f>
        <v>2.3622000000000001</v>
      </c>
      <c r="Q560" s="167"/>
      <c r="R560" s="167"/>
      <c r="S560" s="162">
        <f t="shared" si="5"/>
        <v>11</v>
      </c>
      <c r="T560" s="162"/>
      <c r="U560" s="167">
        <f t="shared" si="6"/>
        <v>2.0192999999999999</v>
      </c>
      <c r="V560" s="167"/>
      <c r="W560" s="167"/>
      <c r="X560" s="167">
        <f>IF(P560&lt;&gt;"", IF($X$155-SUM($P$556:P560)+P560/2=0, "", $X$155-SUM($P$556:P560)+P560/2), "")</f>
        <v>4.5212000000000012</v>
      </c>
      <c r="Y560" s="167"/>
      <c r="Z560" s="167"/>
      <c r="AA560" s="162" t="str">
        <f t="shared" si="0"/>
        <v>P11</v>
      </c>
      <c r="AB560" s="162"/>
      <c r="AC560" s="167">
        <f t="shared" si="1"/>
        <v>1826.5177178443012</v>
      </c>
      <c r="AD560" s="167"/>
      <c r="AE560" s="167"/>
      <c r="AF560" s="162" t="str">
        <f t="shared" si="7"/>
        <v>F4</v>
      </c>
      <c r="AG560" s="162"/>
      <c r="AH560" s="167" cm="1">
        <f t="array" ref="AH560">IF(H560="","",
(First_Tie_TOP_SLAB
))</f>
        <v>-881.17671262749514</v>
      </c>
      <c r="AI560" s="167"/>
      <c r="AJ560" s="167"/>
      <c r="AK560" s="167" t="str">
        <f t="shared" si="2"/>
        <v>F22</v>
      </c>
      <c r="AL560" s="167"/>
      <c r="AM560" s="233" cm="1">
        <f t="array" ref="AM560">IF(H560="","",
 ( Second_Tie_TOP_SLAB)
)</f>
        <v>-84.455414189836333</v>
      </c>
      <c r="AN560" s="233"/>
      <c r="AO560" s="233"/>
      <c r="AP560" s="234"/>
      <c r="AQ560" s="27"/>
      <c r="AR560" s="27"/>
      <c r="AS560" s="27"/>
      <c r="AT560" s="27"/>
      <c r="AX560" s="71"/>
      <c r="BM560" s="72"/>
      <c r="BT560" s="7"/>
      <c r="BU560" s="7"/>
      <c r="BV560" s="7"/>
      <c r="BW560" s="7"/>
      <c r="BX560" s="7"/>
      <c r="BY560" s="7"/>
    </row>
    <row r="561" spans="3:77" ht="15" customHeight="1" x14ac:dyDescent="0.2">
      <c r="C561" s="4"/>
      <c r="H561" s="166">
        <f t="shared" si="3"/>
        <v>6</v>
      </c>
      <c r="I561" s="162"/>
      <c r="J561" s="167">
        <f t="shared" si="4"/>
        <v>0.83819999999999995</v>
      </c>
      <c r="K561" s="167"/>
      <c r="L561" s="167"/>
      <c r="M561" s="167">
        <f>IF(ISNUMBER(H561),$X$155-SUM($P$556:P561),"")</f>
        <v>0.96520000000000117</v>
      </c>
      <c r="N561" s="167"/>
      <c r="O561" s="167"/>
      <c r="P561" s="167">
        <f>IF(ISNUMBER(Inputs!I17),Inputs!I17,"")</f>
        <v>2.3748999999999998</v>
      </c>
      <c r="Q561" s="167"/>
      <c r="R561" s="167"/>
      <c r="S561" s="162">
        <f t="shared" si="5"/>
        <v>12</v>
      </c>
      <c r="T561" s="162"/>
      <c r="U561" s="167">
        <f t="shared" si="6"/>
        <v>2.0192999999999999</v>
      </c>
      <c r="V561" s="167"/>
      <c r="W561" s="167"/>
      <c r="X561" s="167">
        <f>IF(P561&lt;&gt;"", IF($X$155-SUM($P$556:P561)+P561/2=0, "", $X$155-SUM($P$556:P561)+P561/2), "")</f>
        <v>2.1526500000000013</v>
      </c>
      <c r="Y561" s="167"/>
      <c r="Z561" s="167"/>
      <c r="AA561" s="162" t="str">
        <f t="shared" si="0"/>
        <v>P12</v>
      </c>
      <c r="AB561" s="162"/>
      <c r="AC561" s="167">
        <f t="shared" si="1"/>
        <v>1836.3377055746466</v>
      </c>
      <c r="AD561" s="167"/>
      <c r="AE561" s="167"/>
      <c r="AF561" s="162" t="str">
        <f t="shared" si="7"/>
        <v>F5</v>
      </c>
      <c r="AG561" s="162"/>
      <c r="AH561" s="167" cm="1">
        <f t="array" ref="AH561">IF(H561="","",
(First_Tie_TOP_SLAB
))</f>
        <v>-728.40374938890614</v>
      </c>
      <c r="AI561" s="167"/>
      <c r="AJ561" s="167"/>
      <c r="AK561" s="167" t="str">
        <f t="shared" si="2"/>
        <v>F23</v>
      </c>
      <c r="AL561" s="167"/>
      <c r="AM561" s="233" cm="1">
        <f t="array" ref="AM561">IF(H561="","",
 ( Second_Tie_TOP_SLAB)
)</f>
        <v>-304.94757597030423</v>
      </c>
      <c r="AN561" s="233"/>
      <c r="AO561" s="233"/>
      <c r="AP561" s="234"/>
      <c r="AQ561" s="27"/>
      <c r="AR561" s="27"/>
      <c r="AS561" s="27"/>
      <c r="AT561" s="27"/>
      <c r="AX561" s="71"/>
      <c r="BM561" s="72"/>
      <c r="BT561" s="7"/>
      <c r="BU561" s="7"/>
      <c r="BV561" s="7"/>
      <c r="BW561" s="7"/>
      <c r="BX561" s="7"/>
      <c r="BY561" s="7"/>
    </row>
    <row r="562" spans="3:77" ht="15" customHeight="1" x14ac:dyDescent="0.2">
      <c r="C562" s="4"/>
      <c r="H562" s="166" t="str">
        <f t="shared" si="3"/>
        <v/>
      </c>
      <c r="I562" s="162"/>
      <c r="J562" s="167" t="str">
        <f t="shared" si="4"/>
        <v/>
      </c>
      <c r="K562" s="167"/>
      <c r="L562" s="167"/>
      <c r="M562" s="167" t="str">
        <f>IF(ISNUMBER(H562),$X$155-SUM($P$556:P562),"")</f>
        <v/>
      </c>
      <c r="N562" s="167"/>
      <c r="O562" s="167"/>
      <c r="P562" s="167">
        <f>IF(ISNUMBER(Inputs!I18),Inputs!I18,"")</f>
        <v>0.96519999999999995</v>
      </c>
      <c r="Q562" s="167"/>
      <c r="R562" s="167"/>
      <c r="S562" s="162">
        <f t="shared" si="5"/>
        <v>13</v>
      </c>
      <c r="T562" s="162"/>
      <c r="U562" s="167">
        <f t="shared" si="6"/>
        <v>2.0192999999999999</v>
      </c>
      <c r="V562" s="167"/>
      <c r="W562" s="167"/>
      <c r="X562" s="167">
        <f>IF(P562&lt;&gt;"", IF($X$155-SUM($P$556:P562)+P562/2=0, "", $X$155-SUM($P$556:P562)+P562/2), "")</f>
        <v>0.48260000000000175</v>
      </c>
      <c r="Y562" s="167"/>
      <c r="Z562" s="167"/>
      <c r="AA562" s="162" t="str">
        <f t="shared" si="0"/>
        <v>P13</v>
      </c>
      <c r="AB562" s="162"/>
      <c r="AC562" s="167">
        <f t="shared" si="1"/>
        <v>746.31906750627354</v>
      </c>
      <c r="AD562" s="167"/>
      <c r="AE562" s="167"/>
      <c r="AF562" s="162" t="str">
        <f t="shared" si="7"/>
        <v/>
      </c>
      <c r="AG562" s="162"/>
      <c r="AH562" s="167" t="str" cm="1">
        <f t="array" ref="AH562">IF(H562="","",
(First_Tie_TOP_SLAB
))</f>
        <v/>
      </c>
      <c r="AI562" s="167"/>
      <c r="AJ562" s="167"/>
      <c r="AK562" s="167" t="str">
        <f t="shared" si="2"/>
        <v/>
      </c>
      <c r="AL562" s="167"/>
      <c r="AM562" s="167" t="str" cm="1">
        <f t="array" ref="AM562">IF(H562="","",
 ( Second_Tie_TOP_SLAB)
)</f>
        <v/>
      </c>
      <c r="AN562" s="167"/>
      <c r="AO562" s="167"/>
      <c r="AP562" s="194"/>
      <c r="AQ562" s="27"/>
      <c r="AR562" s="27"/>
      <c r="AS562" s="27"/>
      <c r="AT562" s="27"/>
      <c r="AU562" s="27"/>
      <c r="AV562" s="27"/>
      <c r="AW562" s="27"/>
      <c r="AX562" s="153" t="str">
        <f>"Figure "&amp;Inputs!$B$3&amp;"-11:  Free Body Diagram
for Summing Forces at Joint 7"</f>
        <v>Figure C.1-11:  Free Body Diagram
for Summing Forces at Joint 7</v>
      </c>
      <c r="AY562" s="154"/>
      <c r="AZ562" s="154"/>
      <c r="BA562" s="154"/>
      <c r="BB562" s="154"/>
      <c r="BC562" s="154"/>
      <c r="BD562" s="154"/>
      <c r="BE562" s="154"/>
      <c r="BF562" s="154"/>
      <c r="BG562" s="154"/>
      <c r="BH562" s="154"/>
      <c r="BI562" s="154"/>
      <c r="BJ562" s="154"/>
      <c r="BK562" s="154"/>
      <c r="BL562" s="154"/>
      <c r="BM562" s="155"/>
      <c r="BT562" s="7"/>
      <c r="BU562" s="7"/>
      <c r="BV562" s="7"/>
      <c r="BW562" s="7"/>
      <c r="BX562" s="7"/>
      <c r="BY562" s="7"/>
    </row>
    <row r="563" spans="3:77" ht="15" customHeight="1" x14ac:dyDescent="0.2">
      <c r="C563" s="4"/>
      <c r="H563" s="166" t="str">
        <f t="shared" si="3"/>
        <v/>
      </c>
      <c r="I563" s="162"/>
      <c r="J563" s="167" t="str">
        <f t="shared" ref="J563:J570" si="8">IF(ISNUMBER(H563), $X$212/2, "")</f>
        <v/>
      </c>
      <c r="K563" s="167"/>
      <c r="L563" s="167"/>
      <c r="M563" s="167" t="str">
        <f>IF(ISNUMBER(H563),$X$155-SUM($P$556:P563),"")</f>
        <v/>
      </c>
      <c r="N563" s="167"/>
      <c r="O563" s="167"/>
      <c r="P563" s="167" t="str">
        <f>IF(ISNUMBER(Inputs!I19),Inputs!I19,"")</f>
        <v/>
      </c>
      <c r="Q563" s="167"/>
      <c r="R563" s="167"/>
      <c r="S563" s="162" t="str">
        <f t="shared" si="5"/>
        <v/>
      </c>
      <c r="T563" s="162"/>
      <c r="U563" s="167" t="str">
        <f t="shared" ref="U563:U576" si="9">IF(ISNUMBER(P563),$X$212/2+$X$213/2, "")</f>
        <v/>
      </c>
      <c r="V563" s="167"/>
      <c r="W563" s="167"/>
      <c r="X563" s="167" t="str">
        <f>IF(P563&lt;&gt;"", IF($X$155-SUM($P$556:P563)+P563/2=0, "", $X$155-SUM($P$556:P563)+P563/2), "")</f>
        <v/>
      </c>
      <c r="Y563" s="167"/>
      <c r="Z563" s="167"/>
      <c r="AA563" s="162" t="str">
        <f t="shared" ref="AA563:AA576" si="10">IF(S563="","", "P" &amp; S563)</f>
        <v/>
      </c>
      <c r="AB563" s="162"/>
      <c r="AC563" s="167" t="str">
        <f t="shared" ref="AC563:AC566" si="11">IF(P563&lt;&gt;"", IF($X$510*P563=0,"",$X$510*P563), "")</f>
        <v/>
      </c>
      <c r="AD563" s="167"/>
      <c r="AE563" s="167"/>
      <c r="AF563" s="162" t="str">
        <f t="shared" ref="AF563:AF576" si="12">IF(H563&lt;&gt;"", "F" &amp; (H563-1), "")</f>
        <v/>
      </c>
      <c r="AG563" s="162"/>
      <c r="AH563" s="167" t="str" cm="1">
        <f t="array" ref="AH563">IF(H563="","",
(First_Tie_TOP_SLAB
))</f>
        <v/>
      </c>
      <c r="AI563" s="167"/>
      <c r="AJ563" s="167"/>
      <c r="AK563" s="167" t="str">
        <f t="shared" ref="AK563:AK575" si="13">IF(S564="", "", "F" &amp; (S563+11))</f>
        <v/>
      </c>
      <c r="AL563" s="167"/>
      <c r="AM563" s="167" t="str" cm="1">
        <f t="array" ref="AM563">IF(H563="","",
 ( Second_Tie_TOP_SLAB)
)</f>
        <v/>
      </c>
      <c r="AN563" s="167"/>
      <c r="AO563" s="167"/>
      <c r="AP563" s="194"/>
      <c r="AU563" s="27"/>
      <c r="AV563" s="27"/>
      <c r="AW563" s="27"/>
      <c r="AX563" s="156"/>
      <c r="AY563" s="157"/>
      <c r="AZ563" s="157"/>
      <c r="BA563" s="157"/>
      <c r="BB563" s="157"/>
      <c r="BC563" s="157"/>
      <c r="BD563" s="157"/>
      <c r="BE563" s="157"/>
      <c r="BF563" s="157"/>
      <c r="BG563" s="157"/>
      <c r="BH563" s="157"/>
      <c r="BI563" s="157"/>
      <c r="BJ563" s="157"/>
      <c r="BK563" s="157"/>
      <c r="BL563" s="157"/>
      <c r="BM563" s="158"/>
      <c r="BT563" s="7"/>
      <c r="BU563" s="7"/>
      <c r="BV563" s="7"/>
      <c r="BW563" s="7"/>
      <c r="BX563" s="7"/>
      <c r="BY563" s="7"/>
    </row>
    <row r="564" spans="3:77" ht="15" customHeight="1" x14ac:dyDescent="0.2">
      <c r="C564" s="4"/>
      <c r="H564" s="166" t="str">
        <f t="shared" si="3"/>
        <v/>
      </c>
      <c r="I564" s="162"/>
      <c r="J564" s="167" t="str">
        <f t="shared" si="8"/>
        <v/>
      </c>
      <c r="K564" s="167"/>
      <c r="L564" s="167"/>
      <c r="M564" s="167" t="str">
        <f>IF(ISNUMBER(H564),$X$155-SUM($P$556:P564),"")</f>
        <v/>
      </c>
      <c r="N564" s="167"/>
      <c r="O564" s="167"/>
      <c r="P564" s="167" t="str">
        <f>IF(ISNUMBER(Inputs!I20),Inputs!I20,"")</f>
        <v/>
      </c>
      <c r="Q564" s="167"/>
      <c r="R564" s="167"/>
      <c r="S564" s="162" t="str">
        <f t="shared" ref="S564:S576" si="14">IF(P564&lt;&gt;"",S563+1,"")</f>
        <v/>
      </c>
      <c r="T564" s="162"/>
      <c r="U564" s="167" t="str">
        <f t="shared" si="9"/>
        <v/>
      </c>
      <c r="V564" s="167"/>
      <c r="W564" s="167"/>
      <c r="X564" s="167" t="str">
        <f>IF(P564&lt;&gt;"", IF($X$155-SUM($P$556:P564)+P564/2=0, "", $X$155-SUM($P$556:P564)+P564/2), "")</f>
        <v/>
      </c>
      <c r="Y564" s="167"/>
      <c r="Z564" s="167"/>
      <c r="AA564" s="162" t="str">
        <f t="shared" si="10"/>
        <v/>
      </c>
      <c r="AB564" s="162"/>
      <c r="AC564" s="167" t="str">
        <f t="shared" si="11"/>
        <v/>
      </c>
      <c r="AD564" s="167"/>
      <c r="AE564" s="167"/>
      <c r="AF564" s="162" t="str">
        <f t="shared" si="12"/>
        <v/>
      </c>
      <c r="AG564" s="162"/>
      <c r="AH564" s="167" t="str" cm="1">
        <f t="array" ref="AH564">IF(H564="","",
(First_Tie_TOP_SLAB
))</f>
        <v/>
      </c>
      <c r="AI564" s="167"/>
      <c r="AJ564" s="167"/>
      <c r="AK564" s="167" t="str">
        <f t="shared" si="13"/>
        <v/>
      </c>
      <c r="AL564" s="167"/>
      <c r="AM564" s="167" t="str" cm="1">
        <f t="array" ref="AM564">IF(H564="","",
 ( Second_Tie_TOP_SLAB)
)</f>
        <v/>
      </c>
      <c r="AN564" s="167"/>
      <c r="AO564" s="167"/>
      <c r="AP564" s="194"/>
      <c r="BH564" s="12"/>
      <c r="BL564" s="23"/>
      <c r="BT564" s="7"/>
      <c r="BU564" s="7"/>
      <c r="BV564" s="7"/>
      <c r="BW564" s="7"/>
      <c r="BX564" s="7"/>
      <c r="BY564" s="7"/>
    </row>
    <row r="565" spans="3:77" ht="15" customHeight="1" x14ac:dyDescent="0.2">
      <c r="C565" s="4"/>
      <c r="H565" s="166" t="str">
        <f t="shared" si="3"/>
        <v/>
      </c>
      <c r="I565" s="162"/>
      <c r="J565" s="167" t="str">
        <f t="shared" si="8"/>
        <v/>
      </c>
      <c r="K565" s="167"/>
      <c r="L565" s="167"/>
      <c r="M565" s="167" t="str">
        <f>IF(ISNUMBER(H565),$X$155-SUM($P$556:P565),"")</f>
        <v/>
      </c>
      <c r="N565" s="167"/>
      <c r="O565" s="167"/>
      <c r="P565" s="167" t="str">
        <f>IF(ISNUMBER(Inputs!I21),Inputs!I21,"")</f>
        <v/>
      </c>
      <c r="Q565" s="167"/>
      <c r="R565" s="167"/>
      <c r="S565" s="162" t="str">
        <f t="shared" si="14"/>
        <v/>
      </c>
      <c r="T565" s="162"/>
      <c r="U565" s="167" t="str">
        <f t="shared" si="9"/>
        <v/>
      </c>
      <c r="V565" s="167"/>
      <c r="W565" s="167"/>
      <c r="X565" s="167" t="str">
        <f>IF(P565&lt;&gt;"", IF($X$155-SUM($P$556:P565)+P565/2=0, "", $X$155-SUM($P$556:P565)+P565/2), "")</f>
        <v/>
      </c>
      <c r="Y565" s="167"/>
      <c r="Z565" s="167"/>
      <c r="AA565" s="162" t="str">
        <f t="shared" si="10"/>
        <v/>
      </c>
      <c r="AB565" s="162"/>
      <c r="AC565" s="167" t="str">
        <f t="shared" si="11"/>
        <v/>
      </c>
      <c r="AD565" s="167"/>
      <c r="AE565" s="167"/>
      <c r="AF565" s="162" t="str">
        <f t="shared" si="12"/>
        <v/>
      </c>
      <c r="AG565" s="162"/>
      <c r="AH565" s="167" t="str" cm="1">
        <f t="array" ref="AH565">IF(H565="","",
(First_Tie_TOP_SLAB
))</f>
        <v/>
      </c>
      <c r="AI565" s="167"/>
      <c r="AJ565" s="167"/>
      <c r="AK565" s="167" t="str">
        <f t="shared" si="13"/>
        <v/>
      </c>
      <c r="AL565" s="167"/>
      <c r="AM565" s="167" t="str" cm="1">
        <f t="array" ref="AM565">IF(H565="","",
 ( Second_Tie_TOP_SLAB)
)</f>
        <v/>
      </c>
      <c r="AN565" s="167"/>
      <c r="AO565" s="167"/>
      <c r="AP565" s="194"/>
      <c r="BT565" s="7"/>
      <c r="BU565" s="7"/>
      <c r="BV565" s="7"/>
      <c r="BW565" s="7"/>
      <c r="BX565" s="7"/>
      <c r="BY565" s="7"/>
    </row>
    <row r="566" spans="3:77" ht="15" customHeight="1" x14ac:dyDescent="0.2">
      <c r="C566" s="4"/>
      <c r="H566" s="166" t="str">
        <f t="shared" si="3"/>
        <v/>
      </c>
      <c r="I566" s="162"/>
      <c r="J566" s="167" t="str">
        <f t="shared" si="8"/>
        <v/>
      </c>
      <c r="K566" s="167"/>
      <c r="L566" s="167"/>
      <c r="M566" s="167" t="str">
        <f>IF(ISNUMBER(H566),$X$155-SUM($P$556:P566),"")</f>
        <v/>
      </c>
      <c r="N566" s="167"/>
      <c r="O566" s="167"/>
      <c r="P566" s="167" t="str">
        <f>IF(ISNUMBER(Inputs!I22),Inputs!I22,"")</f>
        <v/>
      </c>
      <c r="Q566" s="167"/>
      <c r="R566" s="167"/>
      <c r="S566" s="162" t="str">
        <f t="shared" si="14"/>
        <v/>
      </c>
      <c r="T566" s="162"/>
      <c r="U566" s="167" t="str">
        <f t="shared" si="9"/>
        <v/>
      </c>
      <c r="V566" s="167"/>
      <c r="W566" s="167"/>
      <c r="X566" s="167" t="str">
        <f>IF(P566&lt;&gt;"", IF($X$155-SUM($P$556:P566)+P566/2=0, "", $X$155-SUM($P$556:P566)+P566/2), "")</f>
        <v/>
      </c>
      <c r="Y566" s="167"/>
      <c r="Z566" s="167"/>
      <c r="AA566" s="162" t="str">
        <f t="shared" si="10"/>
        <v/>
      </c>
      <c r="AB566" s="162"/>
      <c r="AC566" s="167" t="str">
        <f t="shared" si="11"/>
        <v/>
      </c>
      <c r="AD566" s="167"/>
      <c r="AE566" s="167"/>
      <c r="AF566" s="162" t="str">
        <f t="shared" si="12"/>
        <v/>
      </c>
      <c r="AG566" s="162"/>
      <c r="AH566" s="167" t="str" cm="1">
        <f t="array" ref="AH566">IF(H566="","",
(First_Tie_TOP_SLAB
))</f>
        <v/>
      </c>
      <c r="AI566" s="167"/>
      <c r="AJ566" s="167"/>
      <c r="AK566" s="167" t="str">
        <f t="shared" si="13"/>
        <v/>
      </c>
      <c r="AL566" s="167"/>
      <c r="AM566" s="167" t="str" cm="1">
        <f t="array" ref="AM566">IF(H566="","",
 ( Second_Tie_TOP_SLAB)
)</f>
        <v/>
      </c>
      <c r="AN566" s="167"/>
      <c r="AO566" s="167"/>
      <c r="AP566" s="194"/>
      <c r="BT566" s="7"/>
      <c r="BU566" s="7"/>
      <c r="BV566" s="7"/>
      <c r="BW566" s="7"/>
      <c r="BX566" s="7"/>
      <c r="BY566" s="7"/>
    </row>
    <row r="567" spans="3:77" ht="15" customHeight="1" x14ac:dyDescent="0.2">
      <c r="C567" s="4"/>
      <c r="H567" s="166" t="str">
        <f t="shared" si="3"/>
        <v/>
      </c>
      <c r="I567" s="162"/>
      <c r="J567" s="167" t="str">
        <f t="shared" si="8"/>
        <v/>
      </c>
      <c r="K567" s="167"/>
      <c r="L567" s="167"/>
      <c r="M567" s="167" t="str">
        <f>IF(ISNUMBER(H567),$X$155-SUM($P$556:P567),"")</f>
        <v/>
      </c>
      <c r="N567" s="167"/>
      <c r="O567" s="167"/>
      <c r="P567" s="167" t="str">
        <f>IF(ISNUMBER(Inputs!I23),Inputs!I23,"")</f>
        <v/>
      </c>
      <c r="Q567" s="167"/>
      <c r="R567" s="167"/>
      <c r="S567" s="162" t="str">
        <f t="shared" si="14"/>
        <v/>
      </c>
      <c r="T567" s="162"/>
      <c r="U567" s="167" t="str">
        <f t="shared" si="9"/>
        <v/>
      </c>
      <c r="V567" s="167"/>
      <c r="W567" s="167"/>
      <c r="X567" s="167" t="str">
        <f>IF(P567&lt;&gt;"", IF($X$155-SUM($P$556:P567)+P567/2=0, "", $X$155-SUM($P$556:P567)+P567/2), "")</f>
        <v/>
      </c>
      <c r="Y567" s="167"/>
      <c r="Z567" s="167"/>
      <c r="AA567" s="162" t="str">
        <f t="shared" si="10"/>
        <v/>
      </c>
      <c r="AB567" s="162"/>
      <c r="AC567" s="167" t="str">
        <f t="shared" ref="AC567:AC576" si="15">IF(P567&lt;&gt;"", IF($X$510*P567=0,"",$X$510*P567), "")</f>
        <v/>
      </c>
      <c r="AD567" s="167"/>
      <c r="AE567" s="167"/>
      <c r="AF567" s="162" t="str">
        <f t="shared" si="12"/>
        <v/>
      </c>
      <c r="AG567" s="162"/>
      <c r="AH567" s="167" t="str" cm="1">
        <f t="array" ref="AH567">IF(H567="","",
(First_Tie_TOP_SLAB
))</f>
        <v/>
      </c>
      <c r="AI567" s="167"/>
      <c r="AJ567" s="167"/>
      <c r="AK567" s="167" t="str">
        <f t="shared" si="13"/>
        <v/>
      </c>
      <c r="AL567" s="167"/>
      <c r="AM567" s="167" t="str" cm="1">
        <f t="array" ref="AM567">IF(H567="","",
 ( Second_Tie_TOP_SLAB)
)</f>
        <v/>
      </c>
      <c r="AN567" s="167"/>
      <c r="AO567" s="167"/>
      <c r="AP567" s="194"/>
    </row>
    <row r="568" spans="3:77" ht="15" customHeight="1" x14ac:dyDescent="0.2">
      <c r="C568" s="4"/>
      <c r="H568" s="166" t="str">
        <f t="shared" si="3"/>
        <v/>
      </c>
      <c r="I568" s="162"/>
      <c r="J568" s="167" t="str">
        <f t="shared" si="8"/>
        <v/>
      </c>
      <c r="K568" s="167"/>
      <c r="L568" s="167"/>
      <c r="M568" s="167" t="str">
        <f>IF(ISNUMBER(H568),$X$155-SUM($P$556:P568),"")</f>
        <v/>
      </c>
      <c r="N568" s="167"/>
      <c r="O568" s="167"/>
      <c r="P568" s="167" t="str">
        <f>IF(ISNUMBER(Inputs!I24),Inputs!I24,"")</f>
        <v/>
      </c>
      <c r="Q568" s="167"/>
      <c r="R568" s="167"/>
      <c r="S568" s="162" t="str">
        <f t="shared" si="14"/>
        <v/>
      </c>
      <c r="T568" s="162"/>
      <c r="U568" s="167" t="str">
        <f t="shared" si="9"/>
        <v/>
      </c>
      <c r="V568" s="167"/>
      <c r="W568" s="167"/>
      <c r="X568" s="167" t="str">
        <f>IF(P568&lt;&gt;"", IF($X$155-SUM($P$556:P568)+P568/2=0, "", $X$155-SUM($P$556:P568)+P568/2), "")</f>
        <v/>
      </c>
      <c r="Y568" s="167"/>
      <c r="Z568" s="167"/>
      <c r="AA568" s="162" t="str">
        <f t="shared" si="10"/>
        <v/>
      </c>
      <c r="AB568" s="162"/>
      <c r="AC568" s="167" t="str">
        <f t="shared" si="15"/>
        <v/>
      </c>
      <c r="AD568" s="167"/>
      <c r="AE568" s="167"/>
      <c r="AF568" s="162" t="str">
        <f t="shared" si="12"/>
        <v/>
      </c>
      <c r="AG568" s="162"/>
      <c r="AH568" s="167" t="str" cm="1">
        <f t="array" ref="AH568">IF(H568="","",
(First_Tie_TOP_SLAB
))</f>
        <v/>
      </c>
      <c r="AI568" s="167"/>
      <c r="AJ568" s="167"/>
      <c r="AK568" s="167" t="str">
        <f t="shared" si="13"/>
        <v/>
      </c>
      <c r="AL568" s="167"/>
      <c r="AM568" s="167" t="str" cm="1">
        <f t="array" ref="AM568">IF(H568="","",
 ( Second_Tie_TOP_SLAB)
)</f>
        <v/>
      </c>
      <c r="AN568" s="167"/>
      <c r="AO568" s="167"/>
      <c r="AP568" s="194"/>
    </row>
    <row r="569" spans="3:77" ht="15" customHeight="1" x14ac:dyDescent="0.2">
      <c r="C569" s="4"/>
      <c r="H569" s="166" t="str">
        <f t="shared" si="3"/>
        <v/>
      </c>
      <c r="I569" s="162"/>
      <c r="J569" s="167" t="str">
        <f t="shared" si="8"/>
        <v/>
      </c>
      <c r="K569" s="167"/>
      <c r="L569" s="167"/>
      <c r="M569" s="167" t="str">
        <f>IF(ISNUMBER(H569),$X$155-SUM($P$556:P569),"")</f>
        <v/>
      </c>
      <c r="N569" s="167"/>
      <c r="O569" s="167"/>
      <c r="P569" s="167" t="str">
        <f>IF(ISNUMBER(Inputs!I25),Inputs!I25,"")</f>
        <v/>
      </c>
      <c r="Q569" s="167"/>
      <c r="R569" s="167"/>
      <c r="S569" s="162" t="str">
        <f t="shared" si="14"/>
        <v/>
      </c>
      <c r="T569" s="162"/>
      <c r="U569" s="167" t="str">
        <f t="shared" si="9"/>
        <v/>
      </c>
      <c r="V569" s="167"/>
      <c r="W569" s="167"/>
      <c r="X569" s="167" t="str">
        <f>IF(P569&lt;&gt;"", IF($X$155-SUM($P$556:P569)+P569/2=0, "", $X$155-SUM($P$556:P569)+P569/2), "")</f>
        <v/>
      </c>
      <c r="Y569" s="167"/>
      <c r="Z569" s="167"/>
      <c r="AA569" s="162" t="str">
        <f t="shared" si="10"/>
        <v/>
      </c>
      <c r="AB569" s="162"/>
      <c r="AC569" s="167" t="str">
        <f t="shared" si="15"/>
        <v/>
      </c>
      <c r="AD569" s="167"/>
      <c r="AE569" s="167"/>
      <c r="AF569" s="162" t="str">
        <f t="shared" si="12"/>
        <v/>
      </c>
      <c r="AG569" s="162"/>
      <c r="AH569" s="167" t="str" cm="1">
        <f t="array" ref="AH569">IF(H569="","",
(First_Tie_TOP_SLAB
))</f>
        <v/>
      </c>
      <c r="AI569" s="167"/>
      <c r="AJ569" s="167"/>
      <c r="AK569" s="167" t="str">
        <f t="shared" si="13"/>
        <v/>
      </c>
      <c r="AL569" s="167"/>
      <c r="AM569" s="167" t="str" cm="1">
        <f t="array" ref="AM569">IF(H569="","",
 ( Second_Tie_TOP_SLAB)
)</f>
        <v/>
      </c>
      <c r="AN569" s="167"/>
      <c r="AO569" s="167"/>
      <c r="AP569" s="194"/>
      <c r="BT569" s="7"/>
      <c r="BU569" s="7"/>
      <c r="BV569" s="7"/>
      <c r="BW569" s="7"/>
      <c r="BX569" s="7"/>
      <c r="BY569" s="7"/>
    </row>
    <row r="570" spans="3:77" ht="15" customHeight="1" x14ac:dyDescent="0.2">
      <c r="C570" s="4"/>
      <c r="H570" s="166" t="str">
        <f t="shared" si="3"/>
        <v/>
      </c>
      <c r="I570" s="162"/>
      <c r="J570" s="167" t="str">
        <f t="shared" si="8"/>
        <v/>
      </c>
      <c r="K570" s="167"/>
      <c r="L570" s="167"/>
      <c r="M570" s="167" t="str">
        <f>IF(ISNUMBER(H570),$X$155-SUM($P$556:P570),"")</f>
        <v/>
      </c>
      <c r="N570" s="167"/>
      <c r="O570" s="167"/>
      <c r="P570" s="167" t="str">
        <f>IF(ISNUMBER(Inputs!I26),Inputs!I26,"")</f>
        <v/>
      </c>
      <c r="Q570" s="167"/>
      <c r="R570" s="167"/>
      <c r="S570" s="162" t="str">
        <f t="shared" si="14"/>
        <v/>
      </c>
      <c r="T570" s="162"/>
      <c r="U570" s="167" t="str">
        <f t="shared" si="9"/>
        <v/>
      </c>
      <c r="V570" s="167"/>
      <c r="W570" s="167"/>
      <c r="X570" s="167" t="str">
        <f>IF(P570&lt;&gt;"", IF($X$155-SUM($P$556:P570)+P570/2=0, "", $X$155-SUM($P$556:P570)+P570/2), "")</f>
        <v/>
      </c>
      <c r="Y570" s="167"/>
      <c r="Z570" s="167"/>
      <c r="AA570" s="162" t="str">
        <f t="shared" si="10"/>
        <v/>
      </c>
      <c r="AB570" s="162"/>
      <c r="AC570" s="167" t="str">
        <f t="shared" si="15"/>
        <v/>
      </c>
      <c r="AD570" s="167"/>
      <c r="AE570" s="167"/>
      <c r="AF570" s="162" t="str">
        <f t="shared" si="12"/>
        <v/>
      </c>
      <c r="AG570" s="162"/>
      <c r="AH570" s="167" t="str" cm="1">
        <f t="array" ref="AH570">IF(H570="","",
(First_Tie_TOP_SLAB
))</f>
        <v/>
      </c>
      <c r="AI570" s="167"/>
      <c r="AJ570" s="167"/>
      <c r="AK570" s="167" t="str">
        <f t="shared" si="13"/>
        <v/>
      </c>
      <c r="AL570" s="167"/>
      <c r="AM570" s="167" t="str" cm="1">
        <f t="array" ref="AM570">IF(H570="","",
 ( Second_Tie_TOP_SLAB)
)</f>
        <v/>
      </c>
      <c r="AN570" s="167"/>
      <c r="AO570" s="167"/>
      <c r="AP570" s="194"/>
      <c r="BT570" s="7"/>
      <c r="BU570" s="7"/>
      <c r="BV570" s="7"/>
      <c r="BW570" s="7"/>
      <c r="BX570" s="7"/>
      <c r="BY570" s="7"/>
    </row>
    <row r="571" spans="3:77" ht="15" customHeight="1" x14ac:dyDescent="0.2">
      <c r="C571" s="4"/>
      <c r="H571" s="166" t="str">
        <f t="shared" si="3"/>
        <v/>
      </c>
      <c r="I571" s="162"/>
      <c r="J571" s="167" t="str">
        <f t="shared" ref="J571:J576" si="16">IF(ISNUMBER(H571), $X$212/2, "")</f>
        <v/>
      </c>
      <c r="K571" s="167"/>
      <c r="L571" s="167"/>
      <c r="M571" s="167" t="str">
        <f>IF(ISNUMBER(H571),$X$155-SUM($P$556:P571),"")</f>
        <v/>
      </c>
      <c r="N571" s="167"/>
      <c r="O571" s="167"/>
      <c r="P571" s="167" t="str">
        <f>IF(ISNUMBER(Inputs!I27),Inputs!I27,"")</f>
        <v/>
      </c>
      <c r="Q571" s="167"/>
      <c r="R571" s="167"/>
      <c r="S571" s="162" t="str">
        <f t="shared" si="14"/>
        <v/>
      </c>
      <c r="T571" s="162"/>
      <c r="U571" s="167" t="str">
        <f t="shared" si="9"/>
        <v/>
      </c>
      <c r="V571" s="167"/>
      <c r="W571" s="167"/>
      <c r="X571" s="167" t="str">
        <f>IF(P571&lt;&gt;"", IF($X$155-SUM($P$556:P571)+P571/2=0, "", $X$155-SUM($P$556:P571)+P571/2), "")</f>
        <v/>
      </c>
      <c r="Y571" s="167"/>
      <c r="Z571" s="167"/>
      <c r="AA571" s="162" t="str">
        <f t="shared" si="10"/>
        <v/>
      </c>
      <c r="AB571" s="162"/>
      <c r="AC571" s="167" t="str">
        <f t="shared" si="15"/>
        <v/>
      </c>
      <c r="AD571" s="167"/>
      <c r="AE571" s="167"/>
      <c r="AF571" s="162" t="str">
        <f t="shared" si="12"/>
        <v/>
      </c>
      <c r="AG571" s="162"/>
      <c r="AH571" s="167" t="str" cm="1">
        <f t="array" ref="AH571">IF(H571="","",
(First_Tie_TOP_SLAB
))</f>
        <v/>
      </c>
      <c r="AI571" s="167"/>
      <c r="AJ571" s="167"/>
      <c r="AK571" s="167" t="str">
        <f t="shared" si="13"/>
        <v/>
      </c>
      <c r="AL571" s="167"/>
      <c r="AM571" s="167" t="str" cm="1">
        <f t="array" ref="AM571">IF(H571="","",
 ( Second_Tie_TOP_SLAB)
)</f>
        <v/>
      </c>
      <c r="AN571" s="167"/>
      <c r="AO571" s="167"/>
      <c r="AP571" s="194"/>
      <c r="BT571" s="7"/>
      <c r="BU571" s="7"/>
      <c r="BV571" s="7"/>
      <c r="BW571" s="7"/>
      <c r="BX571" s="7"/>
      <c r="BY571" s="7"/>
    </row>
    <row r="572" spans="3:77" ht="15" customHeight="1" x14ac:dyDescent="0.2">
      <c r="C572" s="4"/>
      <c r="D572" s="18"/>
      <c r="E572" s="18"/>
      <c r="F572" s="18"/>
      <c r="G572" s="18"/>
      <c r="H572" s="166" t="str">
        <f t="shared" si="3"/>
        <v/>
      </c>
      <c r="I572" s="162"/>
      <c r="J572" s="167" t="str">
        <f t="shared" si="16"/>
        <v/>
      </c>
      <c r="K572" s="167"/>
      <c r="L572" s="167"/>
      <c r="M572" s="167" t="str">
        <f>IF(ISNUMBER(H572),$X$155-SUM($P$556:P572),"")</f>
        <v/>
      </c>
      <c r="N572" s="167"/>
      <c r="O572" s="167"/>
      <c r="P572" s="167" t="str">
        <f>IF(ISNUMBER(Inputs!I28),Inputs!I28,"")</f>
        <v/>
      </c>
      <c r="Q572" s="167"/>
      <c r="R572" s="167"/>
      <c r="S572" s="162" t="str">
        <f t="shared" si="14"/>
        <v/>
      </c>
      <c r="T572" s="162"/>
      <c r="U572" s="167" t="str">
        <f t="shared" si="9"/>
        <v/>
      </c>
      <c r="V572" s="167"/>
      <c r="W572" s="167"/>
      <c r="X572" s="167" t="str">
        <f>IF(P572&lt;&gt;"", IF($X$155-SUM($P$556:P572)+P572/2=0, "", $X$155-SUM($P$556:P572)+P572/2), "")</f>
        <v/>
      </c>
      <c r="Y572" s="167"/>
      <c r="Z572" s="167"/>
      <c r="AA572" s="162" t="str">
        <f t="shared" si="10"/>
        <v/>
      </c>
      <c r="AB572" s="162"/>
      <c r="AC572" s="167" t="str">
        <f t="shared" si="15"/>
        <v/>
      </c>
      <c r="AD572" s="167"/>
      <c r="AE572" s="167"/>
      <c r="AF572" s="162" t="str">
        <f t="shared" si="12"/>
        <v/>
      </c>
      <c r="AG572" s="162"/>
      <c r="AH572" s="167" t="str" cm="1">
        <f t="array" ref="AH572">IF(H572="","",
(First_Tie_TOP_SLAB
))</f>
        <v/>
      </c>
      <c r="AI572" s="167"/>
      <c r="AJ572" s="167"/>
      <c r="AK572" s="167" t="str">
        <f t="shared" si="13"/>
        <v/>
      </c>
      <c r="AL572" s="167"/>
      <c r="AM572" s="167" t="str" cm="1">
        <f t="array" ref="AM572">IF(H572="","",
 ( Second_Tie_TOP_SLAB)
)</f>
        <v/>
      </c>
      <c r="AN572" s="167"/>
      <c r="AO572" s="167"/>
      <c r="AP572" s="194"/>
      <c r="BN572" s="18"/>
      <c r="BO572" s="18"/>
      <c r="BP572" s="18"/>
      <c r="BQ572" s="18"/>
      <c r="BR572" s="18"/>
      <c r="BT572" s="7"/>
      <c r="BU572" s="7"/>
      <c r="BV572" s="7"/>
      <c r="BW572" s="7"/>
      <c r="BX572" s="7"/>
      <c r="BY572" s="7"/>
    </row>
    <row r="573" spans="3:77" ht="15" customHeight="1" x14ac:dyDescent="0.2">
      <c r="C573" s="4"/>
      <c r="H573" s="166" t="str">
        <f t="shared" si="3"/>
        <v/>
      </c>
      <c r="I573" s="162"/>
      <c r="J573" s="167" t="str">
        <f t="shared" si="16"/>
        <v/>
      </c>
      <c r="K573" s="167"/>
      <c r="L573" s="167"/>
      <c r="M573" s="167" t="str">
        <f>IF(ISNUMBER(H573),$X$155-SUM($P$556:P573),"")</f>
        <v/>
      </c>
      <c r="N573" s="167"/>
      <c r="O573" s="167"/>
      <c r="P573" s="167" t="str">
        <f>IF(ISNUMBER(Inputs!I29),Inputs!I29,"")</f>
        <v/>
      </c>
      <c r="Q573" s="167"/>
      <c r="R573" s="167"/>
      <c r="S573" s="162" t="str">
        <f t="shared" si="14"/>
        <v/>
      </c>
      <c r="T573" s="162"/>
      <c r="U573" s="167" t="str">
        <f t="shared" si="9"/>
        <v/>
      </c>
      <c r="V573" s="167"/>
      <c r="W573" s="167"/>
      <c r="X573" s="167" t="str">
        <f>IF(P573&lt;&gt;"", IF($X$155-SUM($P$556:P573)+P573/2=0, "", $X$155-SUM($P$556:P573)+P573/2), "")</f>
        <v/>
      </c>
      <c r="Y573" s="167"/>
      <c r="Z573" s="167"/>
      <c r="AA573" s="162" t="str">
        <f t="shared" si="10"/>
        <v/>
      </c>
      <c r="AB573" s="162"/>
      <c r="AC573" s="167" t="str">
        <f t="shared" si="15"/>
        <v/>
      </c>
      <c r="AD573" s="167"/>
      <c r="AE573" s="167"/>
      <c r="AF573" s="162" t="str">
        <f t="shared" si="12"/>
        <v/>
      </c>
      <c r="AG573" s="162"/>
      <c r="AH573" s="167" t="str" cm="1">
        <f t="array" ref="AH573">IF(H573="","",
(First_Tie_TOP_SLAB
))</f>
        <v/>
      </c>
      <c r="AI573" s="167"/>
      <c r="AJ573" s="167"/>
      <c r="AK573" s="167" t="str">
        <f t="shared" si="13"/>
        <v/>
      </c>
      <c r="AL573" s="167"/>
      <c r="AM573" s="167" t="str" cm="1">
        <f t="array" ref="AM573">IF(H573="","",
 ( Second_Tie_TOP_SLAB)
)</f>
        <v/>
      </c>
      <c r="AN573" s="167"/>
      <c r="AO573" s="167"/>
      <c r="AP573" s="194"/>
      <c r="BT573" s="7"/>
      <c r="BU573" s="7"/>
      <c r="BV573" s="7"/>
      <c r="BW573" s="7"/>
      <c r="BX573" s="7"/>
      <c r="BY573" s="7"/>
    </row>
    <row r="574" spans="3:77" ht="15" customHeight="1" x14ac:dyDescent="0.2">
      <c r="C574" s="4"/>
      <c r="H574" s="166" t="str">
        <f t="shared" si="3"/>
        <v/>
      </c>
      <c r="I574" s="162"/>
      <c r="J574" s="167" t="str">
        <f t="shared" si="16"/>
        <v/>
      </c>
      <c r="K574" s="167"/>
      <c r="L574" s="167"/>
      <c r="M574" s="167" t="str">
        <f>IF(ISNUMBER(H574),$X$155-SUM($P$556:P574),"")</f>
        <v/>
      </c>
      <c r="N574" s="167"/>
      <c r="O574" s="167"/>
      <c r="P574" s="167" t="str">
        <f>IF(ISNUMBER(Inputs!I30),Inputs!I30,"")</f>
        <v/>
      </c>
      <c r="Q574" s="167"/>
      <c r="R574" s="167"/>
      <c r="S574" s="162" t="str">
        <f t="shared" si="14"/>
        <v/>
      </c>
      <c r="T574" s="162"/>
      <c r="U574" s="167" t="str">
        <f t="shared" si="9"/>
        <v/>
      </c>
      <c r="V574" s="167"/>
      <c r="W574" s="167"/>
      <c r="X574" s="167" t="str">
        <f>IF(P574&lt;&gt;"", IF($X$155-SUM($P$556:P574)+P574/2=0, "", $X$155-SUM($P$556:P574)+P574/2), "")</f>
        <v/>
      </c>
      <c r="Y574" s="167"/>
      <c r="Z574" s="167"/>
      <c r="AA574" s="162" t="str">
        <f t="shared" si="10"/>
        <v/>
      </c>
      <c r="AB574" s="162"/>
      <c r="AC574" s="167" t="str">
        <f t="shared" si="15"/>
        <v/>
      </c>
      <c r="AD574" s="167"/>
      <c r="AE574" s="167"/>
      <c r="AF574" s="162" t="str">
        <f t="shared" si="12"/>
        <v/>
      </c>
      <c r="AG574" s="162"/>
      <c r="AH574" s="167" t="str" cm="1">
        <f t="array" ref="AH574">IF(H574="","",
(First_Tie_TOP_SLAB
))</f>
        <v/>
      </c>
      <c r="AI574" s="167"/>
      <c r="AJ574" s="167"/>
      <c r="AK574" s="167" t="str">
        <f t="shared" si="13"/>
        <v/>
      </c>
      <c r="AL574" s="167"/>
      <c r="AM574" s="167" t="str" cm="1">
        <f t="array" ref="AM574">IF(H574="","",
 ( Second_Tie_TOP_SLAB)
)</f>
        <v/>
      </c>
      <c r="AN574" s="167"/>
      <c r="AO574" s="167"/>
      <c r="AP574" s="194"/>
      <c r="BS574" s="35"/>
      <c r="BU574" s="7"/>
      <c r="BV574" s="7"/>
      <c r="BW574" s="7"/>
      <c r="BX574" s="7"/>
      <c r="BY574" s="7"/>
    </row>
    <row r="575" spans="3:77" ht="15" customHeight="1" x14ac:dyDescent="0.2">
      <c r="C575" s="4"/>
      <c r="H575" s="166" t="str">
        <f t="shared" si="3"/>
        <v/>
      </c>
      <c r="I575" s="162"/>
      <c r="J575" s="167" t="str">
        <f t="shared" si="16"/>
        <v/>
      </c>
      <c r="K575" s="167"/>
      <c r="L575" s="167"/>
      <c r="M575" s="167" t="str">
        <f>IF(ISNUMBER(H575),$X$155-SUM($P$556:P575),"")</f>
        <v/>
      </c>
      <c r="N575" s="167"/>
      <c r="O575" s="167"/>
      <c r="P575" s="167" t="str">
        <f>IF(ISNUMBER(Inputs!I31),Inputs!I31,"")</f>
        <v/>
      </c>
      <c r="Q575" s="167"/>
      <c r="R575" s="167"/>
      <c r="S575" s="162" t="str">
        <f t="shared" si="14"/>
        <v/>
      </c>
      <c r="T575" s="162"/>
      <c r="U575" s="167" t="str">
        <f t="shared" si="9"/>
        <v/>
      </c>
      <c r="V575" s="167"/>
      <c r="W575" s="167"/>
      <c r="X575" s="167" t="str">
        <f>IF(P575&lt;&gt;"", IF($X$155-SUM($P$556:P575)+P575/2=0, "", $X$155-SUM($P$556:P575)+P575/2), "")</f>
        <v/>
      </c>
      <c r="Y575" s="167"/>
      <c r="Z575" s="167"/>
      <c r="AA575" s="162" t="str">
        <f t="shared" si="10"/>
        <v/>
      </c>
      <c r="AB575" s="162"/>
      <c r="AC575" s="167" t="str">
        <f t="shared" si="15"/>
        <v/>
      </c>
      <c r="AD575" s="167"/>
      <c r="AE575" s="167"/>
      <c r="AF575" s="162" t="str">
        <f t="shared" si="12"/>
        <v/>
      </c>
      <c r="AG575" s="162"/>
      <c r="AH575" s="167" t="str" cm="1">
        <f t="array" ref="AH575">IF(H575="","",
(First_Tie_TOP_SLAB
))</f>
        <v/>
      </c>
      <c r="AI575" s="167"/>
      <c r="AJ575" s="167"/>
      <c r="AK575" s="167" t="str">
        <f t="shared" si="13"/>
        <v/>
      </c>
      <c r="AL575" s="167"/>
      <c r="AM575" s="167" t="str" cm="1">
        <f t="array" ref="AM575">IF(H575="","",
 ( Second_Tie_TOP_SLAB)
)</f>
        <v/>
      </c>
      <c r="AN575" s="167"/>
      <c r="AO575" s="167"/>
      <c r="AP575" s="194"/>
      <c r="BS575" s="35"/>
      <c r="BU575" s="7"/>
      <c r="BV575" s="7"/>
      <c r="BW575" s="7"/>
      <c r="BX575" s="7"/>
      <c r="BY575" s="7"/>
    </row>
    <row r="576" spans="3:77" ht="15" customHeight="1" x14ac:dyDescent="0.2">
      <c r="C576" s="4"/>
      <c r="H576" s="206" t="str">
        <f t="shared" si="3"/>
        <v/>
      </c>
      <c r="I576" s="207"/>
      <c r="J576" s="192" t="str">
        <f t="shared" si="16"/>
        <v/>
      </c>
      <c r="K576" s="192"/>
      <c r="L576" s="192"/>
      <c r="M576" s="192" t="str">
        <f>IF(ISNUMBER(H576),$X$155-SUM($P$556:P576),"")</f>
        <v/>
      </c>
      <c r="N576" s="192"/>
      <c r="O576" s="192"/>
      <c r="P576" s="192" t="str">
        <f>IF(ISNUMBER(Inputs!I32),Inputs!I32,"")</f>
        <v/>
      </c>
      <c r="Q576" s="192"/>
      <c r="R576" s="192"/>
      <c r="S576" s="207" t="str">
        <f t="shared" si="14"/>
        <v/>
      </c>
      <c r="T576" s="207"/>
      <c r="U576" s="192" t="str">
        <f t="shared" si="9"/>
        <v/>
      </c>
      <c r="V576" s="192"/>
      <c r="W576" s="192"/>
      <c r="X576" s="192" t="str">
        <f>IF(P576&lt;&gt;"", IF($X$155-SUM($P$556:P576)+P576/2=0, "", $X$155-SUM($P$556:P576)+P576/2), "")</f>
        <v/>
      </c>
      <c r="Y576" s="192"/>
      <c r="Z576" s="192"/>
      <c r="AA576" s="207" t="str">
        <f t="shared" si="10"/>
        <v/>
      </c>
      <c r="AB576" s="207"/>
      <c r="AC576" s="192" t="str">
        <f t="shared" si="15"/>
        <v/>
      </c>
      <c r="AD576" s="192"/>
      <c r="AE576" s="192"/>
      <c r="AF576" s="207" t="str">
        <f t="shared" si="12"/>
        <v/>
      </c>
      <c r="AG576" s="207"/>
      <c r="AH576" s="192" t="str" cm="1">
        <f t="array" ref="AH576">IF(H576="","",
(First_Tie_TOP_SLAB
))</f>
        <v/>
      </c>
      <c r="AI576" s="192"/>
      <c r="AJ576" s="192"/>
      <c r="AK576" s="192" t="str">
        <f>IF(S582="", "", "F" &amp; (S576+11))</f>
        <v/>
      </c>
      <c r="AL576" s="192"/>
      <c r="AM576" s="192" t="str" cm="1">
        <f t="array" ref="AM576">IF(H576="","",
 ( Second_Tie_TOP_SLAB)
)</f>
        <v/>
      </c>
      <c r="AN576" s="192"/>
      <c r="AO576" s="192"/>
      <c r="AP576" s="193"/>
      <c r="BE576" s="13"/>
    </row>
    <row r="577" spans="3:70" ht="15" customHeight="1" x14ac:dyDescent="0.2">
      <c r="C577" s="4"/>
      <c r="H577" s="27"/>
      <c r="I577" s="27"/>
      <c r="J577" s="36"/>
      <c r="K577" s="36"/>
      <c r="L577" s="36"/>
      <c r="M577" s="36"/>
      <c r="N577" s="36"/>
      <c r="O577" s="36"/>
      <c r="P577" s="36"/>
      <c r="Q577" s="36"/>
      <c r="R577" s="36"/>
      <c r="S577" s="27"/>
      <c r="T577" s="27"/>
      <c r="U577" s="36"/>
      <c r="V577" s="36"/>
      <c r="W577" s="36"/>
      <c r="X577" s="36"/>
      <c r="Y577" s="36"/>
      <c r="Z577" s="36"/>
      <c r="AA577" s="27"/>
      <c r="AB577" s="27"/>
      <c r="AC577" s="36"/>
      <c r="AD577" s="36"/>
      <c r="AE577" s="36"/>
      <c r="AF577" s="27"/>
      <c r="AG577" s="27"/>
      <c r="AH577" s="36"/>
      <c r="AI577" s="36"/>
      <c r="AJ577" s="36"/>
      <c r="AK577" s="36"/>
      <c r="AL577" s="36"/>
      <c r="AM577" s="36"/>
      <c r="AN577" s="36"/>
      <c r="AO577" s="36"/>
      <c r="AP577" s="36"/>
      <c r="BE577" s="13"/>
    </row>
    <row r="578" spans="3:70" ht="15" customHeight="1" x14ac:dyDescent="0.2">
      <c r="C578" s="55"/>
      <c r="H578" s="27"/>
      <c r="I578" s="27"/>
      <c r="J578" s="36"/>
      <c r="K578" s="36"/>
      <c r="L578" s="36"/>
      <c r="M578" s="36"/>
      <c r="N578" s="36"/>
      <c r="O578" s="36"/>
      <c r="P578" s="36"/>
      <c r="Q578" s="36"/>
      <c r="R578" s="36"/>
      <c r="S578" s="27"/>
      <c r="T578" s="27"/>
      <c r="U578" s="36"/>
      <c r="V578" s="36"/>
      <c r="W578" s="36"/>
      <c r="X578" s="36"/>
      <c r="Y578" s="36"/>
      <c r="Z578" s="36"/>
      <c r="AA578" s="27"/>
      <c r="AB578" s="27"/>
      <c r="AC578" s="36"/>
      <c r="AD578" s="36"/>
      <c r="AE578" s="36"/>
      <c r="AF578" s="27"/>
      <c r="AG578" s="27"/>
      <c r="AH578" s="36"/>
      <c r="AI578" s="36"/>
      <c r="AJ578" s="36"/>
      <c r="AK578" s="36"/>
      <c r="AL578" s="36"/>
      <c r="AM578" s="36"/>
      <c r="AN578" s="36"/>
      <c r="AO578" s="36"/>
      <c r="AP578" s="36"/>
      <c r="BE578" s="13"/>
    </row>
    <row r="579" spans="3:70" ht="15" customHeight="1" x14ac:dyDescent="0.2">
      <c r="C579" s="55"/>
      <c r="H579" s="27"/>
      <c r="I579" s="27"/>
      <c r="J579" s="36"/>
      <c r="K579" s="36"/>
      <c r="L579" s="36"/>
      <c r="M579" s="36"/>
      <c r="N579" s="36"/>
      <c r="O579" s="36"/>
      <c r="P579" s="36"/>
      <c r="Q579" s="36"/>
      <c r="R579" s="36"/>
      <c r="S579" s="27"/>
      <c r="T579" s="27"/>
      <c r="U579" s="36"/>
      <c r="V579" s="36"/>
      <c r="W579" s="36"/>
      <c r="X579" s="36"/>
      <c r="Y579" s="36"/>
      <c r="Z579" s="36"/>
      <c r="AA579" s="27"/>
      <c r="AB579" s="27"/>
      <c r="AC579" s="36"/>
      <c r="AD579" s="36"/>
      <c r="AE579" s="36"/>
      <c r="AF579" s="27"/>
      <c r="AG579" s="27"/>
      <c r="AH579" s="36"/>
      <c r="AI579" s="36"/>
      <c r="AJ579" s="36"/>
      <c r="AK579" s="36"/>
      <c r="AL579" s="36"/>
      <c r="AM579" s="36"/>
      <c r="AN579" s="36"/>
      <c r="AO579" s="36"/>
      <c r="AP579" s="36"/>
      <c r="BE579" s="13"/>
    </row>
    <row r="580" spans="3:70" ht="15" customHeight="1" x14ac:dyDescent="0.2">
      <c r="C580" s="140">
        <v>7.2</v>
      </c>
      <c r="D580" s="141"/>
      <c r="E580" s="141"/>
      <c r="F580" s="141"/>
      <c r="G580" s="148" t="s">
        <v>225</v>
      </c>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c r="AD580" s="148"/>
      <c r="AE580" s="148"/>
      <c r="AF580" s="148"/>
      <c r="AG580" s="148"/>
      <c r="AH580" s="148"/>
      <c r="AI580" s="148"/>
      <c r="AJ580" s="148"/>
      <c r="AK580" s="148"/>
      <c r="AL580" s="148"/>
      <c r="AM580" s="148"/>
      <c r="AN580" s="148"/>
      <c r="AO580" s="148"/>
      <c r="AP580" s="148"/>
      <c r="AQ580" s="148"/>
      <c r="AR580" s="148"/>
      <c r="AS580" s="148"/>
      <c r="AT580" s="148"/>
      <c r="AU580" s="148"/>
      <c r="AV580" s="148"/>
      <c r="AW580" s="148"/>
      <c r="AX580" s="148"/>
      <c r="AY580" s="148"/>
      <c r="AZ580" s="148"/>
      <c r="BA580" s="148"/>
      <c r="BB580" s="148"/>
      <c r="BC580" s="148"/>
      <c r="BD580" s="148"/>
      <c r="BE580" s="148"/>
      <c r="BF580" s="148"/>
      <c r="BG580" s="148"/>
      <c r="BH580" s="148"/>
      <c r="BI580" s="148"/>
      <c r="BJ580" s="148"/>
      <c r="BK580" s="148"/>
      <c r="BL580" s="148"/>
      <c r="BM580" s="148"/>
      <c r="BN580" s="148"/>
      <c r="BO580" s="148"/>
      <c r="BP580" s="148"/>
      <c r="BQ580" s="148"/>
      <c r="BR580" s="148"/>
    </row>
    <row r="581" spans="3:70" ht="15" customHeight="1" x14ac:dyDescent="0.2">
      <c r="C581" s="140"/>
      <c r="D581" s="141"/>
      <c r="E581" s="141"/>
      <c r="F581" s="141"/>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c r="AD581" s="148"/>
      <c r="AE581" s="148"/>
      <c r="AF581" s="148"/>
      <c r="AG581" s="148"/>
      <c r="AH581" s="148"/>
      <c r="AI581" s="148"/>
      <c r="AJ581" s="148"/>
      <c r="AK581" s="148"/>
      <c r="AL581" s="148"/>
      <c r="AM581" s="148"/>
      <c r="AN581" s="148"/>
      <c r="AO581" s="148"/>
      <c r="AP581" s="148"/>
      <c r="AQ581" s="148"/>
      <c r="AR581" s="148"/>
      <c r="AS581" s="148"/>
      <c r="AT581" s="148"/>
      <c r="AU581" s="148"/>
      <c r="AV581" s="148"/>
      <c r="AW581" s="148"/>
      <c r="AX581" s="148"/>
      <c r="AY581" s="148"/>
      <c r="AZ581" s="148"/>
      <c r="BA581" s="148"/>
      <c r="BB581" s="148"/>
      <c r="BC581" s="148"/>
      <c r="BD581" s="148"/>
      <c r="BE581" s="148"/>
      <c r="BF581" s="148"/>
      <c r="BG581" s="148"/>
      <c r="BH581" s="148"/>
      <c r="BI581" s="148"/>
      <c r="BJ581" s="148"/>
      <c r="BK581" s="148"/>
      <c r="BL581" s="148"/>
      <c r="BM581" s="148"/>
      <c r="BN581" s="148"/>
      <c r="BO581" s="148"/>
      <c r="BP581" s="148"/>
      <c r="BQ581" s="148"/>
      <c r="BR581" s="148"/>
    </row>
    <row r="582" spans="3:70" ht="15" customHeight="1" x14ac:dyDescent="0.2">
      <c r="C582" s="4"/>
      <c r="G582" s="136" t="s">
        <v>210</v>
      </c>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c r="AH582" s="137"/>
      <c r="AI582" s="137"/>
      <c r="AJ582" s="137"/>
      <c r="AK582" s="137"/>
      <c r="AL582" s="137"/>
      <c r="AM582" s="137"/>
      <c r="AN582" s="137"/>
      <c r="AO582" s="137"/>
      <c r="AP582" s="137"/>
      <c r="AQ582" s="137"/>
      <c r="AR582" s="137"/>
      <c r="AS582" s="137"/>
      <c r="AT582" s="137"/>
      <c r="AU582" s="137"/>
      <c r="AV582" s="137"/>
      <c r="AW582" s="137"/>
      <c r="AX582" s="137"/>
      <c r="AY582" s="137"/>
      <c r="AZ582" s="137"/>
      <c r="BA582" s="137"/>
      <c r="BB582" s="137"/>
      <c r="BC582" s="137"/>
      <c r="BD582" s="137"/>
      <c r="BE582" s="137"/>
      <c r="BF582" s="137"/>
      <c r="BG582" s="137"/>
      <c r="BH582" s="137"/>
      <c r="BI582" s="137"/>
      <c r="BJ582" s="137"/>
      <c r="BK582" s="137"/>
      <c r="BL582" s="137"/>
      <c r="BM582" s="137"/>
      <c r="BN582" s="137"/>
      <c r="BO582" s="137"/>
      <c r="BP582" s="137"/>
      <c r="BQ582" s="137"/>
      <c r="BR582" s="137"/>
    </row>
    <row r="583" spans="3:70" ht="15" customHeight="1" x14ac:dyDescent="0.2">
      <c r="C583" s="4"/>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c r="AH583" s="137"/>
      <c r="AI583" s="137"/>
      <c r="AJ583" s="137"/>
      <c r="AK583" s="137"/>
      <c r="AL583" s="137"/>
      <c r="AM583" s="137"/>
      <c r="AN583" s="137"/>
      <c r="AO583" s="137"/>
      <c r="AP583" s="137"/>
      <c r="AQ583" s="137"/>
      <c r="AR583" s="137"/>
      <c r="AS583" s="137"/>
      <c r="AT583" s="137"/>
      <c r="AU583" s="137"/>
      <c r="AV583" s="137"/>
      <c r="AW583" s="137"/>
      <c r="AX583" s="137"/>
      <c r="AY583" s="137"/>
      <c r="AZ583" s="137"/>
      <c r="BA583" s="137"/>
      <c r="BB583" s="137"/>
      <c r="BC583" s="137"/>
      <c r="BD583" s="137"/>
      <c r="BE583" s="137"/>
      <c r="BF583" s="137"/>
      <c r="BG583" s="137"/>
      <c r="BH583" s="137"/>
      <c r="BI583" s="137"/>
      <c r="BJ583" s="137"/>
      <c r="BK583" s="137"/>
      <c r="BL583" s="137"/>
      <c r="BM583" s="137"/>
      <c r="BN583" s="137"/>
      <c r="BO583" s="137"/>
      <c r="BP583" s="137"/>
      <c r="BQ583" s="137"/>
      <c r="BR583" s="137"/>
    </row>
    <row r="584" spans="3:70" ht="15" customHeight="1" x14ac:dyDescent="0.2">
      <c r="C584" s="4"/>
      <c r="G584" s="59"/>
      <c r="H584" s="59"/>
      <c r="I584" s="59"/>
      <c r="J584" s="59"/>
      <c r="K584" s="59"/>
      <c r="L584" s="59"/>
      <c r="M584" s="59"/>
      <c r="N584" s="59"/>
      <c r="O584" s="59"/>
      <c r="P584" s="59"/>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c r="AQ584" s="59"/>
      <c r="AR584" s="59"/>
      <c r="AS584" s="59"/>
      <c r="AT584" s="59"/>
      <c r="AU584" s="59"/>
      <c r="AV584" s="59"/>
      <c r="AW584" s="59"/>
      <c r="AX584" s="59"/>
      <c r="AY584" s="59"/>
      <c r="AZ584" s="59"/>
      <c r="BA584" s="59"/>
      <c r="BB584" s="59"/>
      <c r="BC584" s="59"/>
      <c r="BD584" s="59"/>
      <c r="BE584" s="59"/>
      <c r="BF584" s="59"/>
      <c r="BG584" s="59"/>
      <c r="BH584" s="59"/>
      <c r="BI584" s="59"/>
      <c r="BJ584" s="59"/>
      <c r="BK584" s="59"/>
      <c r="BL584" s="59"/>
      <c r="BM584" s="59"/>
      <c r="BN584" s="59"/>
      <c r="BO584" s="59"/>
      <c r="BP584" s="59"/>
      <c r="BQ584" s="59"/>
      <c r="BR584" s="59"/>
    </row>
    <row r="585" spans="3:70" ht="15" customHeight="1" x14ac:dyDescent="0.25">
      <c r="C585" s="4"/>
      <c r="W585" s="12" t="s">
        <v>101</v>
      </c>
      <c r="X585" s="149">
        <f>Inputs!B52</f>
        <v>7</v>
      </c>
      <c r="Y585" s="149"/>
      <c r="Z585" s="149"/>
      <c r="AA585" s="149"/>
      <c r="AB585" s="149"/>
    </row>
    <row r="586" spans="3:70" ht="15" customHeight="1" x14ac:dyDescent="0.25">
      <c r="C586" s="4"/>
      <c r="W586" s="12" t="s">
        <v>114</v>
      </c>
      <c r="X586" s="179">
        <f>Inputs!B53</f>
        <v>6</v>
      </c>
      <c r="Y586" s="179"/>
      <c r="Z586" s="179"/>
      <c r="AA586" s="179"/>
      <c r="AB586" s="179"/>
    </row>
    <row r="587" spans="3:70" ht="15" customHeight="1" x14ac:dyDescent="0.2">
      <c r="C587" s="4"/>
      <c r="W587" s="2" t="s">
        <v>533</v>
      </c>
      <c r="X587" s="179">
        <f>Inputs!B59</f>
        <v>1</v>
      </c>
      <c r="Y587" s="179"/>
      <c r="Z587" s="179"/>
      <c r="AA587" s="179"/>
      <c r="AB587" s="179"/>
    </row>
    <row r="588" spans="3:70" ht="15" customHeight="1" x14ac:dyDescent="0.25">
      <c r="C588" s="4"/>
      <c r="W588" s="12" t="s">
        <v>107</v>
      </c>
      <c r="X588" s="151" cm="1">
        <f t="array" ref="X588">(MAX(ABS(_xlfn._xlws.FILTER(AH556:AH576,ISNUMBER(AH556:AH576))))/(ϕ.t*fy))*10</f>
        <v>22.566662872077895</v>
      </c>
      <c r="Y588" s="151"/>
      <c r="Z588" s="151"/>
      <c r="AA588" s="151"/>
      <c r="AB588" s="151"/>
    </row>
    <row r="589" spans="3:70" ht="15" customHeight="1" x14ac:dyDescent="0.25">
      <c r="C589" s="4"/>
      <c r="W589" s="12" t="s">
        <v>108</v>
      </c>
      <c r="X589" s="151" cm="1">
        <f t="array" ref="X589">(_xlfn.SWITCH(X.T1, 3,0.11, 4,0.2, 5,0.31, 6,0.44, 7,0.6, 8,0.79, 9,1, 10,1.27, 11,1.56, 14,2.25, 18,4,"")*N.T1*No.bundle.Top.first)*6.4516</f>
        <v>23.225759999999998</v>
      </c>
      <c r="Y589" s="151"/>
      <c r="Z589" s="151"/>
      <c r="AA589" s="151"/>
      <c r="AB589" s="151"/>
    </row>
    <row r="590" spans="3:70" ht="15" customHeight="1" x14ac:dyDescent="0.2">
      <c r="C590" s="4"/>
      <c r="W590" s="12"/>
      <c r="X590" s="14"/>
      <c r="Y590" s="14"/>
      <c r="Z590" s="14"/>
      <c r="AA590" s="41"/>
    </row>
    <row r="591" spans="3:70" ht="15" customHeight="1" x14ac:dyDescent="0.2">
      <c r="C591" s="4"/>
      <c r="W591" s="12"/>
      <c r="X591" s="14"/>
      <c r="Y591" s="14"/>
      <c r="Z591" s="14"/>
      <c r="AA591" s="41"/>
    </row>
    <row r="592" spans="3:70" ht="15" customHeight="1" x14ac:dyDescent="0.2">
      <c r="C592" s="4"/>
      <c r="G592" s="139" t="s">
        <v>209</v>
      </c>
      <c r="H592" s="139"/>
      <c r="I592" s="139"/>
      <c r="J592" s="139"/>
      <c r="K592" s="139"/>
      <c r="L592" s="139"/>
      <c r="M592" s="139"/>
      <c r="N592" s="139"/>
      <c r="O592" s="139"/>
      <c r="P592" s="139"/>
      <c r="Q592" s="139"/>
      <c r="R592" s="139"/>
      <c r="S592" s="139"/>
      <c r="T592" s="139"/>
      <c r="U592" s="139"/>
      <c r="V592" s="139"/>
      <c r="W592" s="139"/>
      <c r="X592" s="139"/>
      <c r="Y592" s="139"/>
      <c r="Z592" s="139"/>
      <c r="AA592" s="139"/>
      <c r="AB592" s="139"/>
      <c r="AC592" s="139"/>
      <c r="AD592" s="139"/>
      <c r="AE592" s="139"/>
      <c r="AF592" s="139"/>
      <c r="AG592" s="139"/>
      <c r="AH592" s="139"/>
      <c r="AI592" s="139"/>
      <c r="AJ592" s="139"/>
      <c r="AK592" s="139"/>
      <c r="AL592" s="139"/>
      <c r="AM592" s="139"/>
      <c r="AN592" s="139"/>
      <c r="AO592" s="139"/>
      <c r="AP592" s="139"/>
      <c r="AQ592" s="139"/>
      <c r="AR592" s="139"/>
      <c r="AS592" s="139"/>
      <c r="AT592" s="139"/>
      <c r="AU592" s="139"/>
      <c r="AV592" s="139"/>
      <c r="AW592" s="139"/>
      <c r="AX592" s="139"/>
      <c r="AY592" s="139"/>
      <c r="AZ592" s="139"/>
      <c r="BA592" s="139"/>
      <c r="BB592" s="139"/>
      <c r="BC592" s="139"/>
      <c r="BD592" s="139"/>
      <c r="BE592" s="139"/>
      <c r="BF592" s="139"/>
      <c r="BG592" s="139"/>
      <c r="BH592" s="139"/>
      <c r="BI592" s="139"/>
      <c r="BJ592" s="139"/>
      <c r="BK592" s="139"/>
      <c r="BL592" s="139"/>
      <c r="BM592" s="139"/>
      <c r="BN592" s="139"/>
      <c r="BO592" s="139"/>
      <c r="BP592" s="139"/>
      <c r="BQ592" s="139"/>
      <c r="BR592" s="139"/>
    </row>
    <row r="593" spans="3:28" ht="15" customHeight="1" x14ac:dyDescent="0.2">
      <c r="C593" s="4"/>
    </row>
    <row r="594" spans="3:28" ht="15" customHeight="1" x14ac:dyDescent="0.25">
      <c r="C594" s="4"/>
      <c r="W594" s="12" t="s">
        <v>102</v>
      </c>
      <c r="X594" s="149">
        <f>Inputs!B54</f>
        <v>5</v>
      </c>
      <c r="Y594" s="149"/>
      <c r="Z594" s="149"/>
      <c r="AA594" s="149"/>
      <c r="AB594" s="149"/>
    </row>
    <row r="595" spans="3:28" ht="15" customHeight="1" x14ac:dyDescent="0.25">
      <c r="C595" s="4"/>
      <c r="W595" s="12" t="s">
        <v>115</v>
      </c>
      <c r="X595" s="179">
        <f>Inputs!B55</f>
        <v>4</v>
      </c>
      <c r="Y595" s="179"/>
      <c r="Z595" s="179"/>
      <c r="AA595" s="179"/>
      <c r="AB595" s="179"/>
    </row>
    <row r="596" spans="3:28" ht="15" customHeight="1" x14ac:dyDescent="0.2">
      <c r="C596" s="4"/>
      <c r="W596" s="2" t="s">
        <v>535</v>
      </c>
      <c r="X596" s="179">
        <f>Inputs!B60</f>
        <v>1</v>
      </c>
      <c r="Y596" s="179"/>
      <c r="Z596" s="179"/>
      <c r="AA596" s="179"/>
      <c r="AB596" s="179"/>
    </row>
    <row r="597" spans="3:28" ht="15" customHeight="1" x14ac:dyDescent="0.25">
      <c r="C597" s="4"/>
      <c r="W597" s="12" t="s">
        <v>107</v>
      </c>
      <c r="X597" s="151" cm="1">
        <f t="array" ref="X597">(MAX(ABS(_xlfn._xlws.FILTER(AM556:AM576,ISNUMBER(AM556:AM576))))/(fy*ϕ.t))*10</f>
        <v>7.3714844241401796</v>
      </c>
      <c r="Y597" s="151"/>
      <c r="Z597" s="151"/>
      <c r="AA597" s="151"/>
      <c r="AB597" s="151"/>
    </row>
    <row r="598" spans="3:28" ht="15" customHeight="1" x14ac:dyDescent="0.25">
      <c r="C598" s="4"/>
      <c r="W598" s="12" t="s">
        <v>108</v>
      </c>
      <c r="X598" s="151" cm="1">
        <f t="array" ref="X598">(_xlfn.SWITCH(X.T2, 3,0.11, 4,0.2, 5,0.31, 6,0.44, 7,0.6, 8,0.79, 9,1, 10,1.27, 11,1.56, 14,2.25, 18,4,"")*N.T2*No.bundle.Top.second)*6.4516</f>
        <v>7.9999839999999995</v>
      </c>
      <c r="Y598" s="151"/>
      <c r="Z598" s="151"/>
      <c r="AA598" s="151"/>
      <c r="AB598" s="151"/>
    </row>
    <row r="599" spans="3:28" ht="15" customHeight="1" x14ac:dyDescent="0.2">
      <c r="C599" s="4"/>
      <c r="W599" s="12"/>
      <c r="X599" s="64"/>
      <c r="Y599" s="64"/>
      <c r="Z599" s="64"/>
      <c r="AA599" s="64"/>
      <c r="AB599" s="64"/>
    </row>
    <row r="600" spans="3:28" ht="15" customHeight="1" x14ac:dyDescent="0.2">
      <c r="C600" s="4"/>
      <c r="W600" s="12"/>
      <c r="X600" s="64"/>
      <c r="Y600" s="64"/>
      <c r="Z600" s="64"/>
      <c r="AA600" s="64"/>
      <c r="AB600" s="64"/>
    </row>
    <row r="601" spans="3:28" ht="15" customHeight="1" x14ac:dyDescent="0.2">
      <c r="C601" s="4"/>
      <c r="W601" s="12"/>
      <c r="X601" s="64"/>
      <c r="Y601" s="64"/>
      <c r="Z601" s="64"/>
      <c r="AA601" s="64"/>
      <c r="AB601" s="64"/>
    </row>
    <row r="602" spans="3:28" ht="15" customHeight="1" x14ac:dyDescent="0.2">
      <c r="C602" s="4"/>
      <c r="W602" s="12"/>
      <c r="X602" s="64"/>
      <c r="Y602" s="64"/>
      <c r="Z602" s="64"/>
      <c r="AA602" s="64"/>
      <c r="AB602" s="64"/>
    </row>
    <row r="603" spans="3:28" ht="15" customHeight="1" x14ac:dyDescent="0.2">
      <c r="C603" s="4"/>
      <c r="W603" s="12"/>
      <c r="X603" s="64"/>
      <c r="Y603" s="64"/>
      <c r="Z603" s="64"/>
      <c r="AA603" s="64"/>
      <c r="AB603" s="64"/>
    </row>
    <row r="604" spans="3:28" ht="15" customHeight="1" x14ac:dyDescent="0.2">
      <c r="C604" s="4"/>
      <c r="W604" s="12"/>
      <c r="X604" s="64"/>
      <c r="Y604" s="64"/>
      <c r="Z604" s="64"/>
      <c r="AA604" s="64"/>
      <c r="AB604" s="64"/>
    </row>
    <row r="605" spans="3:28" ht="15" customHeight="1" x14ac:dyDescent="0.2">
      <c r="C605" s="4"/>
      <c r="W605" s="12"/>
      <c r="X605" s="64"/>
      <c r="Y605" s="64"/>
      <c r="Z605" s="64"/>
      <c r="AA605" s="64"/>
      <c r="AB605" s="64"/>
    </row>
    <row r="606" spans="3:28" ht="15" customHeight="1" x14ac:dyDescent="0.2">
      <c r="C606" s="4"/>
      <c r="W606" s="12"/>
      <c r="X606" s="64"/>
      <c r="Y606" s="64"/>
      <c r="Z606" s="64"/>
      <c r="AA606" s="64"/>
      <c r="AB606" s="64"/>
    </row>
    <row r="607" spans="3:28" ht="15" customHeight="1" x14ac:dyDescent="0.2">
      <c r="C607" s="55"/>
      <c r="W607" s="12"/>
      <c r="X607" s="64"/>
      <c r="Y607" s="64"/>
      <c r="Z607" s="64"/>
      <c r="AA607" s="64"/>
      <c r="AB607" s="64"/>
    </row>
    <row r="608" spans="3:28" ht="15" customHeight="1" x14ac:dyDescent="0.2">
      <c r="C608" s="55"/>
      <c r="W608" s="12"/>
      <c r="X608" s="64"/>
      <c r="Y608" s="64"/>
      <c r="Z608" s="64"/>
      <c r="AA608" s="64"/>
      <c r="AB608" s="64"/>
    </row>
    <row r="609" spans="3:77" ht="15" customHeight="1" x14ac:dyDescent="0.2">
      <c r="C609" s="55"/>
      <c r="W609" s="12"/>
      <c r="X609" s="64"/>
      <c r="Y609" s="64"/>
      <c r="Z609" s="64"/>
      <c r="AA609" s="64"/>
      <c r="AB609" s="64"/>
    </row>
    <row r="610" spans="3:77" ht="15" customHeight="1" x14ac:dyDescent="0.2">
      <c r="C610" s="55"/>
      <c r="W610" s="12"/>
      <c r="X610" s="64"/>
      <c r="Y610" s="64"/>
      <c r="Z610" s="64"/>
      <c r="AA610" s="64"/>
      <c r="AB610" s="64"/>
    </row>
    <row r="611" spans="3:77" ht="15" customHeight="1" x14ac:dyDescent="0.2">
      <c r="C611" s="55"/>
      <c r="W611" s="12"/>
      <c r="X611" s="64"/>
      <c r="Y611" s="64"/>
      <c r="Z611" s="64"/>
      <c r="AA611" s="64"/>
      <c r="AB611" s="64"/>
    </row>
    <row r="612" spans="3:77" ht="15" customHeight="1" x14ac:dyDescent="0.2">
      <c r="C612" s="55"/>
      <c r="W612" s="12"/>
      <c r="X612" s="64"/>
      <c r="Y612" s="64"/>
      <c r="Z612" s="64"/>
      <c r="AA612" s="64"/>
      <c r="AB612" s="64"/>
    </row>
    <row r="613" spans="3:77" ht="15" customHeight="1" x14ac:dyDescent="0.2">
      <c r="C613" s="55"/>
      <c r="W613" s="12"/>
      <c r="X613" s="64"/>
      <c r="Y613" s="64"/>
      <c r="Z613" s="64"/>
      <c r="AA613" s="64"/>
      <c r="AB613" s="64"/>
    </row>
    <row r="614" spans="3:77" ht="15" customHeight="1" x14ac:dyDescent="0.2">
      <c r="C614" s="55"/>
      <c r="W614" s="12"/>
      <c r="X614" s="64"/>
      <c r="Y614" s="64"/>
      <c r="Z614" s="64"/>
      <c r="AA614" s="64"/>
      <c r="AB614" s="64"/>
    </row>
    <row r="615" spans="3:77" ht="15" customHeight="1" x14ac:dyDescent="0.2">
      <c r="C615" s="55"/>
      <c r="W615" s="12"/>
      <c r="X615" s="64"/>
      <c r="Y615" s="64"/>
      <c r="Z615" s="64"/>
      <c r="AA615" s="64"/>
      <c r="AB615" s="64"/>
    </row>
    <row r="616" spans="3:77" ht="15" customHeight="1" x14ac:dyDescent="0.2">
      <c r="C616" s="55"/>
      <c r="W616" s="12"/>
      <c r="X616" s="64"/>
      <c r="Y616" s="64"/>
      <c r="Z616" s="64"/>
      <c r="AA616" s="64"/>
      <c r="AB616" s="64"/>
    </row>
    <row r="617" spans="3:77" ht="15" customHeight="1" x14ac:dyDescent="0.2">
      <c r="C617" s="55"/>
      <c r="W617" s="12"/>
      <c r="X617" s="64"/>
      <c r="Y617" s="64"/>
      <c r="Z617" s="64"/>
      <c r="AA617" s="64"/>
      <c r="AB617" s="64"/>
    </row>
    <row r="618" spans="3:77" ht="15" customHeight="1" x14ac:dyDescent="0.2">
      <c r="C618" s="55"/>
      <c r="W618" s="12"/>
      <c r="X618" s="64"/>
      <c r="Y618" s="64"/>
      <c r="Z618" s="64"/>
      <c r="AA618" s="64"/>
      <c r="AB618" s="64"/>
    </row>
    <row r="619" spans="3:77" ht="15" customHeight="1" x14ac:dyDescent="0.2">
      <c r="C619" s="55"/>
      <c r="W619" s="12"/>
      <c r="X619" s="64"/>
      <c r="Y619" s="64"/>
      <c r="Z619" s="64"/>
      <c r="AA619" s="64"/>
      <c r="AB619" s="64"/>
    </row>
    <row r="620" spans="3:77" ht="15" customHeight="1" x14ac:dyDescent="0.2">
      <c r="C620" s="55"/>
      <c r="W620" s="12"/>
      <c r="X620" s="64"/>
      <c r="Y620" s="64"/>
      <c r="Z620" s="64"/>
      <c r="AA620" s="64"/>
      <c r="AB620" s="64"/>
    </row>
    <row r="621" spans="3:77" ht="15" customHeight="1" x14ac:dyDescent="0.2">
      <c r="C621" s="55"/>
      <c r="W621" s="12"/>
      <c r="X621" s="64"/>
      <c r="Y621" s="64"/>
      <c r="Z621" s="64"/>
      <c r="AA621" s="64"/>
      <c r="AB621" s="64"/>
    </row>
    <row r="622" spans="3:77" ht="15" customHeight="1" x14ac:dyDescent="0.2">
      <c r="C622" s="55"/>
      <c r="W622" s="12"/>
      <c r="X622" s="64"/>
      <c r="Y622" s="64"/>
      <c r="Z622" s="64"/>
      <c r="AA622" s="64"/>
      <c r="AB622" s="64"/>
    </row>
    <row r="623" spans="3:77" ht="15" customHeight="1" x14ac:dyDescent="0.2">
      <c r="C623" s="55"/>
      <c r="W623" s="12"/>
      <c r="X623" s="64"/>
      <c r="Y623" s="64"/>
      <c r="Z623" s="64"/>
      <c r="AA623" s="64"/>
      <c r="AB623" s="64"/>
    </row>
    <row r="624" spans="3:77" ht="15" customHeight="1" x14ac:dyDescent="0.2">
      <c r="C624" s="174">
        <v>8</v>
      </c>
      <c r="D624" s="175"/>
      <c r="E624" s="176" t="s">
        <v>211</v>
      </c>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c r="AB624" s="176"/>
      <c r="AC624" s="176"/>
      <c r="AD624" s="176"/>
      <c r="AE624" s="176"/>
      <c r="AF624" s="176"/>
      <c r="AG624" s="176"/>
      <c r="AH624" s="176"/>
      <c r="AI624" s="176"/>
      <c r="AJ624" s="176"/>
      <c r="AK624" s="176"/>
      <c r="AL624" s="176"/>
      <c r="AM624" s="176"/>
      <c r="AN624" s="176"/>
      <c r="AO624" s="176"/>
      <c r="AP624" s="176"/>
      <c r="AQ624" s="176"/>
      <c r="AR624" s="176"/>
      <c r="AS624" s="176"/>
      <c r="AT624" s="176"/>
      <c r="AU624" s="176"/>
      <c r="AV624" s="176"/>
      <c r="AW624" s="176"/>
      <c r="AX624" s="176"/>
      <c r="AY624" s="176"/>
      <c r="AZ624" s="176"/>
      <c r="BA624" s="176"/>
      <c r="BB624" s="176"/>
      <c r="BC624" s="176"/>
      <c r="BD624" s="176"/>
      <c r="BE624" s="176"/>
      <c r="BF624" s="176"/>
      <c r="BG624" s="176"/>
      <c r="BH624" s="176"/>
      <c r="BI624" s="176"/>
      <c r="BJ624" s="176"/>
      <c r="BK624" s="176"/>
      <c r="BL624" s="176"/>
      <c r="BM624" s="176"/>
      <c r="BN624" s="176"/>
      <c r="BO624" s="176"/>
      <c r="BP624" s="176"/>
      <c r="BQ624" s="176"/>
      <c r="BR624" s="176"/>
      <c r="BS624" s="176"/>
      <c r="BT624" s="7"/>
      <c r="BU624" s="7"/>
      <c r="BV624" s="7"/>
      <c r="BW624" s="7"/>
      <c r="BX624" s="7"/>
      <c r="BY624" s="9"/>
    </row>
    <row r="625" spans="3:77" ht="15" customHeight="1" x14ac:dyDescent="0.2">
      <c r="C625" s="174"/>
      <c r="D625" s="175"/>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c r="AB625" s="176"/>
      <c r="AC625" s="176"/>
      <c r="AD625" s="176"/>
      <c r="AE625" s="176"/>
      <c r="AF625" s="176"/>
      <c r="AG625" s="176"/>
      <c r="AH625" s="176"/>
      <c r="AI625" s="176"/>
      <c r="AJ625" s="176"/>
      <c r="AK625" s="176"/>
      <c r="AL625" s="176"/>
      <c r="AM625" s="176"/>
      <c r="AN625" s="176"/>
      <c r="AO625" s="176"/>
      <c r="AP625" s="176"/>
      <c r="AQ625" s="176"/>
      <c r="AR625" s="176"/>
      <c r="AS625" s="176"/>
      <c r="AT625" s="176"/>
      <c r="AU625" s="176"/>
      <c r="AV625" s="176"/>
      <c r="AW625" s="176"/>
      <c r="AX625" s="176"/>
      <c r="AY625" s="176"/>
      <c r="AZ625" s="176"/>
      <c r="BA625" s="176"/>
      <c r="BB625" s="176"/>
      <c r="BC625" s="176"/>
      <c r="BD625" s="176"/>
      <c r="BE625" s="176"/>
      <c r="BF625" s="176"/>
      <c r="BG625" s="176"/>
      <c r="BH625" s="176"/>
      <c r="BI625" s="176"/>
      <c r="BJ625" s="176"/>
      <c r="BK625" s="176"/>
      <c r="BL625" s="176"/>
      <c r="BM625" s="176"/>
      <c r="BN625" s="176"/>
      <c r="BO625" s="176"/>
      <c r="BP625" s="176"/>
      <c r="BQ625" s="176"/>
      <c r="BR625" s="176"/>
      <c r="BS625" s="176"/>
      <c r="BT625" s="7"/>
      <c r="BU625" s="7"/>
      <c r="BV625" s="7"/>
      <c r="BW625" s="7"/>
      <c r="BX625" s="7"/>
      <c r="BY625" s="9"/>
    </row>
    <row r="626" spans="3:77" ht="15" customHeight="1" x14ac:dyDescent="0.3">
      <c r="C626" s="48"/>
      <c r="D626" s="49"/>
      <c r="E626" s="177" t="s">
        <v>262</v>
      </c>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c r="AC626" s="178"/>
      <c r="AD626" s="178"/>
      <c r="AE626" s="178"/>
      <c r="AF626" s="178"/>
      <c r="AG626" s="178"/>
      <c r="AH626" s="178"/>
      <c r="AI626" s="178"/>
      <c r="AJ626" s="178"/>
      <c r="AK626" s="178"/>
      <c r="AL626" s="178"/>
      <c r="AM626" s="178"/>
      <c r="AN626" s="178"/>
      <c r="AO626" s="178"/>
      <c r="AP626" s="178"/>
      <c r="AQ626" s="178"/>
      <c r="AR626" s="178"/>
      <c r="AS626" s="178"/>
      <c r="AT626" s="178"/>
      <c r="AU626" s="178"/>
      <c r="AV626" s="178"/>
      <c r="AW626" s="178"/>
      <c r="AX626" s="178"/>
      <c r="AY626" s="178"/>
      <c r="AZ626" s="178"/>
      <c r="BA626" s="178"/>
      <c r="BB626" s="178"/>
      <c r="BC626" s="178"/>
      <c r="BD626" s="178"/>
      <c r="BE626" s="178"/>
      <c r="BF626" s="178"/>
      <c r="BG626" s="178"/>
      <c r="BH626" s="178"/>
      <c r="BI626" s="178"/>
      <c r="BJ626" s="178"/>
      <c r="BK626" s="178"/>
      <c r="BL626" s="178"/>
      <c r="BM626" s="178"/>
      <c r="BN626" s="178"/>
      <c r="BO626" s="178"/>
      <c r="BP626" s="178"/>
      <c r="BQ626" s="178"/>
      <c r="BR626" s="178"/>
      <c r="BS626" s="47"/>
      <c r="BT626" s="7"/>
      <c r="BU626" s="7"/>
      <c r="BV626" s="7"/>
      <c r="BW626" s="7"/>
      <c r="BX626" s="7"/>
      <c r="BY626" s="9"/>
    </row>
    <row r="627" spans="3:77" ht="15" customHeight="1" x14ac:dyDescent="0.3">
      <c r="C627" s="48"/>
      <c r="D627" s="49"/>
      <c r="E627" s="178"/>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c r="AC627" s="178"/>
      <c r="AD627" s="178"/>
      <c r="AE627" s="178"/>
      <c r="AF627" s="178"/>
      <c r="AG627" s="178"/>
      <c r="AH627" s="178"/>
      <c r="AI627" s="178"/>
      <c r="AJ627" s="178"/>
      <c r="AK627" s="178"/>
      <c r="AL627" s="178"/>
      <c r="AM627" s="178"/>
      <c r="AN627" s="178"/>
      <c r="AO627" s="178"/>
      <c r="AP627" s="178"/>
      <c r="AQ627" s="178"/>
      <c r="AR627" s="178"/>
      <c r="AS627" s="178"/>
      <c r="AT627" s="178"/>
      <c r="AU627" s="178"/>
      <c r="AV627" s="178"/>
      <c r="AW627" s="178"/>
      <c r="AX627" s="178"/>
      <c r="AY627" s="178"/>
      <c r="AZ627" s="178"/>
      <c r="BA627" s="178"/>
      <c r="BB627" s="178"/>
      <c r="BC627" s="178"/>
      <c r="BD627" s="178"/>
      <c r="BE627" s="178"/>
      <c r="BF627" s="178"/>
      <c r="BG627" s="178"/>
      <c r="BH627" s="178"/>
      <c r="BI627" s="178"/>
      <c r="BJ627" s="178"/>
      <c r="BK627" s="178"/>
      <c r="BL627" s="178"/>
      <c r="BM627" s="178"/>
      <c r="BN627" s="178"/>
      <c r="BO627" s="178"/>
      <c r="BP627" s="178"/>
      <c r="BQ627" s="178"/>
      <c r="BR627" s="178"/>
      <c r="BS627" s="47"/>
      <c r="BT627" s="7"/>
      <c r="BU627" s="7"/>
      <c r="BV627" s="7"/>
      <c r="BW627" s="7"/>
      <c r="BX627" s="7"/>
      <c r="BY627" s="9"/>
    </row>
    <row r="628" spans="3:77" ht="15" customHeight="1" x14ac:dyDescent="0.3">
      <c r="C628" s="48"/>
      <c r="D628" s="49"/>
      <c r="E628" s="178"/>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c r="AC628" s="178"/>
      <c r="AD628" s="178"/>
      <c r="AE628" s="178"/>
      <c r="AF628" s="178"/>
      <c r="AG628" s="178"/>
      <c r="AH628" s="178"/>
      <c r="AI628" s="178"/>
      <c r="AJ628" s="178"/>
      <c r="AK628" s="178"/>
      <c r="AL628" s="178"/>
      <c r="AM628" s="178"/>
      <c r="AN628" s="178"/>
      <c r="AO628" s="178"/>
      <c r="AP628" s="178"/>
      <c r="AQ628" s="178"/>
      <c r="AR628" s="178"/>
      <c r="AS628" s="178"/>
      <c r="AT628" s="178"/>
      <c r="AU628" s="178"/>
      <c r="AV628" s="178"/>
      <c r="AW628" s="178"/>
      <c r="AX628" s="178"/>
      <c r="AY628" s="178"/>
      <c r="AZ628" s="178"/>
      <c r="BA628" s="178"/>
      <c r="BB628" s="178"/>
      <c r="BC628" s="178"/>
      <c r="BD628" s="178"/>
      <c r="BE628" s="178"/>
      <c r="BF628" s="178"/>
      <c r="BG628" s="178"/>
      <c r="BH628" s="178"/>
      <c r="BI628" s="178"/>
      <c r="BJ628" s="178"/>
      <c r="BK628" s="178"/>
      <c r="BL628" s="178"/>
      <c r="BM628" s="178"/>
      <c r="BN628" s="178"/>
      <c r="BO628" s="178"/>
      <c r="BP628" s="178"/>
      <c r="BQ628" s="178"/>
      <c r="BR628" s="178"/>
      <c r="BS628" s="47"/>
      <c r="BT628" s="7"/>
      <c r="BU628" s="7"/>
      <c r="BV628" s="7"/>
      <c r="BW628" s="7"/>
      <c r="BX628" s="7"/>
      <c r="BY628" s="9"/>
    </row>
    <row r="629" spans="3:77" s="59" customFormat="1" ht="15" customHeight="1" x14ac:dyDescent="0.25">
      <c r="C629" s="98"/>
      <c r="D629" s="99"/>
      <c r="E629" s="178"/>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c r="AC629" s="178"/>
      <c r="AD629" s="178"/>
      <c r="AE629" s="178"/>
      <c r="AF629" s="178"/>
      <c r="AG629" s="178"/>
      <c r="AH629" s="178"/>
      <c r="AI629" s="178"/>
      <c r="AJ629" s="178"/>
      <c r="AK629" s="178"/>
      <c r="AL629" s="178"/>
      <c r="AM629" s="178"/>
      <c r="AN629" s="178"/>
      <c r="AO629" s="178"/>
      <c r="AP629" s="178"/>
      <c r="AQ629" s="178"/>
      <c r="AR629" s="178"/>
      <c r="AS629" s="178"/>
      <c r="AT629" s="178"/>
      <c r="AU629" s="178"/>
      <c r="AV629" s="178"/>
      <c r="AW629" s="178"/>
      <c r="AX629" s="178"/>
      <c r="AY629" s="178"/>
      <c r="AZ629" s="178"/>
      <c r="BA629" s="178"/>
      <c r="BB629" s="178"/>
      <c r="BC629" s="178"/>
      <c r="BD629" s="178"/>
      <c r="BE629" s="178"/>
      <c r="BF629" s="178"/>
      <c r="BG629" s="178"/>
      <c r="BH629" s="178"/>
      <c r="BI629" s="178"/>
      <c r="BJ629" s="178"/>
      <c r="BK629" s="178"/>
      <c r="BL629" s="178"/>
      <c r="BM629" s="178"/>
      <c r="BN629" s="178"/>
      <c r="BO629" s="178"/>
      <c r="BP629" s="178"/>
      <c r="BQ629" s="178"/>
      <c r="BR629" s="178"/>
      <c r="BS629" s="100"/>
      <c r="BT629" s="101"/>
      <c r="BU629" s="101"/>
      <c r="BV629" s="101"/>
      <c r="BW629" s="101"/>
      <c r="BX629" s="101"/>
      <c r="BY629" s="102"/>
    </row>
    <row r="630" spans="3:77" ht="15" customHeight="1" x14ac:dyDescent="0.3">
      <c r="C630" s="48"/>
      <c r="D630" s="49"/>
      <c r="E630" s="178"/>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c r="AC630" s="178"/>
      <c r="AD630" s="178"/>
      <c r="AE630" s="178"/>
      <c r="AF630" s="178"/>
      <c r="AG630" s="178"/>
      <c r="AH630" s="178"/>
      <c r="AI630" s="178"/>
      <c r="AJ630" s="178"/>
      <c r="AK630" s="178"/>
      <c r="AL630" s="178"/>
      <c r="AM630" s="178"/>
      <c r="AN630" s="178"/>
      <c r="AO630" s="178"/>
      <c r="AP630" s="178"/>
      <c r="AQ630" s="178"/>
      <c r="AR630" s="178"/>
      <c r="AS630" s="178"/>
      <c r="AT630" s="178"/>
      <c r="AU630" s="178"/>
      <c r="AV630" s="178"/>
      <c r="AW630" s="178"/>
      <c r="AX630" s="178"/>
      <c r="AY630" s="178"/>
      <c r="AZ630" s="178"/>
      <c r="BA630" s="178"/>
      <c r="BB630" s="178"/>
      <c r="BC630" s="178"/>
      <c r="BD630" s="178"/>
      <c r="BE630" s="178"/>
      <c r="BF630" s="178"/>
      <c r="BG630" s="178"/>
      <c r="BH630" s="178"/>
      <c r="BI630" s="178"/>
      <c r="BJ630" s="178"/>
      <c r="BK630" s="178"/>
      <c r="BL630" s="178"/>
      <c r="BM630" s="178"/>
      <c r="BN630" s="178"/>
      <c r="BO630" s="178"/>
      <c r="BP630" s="178"/>
      <c r="BQ630" s="178"/>
      <c r="BR630" s="178"/>
      <c r="BS630" s="47"/>
      <c r="BT630" s="7"/>
      <c r="BU630" s="7"/>
      <c r="BV630" s="7"/>
      <c r="BW630" s="7"/>
      <c r="BX630" s="7"/>
      <c r="BY630" s="9"/>
    </row>
    <row r="631" spans="3:77" ht="15" customHeight="1" x14ac:dyDescent="0.3">
      <c r="C631" s="48"/>
      <c r="D631" s="49"/>
      <c r="E631" s="178"/>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c r="AC631" s="178"/>
      <c r="AD631" s="178"/>
      <c r="AE631" s="178"/>
      <c r="AF631" s="178"/>
      <c r="AG631" s="178"/>
      <c r="AH631" s="178"/>
      <c r="AI631" s="178"/>
      <c r="AJ631" s="178"/>
      <c r="AK631" s="178"/>
      <c r="AL631" s="178"/>
      <c r="AM631" s="178"/>
      <c r="AN631" s="178"/>
      <c r="AO631" s="178"/>
      <c r="AP631" s="178"/>
      <c r="AQ631" s="178"/>
      <c r="AR631" s="178"/>
      <c r="AS631" s="178"/>
      <c r="AT631" s="178"/>
      <c r="AU631" s="178"/>
      <c r="AV631" s="178"/>
      <c r="AW631" s="178"/>
      <c r="AX631" s="178"/>
      <c r="AY631" s="178"/>
      <c r="AZ631" s="178"/>
      <c r="BA631" s="178"/>
      <c r="BB631" s="178"/>
      <c r="BC631" s="178"/>
      <c r="BD631" s="178"/>
      <c r="BE631" s="178"/>
      <c r="BF631" s="178"/>
      <c r="BG631" s="178"/>
      <c r="BH631" s="178"/>
      <c r="BI631" s="178"/>
      <c r="BJ631" s="178"/>
      <c r="BK631" s="178"/>
      <c r="BL631" s="178"/>
      <c r="BM631" s="178"/>
      <c r="BN631" s="178"/>
      <c r="BO631" s="178"/>
      <c r="BP631" s="178"/>
      <c r="BQ631" s="178"/>
      <c r="BR631" s="178"/>
      <c r="BS631" s="47"/>
      <c r="BT631" s="7"/>
      <c r="BU631" s="7"/>
      <c r="BV631" s="7"/>
      <c r="BW631" s="7"/>
      <c r="BX631" s="7"/>
      <c r="BY631" s="9"/>
    </row>
    <row r="632" spans="3:77" ht="15" customHeight="1" x14ac:dyDescent="0.3">
      <c r="C632" s="48"/>
      <c r="D632" s="49"/>
      <c r="E632" s="178"/>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c r="AC632" s="178"/>
      <c r="AD632" s="178"/>
      <c r="AE632" s="178"/>
      <c r="AF632" s="178"/>
      <c r="AG632" s="178"/>
      <c r="AH632" s="178"/>
      <c r="AI632" s="178"/>
      <c r="AJ632" s="178"/>
      <c r="AK632" s="178"/>
      <c r="AL632" s="178"/>
      <c r="AM632" s="178"/>
      <c r="AN632" s="178"/>
      <c r="AO632" s="178"/>
      <c r="AP632" s="178"/>
      <c r="AQ632" s="178"/>
      <c r="AR632" s="178"/>
      <c r="AS632" s="178"/>
      <c r="AT632" s="178"/>
      <c r="AU632" s="178"/>
      <c r="AV632" s="178"/>
      <c r="AW632" s="178"/>
      <c r="AX632" s="178"/>
      <c r="AY632" s="178"/>
      <c r="AZ632" s="178"/>
      <c r="BA632" s="178"/>
      <c r="BB632" s="178"/>
      <c r="BC632" s="178"/>
      <c r="BD632" s="178"/>
      <c r="BE632" s="178"/>
      <c r="BF632" s="178"/>
      <c r="BG632" s="178"/>
      <c r="BH632" s="178"/>
      <c r="BI632" s="178"/>
      <c r="BJ632" s="178"/>
      <c r="BK632" s="178"/>
      <c r="BL632" s="178"/>
      <c r="BM632" s="178"/>
      <c r="BN632" s="178"/>
      <c r="BO632" s="178"/>
      <c r="BP632" s="178"/>
      <c r="BQ632" s="178"/>
      <c r="BR632" s="178"/>
      <c r="BS632" s="47"/>
      <c r="BT632" s="7"/>
      <c r="BU632" s="7"/>
      <c r="BV632" s="7"/>
      <c r="BW632" s="7"/>
      <c r="BX632" s="7"/>
      <c r="BY632" s="9"/>
    </row>
    <row r="633" spans="3:77" ht="15" customHeight="1" x14ac:dyDescent="0.3">
      <c r="C633" s="48"/>
      <c r="D633" s="49"/>
      <c r="E633" s="178"/>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c r="AC633" s="178"/>
      <c r="AD633" s="178"/>
      <c r="AE633" s="178"/>
      <c r="AF633" s="178"/>
      <c r="AG633" s="178"/>
      <c r="AH633" s="178"/>
      <c r="AI633" s="178"/>
      <c r="AJ633" s="178"/>
      <c r="AK633" s="178"/>
      <c r="AL633" s="178"/>
      <c r="AM633" s="178"/>
      <c r="AN633" s="178"/>
      <c r="AO633" s="178"/>
      <c r="AP633" s="178"/>
      <c r="AQ633" s="178"/>
      <c r="AR633" s="178"/>
      <c r="AS633" s="178"/>
      <c r="AT633" s="178"/>
      <c r="AU633" s="178"/>
      <c r="AV633" s="178"/>
      <c r="AW633" s="178"/>
      <c r="AX633" s="178"/>
      <c r="AY633" s="178"/>
      <c r="AZ633" s="178"/>
      <c r="BA633" s="178"/>
      <c r="BB633" s="178"/>
      <c r="BC633" s="178"/>
      <c r="BD633" s="178"/>
      <c r="BE633" s="178"/>
      <c r="BF633" s="178"/>
      <c r="BG633" s="178"/>
      <c r="BH633" s="178"/>
      <c r="BI633" s="178"/>
      <c r="BJ633" s="178"/>
      <c r="BK633" s="178"/>
      <c r="BL633" s="178"/>
      <c r="BM633" s="178"/>
      <c r="BN633" s="178"/>
      <c r="BO633" s="178"/>
      <c r="BP633" s="178"/>
      <c r="BQ633" s="178"/>
      <c r="BR633" s="178"/>
      <c r="BS633" s="47"/>
      <c r="BT633" s="7"/>
      <c r="BU633" s="7"/>
      <c r="BV633" s="7"/>
      <c r="BW633" s="7"/>
      <c r="BX633" s="7"/>
      <c r="BY633" s="9"/>
    </row>
    <row r="634" spans="3:77" ht="15" customHeight="1" x14ac:dyDescent="0.3">
      <c r="C634" s="48"/>
      <c r="D634" s="49"/>
      <c r="E634" s="178"/>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c r="AC634" s="178"/>
      <c r="AD634" s="178"/>
      <c r="AE634" s="178"/>
      <c r="AF634" s="178"/>
      <c r="AG634" s="178"/>
      <c r="AH634" s="178"/>
      <c r="AI634" s="178"/>
      <c r="AJ634" s="178"/>
      <c r="AK634" s="178"/>
      <c r="AL634" s="178"/>
      <c r="AM634" s="178"/>
      <c r="AN634" s="178"/>
      <c r="AO634" s="178"/>
      <c r="AP634" s="178"/>
      <c r="AQ634" s="178"/>
      <c r="AR634" s="178"/>
      <c r="AS634" s="178"/>
      <c r="AT634" s="178"/>
      <c r="AU634" s="178"/>
      <c r="AV634" s="178"/>
      <c r="AW634" s="178"/>
      <c r="AX634" s="178"/>
      <c r="AY634" s="178"/>
      <c r="AZ634" s="178"/>
      <c r="BA634" s="178"/>
      <c r="BB634" s="178"/>
      <c r="BC634" s="178"/>
      <c r="BD634" s="178"/>
      <c r="BE634" s="178"/>
      <c r="BF634" s="178"/>
      <c r="BG634" s="178"/>
      <c r="BH634" s="178"/>
      <c r="BI634" s="178"/>
      <c r="BJ634" s="178"/>
      <c r="BK634" s="178"/>
      <c r="BL634" s="178"/>
      <c r="BM634" s="178"/>
      <c r="BN634" s="178"/>
      <c r="BO634" s="178"/>
      <c r="BP634" s="178"/>
      <c r="BQ634" s="178"/>
      <c r="BR634" s="178"/>
      <c r="BS634" s="47"/>
      <c r="BT634" s="7"/>
      <c r="BU634" s="7"/>
      <c r="BV634" s="7"/>
      <c r="BW634" s="7"/>
      <c r="BX634" s="7"/>
      <c r="BY634" s="9"/>
    </row>
    <row r="635" spans="3:77" ht="15" customHeight="1" x14ac:dyDescent="0.3">
      <c r="C635" s="48"/>
      <c r="D635" s="49"/>
      <c r="E635" s="178"/>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c r="AC635" s="178"/>
      <c r="AD635" s="178"/>
      <c r="AE635" s="178"/>
      <c r="AF635" s="178"/>
      <c r="AG635" s="178"/>
      <c r="AH635" s="178"/>
      <c r="AI635" s="178"/>
      <c r="AJ635" s="178"/>
      <c r="AK635" s="178"/>
      <c r="AL635" s="178"/>
      <c r="AM635" s="178"/>
      <c r="AN635" s="178"/>
      <c r="AO635" s="178"/>
      <c r="AP635" s="178"/>
      <c r="AQ635" s="178"/>
      <c r="AR635" s="178"/>
      <c r="AS635" s="178"/>
      <c r="AT635" s="178"/>
      <c r="AU635" s="178"/>
      <c r="AV635" s="178"/>
      <c r="AW635" s="178"/>
      <c r="AX635" s="178"/>
      <c r="AY635" s="178"/>
      <c r="AZ635" s="178"/>
      <c r="BA635" s="178"/>
      <c r="BB635" s="178"/>
      <c r="BC635" s="178"/>
      <c r="BD635" s="178"/>
      <c r="BE635" s="178"/>
      <c r="BF635" s="178"/>
      <c r="BG635" s="178"/>
      <c r="BH635" s="178"/>
      <c r="BI635" s="178"/>
      <c r="BJ635" s="178"/>
      <c r="BK635" s="178"/>
      <c r="BL635" s="178"/>
      <c r="BM635" s="178"/>
      <c r="BN635" s="178"/>
      <c r="BO635" s="178"/>
      <c r="BP635" s="178"/>
      <c r="BQ635" s="178"/>
      <c r="BR635" s="178"/>
      <c r="BS635" s="47"/>
      <c r="BT635" s="7"/>
      <c r="BU635" s="7"/>
      <c r="BV635" s="7"/>
      <c r="BW635" s="7"/>
      <c r="BX635" s="7"/>
      <c r="BY635" s="9"/>
    </row>
    <row r="636" spans="3:77" ht="15" customHeight="1" x14ac:dyDescent="0.3">
      <c r="C636" s="48"/>
      <c r="D636" s="49"/>
      <c r="E636" s="178"/>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c r="AC636" s="178"/>
      <c r="AD636" s="178"/>
      <c r="AE636" s="178"/>
      <c r="AF636" s="178"/>
      <c r="AG636" s="178"/>
      <c r="AH636" s="178"/>
      <c r="AI636" s="178"/>
      <c r="AJ636" s="178"/>
      <c r="AK636" s="178"/>
      <c r="AL636" s="178"/>
      <c r="AM636" s="178"/>
      <c r="AN636" s="178"/>
      <c r="AO636" s="178"/>
      <c r="AP636" s="178"/>
      <c r="AQ636" s="178"/>
      <c r="AR636" s="178"/>
      <c r="AS636" s="178"/>
      <c r="AT636" s="178"/>
      <c r="AU636" s="178"/>
      <c r="AV636" s="178"/>
      <c r="AW636" s="178"/>
      <c r="AX636" s="178"/>
      <c r="AY636" s="178"/>
      <c r="AZ636" s="178"/>
      <c r="BA636" s="178"/>
      <c r="BB636" s="178"/>
      <c r="BC636" s="178"/>
      <c r="BD636" s="178"/>
      <c r="BE636" s="178"/>
      <c r="BF636" s="178"/>
      <c r="BG636" s="178"/>
      <c r="BH636" s="178"/>
      <c r="BI636" s="178"/>
      <c r="BJ636" s="178"/>
      <c r="BK636" s="178"/>
      <c r="BL636" s="178"/>
      <c r="BM636" s="178"/>
      <c r="BN636" s="178"/>
      <c r="BO636" s="178"/>
      <c r="BP636" s="178"/>
      <c r="BQ636" s="178"/>
      <c r="BR636" s="178"/>
      <c r="BS636" s="47"/>
      <c r="BT636" s="7"/>
      <c r="BU636" s="7"/>
      <c r="BV636" s="7"/>
      <c r="BW636" s="7"/>
      <c r="BX636" s="7"/>
      <c r="BY636" s="9"/>
    </row>
    <row r="637" spans="3:77" ht="15" customHeight="1" x14ac:dyDescent="0.3">
      <c r="C637" s="140">
        <v>8.1</v>
      </c>
      <c r="D637" s="141"/>
      <c r="E637" s="141"/>
      <c r="F637" s="141"/>
      <c r="G637" s="148" t="s">
        <v>200</v>
      </c>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c r="AD637" s="148"/>
      <c r="AE637" s="148"/>
      <c r="AF637" s="148"/>
      <c r="AG637" s="148"/>
      <c r="AH637" s="148"/>
      <c r="AI637" s="148"/>
      <c r="AJ637" s="148"/>
      <c r="AK637" s="148"/>
      <c r="AL637" s="148"/>
      <c r="AM637" s="148"/>
      <c r="AN637" s="148"/>
      <c r="AO637" s="148"/>
      <c r="AP637" s="148"/>
      <c r="AQ637" s="148"/>
      <c r="AR637" s="148"/>
      <c r="AS637" s="148"/>
      <c r="AT637" s="148"/>
      <c r="AU637" s="148"/>
      <c r="AV637" s="148"/>
      <c r="AW637" s="148"/>
      <c r="AX637" s="148"/>
      <c r="AY637" s="148"/>
      <c r="AZ637" s="148"/>
      <c r="BA637" s="148"/>
      <c r="BB637" s="148"/>
      <c r="BC637" s="148"/>
      <c r="BD637" s="148"/>
      <c r="BE637" s="148"/>
      <c r="BF637" s="148"/>
      <c r="BG637" s="148"/>
      <c r="BH637" s="148"/>
      <c r="BI637" s="148"/>
      <c r="BJ637" s="148"/>
      <c r="BK637" s="148"/>
      <c r="BL637" s="148"/>
      <c r="BM637" s="148"/>
      <c r="BN637" s="148"/>
      <c r="BO637" s="148"/>
      <c r="BP637" s="148"/>
      <c r="BQ637" s="148"/>
      <c r="BR637" s="148"/>
      <c r="BS637" s="47"/>
      <c r="BT637" s="7"/>
      <c r="BU637" s="7"/>
      <c r="BV637" s="7"/>
      <c r="BW637" s="7"/>
      <c r="BX637" s="7"/>
      <c r="BY637" s="9"/>
    </row>
    <row r="638" spans="3:77" ht="15" customHeight="1" x14ac:dyDescent="0.3">
      <c r="C638" s="140"/>
      <c r="D638" s="141"/>
      <c r="E638" s="141"/>
      <c r="F638" s="141"/>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c r="AD638" s="148"/>
      <c r="AE638" s="148"/>
      <c r="AF638" s="148"/>
      <c r="AG638" s="148"/>
      <c r="AH638" s="148"/>
      <c r="AI638" s="148"/>
      <c r="AJ638" s="148"/>
      <c r="AK638" s="148"/>
      <c r="AL638" s="148"/>
      <c r="AM638" s="148"/>
      <c r="AN638" s="148"/>
      <c r="AO638" s="148"/>
      <c r="AP638" s="148"/>
      <c r="AQ638" s="148"/>
      <c r="AR638" s="148"/>
      <c r="AS638" s="148"/>
      <c r="AT638" s="148"/>
      <c r="AU638" s="148"/>
      <c r="AV638" s="148"/>
      <c r="AW638" s="148"/>
      <c r="AX638" s="148"/>
      <c r="AY638" s="148"/>
      <c r="AZ638" s="148"/>
      <c r="BA638" s="148"/>
      <c r="BB638" s="148"/>
      <c r="BC638" s="148"/>
      <c r="BD638" s="148"/>
      <c r="BE638" s="148"/>
      <c r="BF638" s="148"/>
      <c r="BG638" s="148"/>
      <c r="BH638" s="148"/>
      <c r="BI638" s="148"/>
      <c r="BJ638" s="148"/>
      <c r="BK638" s="148"/>
      <c r="BL638" s="148"/>
      <c r="BM638" s="148"/>
      <c r="BN638" s="148"/>
      <c r="BO638" s="148"/>
      <c r="BP638" s="148"/>
      <c r="BQ638" s="148"/>
      <c r="BR638" s="148"/>
      <c r="BS638" s="47"/>
      <c r="BT638" s="7"/>
      <c r="BU638" s="7"/>
      <c r="BV638" s="7"/>
      <c r="BW638" s="7"/>
      <c r="BX638" s="7"/>
      <c r="BY638" s="9"/>
    </row>
    <row r="639" spans="3:77" ht="15" customHeight="1" x14ac:dyDescent="0.2">
      <c r="C639" s="33"/>
      <c r="G639" s="159" t="s">
        <v>213</v>
      </c>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row>
    <row r="640" spans="3:77" ht="15" customHeight="1" x14ac:dyDescent="0.2">
      <c r="C640" s="33"/>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row>
    <row r="641" spans="3:70" ht="15" customHeight="1" x14ac:dyDescent="0.2">
      <c r="C641" s="33"/>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row>
    <row r="642" spans="3:70" ht="15" customHeight="1" x14ac:dyDescent="0.2">
      <c r="C642" s="33"/>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row>
    <row r="643" spans="3:70" ht="15" customHeight="1" x14ac:dyDescent="0.2">
      <c r="C643" s="33"/>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row>
    <row r="644" spans="3:70" ht="15" customHeight="1" x14ac:dyDescent="0.2">
      <c r="C644" s="4"/>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row>
    <row r="645" spans="3:70" ht="15" customHeight="1" x14ac:dyDescent="0.2">
      <c r="C645" s="4"/>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row>
    <row r="646" spans="3:70" ht="15" customHeight="1" x14ac:dyDescent="0.2">
      <c r="C646" s="4"/>
      <c r="H646" s="77"/>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9"/>
      <c r="AN646" s="82"/>
      <c r="AO646" s="83"/>
      <c r="AP646" s="83"/>
      <c r="AQ646" s="76"/>
      <c r="AR646" s="188" t="s">
        <v>212</v>
      </c>
      <c r="AS646" s="188"/>
      <c r="AT646" s="188"/>
      <c r="AU646" s="188"/>
      <c r="AV646" s="188"/>
      <c r="AW646" s="188"/>
      <c r="AX646" s="188"/>
      <c r="AY646" s="188"/>
      <c r="AZ646" s="188"/>
      <c r="BA646" s="188"/>
      <c r="BB646" s="188"/>
      <c r="BC646" s="188"/>
      <c r="BD646" s="188"/>
      <c r="BE646" s="188"/>
      <c r="BF646" s="188"/>
      <c r="BG646" s="188"/>
      <c r="BH646" s="188"/>
      <c r="BI646" s="188"/>
      <c r="BJ646" s="188"/>
      <c r="BK646" s="188"/>
      <c r="BL646" s="188"/>
      <c r="BM646" s="188"/>
      <c r="BN646" s="188"/>
      <c r="BO646" s="188"/>
      <c r="BP646" s="188"/>
      <c r="BQ646" s="76"/>
      <c r="BR646" s="67"/>
    </row>
    <row r="647" spans="3:70" ht="15" customHeight="1" x14ac:dyDescent="0.2">
      <c r="C647" s="4"/>
      <c r="H647" s="80"/>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c r="AI647" s="67"/>
      <c r="AJ647" s="67"/>
      <c r="AK647" s="67"/>
      <c r="AL647" s="67"/>
      <c r="AM647" s="81"/>
      <c r="AN647" s="67"/>
      <c r="AO647" s="67"/>
      <c r="AP647" s="67"/>
      <c r="AQ647" s="76"/>
      <c r="AR647" s="188"/>
      <c r="AS647" s="188"/>
      <c r="AT647" s="188"/>
      <c r="AU647" s="188"/>
      <c r="AV647" s="188"/>
      <c r="AW647" s="188"/>
      <c r="AX647" s="188"/>
      <c r="AY647" s="188"/>
      <c r="AZ647" s="188"/>
      <c r="BA647" s="188"/>
      <c r="BB647" s="188"/>
      <c r="BC647" s="188"/>
      <c r="BD647" s="188"/>
      <c r="BE647" s="188"/>
      <c r="BF647" s="188"/>
      <c r="BG647" s="188"/>
      <c r="BH647" s="188"/>
      <c r="BI647" s="188"/>
      <c r="BJ647" s="188"/>
      <c r="BK647" s="188"/>
      <c r="BL647" s="188"/>
      <c r="BM647" s="188"/>
      <c r="BN647" s="188"/>
      <c r="BO647" s="188"/>
      <c r="BP647" s="188"/>
      <c r="BQ647" s="76"/>
      <c r="BR647" s="67"/>
    </row>
    <row r="648" spans="3:70" ht="15" customHeight="1" x14ac:dyDescent="0.2">
      <c r="C648" s="4"/>
      <c r="H648" s="80"/>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c r="AI648" s="67"/>
      <c r="AJ648" s="67"/>
      <c r="AK648" s="67"/>
      <c r="AL648" s="67"/>
      <c r="AM648" s="81"/>
      <c r="AN648" s="67"/>
      <c r="AO648" s="67"/>
      <c r="AP648" s="67"/>
      <c r="AQ648" s="67"/>
      <c r="AR648" s="67"/>
      <c r="AS648" s="67"/>
      <c r="AT648" s="67"/>
      <c r="AU648" s="67"/>
      <c r="AV648" s="67"/>
      <c r="AW648" s="67"/>
      <c r="AX648" s="67"/>
      <c r="AY648" s="67"/>
      <c r="AZ648" s="67"/>
      <c r="BA648" s="67"/>
      <c r="BB648" s="67"/>
      <c r="BC648" s="67"/>
      <c r="BD648" s="67"/>
      <c r="BE648" s="67"/>
      <c r="BF648" s="67"/>
      <c r="BG648" s="67"/>
      <c r="BH648" s="67"/>
      <c r="BI648" s="67"/>
      <c r="BJ648" s="67"/>
      <c r="BK648" s="67"/>
      <c r="BL648" s="67"/>
      <c r="BM648" s="67"/>
      <c r="BN648" s="67"/>
      <c r="BO648" s="67"/>
      <c r="BP648" s="67"/>
      <c r="BQ648" s="67"/>
      <c r="BR648" s="67"/>
    </row>
    <row r="649" spans="3:70" ht="15" customHeight="1" x14ac:dyDescent="0.2">
      <c r="C649" s="4"/>
      <c r="H649" s="80"/>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c r="AI649" s="67"/>
      <c r="AJ649" s="67"/>
      <c r="AK649" s="67"/>
      <c r="AL649" s="67"/>
      <c r="AM649" s="81"/>
      <c r="AN649" s="67"/>
      <c r="AO649" s="67"/>
      <c r="AP649" s="67"/>
      <c r="AQ649" s="67"/>
      <c r="AR649" s="67"/>
      <c r="AS649" s="67"/>
      <c r="AT649" s="67"/>
      <c r="AU649" s="67"/>
      <c r="AV649" s="67"/>
      <c r="AW649" s="67"/>
      <c r="AX649" s="67"/>
      <c r="AY649" s="67"/>
      <c r="AZ649" s="67"/>
      <c r="BA649" s="67"/>
      <c r="BB649" s="67"/>
      <c r="BC649" s="67"/>
      <c r="BD649" s="67"/>
      <c r="BE649" s="67"/>
      <c r="BF649" s="67"/>
      <c r="BG649" s="67"/>
      <c r="BH649" s="67"/>
      <c r="BI649" s="67"/>
      <c r="BJ649" s="67"/>
      <c r="BK649" s="67"/>
      <c r="BL649" s="67"/>
      <c r="BM649" s="67"/>
      <c r="BN649" s="67"/>
      <c r="BO649" s="67"/>
      <c r="BP649" s="67"/>
      <c r="BQ649" s="67"/>
      <c r="BR649" s="67"/>
    </row>
    <row r="650" spans="3:70" ht="15" customHeight="1" x14ac:dyDescent="0.2">
      <c r="C650" s="4"/>
      <c r="H650" s="80"/>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c r="AI650" s="67"/>
      <c r="AJ650" s="67"/>
      <c r="AK650" s="67"/>
      <c r="AL650" s="67"/>
      <c r="AM650" s="81"/>
      <c r="AN650" s="67"/>
      <c r="AO650" s="67"/>
      <c r="AP650" s="67"/>
      <c r="AQ650" s="67"/>
      <c r="AR650" s="67"/>
      <c r="AS650" s="67"/>
      <c r="AT650" s="67"/>
      <c r="AU650" s="67"/>
      <c r="AV650" s="67"/>
      <c r="AW650" s="67"/>
      <c r="AX650" s="67"/>
      <c r="AY650" s="67"/>
      <c r="AZ650" s="67"/>
      <c r="BA650" s="67"/>
      <c r="BB650" s="67"/>
      <c r="BC650" s="67"/>
      <c r="BD650" s="67"/>
      <c r="BE650" s="67"/>
      <c r="BF650" s="67"/>
      <c r="BG650" s="67"/>
      <c r="BH650" s="67"/>
      <c r="BI650" s="67"/>
      <c r="BJ650" s="67"/>
      <c r="BK650" s="67"/>
      <c r="BL650" s="67"/>
      <c r="BM650" s="67"/>
      <c r="BN650" s="67"/>
      <c r="BO650" s="67"/>
      <c r="BP650" s="67"/>
      <c r="BQ650" s="67"/>
      <c r="BR650" s="67"/>
    </row>
    <row r="651" spans="3:70" ht="15" customHeight="1" x14ac:dyDescent="0.2">
      <c r="C651" s="4"/>
      <c r="H651" s="80"/>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c r="AI651" s="67"/>
      <c r="AJ651" s="67"/>
      <c r="AK651" s="67"/>
      <c r="AL651" s="67"/>
      <c r="AM651" s="81"/>
      <c r="AN651" s="67"/>
      <c r="AO651" s="67"/>
      <c r="AP651" s="67"/>
      <c r="AQ651" s="67"/>
      <c r="AR651" s="67"/>
      <c r="AS651" s="67"/>
      <c r="AT651" s="67"/>
      <c r="AU651" s="67"/>
      <c r="AV651" s="67"/>
      <c r="AW651" s="67"/>
      <c r="AX651" s="67"/>
      <c r="AY651" s="67"/>
      <c r="AZ651" s="67"/>
      <c r="BA651" s="67"/>
      <c r="BB651" s="67"/>
      <c r="BC651" s="67"/>
      <c r="BD651" s="67"/>
      <c r="BE651" s="67"/>
      <c r="BF651" s="67"/>
      <c r="BG651" s="67"/>
      <c r="BH651" s="67"/>
      <c r="BI651" s="67"/>
      <c r="BJ651" s="67"/>
      <c r="BK651" s="67"/>
      <c r="BL651" s="67"/>
      <c r="BM651" s="67"/>
      <c r="BN651" s="67"/>
      <c r="BO651" s="67"/>
      <c r="BP651" s="67"/>
      <c r="BQ651" s="67"/>
      <c r="BR651" s="67"/>
    </row>
    <row r="652" spans="3:70" ht="15" customHeight="1" x14ac:dyDescent="0.2">
      <c r="C652" s="4"/>
      <c r="H652" s="80"/>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c r="AI652" s="67"/>
      <c r="AJ652" s="67"/>
      <c r="AK652" s="67"/>
      <c r="AL652" s="67"/>
      <c r="AM652" s="81"/>
      <c r="AN652" s="67"/>
      <c r="AO652" s="67"/>
      <c r="AP652" s="67"/>
      <c r="AQ652" s="67"/>
      <c r="AR652" s="67"/>
      <c r="AS652" s="67"/>
      <c r="AT652" s="67"/>
      <c r="AU652" s="67"/>
      <c r="AV652" s="67"/>
      <c r="AW652" s="67"/>
      <c r="AX652" s="67"/>
      <c r="AY652" s="67"/>
      <c r="AZ652" s="67"/>
      <c r="BA652" s="67"/>
      <c r="BB652" s="67"/>
      <c r="BC652" s="67"/>
      <c r="BD652" s="67"/>
      <c r="BE652" s="67"/>
      <c r="BF652" s="67"/>
      <c r="BG652" s="67"/>
      <c r="BH652" s="67"/>
      <c r="BI652" s="67"/>
      <c r="BJ652" s="67"/>
      <c r="BK652" s="67"/>
      <c r="BL652" s="67"/>
      <c r="BM652" s="67"/>
      <c r="BN652" s="67"/>
      <c r="BO652" s="67"/>
      <c r="BP652" s="67"/>
      <c r="BQ652" s="67"/>
      <c r="BR652" s="67"/>
    </row>
    <row r="653" spans="3:70" ht="15" customHeight="1" x14ac:dyDescent="0.2">
      <c r="C653" s="4"/>
      <c r="H653" s="80"/>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c r="AI653" s="67"/>
      <c r="AJ653" s="67"/>
      <c r="AK653" s="67"/>
      <c r="AL653" s="67"/>
      <c r="AM653" s="81"/>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row>
    <row r="654" spans="3:70" ht="15" customHeight="1" x14ac:dyDescent="0.2">
      <c r="C654" s="4"/>
      <c r="H654" s="80"/>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c r="AI654" s="67"/>
      <c r="AJ654" s="67"/>
      <c r="AK654" s="67"/>
      <c r="AL654" s="67"/>
      <c r="AM654" s="81"/>
      <c r="AN654" s="67"/>
      <c r="AO654" s="67"/>
      <c r="AP654" s="67"/>
      <c r="AQ654" s="67"/>
      <c r="AR654" s="67"/>
      <c r="AS654" s="67"/>
      <c r="AT654" s="67"/>
      <c r="AU654" s="67"/>
      <c r="AV654" s="67"/>
      <c r="AW654" s="67"/>
      <c r="AX654" s="67"/>
      <c r="AY654" s="67"/>
      <c r="AZ654" s="67"/>
      <c r="BA654" s="67"/>
      <c r="BB654" s="67"/>
      <c r="BC654" s="67"/>
      <c r="BD654" s="67"/>
      <c r="BE654" s="67"/>
      <c r="BF654" s="67"/>
      <c r="BG654" s="67"/>
      <c r="BH654" s="67"/>
      <c r="BI654" s="67"/>
      <c r="BJ654" s="67"/>
      <c r="BK654" s="67"/>
      <c r="BL654" s="67"/>
      <c r="BM654" s="67"/>
      <c r="BN654" s="67"/>
      <c r="BO654" s="67"/>
      <c r="BP654" s="67"/>
      <c r="BQ654" s="67"/>
      <c r="BR654" s="67"/>
    </row>
    <row r="655" spans="3:70" ht="15" customHeight="1" x14ac:dyDescent="0.2">
      <c r="C655" s="4"/>
      <c r="H655" s="80"/>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c r="AI655" s="67"/>
      <c r="AJ655" s="67"/>
      <c r="AK655" s="67"/>
      <c r="AL655" s="67"/>
      <c r="AM655" s="81"/>
      <c r="AN655" s="67"/>
      <c r="AO655" s="67"/>
      <c r="AP655" s="67"/>
      <c r="AQ655" s="67"/>
      <c r="BR655" s="67"/>
    </row>
    <row r="656" spans="3:70" ht="15" customHeight="1" x14ac:dyDescent="0.2">
      <c r="C656" s="4"/>
      <c r="H656" s="80"/>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c r="AI656" s="67"/>
      <c r="AJ656" s="67"/>
      <c r="AK656" s="67"/>
      <c r="AL656" s="67"/>
      <c r="AM656" s="81"/>
      <c r="AN656" s="67"/>
      <c r="AO656" s="67"/>
      <c r="AP656" s="67"/>
      <c r="AQ656" s="67"/>
      <c r="BR656" s="67"/>
    </row>
    <row r="657" spans="3:70" ht="15" customHeight="1" x14ac:dyDescent="0.2">
      <c r="C657" s="4"/>
      <c r="H657" s="80"/>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c r="AI657" s="67"/>
      <c r="AJ657" s="67"/>
      <c r="AK657" s="67"/>
      <c r="AL657" s="67"/>
      <c r="AM657" s="81"/>
      <c r="AN657" s="67"/>
      <c r="AO657" s="67"/>
      <c r="AP657" s="67"/>
      <c r="AQ657" s="67"/>
      <c r="AR657" s="67"/>
      <c r="AS657" s="67"/>
      <c r="AT657" s="67"/>
      <c r="AU657" s="67"/>
      <c r="AV657" s="67"/>
      <c r="AW657" s="67"/>
      <c r="AX657" s="67"/>
      <c r="AY657" s="67"/>
      <c r="AZ657" s="67"/>
      <c r="BA657" s="67"/>
      <c r="BB657" s="67"/>
      <c r="BC657" s="67"/>
      <c r="BD657" s="67"/>
      <c r="BE657" s="67"/>
      <c r="BF657" s="67"/>
      <c r="BG657" s="67"/>
      <c r="BH657" s="67"/>
      <c r="BI657" s="67"/>
      <c r="BJ657" s="67"/>
      <c r="BK657" s="67"/>
      <c r="BL657" s="67"/>
      <c r="BM657" s="67"/>
      <c r="BN657" s="67"/>
      <c r="BO657" s="67"/>
      <c r="BP657" s="67"/>
      <c r="BQ657" s="67"/>
      <c r="BR657" s="67"/>
    </row>
    <row r="658" spans="3:70" ht="15" customHeight="1" x14ac:dyDescent="0.2">
      <c r="C658" s="4"/>
      <c r="H658" s="80"/>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c r="AI658" s="67"/>
      <c r="AJ658" s="67"/>
      <c r="AK658" s="67"/>
      <c r="AL658" s="67"/>
      <c r="AM658" s="81"/>
      <c r="AN658" s="67"/>
      <c r="AO658" s="67"/>
      <c r="AP658" s="67"/>
      <c r="AQ658" s="67"/>
      <c r="AR658" s="67"/>
      <c r="AS658" s="67"/>
      <c r="AT658" s="67"/>
      <c r="AU658" s="67"/>
      <c r="AV658" s="67"/>
      <c r="AW658" s="67"/>
      <c r="AX658" s="67"/>
      <c r="AY658" s="67"/>
      <c r="AZ658" s="67"/>
      <c r="BA658" s="67"/>
      <c r="BB658" s="67"/>
      <c r="BC658" s="67"/>
      <c r="BD658" s="67"/>
      <c r="BE658" s="67"/>
      <c r="BF658" s="67"/>
      <c r="BG658" s="67"/>
      <c r="BH658" s="67"/>
      <c r="BI658" s="67"/>
      <c r="BJ658" s="67"/>
      <c r="BK658" s="67"/>
      <c r="BL658" s="67"/>
      <c r="BM658" s="67"/>
      <c r="BN658" s="67"/>
      <c r="BO658" s="67"/>
      <c r="BP658" s="67"/>
      <c r="BQ658" s="67"/>
      <c r="BR658" s="67"/>
    </row>
    <row r="659" spans="3:70" ht="15" customHeight="1" x14ac:dyDescent="0.2">
      <c r="C659" s="4"/>
      <c r="H659" s="80"/>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c r="AI659" s="67"/>
      <c r="AJ659" s="67"/>
      <c r="AK659" s="67"/>
      <c r="AL659" s="67"/>
      <c r="AM659" s="81"/>
      <c r="AN659" s="67"/>
      <c r="AO659" s="67"/>
      <c r="AP659" s="67"/>
      <c r="AQ659" s="67"/>
      <c r="AR659" s="67"/>
      <c r="AS659" s="67"/>
      <c r="AT659" s="67"/>
      <c r="AU659" s="67"/>
      <c r="AV659" s="67"/>
      <c r="AW659" s="67"/>
      <c r="AX659" s="67"/>
      <c r="AY659" s="67"/>
      <c r="AZ659" s="67"/>
      <c r="BA659" s="67"/>
      <c r="BB659" s="67"/>
      <c r="BC659" s="67"/>
      <c r="BD659" s="67"/>
      <c r="BE659" s="67"/>
      <c r="BF659" s="67"/>
      <c r="BG659" s="67"/>
      <c r="BH659" s="67"/>
      <c r="BI659" s="67"/>
      <c r="BJ659" s="67"/>
      <c r="BK659" s="67"/>
      <c r="BL659" s="67"/>
      <c r="BM659" s="67"/>
      <c r="BN659" s="67"/>
      <c r="BO659" s="67"/>
      <c r="BP659" s="67"/>
      <c r="BQ659" s="67"/>
      <c r="BR659" s="67"/>
    </row>
    <row r="660" spans="3:70" ht="15" customHeight="1" x14ac:dyDescent="0.2">
      <c r="C660" s="4"/>
      <c r="H660" s="80"/>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c r="AI660" s="67"/>
      <c r="AJ660" s="67"/>
      <c r="AK660" s="67"/>
      <c r="AL660" s="67"/>
      <c r="AM660" s="81"/>
      <c r="AN660" s="67"/>
      <c r="AO660" s="67"/>
      <c r="AP660" s="67"/>
      <c r="AQ660" s="67"/>
      <c r="AR660" s="67"/>
      <c r="AS660" s="67"/>
      <c r="AT660" s="67"/>
      <c r="AU660" s="67"/>
      <c r="AV660" s="67"/>
      <c r="AW660" s="67"/>
      <c r="AX660" s="67"/>
      <c r="AY660" s="67"/>
      <c r="AZ660" s="67"/>
      <c r="BA660" s="67"/>
      <c r="BB660" s="67"/>
      <c r="BC660" s="67"/>
      <c r="BD660" s="67"/>
      <c r="BE660" s="67"/>
      <c r="BF660" s="67"/>
      <c r="BG660" s="67"/>
      <c r="BH660" s="67"/>
      <c r="BI660" s="67"/>
      <c r="BJ660" s="67"/>
      <c r="BK660" s="67"/>
      <c r="BL660" s="67"/>
      <c r="BM660" s="67"/>
      <c r="BN660" s="67"/>
      <c r="BO660" s="67"/>
      <c r="BP660" s="67"/>
      <c r="BQ660" s="67"/>
      <c r="BR660" s="67"/>
    </row>
    <row r="661" spans="3:70" ht="15" customHeight="1" x14ac:dyDescent="0.2">
      <c r="C661" s="4"/>
      <c r="H661" s="80"/>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c r="AI661" s="67"/>
      <c r="AJ661" s="67"/>
      <c r="AK661" s="67"/>
      <c r="AL661" s="67"/>
      <c r="AM661" s="81"/>
      <c r="AN661" s="67"/>
      <c r="AO661" s="67"/>
      <c r="AP661" s="67"/>
      <c r="AQ661" s="67"/>
      <c r="AR661" s="67"/>
      <c r="AS661" s="67"/>
      <c r="AT661" s="67"/>
      <c r="AU661" s="67"/>
      <c r="AV661" s="67"/>
      <c r="AW661" s="67"/>
      <c r="AX661" s="67"/>
      <c r="AY661" s="67"/>
      <c r="AZ661" s="67"/>
      <c r="BA661" s="67"/>
      <c r="BB661" s="67"/>
      <c r="BC661" s="67"/>
      <c r="BD661" s="67"/>
      <c r="BE661" s="67"/>
      <c r="BF661" s="67"/>
      <c r="BG661" s="67"/>
      <c r="BH661" s="67"/>
      <c r="BI661" s="67"/>
      <c r="BJ661" s="67"/>
      <c r="BK661" s="67"/>
      <c r="BL661" s="67"/>
      <c r="BM661" s="67"/>
      <c r="BN661" s="67"/>
      <c r="BO661" s="67"/>
      <c r="BP661" s="67"/>
      <c r="BQ661" s="67"/>
      <c r="BR661" s="67"/>
    </row>
    <row r="662" spans="3:70" ht="15" customHeight="1" x14ac:dyDescent="0.2">
      <c r="C662" s="4"/>
      <c r="H662" s="80"/>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c r="AI662" s="67"/>
      <c r="AJ662" s="67"/>
      <c r="AK662" s="67"/>
      <c r="AL662" s="67"/>
      <c r="AM662" s="81"/>
      <c r="AN662" s="67"/>
      <c r="AO662" s="67"/>
      <c r="AP662" s="67"/>
      <c r="AQ662" s="67"/>
      <c r="AR662" s="67"/>
      <c r="AS662" s="67"/>
      <c r="AT662" s="67"/>
      <c r="AU662" s="67"/>
      <c r="AV662" s="67"/>
      <c r="AW662" s="67"/>
      <c r="AX662" s="67"/>
      <c r="AY662" s="67"/>
      <c r="AZ662" s="67"/>
      <c r="BA662" s="67"/>
      <c r="BB662" s="67"/>
      <c r="BC662" s="67"/>
      <c r="BD662" s="67"/>
      <c r="BE662" s="67"/>
      <c r="BF662" s="67"/>
      <c r="BG662" s="67"/>
      <c r="BH662" s="67"/>
      <c r="BI662" s="67"/>
      <c r="BJ662" s="67"/>
      <c r="BK662" s="67"/>
      <c r="BL662" s="67"/>
      <c r="BM662" s="67"/>
      <c r="BN662" s="67"/>
      <c r="BO662" s="67"/>
      <c r="BP662" s="67"/>
      <c r="BQ662" s="67"/>
      <c r="BR662" s="67"/>
    </row>
    <row r="663" spans="3:70" ht="15" customHeight="1" x14ac:dyDescent="0.2">
      <c r="C663" s="4"/>
      <c r="H663" s="80"/>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c r="AI663" s="67"/>
      <c r="AJ663" s="67"/>
      <c r="AK663" s="67"/>
      <c r="AL663" s="67"/>
      <c r="AM663" s="81"/>
      <c r="AN663" s="67"/>
      <c r="AO663" s="67"/>
      <c r="AP663" s="67"/>
      <c r="AQ663" s="67"/>
      <c r="AR663" s="67"/>
      <c r="AS663" s="67"/>
      <c r="AT663" s="67"/>
      <c r="AU663" s="67"/>
      <c r="AV663" s="67"/>
      <c r="AW663" s="67"/>
      <c r="AX663" s="67"/>
      <c r="AY663" s="67"/>
      <c r="AZ663" s="67"/>
      <c r="BA663" s="67"/>
      <c r="BB663" s="67"/>
      <c r="BC663" s="67"/>
      <c r="BD663" s="67"/>
      <c r="BE663" s="67"/>
      <c r="BF663" s="67"/>
      <c r="BG663" s="67"/>
      <c r="BH663" s="67"/>
      <c r="BI663" s="67"/>
      <c r="BJ663" s="67"/>
      <c r="BK663" s="67"/>
      <c r="BL663" s="67"/>
      <c r="BM663" s="67"/>
      <c r="BN663" s="67"/>
      <c r="BO663" s="67"/>
      <c r="BP663" s="67"/>
      <c r="BQ663" s="67"/>
      <c r="BR663" s="67"/>
    </row>
    <row r="664" spans="3:70" ht="15" customHeight="1" x14ac:dyDescent="0.2">
      <c r="C664" s="4"/>
      <c r="H664" s="80"/>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c r="AI664" s="67"/>
      <c r="AJ664" s="67"/>
      <c r="AK664" s="67"/>
      <c r="AL664" s="67"/>
      <c r="AM664" s="81"/>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row>
    <row r="665" spans="3:70" ht="15" customHeight="1" x14ac:dyDescent="0.2">
      <c r="C665" s="4"/>
      <c r="H665" s="71"/>
      <c r="AM665" s="72"/>
      <c r="AN665" s="67"/>
      <c r="AO665" s="67"/>
      <c r="AP665" s="67"/>
      <c r="AQ665" s="67"/>
      <c r="AR665" s="67"/>
      <c r="AS665" s="67"/>
      <c r="AT665" s="67"/>
      <c r="AU665" s="67"/>
      <c r="AV665" s="67"/>
      <c r="AW665" s="67"/>
      <c r="AX665" s="67"/>
      <c r="AY665" s="67"/>
      <c r="AZ665" s="67"/>
      <c r="BA665" s="67"/>
      <c r="BB665" s="67"/>
      <c r="BC665" s="67"/>
      <c r="BD665" s="67"/>
      <c r="BE665" s="67"/>
      <c r="BF665" s="67"/>
      <c r="BG665" s="67"/>
      <c r="BH665" s="67"/>
      <c r="BI665" s="67"/>
      <c r="BJ665" s="67"/>
      <c r="BK665" s="67"/>
      <c r="BL665" s="67"/>
      <c r="BM665" s="67"/>
      <c r="BN665" s="67"/>
      <c r="BO665" s="67"/>
      <c r="BP665" s="67"/>
      <c r="BQ665" s="67"/>
      <c r="BR665" s="67"/>
    </row>
    <row r="666" spans="3:70" ht="15" customHeight="1" x14ac:dyDescent="0.2">
      <c r="C666" s="4"/>
      <c r="H666" s="186" t="str">
        <f>"Figure "&amp;Inputs!$B$3&amp;"-12:  Strut-and-Tie Model for Bottom Slab"</f>
        <v>Figure C.1-12:  Strut-and-Tie Model for Bottom Slab</v>
      </c>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235"/>
      <c r="AN666" s="67"/>
      <c r="AO666" s="67"/>
      <c r="AP666" s="67"/>
      <c r="AQ666" s="67"/>
      <c r="AR666" s="67"/>
      <c r="AS666" s="67"/>
      <c r="AT666" s="67"/>
      <c r="AU666" s="67"/>
      <c r="AV666" s="67"/>
      <c r="AW666" s="67"/>
      <c r="AX666" s="67"/>
      <c r="AY666" s="67"/>
      <c r="AZ666" s="67"/>
      <c r="BA666" s="67"/>
      <c r="BB666" s="67"/>
      <c r="BC666" s="67"/>
      <c r="BD666" s="67"/>
      <c r="BE666" s="67"/>
      <c r="BF666" s="67"/>
      <c r="BG666" s="67"/>
      <c r="BH666" s="67"/>
      <c r="BI666" s="67"/>
      <c r="BJ666" s="67"/>
      <c r="BK666" s="67"/>
      <c r="BL666" s="67"/>
      <c r="BM666" s="67"/>
      <c r="BN666" s="67"/>
      <c r="BO666" s="67"/>
      <c r="BP666" s="67"/>
      <c r="BQ666" s="67"/>
      <c r="BR666" s="67"/>
    </row>
    <row r="667" spans="3:70" ht="15" customHeight="1" x14ac:dyDescent="0.2">
      <c r="C667" s="4"/>
      <c r="AN667" s="67"/>
      <c r="AO667" s="67"/>
      <c r="AP667" s="67"/>
      <c r="AQ667" s="67"/>
      <c r="AR667" s="67"/>
      <c r="AS667" s="67"/>
      <c r="AT667" s="67"/>
      <c r="AU667" s="67"/>
      <c r="AV667" s="67"/>
      <c r="AW667" s="67"/>
      <c r="AX667" s="67"/>
      <c r="AY667" s="67"/>
      <c r="AZ667" s="67"/>
      <c r="BA667" s="67"/>
      <c r="BB667" s="67"/>
      <c r="BC667" s="67"/>
      <c r="BD667" s="67"/>
      <c r="BE667" s="67"/>
      <c r="BF667" s="67"/>
      <c r="BG667" s="67"/>
      <c r="BH667" s="67"/>
      <c r="BI667" s="67"/>
      <c r="BJ667" s="67"/>
      <c r="BK667" s="67"/>
      <c r="BL667" s="67"/>
      <c r="BM667" s="67"/>
      <c r="BN667" s="67"/>
      <c r="BO667" s="67"/>
      <c r="BP667" s="67"/>
      <c r="BQ667" s="67"/>
      <c r="BR667" s="67"/>
    </row>
    <row r="668" spans="3:70" ht="15" customHeight="1" x14ac:dyDescent="0.2">
      <c r="C668" s="4"/>
      <c r="G668" s="139" t="s">
        <v>216</v>
      </c>
      <c r="H668" s="139"/>
      <c r="I668" s="139"/>
      <c r="J668" s="139"/>
      <c r="K668" s="139"/>
      <c r="L668" s="139"/>
      <c r="M668" s="139"/>
      <c r="N668" s="139"/>
      <c r="O668" s="139"/>
      <c r="P668" s="139"/>
      <c r="Q668" s="139"/>
      <c r="R668" s="139"/>
      <c r="S668" s="139"/>
      <c r="T668" s="139"/>
      <c r="U668" s="139"/>
      <c r="V668" s="139"/>
      <c r="W668" s="139"/>
      <c r="X668" s="139"/>
      <c r="Y668" s="139"/>
      <c r="Z668" s="139"/>
      <c r="AA668" s="139"/>
      <c r="AB668" s="139"/>
      <c r="AC668" s="139"/>
      <c r="AD668" s="139"/>
      <c r="AE668" s="139"/>
      <c r="AF668" s="139"/>
      <c r="AG668" s="139"/>
      <c r="AH668" s="139"/>
      <c r="AI668" s="139"/>
      <c r="AJ668" s="139"/>
      <c r="AK668" s="139"/>
      <c r="AL668" s="139"/>
      <c r="AM668" s="139"/>
      <c r="AN668" s="139"/>
      <c r="AO668" s="139"/>
      <c r="AP668" s="139"/>
      <c r="AQ668" s="139"/>
      <c r="AR668" s="139"/>
      <c r="AS668" s="139"/>
      <c r="AT668" s="139"/>
      <c r="AU668" s="139"/>
      <c r="AV668" s="139"/>
      <c r="AW668" s="139"/>
      <c r="AX668" s="139"/>
      <c r="AY668" s="139"/>
      <c r="AZ668" s="139"/>
      <c r="BA668" s="139"/>
      <c r="BB668" s="139"/>
      <c r="BC668" s="139"/>
      <c r="BD668" s="139"/>
      <c r="BE668" s="139"/>
      <c r="BF668" s="139"/>
      <c r="BG668" s="139"/>
      <c r="BH668" s="139"/>
      <c r="BI668" s="139"/>
      <c r="BJ668" s="139"/>
      <c r="BK668" s="139"/>
      <c r="BL668" s="139"/>
      <c r="BM668" s="139"/>
      <c r="BN668" s="139"/>
      <c r="BO668" s="139"/>
      <c r="BP668" s="139"/>
      <c r="BQ668" s="139"/>
      <c r="BR668" s="139"/>
    </row>
    <row r="669" spans="3:70" ht="15" customHeight="1" x14ac:dyDescent="0.2">
      <c r="C669" s="4"/>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row>
    <row r="670" spans="3:70" ht="15" customHeight="1" x14ac:dyDescent="0.25">
      <c r="C670" s="4"/>
      <c r="W670" s="13" t="s">
        <v>278</v>
      </c>
      <c r="X670" s="143">
        <f>X367/(N.web+2)</f>
        <v>2554.3386319966799</v>
      </c>
      <c r="Y670" s="143"/>
      <c r="Z670" s="143"/>
      <c r="AA670" s="143"/>
      <c r="AB670" s="143"/>
      <c r="AM670" s="31"/>
      <c r="AN670" s="31"/>
      <c r="AO670" s="31"/>
      <c r="AP670" s="31"/>
      <c r="AQ670" s="31"/>
      <c r="AR670" s="31"/>
      <c r="AS670" s="31"/>
      <c r="AT670" s="31"/>
      <c r="AU670" s="31"/>
      <c r="AV670" s="31"/>
      <c r="AW670" s="31"/>
      <c r="AX670" s="31"/>
      <c r="AY670" s="31"/>
      <c r="AZ670" s="31"/>
      <c r="BA670" s="31"/>
      <c r="BB670" s="31"/>
      <c r="BC670" s="31"/>
      <c r="BD670" s="31"/>
      <c r="BE670" s="31"/>
    </row>
    <row r="671" spans="3:70" ht="15" customHeight="1" x14ac:dyDescent="0.2">
      <c r="C671" s="4"/>
      <c r="W671" s="12" t="s">
        <v>117</v>
      </c>
      <c r="X671" s="144">
        <f>$X$676+($P$734+$P$733)+$P$735/2</f>
        <v>3.2054611990409247</v>
      </c>
      <c r="Y671" s="144"/>
      <c r="Z671" s="144"/>
      <c r="AA671" s="144"/>
      <c r="AB671" s="144"/>
      <c r="AM671" s="31"/>
      <c r="AN671" s="31"/>
      <c r="AO671" s="31"/>
      <c r="AP671" s="31"/>
      <c r="AQ671" s="31"/>
      <c r="AR671" s="31"/>
      <c r="AS671" s="31"/>
      <c r="AT671" s="31"/>
      <c r="AU671" s="31"/>
      <c r="AV671" s="31"/>
      <c r="AW671" s="31"/>
      <c r="AX671" s="31"/>
      <c r="AY671" s="31"/>
      <c r="AZ671" s="31"/>
      <c r="BA671" s="31"/>
      <c r="BB671" s="31"/>
      <c r="BC671" s="31"/>
      <c r="BD671" s="31"/>
      <c r="BE671" s="31"/>
    </row>
    <row r="672" spans="3:70" ht="15" customHeight="1" x14ac:dyDescent="0.25">
      <c r="C672" s="4"/>
      <c r="W672" s="12" t="s">
        <v>162</v>
      </c>
      <c r="X672" s="168">
        <f>2*X670/X671</f>
        <v>1593.7417260024479</v>
      </c>
      <c r="Y672" s="168"/>
      <c r="Z672" s="168"/>
      <c r="AA672" s="168"/>
      <c r="AB672" s="168"/>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row>
    <row r="673" spans="3:70" ht="15" customHeight="1" x14ac:dyDescent="0.25">
      <c r="C673" s="4"/>
      <c r="W673" s="12" t="s">
        <v>161</v>
      </c>
      <c r="X673" s="168">
        <f>X670/L.Gz</f>
        <v>1081.3388502229616</v>
      </c>
      <c r="Y673" s="168"/>
      <c r="Z673" s="168"/>
      <c r="AA673" s="168"/>
      <c r="AB673" s="168"/>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row>
    <row r="674" spans="3:70" ht="15" customHeight="1" x14ac:dyDescent="0.25">
      <c r="C674" s="4"/>
      <c r="W674" s="12" t="s">
        <v>143</v>
      </c>
      <c r="X674" s="169">
        <f>Inputs!B56</f>
        <v>0.40843199999999996</v>
      </c>
      <c r="Y674" s="169"/>
      <c r="Z674" s="169"/>
      <c r="AA674" s="169"/>
      <c r="AB674" s="169"/>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row>
    <row r="675" spans="3:70" ht="15" customHeight="1" x14ac:dyDescent="0.25">
      <c r="C675" s="4"/>
      <c r="W675" s="12" t="s">
        <v>214</v>
      </c>
      <c r="X675" s="144">
        <f>(Hw.ext/COS(RADIANS(β)))/2-H.bs/2*TAN(RADIANS(β))</f>
        <v>0.18946737347842693</v>
      </c>
      <c r="Y675" s="144"/>
      <c r="Z675" s="144"/>
      <c r="AA675" s="144"/>
      <c r="AB675" s="144"/>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row>
    <row r="676" spans="3:70" ht="15" customHeight="1" x14ac:dyDescent="0.25">
      <c r="C676" s="4"/>
      <c r="W676" s="12" t="s">
        <v>215</v>
      </c>
      <c r="X676" s="144">
        <f>H.bs/2*TAN(RADIANS(β))</f>
        <v>3.0477825562497667E-2</v>
      </c>
      <c r="Y676" s="144"/>
      <c r="Z676" s="144"/>
      <c r="AA676" s="144"/>
      <c r="AB676" s="144"/>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row>
    <row r="677" spans="3:70" ht="15" customHeight="1" x14ac:dyDescent="0.25">
      <c r="C677" s="4"/>
      <c r="W677" s="12" t="s">
        <v>279</v>
      </c>
      <c r="X677" s="144">
        <f>(Hw.ext/COS(RADIANS(β)))/2</f>
        <v>0.2199451990409246</v>
      </c>
      <c r="Y677" s="144"/>
      <c r="Z677" s="144"/>
      <c r="AA677" s="144"/>
      <c r="AB677" s="144"/>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row>
    <row r="678" spans="3:70" ht="15" customHeight="1" x14ac:dyDescent="0.2">
      <c r="C678" s="4"/>
      <c r="W678" s="12"/>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row>
    <row r="679" spans="3:70" ht="15" customHeight="1" x14ac:dyDescent="0.2">
      <c r="C679" s="4"/>
      <c r="W679" s="12"/>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row>
    <row r="680" spans="3:70" ht="15" customHeight="1" x14ac:dyDescent="0.2">
      <c r="C680" s="4"/>
      <c r="G680" s="139" t="s">
        <v>160</v>
      </c>
      <c r="H680" s="139"/>
      <c r="I680" s="139"/>
      <c r="J680" s="139"/>
      <c r="K680" s="139"/>
      <c r="L680" s="139"/>
      <c r="M680" s="139"/>
      <c r="N680" s="139"/>
      <c r="O680" s="139"/>
      <c r="P680" s="139"/>
      <c r="Q680" s="139"/>
      <c r="R680" s="139"/>
      <c r="S680" s="139"/>
      <c r="T680" s="139"/>
      <c r="U680" s="139"/>
      <c r="V680" s="139"/>
      <c r="W680" s="139"/>
      <c r="X680" s="139"/>
      <c r="Y680" s="139"/>
      <c r="Z680" s="139"/>
      <c r="AA680" s="139"/>
      <c r="AB680" s="139"/>
      <c r="AC680" s="139"/>
      <c r="AD680" s="139"/>
      <c r="AE680" s="139"/>
      <c r="AF680" s="139"/>
      <c r="AG680" s="139"/>
      <c r="AH680" s="139"/>
      <c r="AI680" s="139"/>
      <c r="AJ680" s="139"/>
      <c r="AK680" s="139"/>
      <c r="AL680" s="139"/>
      <c r="AM680" s="139"/>
      <c r="AN680" s="139"/>
      <c r="AO680" s="139"/>
      <c r="AP680" s="139"/>
      <c r="AQ680" s="139"/>
      <c r="AR680" s="139"/>
      <c r="AS680" s="139"/>
      <c r="AT680" s="139"/>
      <c r="AU680" s="139"/>
      <c r="AV680" s="139"/>
      <c r="AW680" s="139"/>
      <c r="AX680" s="139"/>
      <c r="AY680" s="139"/>
      <c r="AZ680" s="139"/>
      <c r="BA680" s="139"/>
      <c r="BB680" s="139"/>
      <c r="BC680" s="139"/>
      <c r="BD680" s="139"/>
      <c r="BE680" s="139"/>
      <c r="BF680" s="139"/>
      <c r="BG680" s="139"/>
      <c r="BH680" s="139"/>
      <c r="BI680" s="139"/>
      <c r="BJ680" s="139"/>
      <c r="BK680" s="139"/>
      <c r="BL680" s="139"/>
      <c r="BM680" s="139"/>
      <c r="BN680" s="139"/>
      <c r="BO680" s="139"/>
      <c r="BP680" s="139"/>
      <c r="BQ680" s="139"/>
      <c r="BR680" s="139"/>
    </row>
    <row r="681" spans="3:70" ht="15" customHeight="1" x14ac:dyDescent="0.2">
      <c r="C681" s="4"/>
      <c r="W681" s="12"/>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row>
    <row r="682" spans="3:70" ht="15" customHeight="1" x14ac:dyDescent="0.2">
      <c r="C682" s="4"/>
      <c r="W682" s="12"/>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row>
    <row r="683" spans="3:70" ht="15" customHeight="1" x14ac:dyDescent="0.2">
      <c r="C683" s="4"/>
      <c r="W683" s="12"/>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row>
    <row r="684" spans="3:70" ht="15" customHeight="1" x14ac:dyDescent="0.2">
      <c r="C684" s="4"/>
      <c r="W684" s="12"/>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row>
    <row r="685" spans="3:70" ht="15" customHeight="1" x14ac:dyDescent="0.25">
      <c r="C685" s="4"/>
      <c r="W685" s="12" t="s">
        <v>377</v>
      </c>
      <c r="X685" s="144">
        <f>-(X672*(P735/2)*(L.Gz*3/4)+X673*(P735/2)*(L.Gz*1/4))/AC734</f>
        <v>1.2942179079168337</v>
      </c>
      <c r="Y685" s="144"/>
      <c r="Z685" s="144"/>
      <c r="AA685" s="144"/>
      <c r="AB685" s="144"/>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row>
    <row r="686" spans="3:70" ht="15" customHeight="1" x14ac:dyDescent="0.2">
      <c r="C686" s="4"/>
      <c r="W686" s="12"/>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row>
    <row r="687" spans="3:70" ht="15" customHeight="1" x14ac:dyDescent="0.2">
      <c r="C687" s="4"/>
      <c r="W687" s="12"/>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row>
    <row r="688" spans="3:70" ht="15" customHeight="1" x14ac:dyDescent="0.2">
      <c r="C688" s="4"/>
      <c r="G688" s="139" t="s">
        <v>217</v>
      </c>
      <c r="H688" s="139"/>
      <c r="I688" s="139"/>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c r="AK688" s="139"/>
      <c r="AL688" s="139"/>
      <c r="AM688" s="139"/>
      <c r="AN688" s="139"/>
      <c r="AO688" s="139"/>
      <c r="AP688" s="139"/>
      <c r="AQ688" s="139"/>
      <c r="AR688" s="139"/>
      <c r="AS688" s="139"/>
      <c r="AT688" s="139"/>
      <c r="AU688" s="139"/>
      <c r="AV688" s="139"/>
      <c r="AW688" s="139"/>
      <c r="AX688" s="139"/>
      <c r="AY688" s="139"/>
      <c r="AZ688" s="139"/>
      <c r="BA688" s="139"/>
      <c r="BB688" s="139"/>
      <c r="BC688" s="139"/>
      <c r="BD688" s="139"/>
      <c r="BE688" s="139"/>
      <c r="BF688" s="139"/>
      <c r="BG688" s="139"/>
      <c r="BH688" s="139"/>
      <c r="BI688" s="139"/>
      <c r="BJ688" s="139"/>
      <c r="BK688" s="139"/>
      <c r="BL688" s="139"/>
      <c r="BM688" s="139"/>
      <c r="BN688" s="139"/>
      <c r="BO688" s="139"/>
      <c r="BP688" s="139"/>
      <c r="BQ688" s="139"/>
      <c r="BR688" s="139"/>
    </row>
    <row r="689" spans="3:70" ht="15" customHeight="1" x14ac:dyDescent="0.2">
      <c r="C689" s="4"/>
      <c r="W689" s="12"/>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row>
    <row r="690" spans="3:70" ht="15" customHeight="1" x14ac:dyDescent="0.2">
      <c r="C690" s="4"/>
      <c r="I690" s="139" t="s">
        <v>218</v>
      </c>
      <c r="J690" s="139"/>
      <c r="K690" s="139"/>
      <c r="L690" s="139"/>
      <c r="M690" s="139"/>
      <c r="N690" s="139"/>
      <c r="O690" s="139"/>
      <c r="P690" s="139"/>
      <c r="Q690" s="139"/>
      <c r="R690" s="139"/>
      <c r="S690" s="139"/>
      <c r="T690" s="139"/>
      <c r="U690" s="139"/>
      <c r="V690" s="139"/>
      <c r="W690" s="139"/>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row>
    <row r="691" spans="3:70" ht="15" customHeight="1" x14ac:dyDescent="0.2">
      <c r="C691" s="4"/>
      <c r="I691" s="139"/>
      <c r="J691" s="139"/>
      <c r="K691" s="139"/>
      <c r="L691" s="139"/>
      <c r="M691" s="139"/>
      <c r="N691" s="139"/>
      <c r="O691" s="139"/>
      <c r="P691" s="139"/>
      <c r="Q691" s="139"/>
      <c r="R691" s="139"/>
      <c r="S691" s="139"/>
      <c r="T691" s="139"/>
      <c r="U691" s="139"/>
      <c r="V691" s="139"/>
      <c r="W691" s="139"/>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row>
    <row r="692" spans="3:70" ht="15" customHeight="1" x14ac:dyDescent="0.2">
      <c r="C692" s="4"/>
      <c r="I692" s="139" t="s">
        <v>218</v>
      </c>
      <c r="J692" s="139"/>
      <c r="K692" s="139"/>
      <c r="L692" s="139"/>
      <c r="M692" s="139"/>
      <c r="N692" s="139"/>
      <c r="O692" s="139"/>
      <c r="P692" s="139"/>
      <c r="Q692" s="139"/>
      <c r="R692" s="139"/>
      <c r="S692" s="139"/>
      <c r="T692" s="139"/>
      <c r="U692" s="139"/>
      <c r="V692" s="139"/>
      <c r="W692" s="139"/>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row>
    <row r="693" spans="3:70" ht="15" customHeight="1" x14ac:dyDescent="0.2">
      <c r="C693" s="4"/>
      <c r="I693" s="139"/>
      <c r="J693" s="139"/>
      <c r="K693" s="139"/>
      <c r="L693" s="139"/>
      <c r="M693" s="139"/>
      <c r="N693" s="139"/>
      <c r="O693" s="139"/>
      <c r="P693" s="139"/>
      <c r="Q693" s="139"/>
      <c r="R693" s="139"/>
      <c r="S693" s="139"/>
      <c r="T693" s="139"/>
      <c r="U693" s="139"/>
      <c r="V693" s="139"/>
      <c r="W693" s="139"/>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row>
    <row r="694" spans="3:70" ht="15" customHeight="1" x14ac:dyDescent="0.2">
      <c r="C694" s="4"/>
      <c r="I694" s="139" t="s">
        <v>219</v>
      </c>
      <c r="J694" s="139"/>
      <c r="K694" s="139"/>
      <c r="L694" s="139"/>
      <c r="M694" s="139"/>
      <c r="N694" s="139"/>
      <c r="O694" s="139"/>
      <c r="P694" s="139"/>
      <c r="Q694" s="139"/>
      <c r="R694" s="139"/>
      <c r="S694" s="139"/>
      <c r="T694" s="139"/>
      <c r="U694" s="139"/>
      <c r="V694" s="139"/>
      <c r="W694" s="139"/>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row>
    <row r="695" spans="3:70" ht="15" customHeight="1" x14ac:dyDescent="0.2">
      <c r="C695" s="4"/>
      <c r="I695" s="139"/>
      <c r="J695" s="139"/>
      <c r="K695" s="139"/>
      <c r="L695" s="139"/>
      <c r="M695" s="139"/>
      <c r="N695" s="139"/>
      <c r="O695" s="139"/>
      <c r="P695" s="139"/>
      <c r="Q695" s="139"/>
      <c r="R695" s="139"/>
      <c r="S695" s="139"/>
      <c r="T695" s="139"/>
      <c r="U695" s="139"/>
      <c r="V695" s="139"/>
      <c r="W695" s="139"/>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row>
    <row r="696" spans="3:70" ht="15" customHeight="1" x14ac:dyDescent="0.2">
      <c r="C696" s="4"/>
      <c r="I696" s="139" t="s">
        <v>219</v>
      </c>
      <c r="J696" s="139"/>
      <c r="K696" s="139"/>
      <c r="L696" s="139"/>
      <c r="M696" s="139"/>
      <c r="N696" s="139"/>
      <c r="O696" s="139"/>
      <c r="P696" s="139"/>
      <c r="Q696" s="139"/>
      <c r="R696" s="139"/>
      <c r="S696" s="139"/>
      <c r="T696" s="139"/>
      <c r="U696" s="139"/>
      <c r="V696" s="139"/>
      <c r="W696" s="139"/>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row>
    <row r="697" spans="3:70" ht="15" customHeight="1" x14ac:dyDescent="0.2">
      <c r="C697" s="4"/>
      <c r="U697" s="12"/>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row>
    <row r="698" spans="3:70" ht="15" customHeight="1" x14ac:dyDescent="0.2">
      <c r="C698" s="4"/>
      <c r="I698" s="152" t="s">
        <v>220</v>
      </c>
      <c r="J698" s="152"/>
      <c r="K698" s="152"/>
      <c r="L698" s="152"/>
      <c r="M698" s="152"/>
      <c r="N698" s="152"/>
      <c r="O698" s="152"/>
      <c r="P698" s="152"/>
      <c r="Q698" s="152"/>
      <c r="R698" s="152"/>
      <c r="S698" s="152"/>
      <c r="T698" s="152"/>
      <c r="U698" s="152"/>
      <c r="V698" s="152"/>
      <c r="W698" s="152"/>
      <c r="X698" s="152"/>
      <c r="Y698" s="152"/>
      <c r="Z698" s="152"/>
      <c r="AA698" s="152"/>
      <c r="AB698" s="152"/>
      <c r="AC698" s="152"/>
      <c r="AD698" s="152"/>
      <c r="AE698" s="152"/>
      <c r="AF698" s="152"/>
      <c r="AG698" s="152"/>
      <c r="AH698" s="152"/>
      <c r="AI698" s="152"/>
      <c r="AJ698" s="152"/>
      <c r="AK698" s="152"/>
      <c r="AL698" s="152"/>
      <c r="AM698" s="152"/>
      <c r="AN698" s="152"/>
      <c r="AO698" s="152"/>
      <c r="AP698" s="152"/>
      <c r="AQ698" s="152"/>
      <c r="AR698" s="152"/>
      <c r="AS698" s="152"/>
      <c r="AT698" s="152"/>
      <c r="AU698" s="152"/>
      <c r="AV698" s="152"/>
      <c r="AW698" s="152"/>
      <c r="AX698" s="152"/>
      <c r="AY698" s="152"/>
      <c r="AZ698" s="152"/>
      <c r="BA698" s="152"/>
      <c r="BB698" s="152"/>
      <c r="BC698" s="152"/>
      <c r="BD698" s="152"/>
      <c r="BE698" s="152"/>
      <c r="BF698" s="152"/>
      <c r="BG698" s="152"/>
      <c r="BH698" s="152"/>
      <c r="BI698" s="152"/>
      <c r="BJ698" s="152"/>
      <c r="BK698" s="152"/>
      <c r="BL698" s="152"/>
      <c r="BM698" s="152"/>
      <c r="BN698" s="152"/>
      <c r="BO698" s="152"/>
      <c r="BP698" s="152"/>
      <c r="BQ698" s="152"/>
      <c r="BR698" s="152"/>
    </row>
    <row r="699" spans="3:70" ht="15" customHeight="1" x14ac:dyDescent="0.2">
      <c r="C699" s="4"/>
      <c r="U699" s="13"/>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row>
    <row r="700" spans="3:70" ht="15" customHeight="1" x14ac:dyDescent="0.2">
      <c r="C700" s="4"/>
      <c r="U700" s="13"/>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row>
    <row r="701" spans="3:70" ht="15" customHeight="1" x14ac:dyDescent="0.2">
      <c r="C701" s="4"/>
      <c r="U701" s="13"/>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row>
    <row r="702" spans="3:70" ht="15" customHeight="1" x14ac:dyDescent="0.2">
      <c r="C702" s="4"/>
      <c r="U702" s="13"/>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row>
    <row r="703" spans="3:70" ht="15" customHeight="1" x14ac:dyDescent="0.2">
      <c r="C703" s="4"/>
      <c r="U703" s="13"/>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row>
    <row r="704" spans="3:70" ht="15" customHeight="1" x14ac:dyDescent="0.2">
      <c r="C704" s="4"/>
      <c r="U704" s="13"/>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row>
    <row r="705" spans="3:70" ht="15" customHeight="1" x14ac:dyDescent="0.2">
      <c r="C705" s="4"/>
      <c r="U705" s="13"/>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row>
    <row r="706" spans="3:70" ht="15" customHeight="1" x14ac:dyDescent="0.2">
      <c r="C706" s="4"/>
      <c r="U706" s="13"/>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row>
    <row r="707" spans="3:70" ht="15" customHeight="1" x14ac:dyDescent="0.2">
      <c r="C707" s="4"/>
      <c r="U707" s="13"/>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row>
    <row r="708" spans="3:70" ht="15" customHeight="1" x14ac:dyDescent="0.2">
      <c r="C708" s="4"/>
      <c r="U708" s="13"/>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row>
    <row r="709" spans="3:70" ht="15" customHeight="1" x14ac:dyDescent="0.2">
      <c r="C709" s="4"/>
      <c r="U709" s="13"/>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row>
    <row r="710" spans="3:70" ht="15" customHeight="1" x14ac:dyDescent="0.2">
      <c r="C710" s="4"/>
      <c r="U710" s="13"/>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row>
    <row r="711" spans="3:70" ht="15" customHeight="1" x14ac:dyDescent="0.2">
      <c r="C711" s="4"/>
      <c r="U711" s="13"/>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row>
    <row r="712" spans="3:70" ht="15" customHeight="1" x14ac:dyDescent="0.2">
      <c r="C712" s="4"/>
      <c r="G712" s="159" t="s">
        <v>221</v>
      </c>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row>
    <row r="713" spans="3:70" ht="15" customHeight="1" x14ac:dyDescent="0.2">
      <c r="C713" s="4"/>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row>
    <row r="714" spans="3:70" ht="15" customHeight="1" x14ac:dyDescent="0.2">
      <c r="C714" s="4"/>
    </row>
    <row r="715" spans="3:70" ht="15" customHeight="1" x14ac:dyDescent="0.2">
      <c r="C715" s="4"/>
      <c r="P715" s="73"/>
      <c r="S715" s="73"/>
      <c r="T715" s="73"/>
      <c r="U715" s="73"/>
      <c r="V715" s="73"/>
      <c r="W715" s="73"/>
      <c r="X715" s="73"/>
      <c r="Y715" s="73"/>
      <c r="Z715" s="73"/>
      <c r="AA715" s="73"/>
      <c r="AB715" s="73"/>
      <c r="AC715" s="73"/>
      <c r="AD715" s="73"/>
      <c r="AE715" s="73"/>
      <c r="AF715" s="73"/>
      <c r="AG715" s="73"/>
      <c r="AH715" s="73"/>
      <c r="AI715" s="73"/>
      <c r="AJ715" s="73"/>
      <c r="AK715" s="69"/>
      <c r="AL715" s="69"/>
      <c r="AM715" s="69"/>
      <c r="AN715" s="69"/>
      <c r="AO715" s="69"/>
      <c r="AP715" s="69"/>
      <c r="AQ715" s="69"/>
      <c r="AR715" s="69"/>
      <c r="AS715" s="69"/>
      <c r="AT715" s="69"/>
      <c r="AU715" s="69"/>
      <c r="AV715" s="69"/>
      <c r="AW715" s="69"/>
      <c r="AX715" s="69"/>
      <c r="AY715" s="69"/>
      <c r="AZ715" s="69"/>
      <c r="BA715" s="70"/>
      <c r="BB715" s="69"/>
      <c r="BC715" s="69"/>
      <c r="BD715" s="69"/>
      <c r="BE715" s="69"/>
      <c r="BF715" s="69"/>
      <c r="BG715" s="69"/>
      <c r="BH715" s="69"/>
      <c r="BI715" s="69"/>
      <c r="BJ715" s="69"/>
      <c r="BK715" s="69"/>
      <c r="BL715" s="69"/>
      <c r="BM715" s="69"/>
      <c r="BN715" s="69"/>
      <c r="BO715" s="69"/>
      <c r="BP715" s="69"/>
      <c r="BQ715" s="69"/>
      <c r="BR715" s="70"/>
    </row>
    <row r="716" spans="3:70" ht="15" customHeight="1" x14ac:dyDescent="0.2">
      <c r="C716" s="4"/>
      <c r="BB716" s="71"/>
      <c r="BR716" s="72"/>
    </row>
    <row r="717" spans="3:70" ht="15" customHeight="1" x14ac:dyDescent="0.2">
      <c r="C717" s="4"/>
      <c r="R717" s="12"/>
      <c r="BB717" s="71"/>
      <c r="BR717" s="72"/>
    </row>
    <row r="718" spans="3:70" ht="15" customHeight="1" x14ac:dyDescent="0.2">
      <c r="C718" s="4"/>
      <c r="R718" s="12"/>
      <c r="BB718" s="71"/>
      <c r="BR718" s="72"/>
    </row>
    <row r="719" spans="3:70" ht="15" customHeight="1" x14ac:dyDescent="0.2">
      <c r="C719" s="4"/>
      <c r="R719" s="12"/>
      <c r="BB719" s="71"/>
      <c r="BR719" s="72"/>
    </row>
    <row r="720" spans="3:70" ht="15" customHeight="1" x14ac:dyDescent="0.25">
      <c r="C720" s="4"/>
      <c r="G720" s="139" t="s">
        <v>223</v>
      </c>
      <c r="H720" s="139"/>
      <c r="I720" s="139"/>
      <c r="J720" s="139"/>
      <c r="K720" s="139"/>
      <c r="L720" s="139"/>
      <c r="M720" s="139"/>
      <c r="N720" s="139"/>
      <c r="O720" s="139"/>
      <c r="P720" s="139"/>
      <c r="Q720" s="139"/>
      <c r="R720" s="139"/>
      <c r="S720" s="139"/>
      <c r="T720" s="139"/>
      <c r="U720" s="139"/>
      <c r="V720" s="139"/>
      <c r="W720" s="139"/>
      <c r="X720" s="139"/>
      <c r="Y720" s="139"/>
      <c r="Z720" s="139"/>
      <c r="AA720" s="139"/>
      <c r="AB720" s="139"/>
      <c r="AC720" s="139"/>
      <c r="AD720" s="139"/>
      <c r="AE720" s="139"/>
      <c r="AF720" s="139"/>
      <c r="AG720" s="139"/>
      <c r="AH720" s="139"/>
      <c r="AI720" s="139"/>
      <c r="AJ720" s="139"/>
      <c r="AK720" s="139"/>
      <c r="AL720" s="139"/>
      <c r="AM720" s="139"/>
      <c r="AN720" s="139"/>
      <c r="AO720" s="139"/>
      <c r="AP720" s="139"/>
      <c r="AQ720" s="139"/>
      <c r="AR720" s="139"/>
      <c r="AS720" s="139"/>
      <c r="AT720" s="139"/>
      <c r="AU720" s="139"/>
      <c r="AV720" s="139"/>
      <c r="AW720" s="139"/>
      <c r="AX720" s="139"/>
      <c r="BB720" s="71"/>
      <c r="BR720" s="72"/>
    </row>
    <row r="721" spans="3:70" ht="15" customHeight="1" x14ac:dyDescent="0.2">
      <c r="C721" s="4"/>
      <c r="R721" s="12"/>
      <c r="BB721" s="71"/>
      <c r="BR721" s="72"/>
    </row>
    <row r="722" spans="3:70" ht="15" customHeight="1" x14ac:dyDescent="0.2">
      <c r="C722" s="4"/>
      <c r="R722" s="12"/>
      <c r="X722" s="69"/>
      <c r="Y722" s="69"/>
      <c r="Z722" s="69"/>
      <c r="AA722" s="69"/>
      <c r="AB722" s="69"/>
      <c r="AC722" s="69"/>
      <c r="AD722" s="69"/>
      <c r="AE722" s="69"/>
      <c r="AF722" s="69"/>
      <c r="AG722" s="69"/>
      <c r="AH722" s="69"/>
      <c r="AI722" s="69"/>
      <c r="AJ722" s="69"/>
      <c r="AK722" s="69"/>
      <c r="AL722" s="69"/>
      <c r="AM722" s="75"/>
      <c r="BB722" s="71"/>
      <c r="BR722" s="72"/>
    </row>
    <row r="723" spans="3:70" ht="15" customHeight="1" x14ac:dyDescent="0.2">
      <c r="C723" s="4"/>
      <c r="R723" s="12"/>
      <c r="AN723" s="75"/>
      <c r="BB723" s="71"/>
      <c r="BR723" s="72"/>
    </row>
    <row r="724" spans="3:70" ht="15" customHeight="1" x14ac:dyDescent="0.2">
      <c r="C724" s="4"/>
      <c r="AO724" s="75"/>
      <c r="BB724" s="153" t="str">
        <f>"Figure "&amp;Inputs!$B$3&amp;"-10:  Free Body Diagram 
for Summing Forces at Joint 8"</f>
        <v>Figure C.1-10:  Free Body Diagram 
for Summing Forces at Joint 8</v>
      </c>
      <c r="BC724" s="154"/>
      <c r="BD724" s="154"/>
      <c r="BE724" s="154"/>
      <c r="BF724" s="154"/>
      <c r="BG724" s="154"/>
      <c r="BH724" s="154"/>
      <c r="BI724" s="154"/>
      <c r="BJ724" s="154"/>
      <c r="BK724" s="154"/>
      <c r="BL724" s="154"/>
      <c r="BM724" s="154"/>
      <c r="BN724" s="154"/>
      <c r="BO724" s="154"/>
      <c r="BP724" s="154"/>
      <c r="BQ724" s="154"/>
      <c r="BR724" s="155"/>
    </row>
    <row r="725" spans="3:70" ht="15" customHeight="1" x14ac:dyDescent="0.2">
      <c r="C725" s="4"/>
      <c r="AP725" s="75"/>
      <c r="BB725" s="156"/>
      <c r="BC725" s="157"/>
      <c r="BD725" s="157"/>
      <c r="BE725" s="157"/>
      <c r="BF725" s="157"/>
      <c r="BG725" s="157"/>
      <c r="BH725" s="157"/>
      <c r="BI725" s="157"/>
      <c r="BJ725" s="157"/>
      <c r="BK725" s="157"/>
      <c r="BL725" s="157"/>
      <c r="BM725" s="157"/>
      <c r="BN725" s="157"/>
      <c r="BO725" s="157"/>
      <c r="BP725" s="157"/>
      <c r="BQ725" s="157"/>
      <c r="BR725" s="158"/>
    </row>
    <row r="726" spans="3:70" ht="15" customHeight="1" x14ac:dyDescent="0.2">
      <c r="C726" s="4"/>
      <c r="AQ726" s="75"/>
    </row>
    <row r="727" spans="3:70" ht="15" customHeight="1" x14ac:dyDescent="0.2">
      <c r="C727" s="4"/>
      <c r="G727" s="139" t="s">
        <v>224</v>
      </c>
      <c r="H727" s="139"/>
      <c r="I727" s="139"/>
      <c r="J727" s="139"/>
      <c r="K727" s="139"/>
      <c r="L727" s="139"/>
      <c r="M727" s="139"/>
      <c r="N727" s="139"/>
      <c r="O727" s="139"/>
      <c r="P727" s="139"/>
      <c r="Q727" s="139"/>
      <c r="R727" s="139"/>
      <c r="S727" s="139"/>
      <c r="T727" s="139"/>
      <c r="U727" s="139"/>
      <c r="V727" s="139"/>
      <c r="W727" s="139"/>
      <c r="X727" s="139"/>
      <c r="Y727" s="139"/>
      <c r="Z727" s="139"/>
      <c r="AA727" s="139"/>
      <c r="AB727" s="139"/>
      <c r="AC727" s="139"/>
      <c r="AD727" s="139"/>
      <c r="AE727" s="139"/>
      <c r="AF727" s="139"/>
      <c r="AG727" s="139"/>
      <c r="AH727" s="139"/>
      <c r="AI727" s="139"/>
      <c r="AJ727" s="139"/>
      <c r="AK727" s="139"/>
      <c r="AL727" s="139"/>
      <c r="AM727" s="139"/>
      <c r="AR727" s="75"/>
    </row>
    <row r="728" spans="3:70" ht="15" customHeight="1" x14ac:dyDescent="0.2">
      <c r="C728" s="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1"/>
      <c r="AS728" s="75"/>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row>
    <row r="729" spans="3:70" ht="15" customHeight="1" x14ac:dyDescent="0.2">
      <c r="C729" s="4"/>
      <c r="AM729" s="31"/>
      <c r="AN729" s="31"/>
      <c r="AO729" s="31"/>
      <c r="AP729" s="31"/>
      <c r="AQ729" s="31"/>
      <c r="AR729" s="31"/>
      <c r="AS729" s="31"/>
      <c r="AT729" s="75"/>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row>
    <row r="730" spans="3:70" ht="15" customHeight="1" x14ac:dyDescent="0.2">
      <c r="C730" s="4"/>
      <c r="H730" s="119" t="s">
        <v>112</v>
      </c>
      <c r="I730" s="119"/>
      <c r="J730" s="115" t="s">
        <v>495</v>
      </c>
      <c r="K730" s="115"/>
      <c r="L730" s="115"/>
      <c r="M730" s="115" t="s">
        <v>496</v>
      </c>
      <c r="N730" s="115"/>
      <c r="O730" s="115"/>
      <c r="P730" s="115" t="s">
        <v>497</v>
      </c>
      <c r="Q730" s="115"/>
      <c r="R730" s="115"/>
      <c r="S730" s="119" t="s">
        <v>112</v>
      </c>
      <c r="T730" s="119"/>
      <c r="U730" s="115" t="s">
        <v>495</v>
      </c>
      <c r="V730" s="115"/>
      <c r="W730" s="115"/>
      <c r="X730" s="115" t="s">
        <v>496</v>
      </c>
      <c r="Y730" s="115"/>
      <c r="Z730" s="115"/>
      <c r="AA730" s="115" t="s">
        <v>175</v>
      </c>
      <c r="AB730" s="115"/>
      <c r="AC730" s="115" t="s">
        <v>498</v>
      </c>
      <c r="AD730" s="115"/>
      <c r="AE730" s="115"/>
      <c r="AF730" s="115" t="s">
        <v>175</v>
      </c>
      <c r="AG730" s="115"/>
      <c r="AH730" s="115" t="s">
        <v>499</v>
      </c>
      <c r="AI730" s="115"/>
      <c r="AJ730" s="115"/>
      <c r="AK730" s="115" t="s">
        <v>175</v>
      </c>
      <c r="AL730" s="115"/>
      <c r="AM730" s="115" t="s">
        <v>500</v>
      </c>
      <c r="AN730" s="115"/>
      <c r="AO730" s="115"/>
      <c r="AP730" s="115"/>
      <c r="AQ730" s="31"/>
      <c r="AR730" s="31"/>
      <c r="AS730" s="31"/>
      <c r="AT730" s="31"/>
      <c r="AU730" s="73"/>
      <c r="AV730" s="73"/>
      <c r="AW730" s="74"/>
      <c r="AX730" s="68"/>
      <c r="AY730" s="69"/>
      <c r="AZ730" s="69"/>
      <c r="BA730" s="69"/>
      <c r="BB730" s="69"/>
      <c r="BC730" s="69"/>
      <c r="BD730" s="69"/>
      <c r="BE730" s="69"/>
      <c r="BF730" s="69"/>
      <c r="BG730" s="69"/>
      <c r="BH730" s="69"/>
      <c r="BI730" s="69"/>
      <c r="BJ730" s="69"/>
      <c r="BK730" s="69"/>
      <c r="BL730" s="69"/>
      <c r="BM730" s="70"/>
      <c r="BN730" s="31"/>
      <c r="BO730" s="31"/>
      <c r="BP730" s="31"/>
      <c r="BQ730" s="31"/>
    </row>
    <row r="731" spans="3:70" ht="15" customHeight="1" x14ac:dyDescent="0.2">
      <c r="C731" s="4"/>
      <c r="H731" s="119"/>
      <c r="I731" s="119"/>
      <c r="J731" s="115"/>
      <c r="K731" s="115"/>
      <c r="L731" s="115"/>
      <c r="M731" s="115"/>
      <c r="N731" s="115"/>
      <c r="O731" s="115"/>
      <c r="P731" s="115"/>
      <c r="Q731" s="115"/>
      <c r="R731" s="115"/>
      <c r="S731" s="119"/>
      <c r="T731" s="119"/>
      <c r="U731" s="115"/>
      <c r="V731" s="115"/>
      <c r="W731" s="115"/>
      <c r="X731" s="115"/>
      <c r="Y731" s="115"/>
      <c r="Z731" s="115"/>
      <c r="AA731" s="115"/>
      <c r="AB731" s="115"/>
      <c r="AC731" s="115"/>
      <c r="AD731" s="115"/>
      <c r="AE731" s="115"/>
      <c r="AF731" s="115"/>
      <c r="AG731" s="115"/>
      <c r="AH731" s="115"/>
      <c r="AI731" s="115"/>
      <c r="AJ731" s="115"/>
      <c r="AK731" s="115"/>
      <c r="AL731" s="115"/>
      <c r="AM731" s="115"/>
      <c r="AN731" s="115"/>
      <c r="AO731" s="115"/>
      <c r="AP731" s="115"/>
      <c r="AT731" s="31"/>
      <c r="AX731" s="71"/>
      <c r="BM731" s="72"/>
      <c r="BN731" s="31"/>
    </row>
    <row r="732" spans="3:70" ht="15" customHeight="1" x14ac:dyDescent="0.2">
      <c r="C732" s="4"/>
      <c r="H732" s="119"/>
      <c r="I732" s="119"/>
      <c r="J732" s="115"/>
      <c r="K732" s="115"/>
      <c r="L732" s="115"/>
      <c r="M732" s="115"/>
      <c r="N732" s="115"/>
      <c r="O732" s="115"/>
      <c r="P732" s="115"/>
      <c r="Q732" s="115"/>
      <c r="R732" s="115"/>
      <c r="S732" s="119"/>
      <c r="T732" s="119"/>
      <c r="U732" s="115"/>
      <c r="V732" s="115"/>
      <c r="W732" s="115"/>
      <c r="X732" s="115"/>
      <c r="Y732" s="115"/>
      <c r="Z732" s="115"/>
      <c r="AA732" s="115"/>
      <c r="AB732" s="115"/>
      <c r="AC732" s="115"/>
      <c r="AD732" s="115"/>
      <c r="AE732" s="115"/>
      <c r="AF732" s="115"/>
      <c r="AG732" s="115"/>
      <c r="AH732" s="115"/>
      <c r="AI732" s="115"/>
      <c r="AJ732" s="115"/>
      <c r="AK732" s="115"/>
      <c r="AL732" s="115"/>
      <c r="AM732" s="115"/>
      <c r="AN732" s="115"/>
      <c r="AO732" s="115"/>
      <c r="AP732" s="115"/>
      <c r="AT732" s="31"/>
      <c r="AX732" s="71"/>
      <c r="BM732" s="72"/>
      <c r="BN732" s="31"/>
    </row>
    <row r="733" spans="3:70" ht="15" customHeight="1" x14ac:dyDescent="0.2">
      <c r="C733" s="4"/>
      <c r="H733" s="166">
        <f>IF(P734&lt;&gt;"", ROW()-732, "")</f>
        <v>1</v>
      </c>
      <c r="I733" s="162"/>
      <c r="J733" s="167">
        <f>IF(ISNUMBER(H734), $X$212/2, "")</f>
        <v>0.83819999999999995</v>
      </c>
      <c r="K733" s="167"/>
      <c r="L733" s="167"/>
      <c r="M733" s="167">
        <f>IF($X$157=0,"",$X$157+($X$155-$X$157)/2-SUM(P733))</f>
        <v>12.231132626521573</v>
      </c>
      <c r="N733" s="167"/>
      <c r="O733" s="167"/>
      <c r="P733" s="167">
        <f>X675</f>
        <v>0.18946737347842693</v>
      </c>
      <c r="Q733" s="167"/>
      <c r="R733" s="167"/>
      <c r="S733" s="162" cm="1">
        <f t="array" ref="S733">IFERROR(LOOKUP(2,1/(ISNUMBER($H$733:$H$753)),$H$733:$H$753)+1,1)</f>
        <v>7</v>
      </c>
      <c r="T733" s="162"/>
      <c r="U733" s="167">
        <f t="shared" ref="U733:U739" si="17">IF(ISNUMBER(P735),$X$212/2+$X$213/2, "")</f>
        <v>2.0192999999999999</v>
      </c>
      <c r="V733" s="167"/>
      <c r="W733" s="167"/>
      <c r="X733" s="167">
        <f>IF(ISNUMBER(P735),$X$155-(($X$155-$X$157)/2)+$X$676-(P734+$X$677)/2,"")</f>
        <v>11.438897226042036</v>
      </c>
      <c r="Y733" s="167"/>
      <c r="Z733" s="167"/>
      <c r="AA733" s="162" t="str">
        <f>IF(S733="","", "P" &amp; S733)</f>
        <v>P7</v>
      </c>
      <c r="AB733" s="162"/>
      <c r="AC733" s="167">
        <f>-$X$672*(P734+$X$677)</f>
        <v>-3226.3089114118679</v>
      </c>
      <c r="AD733" s="167"/>
      <c r="AE733" s="167"/>
      <c r="AF733" s="162" t="str">
        <f>IF(P735="","", IF(H736="", "-", "F" &amp; H733))</f>
        <v>F1</v>
      </c>
      <c r="AG733" s="162"/>
      <c r="AH733" s="167">
        <f>(-$X$670*(M733-X733))/(U733-J733)</f>
        <v>-1713.3498341209411</v>
      </c>
      <c r="AI733" s="167"/>
      <c r="AJ733" s="167"/>
      <c r="AK733" s="167" t="str">
        <f>IF(H733="", "-", "-")</f>
        <v>-</v>
      </c>
      <c r="AL733" s="167"/>
      <c r="AM733" s="212" t="str">
        <f>IF(H733="", "-", "-")</f>
        <v>-</v>
      </c>
      <c r="AN733" s="212"/>
      <c r="AO733" s="212"/>
      <c r="AP733" s="212"/>
      <c r="AT733" s="31"/>
      <c r="AX733" s="71"/>
      <c r="BM733" s="72"/>
      <c r="BN733" s="31"/>
    </row>
    <row r="734" spans="3:70" ht="15" customHeight="1" x14ac:dyDescent="0.2">
      <c r="C734" s="4"/>
      <c r="H734" s="166">
        <f t="shared" ref="H734:H753" si="18">IF(P735&lt;&gt;"", ROW()-732, "")</f>
        <v>2</v>
      </c>
      <c r="I734" s="162"/>
      <c r="J734" s="167">
        <f t="shared" ref="J734:J738" si="19">IF(ISNUMBER(H734), $X$212/2, "")</f>
        <v>0.83819999999999995</v>
      </c>
      <c r="K734" s="167"/>
      <c r="L734" s="167"/>
      <c r="M734" s="167">
        <f>IF(P735="","",IF($X$157+($X$155-$X$157)/2-SUM($P$733:R734)=($X$155-$X$157)/2,"",$X$157+($X$155-$X$157)/2-SUM($P$733:R734)))</f>
        <v>10.426716626521573</v>
      </c>
      <c r="N734" s="167"/>
      <c r="O734" s="167"/>
      <c r="P734" s="167">
        <f>IF(
    $P733="",
    "",
    IF(
        NOT(ISNUMBER(Inputs!O12)),
        IF($P733=$P$733,"",$P$733),
        IF(
            Inputs!O12=$P$733,
            IF($P733=$P$733,"",Inputs!O12),
            Inputs!O12
        )
    )
)</f>
        <v>1.804416</v>
      </c>
      <c r="Q734" s="167"/>
      <c r="R734" s="167"/>
      <c r="S734" s="162">
        <f>IF(P736&lt;&gt;"",S733+1,"")</f>
        <v>8</v>
      </c>
      <c r="T734" s="162"/>
      <c r="U734" s="167">
        <f t="shared" si="17"/>
        <v>2.0192999999999999</v>
      </c>
      <c r="V734" s="167"/>
      <c r="W734" s="167"/>
      <c r="X734" s="167">
        <f>IF(ISNUMBER(P735), $X$157+($X$155-$X$157)/2-SUM($P$733:R735)+$X$685, "")</f>
        <v>9.3587345344384065</v>
      </c>
      <c r="Y734" s="167"/>
      <c r="Z734" s="167"/>
      <c r="AA734" s="162" t="str">
        <f t="shared" ref="AA734:AA736" si="20">IF(S734="","", "P" &amp; S734)</f>
        <v>P8</v>
      </c>
      <c r="AB734" s="162"/>
      <c r="AC734" s="167">
        <f>-$X$672*($X$214/2)-($X$673*($X$214/2))</f>
        <v>-3159.537668579831</v>
      </c>
      <c r="AD734" s="167"/>
      <c r="AE734" s="167"/>
      <c r="AF734" s="162" t="str">
        <f t="shared" ref="AF734" si="21">IF(P736="","", IF(H737="", "-", "F" &amp; H734))</f>
        <v>F2</v>
      </c>
      <c r="AG734" s="162"/>
      <c r="AH734" s="192">
        <f>((-$X$670*(M733-X734))-AC735*(M734-X734)+(-AC733)*(X733-X734))/(U734-J734)</f>
        <v>-2839.571501196318</v>
      </c>
      <c r="AI734" s="192"/>
      <c r="AJ734" s="192"/>
      <c r="AK734" s="167" t="str">
        <f>IF(S734="", "-", "F" &amp; (S733+9))</f>
        <v>F16</v>
      </c>
      <c r="AL734" s="167"/>
      <c r="AM734" s="160">
        <f>($X$670*(M733-M734)-(-AC733)*(X733-M734))/(U734-J734)</f>
        <v>1137.4838784199862</v>
      </c>
      <c r="AN734" s="160"/>
      <c r="AO734" s="160"/>
      <c r="AP734" s="161"/>
      <c r="AT734" s="31"/>
      <c r="AX734" s="71"/>
      <c r="BM734" s="72"/>
      <c r="BN734" s="31"/>
    </row>
    <row r="735" spans="3:70" ht="15" customHeight="1" x14ac:dyDescent="0.2">
      <c r="C735" s="4"/>
      <c r="H735" s="166">
        <f t="shared" si="18"/>
        <v>3</v>
      </c>
      <c r="I735" s="162"/>
      <c r="J735" s="167">
        <f t="shared" si="19"/>
        <v>0.83819999999999995</v>
      </c>
      <c r="K735" s="167"/>
      <c r="L735" s="167"/>
      <c r="M735" s="167">
        <f>IF(P736="","",IF($X$157+($X$155-$X$157)/2-SUM($P$733:R735)=($X$155-$X$157)/2,"",$X$157+($X$155-$X$157)/2-SUM($P$733:R735)))</f>
        <v>8.0645166265215735</v>
      </c>
      <c r="N735" s="167"/>
      <c r="O735" s="167"/>
      <c r="P735" s="167">
        <f>IF(
    $P734="",
    "",
    IF(
        NOT(ISNUMBER(Inputs!O13)),
        IF($P734=$P$733,"",$P$733),
        IF(
            Inputs!O13=$P$733,
            IF($P734=$P$733,"",Inputs!O13),
            Inputs!O13
        )
    )
)</f>
        <v>2.3622000000000001</v>
      </c>
      <c r="Q735" s="167"/>
      <c r="R735" s="167"/>
      <c r="S735" s="162">
        <f t="shared" ref="S735:S751" si="22">IF(P737&lt;&gt;"",S734+1,"")</f>
        <v>9</v>
      </c>
      <c r="T735" s="162"/>
      <c r="U735" s="167">
        <f t="shared" si="17"/>
        <v>2.0192999999999999</v>
      </c>
      <c r="V735" s="167"/>
      <c r="W735" s="167"/>
      <c r="X735" s="167">
        <f>IF(
NOT(ISNUMBER(P737)),
"",
IF(
AND(ISNUMBER(P738),ISNUMBER(P739)),
$X$157+($X$155-$X$157)/2-SUM($P$733:R735)-P736/2,
IF(
AND(ISNUMBER(P738),P739=""),
$X$157+($X$155-$X$157)/2-SUM($P$733:R735)-$X$685,
IF(
AND(P738="",P739=""),
(($X$155-$X$157)/2)-$X$676+(P736+$X$677)/2,
""
)
)
)
)</f>
        <v>6.8834166265215737</v>
      </c>
      <c r="Y735" s="167"/>
      <c r="Z735" s="167"/>
      <c r="AA735" s="162" t="str">
        <f>IF(S735="","", "P" &amp; S735)</f>
        <v>P9</v>
      </c>
      <c r="AB735" s="162"/>
      <c r="AC735" s="167">
        <f t="shared" ref="AC735:AC749" si="23">IF(
    NOT(ISNUMBER(P737)),
        "",
    IF(
        AND(ISNUMBER(P738), ISNUMBER(P739)),
            $X$673*$X$214,
        IF(
            AND(ISNUMBER(P738), P739=""),
                -$X$672*($X$214/2)-($X$673*($X$214/2)),
            IF(
                AND(P738="", P739=""),
                    -$X$672*(P736+$X$677),
                ""
            )
        )
    )
)</f>
        <v>2554.3386319966799</v>
      </c>
      <c r="AD735" s="167"/>
      <c r="AE735" s="167"/>
      <c r="AF735" s="162" t="str">
        <f>IF(P737="","", IF(H738="", "-", "F" &amp; H735))</f>
        <v>F3</v>
      </c>
      <c r="AG735" s="162"/>
      <c r="AH735" s="163">
        <f>((-$X$670*(M733-X735))-AC735*(M734-X735)-AC735*(M735-X735)+(-AC733)*(X733-X735)+(-AC734)*(X734-X735))/(U735-J735)</f>
        <v>-2717.252712709902</v>
      </c>
      <c r="AI735" s="164"/>
      <c r="AJ735" s="165"/>
      <c r="AK735" s="167" t="str">
        <f>IF(S735="", "-", "F" &amp; (S734+9))</f>
        <v>F17</v>
      </c>
      <c r="AL735" s="167"/>
      <c r="AM735" s="160">
        <f>($X$670*(M733-M735)+AC735*(M734-M735)-(-AC733)*(X733-M735)-(-AC734)*(X734-M735))/(U735-J735)</f>
        <v>1440.0833967115648</v>
      </c>
      <c r="AN735" s="160"/>
      <c r="AO735" s="160"/>
      <c r="AP735" s="161"/>
      <c r="AT735" s="31"/>
      <c r="AX735" s="71"/>
      <c r="BM735" s="72"/>
      <c r="BN735" s="31"/>
    </row>
    <row r="736" spans="3:70" ht="15" customHeight="1" x14ac:dyDescent="0.2">
      <c r="C736" s="4"/>
      <c r="H736" s="166">
        <f t="shared" si="18"/>
        <v>4</v>
      </c>
      <c r="I736" s="162"/>
      <c r="J736" s="167">
        <f t="shared" si="19"/>
        <v>0.83819999999999995</v>
      </c>
      <c r="K736" s="167"/>
      <c r="L736" s="167"/>
      <c r="M736" s="167">
        <f>IF(P737="","",IF($X$157+($X$155-$X$157)/2-SUM($P$733:R736)=($X$155-$X$157)/2,"",$X$157+($X$155-$X$157)/2-SUM($P$733:R736)))</f>
        <v>5.7023166265215739</v>
      </c>
      <c r="N736" s="167"/>
      <c r="O736" s="167"/>
      <c r="P736" s="167">
        <f>IF(
    $P735="",
    "",
    IF(
        NOT(ISNUMBER(Inputs!O14)),
        IF($P735=$P$733,"",$P$733),
        IF(
            Inputs!O14=$P$733,
            IF($P735=$P$733,"",Inputs!O14),
            Inputs!O14
        )
    )
)</f>
        <v>2.3622000000000001</v>
      </c>
      <c r="Q736" s="167"/>
      <c r="R736" s="167"/>
      <c r="S736" s="162">
        <f t="shared" si="22"/>
        <v>10</v>
      </c>
      <c r="T736" s="162"/>
      <c r="U736" s="167">
        <f t="shared" si="17"/>
        <v>2.0192999999999999</v>
      </c>
      <c r="V736" s="167"/>
      <c r="W736" s="167"/>
      <c r="X736" s="167">
        <f>IF(
NOT(ISNUMBER(P738)),
"",
IF(
AND(ISNUMBER(P739),ISNUMBER(P740)),
$X$157+($X$155-$X$157)/2-SUM($P$733:R736)-P737/2,
IF(
AND(ISNUMBER(P739),P740=""),
$X$157+($X$155-$X$157)/2-SUM($P$733:R736)-$X$685,
IF(
AND(P739="",P740=""),
(($X$155-$X$157)/2)-$X$676+(P737+$X$677)/2,
""
)
)
)
)</f>
        <v>4.40809871860474</v>
      </c>
      <c r="Y736" s="167"/>
      <c r="Z736" s="167"/>
      <c r="AA736" s="162" t="str">
        <f t="shared" si="20"/>
        <v>P10</v>
      </c>
      <c r="AB736" s="162"/>
      <c r="AC736" s="167">
        <f t="shared" si="23"/>
        <v>-3159.537668579831</v>
      </c>
      <c r="AD736" s="167"/>
      <c r="AE736" s="167"/>
      <c r="AF736" s="162"/>
      <c r="AG736" s="162"/>
      <c r="AH736" s="211"/>
      <c r="AI736" s="211"/>
      <c r="AJ736" s="211"/>
      <c r="AK736" s="167"/>
      <c r="AL736" s="167"/>
      <c r="AM736" s="160"/>
      <c r="AN736" s="160"/>
      <c r="AO736" s="160"/>
      <c r="AP736" s="161"/>
      <c r="AT736" s="31"/>
      <c r="AX736" s="71"/>
      <c r="BM736" s="72"/>
      <c r="BN736" s="31"/>
    </row>
    <row r="737" spans="3:66" ht="15" customHeight="1" x14ac:dyDescent="0.2">
      <c r="C737" s="4"/>
      <c r="H737" s="166">
        <f t="shared" si="18"/>
        <v>5</v>
      </c>
      <c r="I737" s="162"/>
      <c r="J737" s="167">
        <f t="shared" si="19"/>
        <v>0.83819999999999995</v>
      </c>
      <c r="K737" s="167"/>
      <c r="L737" s="167"/>
      <c r="M737" s="167">
        <f>IF(P738="","",IF($X$157+($X$155-$X$157)/2-SUM($P$733:R737)=($X$155-$X$157)/2,"",$X$157+($X$155-$X$157)/2-SUM($P$733:R737)))</f>
        <v>3.3401166265215743</v>
      </c>
      <c r="N737" s="167"/>
      <c r="O737" s="167"/>
      <c r="P737" s="167">
        <f>IF(
    $P736="",
    "",
    IF(
        NOT(ISNUMBER(Inputs!O15)),
        IF($P736=$P$733,"",$P$733),
        IF(
            Inputs!O15=$P$733,
            IF($P736=$P$733,"",Inputs!O15),
            Inputs!O15
        )
    )
)</f>
        <v>2.3622000000000001</v>
      </c>
      <c r="Q737" s="167"/>
      <c r="R737" s="167"/>
      <c r="S737" s="162">
        <f t="shared" si="22"/>
        <v>11</v>
      </c>
      <c r="T737" s="162"/>
      <c r="U737" s="167">
        <f t="shared" si="17"/>
        <v>2.0192999999999999</v>
      </c>
      <c r="V737" s="167"/>
      <c r="W737" s="167"/>
      <c r="X737" s="167">
        <f>IF(
NOT(ISNUMBER(P739)),
"",
IF(
AND(ISNUMBER(P740),ISNUMBER(P741)),
$X$157+($X$155-$X$157)/2-SUM($P$733:R737)-P738/2,
IF(
AND(ISNUMBER(P740),P741=""),
$X$157+($X$155-$X$157)/2-SUM($P$733:R737)-$X$685,
IF(
AND(P740="",P741=""),
(($X$155-$X$157)/2)-$X$676+(P738+$X$677)/2,
""
)
)
)
)</f>
        <v>2.3279027739579652</v>
      </c>
      <c r="Y737" s="167"/>
      <c r="Z737" s="167"/>
      <c r="AA737" s="162" t="str">
        <f>IF(S737="","", "P" &amp; S737)</f>
        <v>P11</v>
      </c>
      <c r="AB737" s="162"/>
      <c r="AC737" s="167">
        <f t="shared" si="23"/>
        <v>-3226.3089114118679</v>
      </c>
      <c r="AD737" s="167"/>
      <c r="AE737" s="167"/>
      <c r="AF737" s="162"/>
      <c r="AG737" s="162"/>
      <c r="AH737" s="167"/>
      <c r="AI737" s="167"/>
      <c r="AJ737" s="167"/>
      <c r="AK737" s="167"/>
      <c r="AL737" s="167"/>
      <c r="AM737" s="160"/>
      <c r="AN737" s="160"/>
      <c r="AO737" s="160"/>
      <c r="AP737" s="161"/>
      <c r="AT737" s="31"/>
      <c r="AX737" s="71"/>
      <c r="BM737" s="72"/>
      <c r="BN737" s="31"/>
    </row>
    <row r="738" spans="3:66" ht="15" customHeight="1" x14ac:dyDescent="0.2">
      <c r="C738" s="4"/>
      <c r="H738" s="166">
        <f t="shared" si="18"/>
        <v>6</v>
      </c>
      <c r="I738" s="162"/>
      <c r="J738" s="167">
        <f t="shared" si="19"/>
        <v>0.83819999999999995</v>
      </c>
      <c r="K738" s="167"/>
      <c r="L738" s="167"/>
      <c r="M738" s="167">
        <f>IF(P739="","",IF($X$157+($X$155-$X$157)/2-SUM($P$733:R738)=($X$155-$X$157)/2,"",$X$157+($X$155-$X$157)/2-SUM($P$733:R738)))</f>
        <v>1.5357006265215745</v>
      </c>
      <c r="N738" s="167"/>
      <c r="O738" s="167"/>
      <c r="P738" s="167">
        <f>IF(
    $P737="",
    "",
    IF(
        NOT(ISNUMBER(Inputs!O16)),
        IF($P737=$P$733,"",$P$733),
        IF(
            Inputs!O16=$P$733,
            IF($P737=$P$733,"",Inputs!O16),
            Inputs!O16
        )
    )
)</f>
        <v>1.804416</v>
      </c>
      <c r="Q738" s="167"/>
      <c r="R738" s="167"/>
      <c r="S738" s="162" t="str">
        <f>IF(P740&lt;&gt;"",S737+1,"")</f>
        <v/>
      </c>
      <c r="T738" s="162"/>
      <c r="U738" s="167" t="str">
        <f t="shared" si="17"/>
        <v/>
      </c>
      <c r="V738" s="167"/>
      <c r="W738" s="167"/>
      <c r="X738" s="167" t="str">
        <f>IF(
NOT(ISNUMBER(P740)),
"",
IF(
AND(ISNUMBER(P741),ISNUMBER(P742)),
$X$157+($X$155-$X$157)/2-SUM($P$733:R738)-P739/2,
IF(
AND(ISNUMBER(P741),P742=""),
$X$157+($X$155-$X$157)/2-SUM($P$733:R738)-$X$685,
IF(
AND(P741="",P742=""),
(($X$155-$X$157)/2)-$X$676+(P739+$X$677)/2,
""
)
)
)
)</f>
        <v/>
      </c>
      <c r="Y738" s="167"/>
      <c r="Z738" s="167"/>
      <c r="AA738" s="162" t="str">
        <f t="shared" ref="AA738:AA753" si="24">IF(S738="","", "P" &amp; S738)</f>
        <v/>
      </c>
      <c r="AB738" s="162"/>
      <c r="AC738" s="167" t="str">
        <f t="shared" si="23"/>
        <v/>
      </c>
      <c r="AD738" s="167"/>
      <c r="AE738" s="167"/>
      <c r="AF738" s="162"/>
      <c r="AG738" s="162"/>
      <c r="AH738" s="167"/>
      <c r="AI738" s="167"/>
      <c r="AJ738" s="167"/>
      <c r="AK738" s="167"/>
      <c r="AL738" s="167"/>
      <c r="AM738" s="160"/>
      <c r="AN738" s="160"/>
      <c r="AO738" s="160"/>
      <c r="AP738" s="161"/>
      <c r="AT738" s="31"/>
      <c r="AX738" s="71"/>
      <c r="BM738" s="72"/>
      <c r="BN738" s="31"/>
    </row>
    <row r="739" spans="3:66" ht="15" customHeight="1" x14ac:dyDescent="0.2">
      <c r="C739" s="4"/>
      <c r="H739" s="166" t="str">
        <f t="shared" si="18"/>
        <v/>
      </c>
      <c r="I739" s="162"/>
      <c r="J739" s="167" t="str">
        <f t="shared" ref="J739:J753" si="25">IF(ISNUMBER(H739), $X$212/2, "")</f>
        <v/>
      </c>
      <c r="K739" s="167"/>
      <c r="L739" s="167"/>
      <c r="M739" s="167" t="str">
        <f>IF(P740="","",IF($X$157+($X$155-$X$157)/2-SUM($P$733:R739)=($X$155-$X$157)/2,"",$X$157+($X$155-$X$157)/2-SUM($P$733:R739)))</f>
        <v/>
      </c>
      <c r="N739" s="167"/>
      <c r="O739" s="167"/>
      <c r="P739" s="167">
        <f>IF(
    $P738="",
    "",
    IF(
        NOT(ISNUMBER(Inputs!O17)),
        IF($P738=$P$733,"",$P$733),
        IF(
            Inputs!O17=$P$733,
            IF($P738=$P$733,"",Inputs!O17),
            Inputs!O17
        )
    )
)</f>
        <v>0.18946737347842693</v>
      </c>
      <c r="Q739" s="167"/>
      <c r="R739" s="167"/>
      <c r="S739" s="162" t="str">
        <f>IF(P741&lt;&gt;"",S738+1,"")</f>
        <v/>
      </c>
      <c r="T739" s="162"/>
      <c r="U739" s="167" t="str">
        <f t="shared" si="17"/>
        <v/>
      </c>
      <c r="V739" s="167"/>
      <c r="W739" s="167"/>
      <c r="X739" s="167" t="str">
        <f>IF(
NOT(ISNUMBER(P741)),
"",
IF(
AND(ISNUMBER(P742),ISNUMBER(P743)),
$X$157+($X$155-$X$157)/2-SUM($P$733:R739)-P740/2,
IF(
AND(ISNUMBER(P742),P743=""),
$X$157+($X$155-$X$157)/2-SUM($P$733:R739)-$X$685,
IF(
AND(P742="",P743=""),
(($X$155-$X$157)/2)-$X$676+(P740+$X$677)/2,
""
)
)
)
)</f>
        <v/>
      </c>
      <c r="Y739" s="167"/>
      <c r="Z739" s="167"/>
      <c r="AA739" s="162" t="str">
        <f t="shared" si="24"/>
        <v/>
      </c>
      <c r="AB739" s="162"/>
      <c r="AC739" s="167" t="str">
        <f t="shared" si="23"/>
        <v/>
      </c>
      <c r="AD739" s="167"/>
      <c r="AE739" s="167"/>
      <c r="AF739" s="162"/>
      <c r="AG739" s="162"/>
      <c r="AH739" s="167"/>
      <c r="AI739" s="167"/>
      <c r="AJ739" s="167"/>
      <c r="AK739" s="167"/>
      <c r="AL739" s="167"/>
      <c r="AM739" s="160"/>
      <c r="AN739" s="160"/>
      <c r="AO739" s="160"/>
      <c r="AP739" s="161"/>
      <c r="AT739" s="31"/>
      <c r="AU739" s="27"/>
      <c r="AV739" s="27"/>
      <c r="AW739" s="27"/>
      <c r="AX739" s="153" t="str">
        <f>"Figure "&amp;Inputs!$B$3&amp;"-11:  Free Body Diagram
for Summing Forces at Joint 7"</f>
        <v>Figure C.1-11:  Free Body Diagram
for Summing Forces at Joint 7</v>
      </c>
      <c r="AY739" s="154"/>
      <c r="AZ739" s="154"/>
      <c r="BA739" s="154"/>
      <c r="BB739" s="154"/>
      <c r="BC739" s="154"/>
      <c r="BD739" s="154"/>
      <c r="BE739" s="154"/>
      <c r="BF739" s="154"/>
      <c r="BG739" s="154"/>
      <c r="BH739" s="154"/>
      <c r="BI739" s="154"/>
      <c r="BJ739" s="154"/>
      <c r="BK739" s="154"/>
      <c r="BL739" s="154"/>
      <c r="BM739" s="155"/>
      <c r="BN739" s="31"/>
    </row>
    <row r="740" spans="3:66" ht="15" customHeight="1" x14ac:dyDescent="0.2">
      <c r="C740" s="4"/>
      <c r="H740" s="166" t="str">
        <f t="shared" si="18"/>
        <v/>
      </c>
      <c r="I740" s="162"/>
      <c r="J740" s="167" t="str">
        <f t="shared" si="25"/>
        <v/>
      </c>
      <c r="K740" s="167"/>
      <c r="L740" s="167"/>
      <c r="M740" s="167" t="str">
        <f>IF(P741="","",IF($X$157+($X$155-$X$157)/2-SUM($P$733:R740)=($X$155-$X$157)/2,"",$X$157+($X$155-$X$157)/2-SUM($P$733:R740)))</f>
        <v/>
      </c>
      <c r="N740" s="167"/>
      <c r="O740" s="167"/>
      <c r="P740" s="167" t="str">
        <f>IF(
    $P739="",
    "",
    IF(
        NOT(ISNUMBER(Inputs!O18)),
        IF($P739=$P$733,"",$P$733),
        IF(
            Inputs!O18=$P$733,
            IF($P739=$P$733,"",Inputs!O18),
            Inputs!O18
        )
    )
)</f>
        <v/>
      </c>
      <c r="Q740" s="167"/>
      <c r="R740" s="167"/>
      <c r="S740" s="162" t="str">
        <f t="shared" si="22"/>
        <v/>
      </c>
      <c r="T740" s="162"/>
      <c r="U740" s="167" t="str">
        <f t="shared" ref="U740:U751" si="26">IF(ISNUMBER(P742),$X$212/2+$X$213/2, "")</f>
        <v/>
      </c>
      <c r="V740" s="167"/>
      <c r="W740" s="167"/>
      <c r="X740" s="167" t="str">
        <f>IF(
NOT(ISNUMBER(P742)),
"",
IF(
AND(ISNUMBER(P743),ISNUMBER(P744)),
$X$157+($X$155-$X$157)/2-SUM($P$733:R740)-P741/2,
IF(
AND(ISNUMBER(P743),P744=""),
$X$157+($X$155-$X$157)/2-SUM($P$733:R740)-$X$685,
IF(
AND(P743="",P744=""),
(($X$155-$X$157)/2)-$X$676+(P741+$X$677)/2,
""
)
)
)
)</f>
        <v/>
      </c>
      <c r="Y740" s="167"/>
      <c r="Z740" s="167"/>
      <c r="AA740" s="162" t="str">
        <f t="shared" si="24"/>
        <v/>
      </c>
      <c r="AB740" s="162"/>
      <c r="AC740" s="167" t="str">
        <f t="shared" si="23"/>
        <v/>
      </c>
      <c r="AD740" s="167"/>
      <c r="AE740" s="167"/>
      <c r="AF740" s="162"/>
      <c r="AG740" s="162"/>
      <c r="AH740" s="167"/>
      <c r="AI740" s="167"/>
      <c r="AJ740" s="167"/>
      <c r="AK740" s="162"/>
      <c r="AL740" s="162"/>
      <c r="AM740" s="160"/>
      <c r="AN740" s="160"/>
      <c r="AO740" s="160"/>
      <c r="AP740" s="161"/>
      <c r="AT740" s="31"/>
      <c r="AU740" s="27"/>
      <c r="AV740" s="27"/>
      <c r="AW740" s="27"/>
      <c r="AX740" s="156"/>
      <c r="AY740" s="157"/>
      <c r="AZ740" s="157"/>
      <c r="BA740" s="157"/>
      <c r="BB740" s="157"/>
      <c r="BC740" s="157"/>
      <c r="BD740" s="157"/>
      <c r="BE740" s="157"/>
      <c r="BF740" s="157"/>
      <c r="BG740" s="157"/>
      <c r="BH740" s="157"/>
      <c r="BI740" s="157"/>
      <c r="BJ740" s="157"/>
      <c r="BK740" s="157"/>
      <c r="BL740" s="157"/>
      <c r="BM740" s="158"/>
      <c r="BN740" s="31"/>
    </row>
    <row r="741" spans="3:66" ht="15" customHeight="1" x14ac:dyDescent="0.2">
      <c r="C741" s="4"/>
      <c r="H741" s="166" t="str">
        <f t="shared" si="18"/>
        <v/>
      </c>
      <c r="I741" s="162"/>
      <c r="J741" s="167" t="str">
        <f t="shared" si="25"/>
        <v/>
      </c>
      <c r="K741" s="167"/>
      <c r="L741" s="167"/>
      <c r="M741" s="167" t="str">
        <f>IF(P742="","",IF($X$157+($X$155-$X$157)/2-SUM($P$733:R741)=($X$155-$X$157)/2,"",$X$157+($X$155-$X$157)/2-SUM($P$733:R741)))</f>
        <v/>
      </c>
      <c r="N741" s="167"/>
      <c r="O741" s="167"/>
      <c r="P741" s="167" t="str">
        <f>IF(
    $P740="",
    "",
    IF(
        NOT(ISNUMBER(Inputs!O19)),
        IF($P740=$P$733,"",$P$733),
        IF(
            Inputs!O19=$P$733,
            IF($P740=$P$733,"",Inputs!O19),
            Inputs!O19
        )
    )
)</f>
        <v/>
      </c>
      <c r="Q741" s="167"/>
      <c r="R741" s="167"/>
      <c r="S741" s="162" t="str">
        <f t="shared" si="22"/>
        <v/>
      </c>
      <c r="T741" s="162"/>
      <c r="U741" s="167" t="str">
        <f>IF(ISNUMBER(P743),$X$212/2+$X$213/2, "")</f>
        <v/>
      </c>
      <c r="V741" s="167"/>
      <c r="W741" s="167"/>
      <c r="X741" s="167" t="str">
        <f>IF(
NOT(ISNUMBER(P743)),
"",
IF(
AND(ISNUMBER(P744),ISNUMBER(P745)),
$X$157+($X$155-$X$157)/2-SUM($P$733:R741)-P742/2,
IF(
AND(ISNUMBER(P744),P745=""),
$X$157+($X$155-$X$157)/2-SUM($P$733:R741)-$X$685,
IF(
AND(P744="",P745=""),
(($X$155-$X$157)/2)-$X$676+(P742+$X$677)/2,
""
)
)
)
)</f>
        <v/>
      </c>
      <c r="Y741" s="167"/>
      <c r="Z741" s="167"/>
      <c r="AA741" s="162" t="str">
        <f t="shared" si="24"/>
        <v/>
      </c>
      <c r="AB741" s="162"/>
      <c r="AC741" s="167" t="str">
        <f t="shared" si="23"/>
        <v/>
      </c>
      <c r="AD741" s="167"/>
      <c r="AE741" s="167"/>
      <c r="AF741" s="162"/>
      <c r="AG741" s="162"/>
      <c r="AH741" s="167"/>
      <c r="AI741" s="167"/>
      <c r="AJ741" s="167"/>
      <c r="AK741" s="162"/>
      <c r="AL741" s="162"/>
      <c r="AM741" s="160"/>
      <c r="AN741" s="160"/>
      <c r="AO741" s="160"/>
      <c r="AP741" s="161"/>
      <c r="AT741" s="31"/>
      <c r="AU741" s="31"/>
      <c r="AV741" s="31"/>
      <c r="AW741" s="31"/>
      <c r="AX741" s="31"/>
      <c r="AY741" s="31"/>
      <c r="AZ741" s="31"/>
      <c r="BA741" s="31"/>
      <c r="BB741" s="31"/>
      <c r="BC741" s="31"/>
      <c r="BD741" s="31"/>
      <c r="BE741" s="31"/>
      <c r="BF741" s="31"/>
      <c r="BG741" s="31"/>
      <c r="BH741" s="31"/>
      <c r="BI741" s="31"/>
      <c r="BJ741" s="31"/>
      <c r="BK741" s="31"/>
      <c r="BL741" s="31"/>
      <c r="BM741" s="31"/>
      <c r="BN741" s="31"/>
    </row>
    <row r="742" spans="3:66" ht="15" customHeight="1" x14ac:dyDescent="0.2">
      <c r="C742" s="4"/>
      <c r="H742" s="166" t="str">
        <f t="shared" si="18"/>
        <v/>
      </c>
      <c r="I742" s="162"/>
      <c r="J742" s="167" t="str">
        <f t="shared" si="25"/>
        <v/>
      </c>
      <c r="K742" s="167"/>
      <c r="L742" s="167"/>
      <c r="M742" s="167" t="str">
        <f>IF(P743="","",IF($X$157+($X$155-$X$157)/2-SUM($P$733:R742)=($X$155-$X$157)/2,"",$X$157+($X$155-$X$157)/2-SUM($P$733:R742)))</f>
        <v/>
      </c>
      <c r="N742" s="167"/>
      <c r="O742" s="167"/>
      <c r="P742" s="167" t="str">
        <f>IF(
    $P741="",
    "",
    IF(
        NOT(ISNUMBER(Inputs!O20)),
        IF($P741=$P$733,"",$P$733),
        IF(
            Inputs!O20=$P$733,
            IF($P741=$P$733,"",Inputs!O20),
            Inputs!O20
        )
    )
)</f>
        <v/>
      </c>
      <c r="Q742" s="167"/>
      <c r="R742" s="167"/>
      <c r="S742" s="162" t="str">
        <f t="shared" si="22"/>
        <v/>
      </c>
      <c r="T742" s="162"/>
      <c r="U742" s="167" t="str">
        <f t="shared" si="26"/>
        <v/>
      </c>
      <c r="V742" s="167"/>
      <c r="W742" s="167"/>
      <c r="X742" s="167" t="str">
        <f>IF(
NOT(ISNUMBER(P744)),
"",
IF(
AND(ISNUMBER(P745),ISNUMBER(P746)),
$X$157+($X$155-$X$157)/2-SUM($P$733:R742)-P743/2,
IF(
AND(ISNUMBER(P745),P746=""),
$X$157+($X$155-$X$157)/2-SUM($P$733:R742)-$X$685,
IF(
AND(P745="",P746=""),
(($X$155-$X$157)/2)-$X$676+(P743+$X$677)/2,
""
)
)
)
)</f>
        <v/>
      </c>
      <c r="Y742" s="167"/>
      <c r="Z742" s="167"/>
      <c r="AA742" s="162" t="str">
        <f t="shared" si="24"/>
        <v/>
      </c>
      <c r="AB742" s="162"/>
      <c r="AC742" s="167" t="str">
        <f t="shared" si="23"/>
        <v/>
      </c>
      <c r="AD742" s="167"/>
      <c r="AE742" s="167"/>
      <c r="AF742" s="162"/>
      <c r="AG742" s="162"/>
      <c r="AH742" s="14"/>
      <c r="AI742" s="14"/>
      <c r="AJ742" s="14"/>
      <c r="AK742" s="162"/>
      <c r="AL742" s="162"/>
      <c r="AM742" s="160"/>
      <c r="AN742" s="160"/>
      <c r="AO742" s="160"/>
      <c r="AP742" s="161"/>
    </row>
    <row r="743" spans="3:66" ht="15" customHeight="1" x14ac:dyDescent="0.2">
      <c r="C743" s="4"/>
      <c r="H743" s="166" t="str">
        <f t="shared" si="18"/>
        <v/>
      </c>
      <c r="I743" s="162"/>
      <c r="J743" s="167" t="str">
        <f t="shared" si="25"/>
        <v/>
      </c>
      <c r="K743" s="167"/>
      <c r="L743" s="167"/>
      <c r="M743" s="167" t="str">
        <f>IF(P744="","",IF($X$157+($X$155-$X$157)/2-SUM($P$733:R743)=($X$155-$X$157)/2,"",$X$157+($X$155-$X$157)/2-SUM($P$733:R743)))</f>
        <v/>
      </c>
      <c r="N743" s="167"/>
      <c r="O743" s="167"/>
      <c r="P743" s="167" t="str">
        <f>IF(
    $P742="",
    "",
    IF(
        NOT(ISNUMBER(Inputs!O21)),
        IF($P742=$P$733,"",$P$733),
        IF(
            Inputs!O21=$P$733,
            IF($P742=$P$733,"",Inputs!O21),
            Inputs!O21
        )
    )
)</f>
        <v/>
      </c>
      <c r="Q743" s="167"/>
      <c r="R743" s="167"/>
      <c r="S743" s="162" t="str">
        <f t="shared" si="22"/>
        <v/>
      </c>
      <c r="T743" s="162"/>
      <c r="U743" s="167" t="str">
        <f t="shared" si="26"/>
        <v/>
      </c>
      <c r="V743" s="167"/>
      <c r="W743" s="167"/>
      <c r="X743" s="167" t="str">
        <f>IF(
NOT(ISNUMBER(P745)),
"",
IF(
AND(ISNUMBER(P746),ISNUMBER(P747)),
$X$157+($X$155-$X$157)/2-SUM($P$733:R743)-P744/2,
IF(
AND(ISNUMBER(P746),P747=""),
$X$157+($X$155-$X$157)/2-SUM($P$733:R743)-$X$685,
IF(
AND(P746="",P747=""),
(($X$155-$X$157)/2)-$X$676+(P744+$X$677)/2,
""
)
)
)
)</f>
        <v/>
      </c>
      <c r="Y743" s="167"/>
      <c r="Z743" s="167"/>
      <c r="AA743" s="162" t="str">
        <f t="shared" si="24"/>
        <v/>
      </c>
      <c r="AB743" s="162"/>
      <c r="AC743" s="167" t="str">
        <f t="shared" si="23"/>
        <v/>
      </c>
      <c r="AD743" s="167"/>
      <c r="AE743" s="167"/>
      <c r="AF743" s="162"/>
      <c r="AG743" s="162"/>
      <c r="AH743" s="167"/>
      <c r="AI743" s="167"/>
      <c r="AJ743" s="167"/>
      <c r="AK743" s="162"/>
      <c r="AL743" s="162"/>
      <c r="AM743" s="160"/>
      <c r="AN743" s="160"/>
      <c r="AO743" s="160"/>
      <c r="AP743" s="161"/>
    </row>
    <row r="744" spans="3:66" ht="15" customHeight="1" x14ac:dyDescent="0.2">
      <c r="C744" s="4"/>
      <c r="H744" s="166" t="str">
        <f t="shared" si="18"/>
        <v/>
      </c>
      <c r="I744" s="162"/>
      <c r="J744" s="167" t="str">
        <f t="shared" si="25"/>
        <v/>
      </c>
      <c r="K744" s="167"/>
      <c r="L744" s="167"/>
      <c r="M744" s="167" t="str">
        <f>IF(P745="","",IF($X$157+($X$155-$X$157)/2-SUM($P$733:R744)=($X$155-$X$157)/2,"",$X$157+($X$155-$X$157)/2-SUM($P$733:R744)))</f>
        <v/>
      </c>
      <c r="N744" s="167"/>
      <c r="O744" s="167"/>
      <c r="P744" s="167" t="str">
        <f>IF(
    $P743="",
    "",
    IF(
        NOT(ISNUMBER(Inputs!O22)),
        IF($P743=$P$733,"",$P$733),
        IF(
            Inputs!O22=$P$733,
            IF($P743=$P$733,"",Inputs!O22),
            Inputs!O22
        )
    )
)</f>
        <v/>
      </c>
      <c r="Q744" s="167"/>
      <c r="R744" s="167"/>
      <c r="S744" s="162" t="str">
        <f t="shared" si="22"/>
        <v/>
      </c>
      <c r="T744" s="162"/>
      <c r="U744" s="167" t="str">
        <f t="shared" si="26"/>
        <v/>
      </c>
      <c r="V744" s="167"/>
      <c r="W744" s="167"/>
      <c r="X744" s="167" t="str">
        <f>IF(
NOT(ISNUMBER(P746)),
"",
IF(
AND(ISNUMBER(P747),ISNUMBER(P748)),
$X$157+($X$155-$X$157)/2-SUM($P$733:R744)-P745/2,
IF(
AND(ISNUMBER(P747),P748=""),
$X$157+($X$155-$X$157)/2-SUM($P$733:R744)-$X$685,
IF(
AND(P747="",P748=""),
(($X$155-$X$157)/2)-$X$676+(P745+$X$677)/2,
""
)
)
)
)</f>
        <v/>
      </c>
      <c r="Y744" s="167"/>
      <c r="Z744" s="167"/>
      <c r="AA744" s="162" t="str">
        <f t="shared" si="24"/>
        <v/>
      </c>
      <c r="AB744" s="162"/>
      <c r="AC744" s="167" t="str">
        <f t="shared" si="23"/>
        <v/>
      </c>
      <c r="AD744" s="167"/>
      <c r="AE744" s="167"/>
      <c r="AF744" s="162"/>
      <c r="AG744" s="162"/>
      <c r="AH744" s="167"/>
      <c r="AI744" s="167"/>
      <c r="AJ744" s="167"/>
      <c r="AK744" s="162"/>
      <c r="AL744" s="162"/>
      <c r="AM744" s="160"/>
      <c r="AN744" s="160"/>
      <c r="AO744" s="160"/>
      <c r="AP744" s="161"/>
    </row>
    <row r="745" spans="3:66" ht="15" customHeight="1" x14ac:dyDescent="0.2">
      <c r="C745" s="4"/>
      <c r="H745" s="166" t="str">
        <f t="shared" si="18"/>
        <v/>
      </c>
      <c r="I745" s="162"/>
      <c r="J745" s="167" t="str">
        <f t="shared" si="25"/>
        <v/>
      </c>
      <c r="K745" s="167"/>
      <c r="L745" s="167"/>
      <c r="M745" s="167" t="str">
        <f>IF(P746="","",IF($X$157+($X$155-$X$157)/2-SUM($P$733:R745)=($X$155-$X$157)/2,"",$X$157+($X$155-$X$157)/2-SUM($P$733:R745)))</f>
        <v/>
      </c>
      <c r="N745" s="167"/>
      <c r="O745" s="167"/>
      <c r="P745" s="167" t="str">
        <f>IF(
    $P744="",
    "",
    IF(
        NOT(ISNUMBER(Inputs!O23)),
        IF($P744=$P$733,"",$P$733),
        IF(
            Inputs!O23=$P$733,
            IF($P744=$P$733,"",Inputs!O23),
            Inputs!O23
        )
    )
)</f>
        <v/>
      </c>
      <c r="Q745" s="167"/>
      <c r="R745" s="167"/>
      <c r="S745" s="162" t="str">
        <f t="shared" si="22"/>
        <v/>
      </c>
      <c r="T745" s="162"/>
      <c r="U745" s="167" t="str">
        <f t="shared" si="26"/>
        <v/>
      </c>
      <c r="V745" s="167"/>
      <c r="W745" s="167"/>
      <c r="X745" s="167" t="str">
        <f>IF(
NOT(ISNUMBER(P747)),
"",
IF(
AND(ISNUMBER(P748),ISNUMBER(P749)),
$X$157+($X$155-$X$157)/2-SUM($P$733:R745)-P746/2,
IF(
AND(ISNUMBER(P748),P749=""),
$X$157+($X$155-$X$157)/2-SUM($P$733:R745)-$X$685,
IF(
AND(P748="",P749=""),
(($X$155-$X$157)/2)-$X$676+(P746+$X$677)/2,
""
)
)
)
)</f>
        <v/>
      </c>
      <c r="Y745" s="167"/>
      <c r="Z745" s="167"/>
      <c r="AA745" s="162" t="str">
        <f t="shared" si="24"/>
        <v/>
      </c>
      <c r="AB745" s="162"/>
      <c r="AC745" s="167" t="str">
        <f t="shared" si="23"/>
        <v/>
      </c>
      <c r="AD745" s="167"/>
      <c r="AE745" s="167"/>
      <c r="AF745" s="162"/>
      <c r="AG745" s="162"/>
      <c r="AH745" s="167"/>
      <c r="AI745" s="167"/>
      <c r="AJ745" s="167"/>
      <c r="AK745" s="162"/>
      <c r="AL745" s="162"/>
      <c r="AM745" s="160"/>
      <c r="AN745" s="160"/>
      <c r="AO745" s="160"/>
      <c r="AP745" s="161"/>
    </row>
    <row r="746" spans="3:66" ht="15" customHeight="1" x14ac:dyDescent="0.2">
      <c r="C746" s="4"/>
      <c r="H746" s="166" t="str">
        <f t="shared" si="18"/>
        <v/>
      </c>
      <c r="I746" s="162"/>
      <c r="J746" s="167" t="str">
        <f t="shared" si="25"/>
        <v/>
      </c>
      <c r="K746" s="167"/>
      <c r="L746" s="167"/>
      <c r="M746" s="167" t="str">
        <f>IF(P747="","",IF($X$157+($X$155-$X$157)/2-SUM($P$733:R746)=($X$155-$X$157)/2,"",$X$157+($X$155-$X$157)/2-SUM($P$733:R746)))</f>
        <v/>
      </c>
      <c r="N746" s="167"/>
      <c r="O746" s="167"/>
      <c r="P746" s="167" t="str">
        <f>IF(
    $P745="",
    "",
    IF(
        NOT(ISNUMBER(Inputs!O24)),
        IF($P745=$P$733,"",$P$733),
        IF(
            Inputs!O24=$P$733,
            IF($P745=$P$733,"",Inputs!O24),
            Inputs!O24
        )
    )
)</f>
        <v/>
      </c>
      <c r="Q746" s="167"/>
      <c r="R746" s="167"/>
      <c r="S746" s="162" t="str">
        <f t="shared" si="22"/>
        <v/>
      </c>
      <c r="T746" s="162"/>
      <c r="U746" s="167" t="str">
        <f t="shared" si="26"/>
        <v/>
      </c>
      <c r="V746" s="167"/>
      <c r="W746" s="167"/>
      <c r="X746" s="167" t="str">
        <f>IF(
NOT(ISNUMBER(P748)),
"",
IF(
AND(ISNUMBER(P749),ISNUMBER(P750)),
$X$157+($X$155-$X$157)/2-SUM($P$733:R746)-P747/2,
IF(
AND(ISNUMBER(P749),P750=""),
$X$157+($X$155-$X$157)/2-SUM($P$733:R746)-$X$685,
IF(
AND(P749="",P750=""),
(($X$155-$X$157)/2)-$X$676+(P747+$X$677)/2,
""
)
)
)
)</f>
        <v/>
      </c>
      <c r="Y746" s="167"/>
      <c r="Z746" s="167"/>
      <c r="AA746" s="162" t="str">
        <f t="shared" si="24"/>
        <v/>
      </c>
      <c r="AB746" s="162"/>
      <c r="AC746" s="167" t="str">
        <f t="shared" si="23"/>
        <v/>
      </c>
      <c r="AD746" s="167"/>
      <c r="AE746" s="167"/>
      <c r="AF746" s="162"/>
      <c r="AG746" s="162"/>
      <c r="AH746" s="167"/>
      <c r="AI746" s="167"/>
      <c r="AJ746" s="167"/>
      <c r="AK746" s="162"/>
      <c r="AL746" s="162"/>
      <c r="AM746" s="160"/>
      <c r="AN746" s="160"/>
      <c r="AO746" s="160"/>
      <c r="AP746" s="161"/>
    </row>
    <row r="747" spans="3:66" ht="15" customHeight="1" x14ac:dyDescent="0.2">
      <c r="C747" s="4"/>
      <c r="H747" s="166" t="str">
        <f t="shared" si="18"/>
        <v/>
      </c>
      <c r="I747" s="162"/>
      <c r="J747" s="167" t="str">
        <f t="shared" si="25"/>
        <v/>
      </c>
      <c r="K747" s="167"/>
      <c r="L747" s="167"/>
      <c r="M747" s="167" t="str">
        <f>IF(P748="","",IF($X$157+($X$155-$X$157)/2-SUM($P$733:R747)=($X$155-$X$157)/2,"",$X$157+($X$155-$X$157)/2-SUM($P$733:R747)))</f>
        <v/>
      </c>
      <c r="N747" s="167"/>
      <c r="O747" s="167"/>
      <c r="P747" s="167" t="str">
        <f>IF(
    $P746="",
    "",
    IF(
        NOT(ISNUMBER(Inputs!O25)),
        IF($P746=$P$733,"",$P$733),
        IF(
            Inputs!O25=$P$733,
            IF($P746=$P$733,"",Inputs!O25),
            Inputs!O25
        )
    )
)</f>
        <v/>
      </c>
      <c r="Q747" s="167"/>
      <c r="R747" s="167"/>
      <c r="S747" s="162" t="str">
        <f t="shared" si="22"/>
        <v/>
      </c>
      <c r="T747" s="162"/>
      <c r="U747" s="167" t="str">
        <f t="shared" si="26"/>
        <v/>
      </c>
      <c r="V747" s="167"/>
      <c r="W747" s="167"/>
      <c r="X747" s="167" t="str">
        <f>IF(
NOT(ISNUMBER(P749)),
"",
IF(
AND(ISNUMBER(P750),ISNUMBER(P751)),
$X$157+($X$155-$X$157)/2-SUM($P$733:R747)-P748/2,
IF(
AND(ISNUMBER(P750),P751=""),
$X$157+($X$155-$X$157)/2-SUM($P$733:R747)-$X$685,
IF(
AND(P750="",P751=""),
(($X$155-$X$157)/2)-$X$676+(P748+$X$677)/2,
""
)
)
)
)</f>
        <v/>
      </c>
      <c r="Y747" s="167"/>
      <c r="Z747" s="167"/>
      <c r="AA747" s="162" t="str">
        <f t="shared" si="24"/>
        <v/>
      </c>
      <c r="AB747" s="162"/>
      <c r="AC747" s="167" t="str">
        <f t="shared" si="23"/>
        <v/>
      </c>
      <c r="AD747" s="167"/>
      <c r="AE747" s="167"/>
      <c r="AF747" s="162"/>
      <c r="AG747" s="162"/>
      <c r="AH747" s="167"/>
      <c r="AI747" s="167"/>
      <c r="AJ747" s="167"/>
      <c r="AK747" s="162"/>
      <c r="AL747" s="162"/>
      <c r="AM747" s="160"/>
      <c r="AN747" s="160"/>
      <c r="AO747" s="160"/>
      <c r="AP747" s="161"/>
    </row>
    <row r="748" spans="3:66" ht="15" customHeight="1" x14ac:dyDescent="0.2">
      <c r="C748" s="4"/>
      <c r="H748" s="166" t="str">
        <f t="shared" si="18"/>
        <v/>
      </c>
      <c r="I748" s="162"/>
      <c r="J748" s="167" t="str">
        <f t="shared" si="25"/>
        <v/>
      </c>
      <c r="K748" s="167"/>
      <c r="L748" s="167"/>
      <c r="M748" s="167" t="str">
        <f>IF(P749="","",IF($X$157+($X$155-$X$157)/2-SUM($P$733:R748)=($X$155-$X$157)/2,"",$X$157+($X$155-$X$157)/2-SUM($P$733:R748)))</f>
        <v/>
      </c>
      <c r="N748" s="167"/>
      <c r="O748" s="167"/>
      <c r="P748" s="167" t="str">
        <f>IF(
    $P747="",
    "",
    IF(
        NOT(ISNUMBER(Inputs!O26)),
        IF($P747=$P$733,"",$P$733),
        IF(
            Inputs!O26=$P$733,
            IF($P747=$P$733,"",Inputs!O26),
            Inputs!O26
        )
    )
)</f>
        <v/>
      </c>
      <c r="Q748" s="167"/>
      <c r="R748" s="167"/>
      <c r="S748" s="162" t="str">
        <f t="shared" si="22"/>
        <v/>
      </c>
      <c r="T748" s="162"/>
      <c r="U748" s="167" t="str">
        <f t="shared" si="26"/>
        <v/>
      </c>
      <c r="V748" s="167"/>
      <c r="W748" s="167"/>
      <c r="X748" s="167" t="str">
        <f>IF(
NOT(ISNUMBER(P750)),
"",
IF(
AND(ISNUMBER(P751),ISNUMBER(P752)),
$X$157+($X$155-$X$157)/2-SUM($P$733:R748)-P749/2,
IF(
AND(ISNUMBER(P751),P752=""),
$X$157+($X$155-$X$157)/2-SUM($P$733:R748)-$X$685,
IF(
AND(P751="",P752=""),
(($X$155-$X$157)/2)-$X$676+(P749+$X$677)/2,
""
)
)
)
)</f>
        <v/>
      </c>
      <c r="Y748" s="167"/>
      <c r="Z748" s="167"/>
      <c r="AA748" s="162" t="str">
        <f t="shared" si="24"/>
        <v/>
      </c>
      <c r="AB748" s="162"/>
      <c r="AC748" s="167" t="str">
        <f t="shared" si="23"/>
        <v/>
      </c>
      <c r="AD748" s="167"/>
      <c r="AE748" s="167"/>
      <c r="AF748" s="162"/>
      <c r="AG748" s="162"/>
      <c r="AH748" s="167"/>
      <c r="AI748" s="167"/>
      <c r="AJ748" s="167"/>
      <c r="AK748" s="162"/>
      <c r="AL748" s="162"/>
      <c r="AM748" s="160"/>
      <c r="AN748" s="160"/>
      <c r="AO748" s="160"/>
      <c r="AP748" s="161"/>
    </row>
    <row r="749" spans="3:66" ht="15" customHeight="1" x14ac:dyDescent="0.2">
      <c r="C749" s="4"/>
      <c r="H749" s="166" t="str">
        <f t="shared" si="18"/>
        <v/>
      </c>
      <c r="I749" s="162"/>
      <c r="J749" s="167" t="str">
        <f t="shared" si="25"/>
        <v/>
      </c>
      <c r="K749" s="167"/>
      <c r="L749" s="167"/>
      <c r="M749" s="167" t="str">
        <f>IF(P750="","",IF($X$157+($X$155-$X$157)/2-SUM($P$733:R749)=($X$155-$X$157)/2,"",$X$157+($X$155-$X$157)/2-SUM($P$733:R749)))</f>
        <v/>
      </c>
      <c r="N749" s="167"/>
      <c r="O749" s="167"/>
      <c r="P749" s="167" t="str">
        <f>IF(
    $P748="",
    "",
    IF(
        NOT(ISNUMBER(Inputs!O27)),
        IF($P748=$P$733,"",$P$733),
        IF(
            Inputs!O27=$P$733,
            IF($P748=$P$733,"",Inputs!O27),
            Inputs!O27
        )
    )
)</f>
        <v/>
      </c>
      <c r="Q749" s="167"/>
      <c r="R749" s="167"/>
      <c r="S749" s="162" t="str">
        <f t="shared" si="22"/>
        <v/>
      </c>
      <c r="T749" s="162"/>
      <c r="U749" s="167" t="str">
        <f t="shared" si="26"/>
        <v/>
      </c>
      <c r="V749" s="167"/>
      <c r="W749" s="167"/>
      <c r="X749" s="167" t="str">
        <f>IF(
NOT(ISNUMBER(P751)),
"",
IF(
AND(ISNUMBER(P752),ISNUMBER(P753)),
$X$157+($X$155-$X$157)/2-SUM($P$733:R749)-P750/2,
IF(
AND(ISNUMBER(P752),P753=""),
$X$157+($X$155-$X$157)/2-SUM($P$733:R749)-$X$685,
IF(
AND(P752="",P753=""),
(($X$155-$X$157)/2)-$X$676+(P750+$X$677)/2,
""
)
)
)
)</f>
        <v/>
      </c>
      <c r="Y749" s="167"/>
      <c r="Z749" s="167"/>
      <c r="AA749" s="162" t="str">
        <f t="shared" si="24"/>
        <v/>
      </c>
      <c r="AB749" s="162"/>
      <c r="AC749" s="167" t="str">
        <f t="shared" si="23"/>
        <v/>
      </c>
      <c r="AD749" s="167"/>
      <c r="AE749" s="167"/>
      <c r="AF749" s="162"/>
      <c r="AG749" s="162"/>
      <c r="AH749" s="167"/>
      <c r="AI749" s="167"/>
      <c r="AJ749" s="167"/>
      <c r="AK749" s="162"/>
      <c r="AL749" s="162"/>
      <c r="AM749" s="160"/>
      <c r="AN749" s="160"/>
      <c r="AO749" s="160"/>
      <c r="AP749" s="161"/>
    </row>
    <row r="750" spans="3:66" ht="15" customHeight="1" x14ac:dyDescent="0.2">
      <c r="C750" s="4"/>
      <c r="H750" s="166" t="str">
        <f t="shared" si="18"/>
        <v/>
      </c>
      <c r="I750" s="162"/>
      <c r="J750" s="167" t="str">
        <f t="shared" si="25"/>
        <v/>
      </c>
      <c r="K750" s="167"/>
      <c r="L750" s="167"/>
      <c r="M750" s="167" t="str">
        <f>IF(P751="","",IF($X$157+($X$155-$X$157)/2-SUM($P$733:R750)=($X$155-$X$157)/2,"",$X$157+($X$155-$X$157)/2-SUM($P$733:R750)))</f>
        <v/>
      </c>
      <c r="N750" s="167"/>
      <c r="O750" s="167"/>
      <c r="P750" s="167" t="str">
        <f>IF(
    $P749="",
    "",
    IF(
        NOT(ISNUMBER(Inputs!O28)),
        IF($P749=$P$733,"",$P$733),
        IF(
            Inputs!O28=$P$733,
            IF($P749=$P$733,"",Inputs!O28),
            Inputs!O28
        )
    )
)</f>
        <v/>
      </c>
      <c r="Q750" s="167"/>
      <c r="R750" s="167"/>
      <c r="S750" s="162" t="str">
        <f t="shared" si="22"/>
        <v/>
      </c>
      <c r="T750" s="162"/>
      <c r="U750" s="167" t="str">
        <f t="shared" si="26"/>
        <v/>
      </c>
      <c r="V750" s="167"/>
      <c r="W750" s="167"/>
      <c r="X750" s="167" t="str">
        <f>IF(
NOT(ISNUMBER(P752)),
"",
IF(
AND(ISNUMBER(P753),ISNUMBER(P758)),
$X$157+($X$155-$X$157)/2-SUM($P$733:R750)-P751/2,
IF(
AND(ISNUMBER(P753),P758=""),
$X$157+($X$155-$X$157)/2-SUM($P$733:R750)-$X$685,
IF(
AND(P753="",P758=""),
(($X$155-$X$157)/2)-$X$676+(P751+$X$677)/2,
""
)
)
)
)</f>
        <v/>
      </c>
      <c r="Y750" s="167"/>
      <c r="Z750" s="167"/>
      <c r="AA750" s="162" t="str">
        <f t="shared" si="24"/>
        <v/>
      </c>
      <c r="AB750" s="162"/>
      <c r="AC750" s="167" t="str">
        <f>IF(
    NOT(ISNUMBER(P752)),
        "",
    IF(
        AND(ISNUMBER(P753), ISNUMBER(P758)),
            $X$673*$X$214,
        IF(
            AND(ISNUMBER(P753), P758=""),
                -$X$672*($X$214/2)-($X$673*($X$214/2)),
            IF(
                AND(P753="", P758=""),
                    -$X$672*(P751+$X$677),
                ""
            )
        )
    )
)</f>
        <v/>
      </c>
      <c r="AD750" s="167"/>
      <c r="AE750" s="167"/>
      <c r="AF750" s="162"/>
      <c r="AG750" s="162"/>
      <c r="AH750" s="167"/>
      <c r="AI750" s="167"/>
      <c r="AJ750" s="167"/>
      <c r="AK750" s="162"/>
      <c r="AL750" s="162"/>
      <c r="AM750" s="160"/>
      <c r="AN750" s="160"/>
      <c r="AO750" s="160"/>
      <c r="AP750" s="161"/>
    </row>
    <row r="751" spans="3:66" ht="15" customHeight="1" x14ac:dyDescent="0.2">
      <c r="C751" s="4"/>
      <c r="H751" s="166" t="str">
        <f t="shared" si="18"/>
        <v/>
      </c>
      <c r="I751" s="162"/>
      <c r="J751" s="167" t="str">
        <f t="shared" si="25"/>
        <v/>
      </c>
      <c r="K751" s="167"/>
      <c r="L751" s="167"/>
      <c r="M751" s="167" t="str">
        <f>IF(P752="","",IF($X$157+($X$155-$X$157)/2-SUM($P$733:R751)=($X$155-$X$157)/2,"",$X$157+($X$155-$X$157)/2-SUM($P$733:R751)))</f>
        <v/>
      </c>
      <c r="N751" s="167"/>
      <c r="O751" s="167"/>
      <c r="P751" s="167" t="str">
        <f>IF(
    $P750="",
    "",
    IF(
        NOT(ISNUMBER(Inputs!O29)),
        IF($P750=$P$733,"",$P$733),
        IF(
            Inputs!O29=$P$733,
            IF($P750=$P$733,"",Inputs!O29),
            Inputs!O29
        )
    )
)</f>
        <v/>
      </c>
      <c r="Q751" s="167"/>
      <c r="R751" s="167"/>
      <c r="S751" s="162" t="str">
        <f t="shared" si="22"/>
        <v/>
      </c>
      <c r="T751" s="162"/>
      <c r="U751" s="167" t="str">
        <f t="shared" si="26"/>
        <v/>
      </c>
      <c r="V751" s="167"/>
      <c r="W751" s="167"/>
      <c r="X751" s="167" t="str">
        <f>IF(
NOT(ISNUMBER(P753)),
"",
IF(
AND(ISNUMBER(P758),ISNUMBER(P759)),
$X$157+($X$155-$X$157)/2-SUM($P$733:R751)-P752/2,
IF(
AND(ISNUMBER(P758),P759=""),
$X$157+($X$155-$X$157)/2-SUM($P$733:R751)-$X$685,
IF(
AND(P758="",P759=""),
(($X$155-$X$157)/2)-$X$676+(P752+$X$677)/2,
""
)
)
)
)</f>
        <v/>
      </c>
      <c r="Y751" s="167"/>
      <c r="Z751" s="167"/>
      <c r="AA751" s="162" t="str">
        <f t="shared" si="24"/>
        <v/>
      </c>
      <c r="AB751" s="162"/>
      <c r="AC751" s="167" t="str">
        <f>IF(
    NOT(ISNUMBER(P753)),
        "",
    IF(
        AND(ISNUMBER(P758), ISNUMBER(P759)),
            $X$673*$X$214,
        IF(
            AND(ISNUMBER(P758), P759=""),
                -$X$672*($X$214/2)-($X$673*($X$214/2)),
            IF(
                AND(P758="", P759=""),
                    -$X$672*(P752+$X$677),
                ""
            )
        )
    )
)</f>
        <v/>
      </c>
      <c r="AD751" s="167"/>
      <c r="AE751" s="167"/>
      <c r="AF751" s="162"/>
      <c r="AG751" s="162"/>
      <c r="AH751" s="167"/>
      <c r="AI751" s="167"/>
      <c r="AJ751" s="167"/>
      <c r="AK751" s="162"/>
      <c r="AL751" s="162"/>
      <c r="AM751" s="160"/>
      <c r="AN751" s="160"/>
      <c r="AO751" s="160"/>
      <c r="AP751" s="161"/>
    </row>
    <row r="752" spans="3:66" ht="15" customHeight="1" x14ac:dyDescent="0.2">
      <c r="C752" s="4"/>
      <c r="H752" s="166" t="str">
        <f t="shared" si="18"/>
        <v/>
      </c>
      <c r="I752" s="162"/>
      <c r="J752" s="167" t="str">
        <f t="shared" si="25"/>
        <v/>
      </c>
      <c r="K752" s="167"/>
      <c r="L752" s="167"/>
      <c r="M752" s="167" t="str">
        <f>IF(P753="","",IF($X$157+($X$155-$X$157)/2-SUM($P$733:R752)=($X$155-$X$157)/2,"",$X$157+($X$155-$X$157)/2-SUM($P$733:R752)))</f>
        <v/>
      </c>
      <c r="N752" s="167"/>
      <c r="O752" s="167"/>
      <c r="P752" s="167" t="str">
        <f>IF(
    $P751="",
    "",
    IF(
        NOT(ISNUMBER(Inputs!O30)),
        IF($P751=$P$733,"",$P$733),
        IF(
            Inputs!O30=$P$733,
            IF($P751=$P$733,"",Inputs!O30),
            Inputs!O30
        )
    )
)</f>
        <v/>
      </c>
      <c r="Q752" s="167"/>
      <c r="R752" s="167"/>
      <c r="S752" s="162" t="str">
        <f>IF(P758&lt;&gt;"",S751+1,"")</f>
        <v/>
      </c>
      <c r="T752" s="162"/>
      <c r="U752" s="167" t="str">
        <f>IF(ISNUMBER(P758),$X$212/2+$X$213/2, "")</f>
        <v/>
      </c>
      <c r="V752" s="167"/>
      <c r="W752" s="167"/>
      <c r="X752" s="167" t="str">
        <f>IF(
NOT(ISNUMBER(P758)),
"",
IF(
AND(ISNUMBER(P759),ISNUMBER(#REF!)),
$X$157+($X$155-$X$157)/2-SUM($P$733:R752)-P753/2,
IF(
AND(ISNUMBER(P759),#REF!=""),
$X$157+($X$155-$X$157)/2-SUM($P$733:R752)-$X$685,
IF(
AND(P759="",#REF!=""),
(($X$155-$X$157)/2)-$X$676+(P753+$X$677)/2,
""
)
)
)
)</f>
        <v/>
      </c>
      <c r="Y752" s="167"/>
      <c r="Z752" s="167"/>
      <c r="AA752" s="162" t="str">
        <f t="shared" si="24"/>
        <v/>
      </c>
      <c r="AB752" s="162"/>
      <c r="AC752" s="167" t="str">
        <f>IF(
    NOT(ISNUMBER(P758)),
        "",
    IF(
        AND(ISNUMBER(P759), ISNUMBER(#REF!)),
            $X$673*$X$214,
        IF(
            AND(ISNUMBER(P759),#REF!= ""),
                -$X$672*($X$214/2)-($X$673*($X$214/2)),
            IF(
                AND(P759="",#REF!= ""),
                    -$X$672*(P753+$X$677),
                ""
            )
        )
    )
)</f>
        <v/>
      </c>
      <c r="AD752" s="167"/>
      <c r="AE752" s="167"/>
      <c r="AF752" s="162"/>
      <c r="AG752" s="162"/>
      <c r="AH752" s="167"/>
      <c r="AI752" s="167"/>
      <c r="AJ752" s="167"/>
      <c r="AK752" s="162"/>
      <c r="AL752" s="162"/>
      <c r="AM752" s="160"/>
      <c r="AN752" s="160"/>
      <c r="AO752" s="160"/>
      <c r="AP752" s="161"/>
    </row>
    <row r="753" spans="3:70" ht="15" customHeight="1" x14ac:dyDescent="0.2">
      <c r="C753" s="4"/>
      <c r="H753" s="206" t="str">
        <f t="shared" si="18"/>
        <v/>
      </c>
      <c r="I753" s="207"/>
      <c r="J753" s="192" t="str">
        <f t="shared" si="25"/>
        <v/>
      </c>
      <c r="K753" s="192"/>
      <c r="L753" s="192"/>
      <c r="M753" s="192" t="str">
        <f>IF(P758="","",IF($X$157+($X$155-$X$157)/2-SUM($P$733:R753)=($X$155-$X$157)/2,"",$X$157+($X$155-$X$157)/2-SUM($P$733:R753)))</f>
        <v/>
      </c>
      <c r="N753" s="192"/>
      <c r="O753" s="192"/>
      <c r="P753" s="192" t="str">
        <f>IF(
    $P752="",
    "",
    IF(
        NOT(ISNUMBER(Inputs!O31)),
        IF($P752=$P$733,"",$P$733),
        IF(
            Inputs!O31=$P$733,
            IF($P752=$P$733,"",Inputs!O31),
            Inputs!O31
        )
    )
)</f>
        <v/>
      </c>
      <c r="Q753" s="192"/>
      <c r="R753" s="192"/>
      <c r="S753" s="207" t="str">
        <f>IF(P759&lt;&gt;"",S752+1,"")</f>
        <v/>
      </c>
      <c r="T753" s="207"/>
      <c r="U753" s="192" t="str">
        <f>IF(ISNUMBER(P759),$X$212/2+$X$213/2, "")</f>
        <v/>
      </c>
      <c r="V753" s="192"/>
      <c r="W753" s="192"/>
      <c r="X753" s="192" t="str">
        <f>IF(
NOT(ISNUMBER(P759)),
"",
IF(
AND(ISNUMBER(#REF!),ISNUMBER(P761)),
$X$157+($X$155-$X$157)/2-SUM($P$733:R753)-P758/2,
IF(
AND(ISNUMBER(#REF!),P761=""),
$X$157+($X$155-$X$157)/2-SUM($P$733:R753)-$X$685,
IF(
AND(#REF!="",P761=""),
(($X$155-$X$157)/2)-$X$676+(P758+$X$677)/2,
""
)
)
)
)</f>
        <v/>
      </c>
      <c r="Y753" s="192"/>
      <c r="Z753" s="192"/>
      <c r="AA753" s="207" t="str">
        <f t="shared" si="24"/>
        <v/>
      </c>
      <c r="AB753" s="207"/>
      <c r="AC753" s="192" t="str">
        <f>IF(
    NOT(ISNUMBER(P759)),
        "",
    IF(
        AND(ISNUMBER(#REF!), ISNUMBER(P761)),
            $X$673*$X$214,
        IF(
            AND(ISNUMBER(#REF!), P761=""),
                -$X$672*($X$214/2)-($X$673*($X$214/2)),
            IF(
                AND(#REF!="", P761=""),
                    -$X$672*(P758+$X$677),
                ""
            )
        )
    )
)</f>
        <v/>
      </c>
      <c r="AD753" s="192"/>
      <c r="AE753" s="192"/>
      <c r="AF753" s="207"/>
      <c r="AG753" s="207"/>
      <c r="AH753" s="192"/>
      <c r="AI753" s="192"/>
      <c r="AJ753" s="192"/>
      <c r="AK753" s="207"/>
      <c r="AL753" s="207"/>
      <c r="AM753" s="236"/>
      <c r="AN753" s="236"/>
      <c r="AO753" s="236"/>
      <c r="AP753" s="237"/>
    </row>
    <row r="754" spans="3:70" ht="15" customHeight="1" x14ac:dyDescent="0.2">
      <c r="C754" s="4"/>
      <c r="H754" s="27"/>
      <c r="I754" s="27"/>
      <c r="J754" s="36"/>
      <c r="K754" s="36"/>
      <c r="L754" s="36"/>
      <c r="M754" s="36"/>
      <c r="N754" s="36"/>
      <c r="O754" s="36"/>
      <c r="P754" s="36"/>
      <c r="Q754" s="36"/>
      <c r="R754" s="36"/>
      <c r="S754" s="27"/>
      <c r="T754" s="27"/>
      <c r="U754" s="36"/>
      <c r="V754" s="36"/>
      <c r="W754" s="36"/>
      <c r="X754" s="36"/>
      <c r="Y754" s="36"/>
      <c r="Z754" s="36"/>
      <c r="AA754" s="27"/>
      <c r="AB754" s="27"/>
      <c r="AC754" s="36"/>
      <c r="AD754" s="36"/>
      <c r="AE754" s="36"/>
      <c r="AF754" s="27"/>
      <c r="AG754" s="27"/>
      <c r="AH754" s="36"/>
      <c r="AI754" s="36"/>
      <c r="AJ754" s="36"/>
      <c r="AK754" s="27"/>
      <c r="AL754" s="27"/>
      <c r="AM754" s="31"/>
      <c r="AN754" s="31"/>
      <c r="AO754" s="31"/>
      <c r="AP754" s="31"/>
    </row>
    <row r="755" spans="3:70" ht="15" customHeight="1" x14ac:dyDescent="0.2">
      <c r="C755" s="4"/>
      <c r="H755" s="27"/>
      <c r="I755" s="27"/>
      <c r="J755" s="36"/>
      <c r="K755" s="36"/>
      <c r="L755" s="36"/>
      <c r="M755" s="36"/>
      <c r="N755" s="36"/>
      <c r="O755" s="36"/>
      <c r="P755" s="36"/>
      <c r="Q755" s="36"/>
      <c r="R755" s="36"/>
      <c r="S755" s="27"/>
      <c r="T755" s="27"/>
      <c r="U755" s="36"/>
      <c r="V755" s="36"/>
      <c r="W755" s="36"/>
      <c r="X755" s="36"/>
      <c r="Y755" s="36"/>
      <c r="Z755" s="36"/>
      <c r="AA755" s="27"/>
      <c r="AB755" s="27"/>
      <c r="AC755" s="36"/>
      <c r="AD755" s="36"/>
      <c r="AE755" s="36"/>
      <c r="AF755" s="27"/>
      <c r="AG755" s="27"/>
      <c r="AH755" s="36"/>
      <c r="AI755" s="36"/>
      <c r="AJ755" s="36"/>
      <c r="AK755" s="27"/>
      <c r="AL755" s="27"/>
      <c r="AM755" s="31"/>
      <c r="AN755" s="31"/>
      <c r="AO755" s="31"/>
      <c r="AP755" s="31"/>
    </row>
    <row r="756" spans="3:70" ht="15" customHeight="1" x14ac:dyDescent="0.2">
      <c r="C756" s="140">
        <v>8.1999999999999993</v>
      </c>
      <c r="D756" s="141"/>
      <c r="E756" s="141"/>
      <c r="F756" s="141"/>
      <c r="G756" s="148" t="s">
        <v>226</v>
      </c>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c r="AD756" s="148"/>
      <c r="AE756" s="148"/>
      <c r="AF756" s="148"/>
      <c r="AG756" s="148"/>
      <c r="AH756" s="148"/>
      <c r="AI756" s="148"/>
      <c r="AJ756" s="148"/>
      <c r="AK756" s="148"/>
      <c r="AL756" s="148"/>
      <c r="AM756" s="148"/>
      <c r="AN756" s="148"/>
      <c r="AO756" s="148"/>
      <c r="AP756" s="148"/>
      <c r="AQ756" s="148"/>
      <c r="AR756" s="148"/>
      <c r="AS756" s="148"/>
      <c r="AT756" s="148"/>
      <c r="AU756" s="148"/>
      <c r="AV756" s="148"/>
      <c r="AW756" s="148"/>
      <c r="AX756" s="148"/>
      <c r="AY756" s="148"/>
      <c r="AZ756" s="148"/>
      <c r="BA756" s="148"/>
      <c r="BB756" s="148"/>
      <c r="BC756" s="148"/>
      <c r="BD756" s="148"/>
      <c r="BE756" s="148"/>
      <c r="BF756" s="148"/>
      <c r="BG756" s="148"/>
      <c r="BH756" s="148"/>
      <c r="BI756" s="148"/>
      <c r="BJ756" s="148"/>
      <c r="BK756" s="148"/>
      <c r="BL756" s="148"/>
      <c r="BM756" s="148"/>
      <c r="BN756" s="148"/>
      <c r="BO756" s="148"/>
      <c r="BP756" s="148"/>
      <c r="BQ756" s="148"/>
      <c r="BR756" s="148"/>
    </row>
    <row r="757" spans="3:70" ht="15" customHeight="1" x14ac:dyDescent="0.2">
      <c r="C757" s="140"/>
      <c r="D757" s="141"/>
      <c r="E757" s="141"/>
      <c r="F757" s="141"/>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c r="AD757" s="148"/>
      <c r="AE757" s="148"/>
      <c r="AF757" s="148"/>
      <c r="AG757" s="148"/>
      <c r="AH757" s="148"/>
      <c r="AI757" s="148"/>
      <c r="AJ757" s="148"/>
      <c r="AK757" s="148"/>
      <c r="AL757" s="148"/>
      <c r="AM757" s="148"/>
      <c r="AN757" s="148"/>
      <c r="AO757" s="148"/>
      <c r="AP757" s="148"/>
      <c r="AQ757" s="148"/>
      <c r="AR757" s="148"/>
      <c r="AS757" s="148"/>
      <c r="AT757" s="148"/>
      <c r="AU757" s="148"/>
      <c r="AV757" s="148"/>
      <c r="AW757" s="148"/>
      <c r="AX757" s="148"/>
      <c r="AY757" s="148"/>
      <c r="AZ757" s="148"/>
      <c r="BA757" s="148"/>
      <c r="BB757" s="148"/>
      <c r="BC757" s="148"/>
      <c r="BD757" s="148"/>
      <c r="BE757" s="148"/>
      <c r="BF757" s="148"/>
      <c r="BG757" s="148"/>
      <c r="BH757" s="148"/>
      <c r="BI757" s="148"/>
      <c r="BJ757" s="148"/>
      <c r="BK757" s="148"/>
      <c r="BL757" s="148"/>
      <c r="BM757" s="148"/>
      <c r="BN757" s="148"/>
      <c r="BO757" s="148"/>
      <c r="BP757" s="148"/>
      <c r="BQ757" s="148"/>
      <c r="BR757" s="148"/>
    </row>
    <row r="758" spans="3:70" ht="15" customHeight="1" x14ac:dyDescent="0.2">
      <c r="C758" s="4"/>
      <c r="D758" s="32"/>
      <c r="E758" s="32"/>
      <c r="F758" s="32"/>
      <c r="G758" s="136" t="s">
        <v>227</v>
      </c>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c r="AH758" s="136"/>
      <c r="AI758" s="136"/>
      <c r="AJ758" s="136"/>
      <c r="AK758" s="136"/>
      <c r="AL758" s="136"/>
      <c r="AM758" s="136"/>
      <c r="AN758" s="136"/>
      <c r="AO758" s="136"/>
      <c r="AP758" s="136"/>
      <c r="AQ758" s="136"/>
      <c r="AR758" s="136"/>
      <c r="AS758" s="136"/>
      <c r="AT758" s="136"/>
      <c r="AU758" s="136"/>
      <c r="AV758" s="136"/>
      <c r="AW758" s="136"/>
      <c r="AX758" s="136"/>
      <c r="AY758" s="136"/>
      <c r="AZ758" s="136"/>
      <c r="BA758" s="136"/>
      <c r="BB758" s="136"/>
      <c r="BC758" s="136"/>
      <c r="BD758" s="136"/>
      <c r="BE758" s="136"/>
      <c r="BF758" s="136"/>
      <c r="BG758" s="136"/>
      <c r="BH758" s="136"/>
      <c r="BI758" s="136"/>
      <c r="BJ758" s="136"/>
      <c r="BK758" s="136"/>
      <c r="BL758" s="136"/>
      <c r="BM758" s="136"/>
      <c r="BN758" s="136"/>
      <c r="BO758" s="136"/>
      <c r="BP758" s="136"/>
      <c r="BQ758" s="136"/>
      <c r="BR758" s="136"/>
    </row>
    <row r="759" spans="3:70" ht="15" customHeight="1" x14ac:dyDescent="0.2">
      <c r="C759" s="39"/>
      <c r="D759" s="32"/>
      <c r="E759" s="32"/>
      <c r="F759" s="32"/>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c r="AH759" s="136"/>
      <c r="AI759" s="136"/>
      <c r="AJ759" s="136"/>
      <c r="AK759" s="136"/>
      <c r="AL759" s="136"/>
      <c r="AM759" s="136"/>
      <c r="AN759" s="136"/>
      <c r="AO759" s="136"/>
      <c r="AP759" s="136"/>
      <c r="AQ759" s="136"/>
      <c r="AR759" s="136"/>
      <c r="AS759" s="136"/>
      <c r="AT759" s="136"/>
      <c r="AU759" s="136"/>
      <c r="AV759" s="136"/>
      <c r="AW759" s="136"/>
      <c r="AX759" s="136"/>
      <c r="AY759" s="136"/>
      <c r="AZ759" s="136"/>
      <c r="BA759" s="136"/>
      <c r="BB759" s="136"/>
      <c r="BC759" s="136"/>
      <c r="BD759" s="136"/>
      <c r="BE759" s="136"/>
      <c r="BF759" s="136"/>
      <c r="BG759" s="136"/>
      <c r="BH759" s="136"/>
      <c r="BI759" s="136"/>
      <c r="BJ759" s="136"/>
      <c r="BK759" s="136"/>
      <c r="BL759" s="136"/>
      <c r="BM759" s="136"/>
      <c r="BN759" s="136"/>
      <c r="BO759" s="136"/>
      <c r="BP759" s="136"/>
      <c r="BQ759" s="136"/>
      <c r="BR759" s="136"/>
    </row>
    <row r="760" spans="3:70" ht="15" customHeight="1" x14ac:dyDescent="0.2">
      <c r="C760" s="39"/>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row>
    <row r="761" spans="3:70" ht="15" customHeight="1" x14ac:dyDescent="0.25">
      <c r="C761" s="4"/>
      <c r="W761" s="12" t="s">
        <v>103</v>
      </c>
      <c r="X761" s="149">
        <f>Inputs!B57</f>
        <v>9</v>
      </c>
      <c r="Y761" s="149"/>
      <c r="Z761" s="149"/>
      <c r="AA761" s="149"/>
      <c r="AB761" s="149"/>
    </row>
    <row r="762" spans="3:70" ht="15" customHeight="1" x14ac:dyDescent="0.2">
      <c r="C762" s="4"/>
      <c r="W762" s="2" t="s">
        <v>280</v>
      </c>
      <c r="X762" s="150">
        <f>Inputs!B58</f>
        <v>6</v>
      </c>
      <c r="Y762" s="150"/>
      <c r="Z762" s="150"/>
      <c r="AA762" s="150"/>
      <c r="AB762" s="150"/>
    </row>
    <row r="763" spans="3:70" ht="15" customHeight="1" x14ac:dyDescent="0.2">
      <c r="C763" s="4"/>
      <c r="W763" s="2" t="s">
        <v>534</v>
      </c>
      <c r="X763" s="150">
        <f>Inputs!B61</f>
        <v>2</v>
      </c>
      <c r="Y763" s="150"/>
      <c r="Z763" s="150"/>
      <c r="AA763" s="150"/>
      <c r="AB763" s="150"/>
    </row>
    <row r="764" spans="3:70" ht="15" customHeight="1" x14ac:dyDescent="0.25">
      <c r="C764" s="4"/>
      <c r="W764" s="12" t="s">
        <v>107</v>
      </c>
      <c r="X764" s="151" cm="1">
        <f t="array" ref="X764">(MAX(ABS(_xlfn._xlws.FILTER(AH733:AH753,ISNUMBER(AH733:AH753))))/(ϕ.t*fy))*10</f>
        <v>68.640837775799696</v>
      </c>
      <c r="Y764" s="151"/>
      <c r="Z764" s="151"/>
      <c r="AA764" s="151"/>
      <c r="AB764" s="151"/>
    </row>
    <row r="765" spans="3:70" ht="15" customHeight="1" x14ac:dyDescent="0.25">
      <c r="C765" s="4"/>
      <c r="W765" s="12" t="s">
        <v>108</v>
      </c>
      <c r="X765" s="151" cm="1">
        <f t="array" ref="X765">(_xlfn.SWITCH(X.B1, 3,0.11, 4,0.2, 5,0.31, 6,0.44, 7,0.6, 8,0.79, 9,1, 10,1.27, 11,1.56, 14,2.25, 18,4,"")*N.B1*No.bundle.Bott)*6.4516</f>
        <v>77.419200000000004</v>
      </c>
      <c r="Y765" s="151"/>
      <c r="Z765" s="151"/>
      <c r="AA765" s="151"/>
      <c r="AB765" s="151"/>
    </row>
    <row r="766" spans="3:70" ht="15" customHeight="1" x14ac:dyDescent="0.2">
      <c r="C766" s="4"/>
    </row>
    <row r="767" spans="3:70" ht="15" customHeight="1" x14ac:dyDescent="0.2">
      <c r="C767" s="4"/>
    </row>
    <row r="768" spans="3:70" ht="15" customHeight="1" x14ac:dyDescent="0.2">
      <c r="C768" s="4"/>
    </row>
    <row r="769" spans="3:21" ht="15" customHeight="1" x14ac:dyDescent="0.2">
      <c r="C769" s="4"/>
    </row>
    <row r="770" spans="3:21" ht="15" customHeight="1" x14ac:dyDescent="0.2">
      <c r="C770" s="4"/>
      <c r="R770" s="12"/>
      <c r="S770" s="139"/>
      <c r="T770" s="139"/>
      <c r="U770" s="139"/>
    </row>
    <row r="771" spans="3:21" ht="15" customHeight="1" x14ac:dyDescent="0.2">
      <c r="C771" s="4"/>
      <c r="R771" s="12"/>
      <c r="S771" s="139"/>
      <c r="T771" s="139"/>
      <c r="U771" s="139"/>
    </row>
    <row r="772" spans="3:21" ht="15" customHeight="1" x14ac:dyDescent="0.2">
      <c r="C772" s="55"/>
    </row>
    <row r="773" spans="3:21" ht="15" customHeight="1" x14ac:dyDescent="0.2">
      <c r="C773" s="55"/>
    </row>
    <row r="774" spans="3:21" ht="15" customHeight="1" x14ac:dyDescent="0.2">
      <c r="C774" s="55"/>
    </row>
    <row r="775" spans="3:21" ht="15" customHeight="1" x14ac:dyDescent="0.2">
      <c r="C775" s="55"/>
    </row>
    <row r="776" spans="3:21" ht="15" customHeight="1" x14ac:dyDescent="0.2">
      <c r="C776" s="55"/>
    </row>
    <row r="777" spans="3:21" ht="15" customHeight="1" x14ac:dyDescent="0.2">
      <c r="C777" s="55"/>
    </row>
    <row r="778" spans="3:21" ht="15" customHeight="1" x14ac:dyDescent="0.2">
      <c r="C778" s="55"/>
    </row>
    <row r="779" spans="3:21" ht="15" customHeight="1" x14ac:dyDescent="0.2">
      <c r="C779" s="55"/>
    </row>
    <row r="780" spans="3:21" ht="15" customHeight="1" x14ac:dyDescent="0.2">
      <c r="C780" s="55"/>
    </row>
    <row r="781" spans="3:21" ht="15" customHeight="1" x14ac:dyDescent="0.2">
      <c r="C781" s="55"/>
    </row>
    <row r="782" spans="3:21" ht="15" customHeight="1" x14ac:dyDescent="0.2">
      <c r="C782" s="55"/>
    </row>
    <row r="783" spans="3:21" ht="15" customHeight="1" x14ac:dyDescent="0.2">
      <c r="C783" s="55"/>
    </row>
    <row r="784" spans="3:21" ht="15" customHeight="1" x14ac:dyDescent="0.2">
      <c r="C784" s="55"/>
    </row>
    <row r="785" spans="3:3" ht="15" customHeight="1" x14ac:dyDescent="0.2">
      <c r="C785" s="55"/>
    </row>
    <row r="786" spans="3:3" ht="15" customHeight="1" x14ac:dyDescent="0.2">
      <c r="C786" s="55"/>
    </row>
    <row r="787" spans="3:3" ht="15" customHeight="1" x14ac:dyDescent="0.2">
      <c r="C787" s="55"/>
    </row>
    <row r="788" spans="3:3" ht="15" customHeight="1" x14ac:dyDescent="0.2">
      <c r="C788" s="55"/>
    </row>
    <row r="789" spans="3:3" ht="15" customHeight="1" x14ac:dyDescent="0.2">
      <c r="C789" s="55"/>
    </row>
    <row r="790" spans="3:3" ht="15" customHeight="1" x14ac:dyDescent="0.2">
      <c r="C790" s="55"/>
    </row>
    <row r="791" spans="3:3" ht="15" customHeight="1" x14ac:dyDescent="0.2">
      <c r="C791" s="55"/>
    </row>
    <row r="792" spans="3:3" ht="15" customHeight="1" x14ac:dyDescent="0.2">
      <c r="C792" s="55"/>
    </row>
    <row r="793" spans="3:3" ht="15" customHeight="1" x14ac:dyDescent="0.2">
      <c r="C793" s="55"/>
    </row>
    <row r="794" spans="3:3" ht="15" customHeight="1" x14ac:dyDescent="0.2">
      <c r="C794" s="55"/>
    </row>
    <row r="795" spans="3:3" ht="15" customHeight="1" x14ac:dyDescent="0.2">
      <c r="C795" s="55"/>
    </row>
    <row r="796" spans="3:3" ht="15" customHeight="1" x14ac:dyDescent="0.2">
      <c r="C796" s="55"/>
    </row>
    <row r="797" spans="3:3" ht="15" customHeight="1" x14ac:dyDescent="0.2">
      <c r="C797" s="55"/>
    </row>
    <row r="798" spans="3:3" ht="15" customHeight="1" x14ac:dyDescent="0.2">
      <c r="C798" s="55"/>
    </row>
    <row r="799" spans="3:3" ht="15" customHeight="1" x14ac:dyDescent="0.2">
      <c r="C799" s="55"/>
    </row>
  </sheetData>
  <mergeCells count="922">
    <mergeCell ref="AH553:AJ555"/>
    <mergeCell ref="AK553:AL555"/>
    <mergeCell ref="AM553:AP555"/>
    <mergeCell ref="H730:I732"/>
    <mergeCell ref="J730:L732"/>
    <mergeCell ref="M730:O732"/>
    <mergeCell ref="P730:R732"/>
    <mergeCell ref="S730:T732"/>
    <mergeCell ref="U730:W732"/>
    <mergeCell ref="X730:Z732"/>
    <mergeCell ref="AA730:AB732"/>
    <mergeCell ref="AC730:AE732"/>
    <mergeCell ref="AF730:AG732"/>
    <mergeCell ref="AH730:AJ732"/>
    <mergeCell ref="AK730:AL732"/>
    <mergeCell ref="AM730:AP732"/>
    <mergeCell ref="H553:I555"/>
    <mergeCell ref="J553:L555"/>
    <mergeCell ref="M553:O555"/>
    <mergeCell ref="P553:R555"/>
    <mergeCell ref="S553:T555"/>
    <mergeCell ref="U553:W555"/>
    <mergeCell ref="X553:Z555"/>
    <mergeCell ref="AA553:AB555"/>
    <mergeCell ref="AC553:AE555"/>
    <mergeCell ref="AC743:AE743"/>
    <mergeCell ref="AC744:AE744"/>
    <mergeCell ref="AM752:AP752"/>
    <mergeCell ref="BL220:BM220"/>
    <mergeCell ref="AM753:AP753"/>
    <mergeCell ref="H575:I575"/>
    <mergeCell ref="J575:L575"/>
    <mergeCell ref="M575:O575"/>
    <mergeCell ref="P575:R575"/>
    <mergeCell ref="S575:T575"/>
    <mergeCell ref="U575:W575"/>
    <mergeCell ref="X575:Z575"/>
    <mergeCell ref="AA575:AB575"/>
    <mergeCell ref="AC575:AE575"/>
    <mergeCell ref="AF575:AG575"/>
    <mergeCell ref="AH575:AJ575"/>
    <mergeCell ref="AK575:AL575"/>
    <mergeCell ref="AM575:AP575"/>
    <mergeCell ref="H752:I752"/>
    <mergeCell ref="J752:L752"/>
    <mergeCell ref="M752:O752"/>
    <mergeCell ref="AF553:AG555"/>
    <mergeCell ref="AM744:AP744"/>
    <mergeCell ref="AH753:AJ753"/>
    <mergeCell ref="AK753:AL753"/>
    <mergeCell ref="AK751:AL751"/>
    <mergeCell ref="AK750:AL750"/>
    <mergeCell ref="AK749:AL749"/>
    <mergeCell ref="AK748:AL748"/>
    <mergeCell ref="AH752:AJ752"/>
    <mergeCell ref="AK752:AL752"/>
    <mergeCell ref="AF744:AG744"/>
    <mergeCell ref="AH744:AJ744"/>
    <mergeCell ref="AH745:AJ745"/>
    <mergeCell ref="AH746:AJ746"/>
    <mergeCell ref="AH747:AJ747"/>
    <mergeCell ref="AH748:AJ748"/>
    <mergeCell ref="AK747:AL747"/>
    <mergeCell ref="AK746:AL746"/>
    <mergeCell ref="AK745:AL745"/>
    <mergeCell ref="AK744:AL744"/>
    <mergeCell ref="AF752:AG752"/>
    <mergeCell ref="AH749:AJ749"/>
    <mergeCell ref="AH750:AJ750"/>
    <mergeCell ref="AH751:AJ751"/>
    <mergeCell ref="AC753:AE753"/>
    <mergeCell ref="AF753:AG753"/>
    <mergeCell ref="AF751:AG751"/>
    <mergeCell ref="AF750:AG750"/>
    <mergeCell ref="AF749:AG749"/>
    <mergeCell ref="AF748:AG748"/>
    <mergeCell ref="AF747:AG747"/>
    <mergeCell ref="AF746:AG746"/>
    <mergeCell ref="AF745:AG745"/>
    <mergeCell ref="AC745:AE745"/>
    <mergeCell ref="AC746:AE746"/>
    <mergeCell ref="AC747:AE747"/>
    <mergeCell ref="AC748:AE748"/>
    <mergeCell ref="AC749:AE749"/>
    <mergeCell ref="AC750:AE750"/>
    <mergeCell ref="AC751:AE751"/>
    <mergeCell ref="AC752:AE752"/>
    <mergeCell ref="AA753:AB753"/>
    <mergeCell ref="AA751:AB751"/>
    <mergeCell ref="AA750:AB750"/>
    <mergeCell ref="AA749:AB749"/>
    <mergeCell ref="AA748:AB748"/>
    <mergeCell ref="AA747:AB747"/>
    <mergeCell ref="AA746:AB746"/>
    <mergeCell ref="AA745:AB745"/>
    <mergeCell ref="AA743:AB743"/>
    <mergeCell ref="AA744:AB744"/>
    <mergeCell ref="AA752:AB752"/>
    <mergeCell ref="U753:W753"/>
    <mergeCell ref="U751:W751"/>
    <mergeCell ref="U750:W750"/>
    <mergeCell ref="U749:W749"/>
    <mergeCell ref="U748:W748"/>
    <mergeCell ref="U747:W747"/>
    <mergeCell ref="U746:W746"/>
    <mergeCell ref="U745:W745"/>
    <mergeCell ref="U744:W744"/>
    <mergeCell ref="U752:W752"/>
    <mergeCell ref="X753:Z753"/>
    <mergeCell ref="X751:Z751"/>
    <mergeCell ref="X750:Z750"/>
    <mergeCell ref="X749:Z749"/>
    <mergeCell ref="X748:Z748"/>
    <mergeCell ref="X747:Z747"/>
    <mergeCell ref="X746:Z746"/>
    <mergeCell ref="X745:Z745"/>
    <mergeCell ref="X744:Z744"/>
    <mergeCell ref="X752:Z752"/>
    <mergeCell ref="P752:R752"/>
    <mergeCell ref="S752:T752"/>
    <mergeCell ref="S753:T753"/>
    <mergeCell ref="S751:T751"/>
    <mergeCell ref="S750:T750"/>
    <mergeCell ref="S749:T749"/>
    <mergeCell ref="S748:T748"/>
    <mergeCell ref="S747:T747"/>
    <mergeCell ref="S746:T746"/>
    <mergeCell ref="AM745:AP745"/>
    <mergeCell ref="AM746:AP746"/>
    <mergeCell ref="AM747:AP747"/>
    <mergeCell ref="AM748:AP748"/>
    <mergeCell ref="AM749:AP749"/>
    <mergeCell ref="AM750:AP750"/>
    <mergeCell ref="AM751:AP751"/>
    <mergeCell ref="AC735:AE735"/>
    <mergeCell ref="AC733:AE733"/>
    <mergeCell ref="M751:O751"/>
    <mergeCell ref="M750:O750"/>
    <mergeCell ref="M749:O749"/>
    <mergeCell ref="M748:O748"/>
    <mergeCell ref="M747:O747"/>
    <mergeCell ref="M746:O746"/>
    <mergeCell ref="M745:O745"/>
    <mergeCell ref="M744:O744"/>
    <mergeCell ref="P746:R746"/>
    <mergeCell ref="P745:R745"/>
    <mergeCell ref="P744:R744"/>
    <mergeCell ref="G592:BR592"/>
    <mergeCell ref="AR646:BP647"/>
    <mergeCell ref="H666:AM666"/>
    <mergeCell ref="G639:BR645"/>
    <mergeCell ref="G688:BR688"/>
    <mergeCell ref="G668:BR668"/>
    <mergeCell ref="I690:W690"/>
    <mergeCell ref="S574:T574"/>
    <mergeCell ref="U576:W576"/>
    <mergeCell ref="U574:W574"/>
    <mergeCell ref="X576:Z576"/>
    <mergeCell ref="X574:Z574"/>
    <mergeCell ref="AA576:AB576"/>
    <mergeCell ref="AA574:AB574"/>
    <mergeCell ref="AC576:AE576"/>
    <mergeCell ref="AC574:AE574"/>
    <mergeCell ref="J574:L574"/>
    <mergeCell ref="H576:I576"/>
    <mergeCell ref="H574:I574"/>
    <mergeCell ref="AH576:AJ576"/>
    <mergeCell ref="AH574:AJ574"/>
    <mergeCell ref="AK576:AL576"/>
    <mergeCell ref="AK574:AL574"/>
    <mergeCell ref="AM574:AP574"/>
    <mergeCell ref="AM737:AP737"/>
    <mergeCell ref="AF738:AG738"/>
    <mergeCell ref="AH738:AJ738"/>
    <mergeCell ref="AK738:AL738"/>
    <mergeCell ref="AM738:AP738"/>
    <mergeCell ref="AK739:AL739"/>
    <mergeCell ref="AF742:AG742"/>
    <mergeCell ref="AH743:AJ743"/>
    <mergeCell ref="AH741:AJ741"/>
    <mergeCell ref="AH740:AJ740"/>
    <mergeCell ref="AK742:AL742"/>
    <mergeCell ref="AK741:AL741"/>
    <mergeCell ref="AK740:AL740"/>
    <mergeCell ref="AM742:AP742"/>
    <mergeCell ref="AM741:AP741"/>
    <mergeCell ref="AM740:AP740"/>
    <mergeCell ref="AF740:AG740"/>
    <mergeCell ref="AF741:AG741"/>
    <mergeCell ref="AM739:AP739"/>
    <mergeCell ref="AM743:AP743"/>
    <mergeCell ref="AF743:AG743"/>
    <mergeCell ref="AK743:AL743"/>
    <mergeCell ref="AF737:AG737"/>
    <mergeCell ref="AF739:AG739"/>
    <mergeCell ref="S770:U770"/>
    <mergeCell ref="S771:U771"/>
    <mergeCell ref="P740:R740"/>
    <mergeCell ref="M740:O740"/>
    <mergeCell ref="P741:R741"/>
    <mergeCell ref="M741:O741"/>
    <mergeCell ref="S740:T740"/>
    <mergeCell ref="S741:T741"/>
    <mergeCell ref="S742:T742"/>
    <mergeCell ref="P742:R742"/>
    <mergeCell ref="M742:O742"/>
    <mergeCell ref="U742:W742"/>
    <mergeCell ref="U741:W741"/>
    <mergeCell ref="U740:W740"/>
    <mergeCell ref="P753:R753"/>
    <mergeCell ref="P751:R751"/>
    <mergeCell ref="P750:R750"/>
    <mergeCell ref="P749:R749"/>
    <mergeCell ref="P748:R748"/>
    <mergeCell ref="P747:R747"/>
    <mergeCell ref="M743:O743"/>
    <mergeCell ref="P743:R743"/>
    <mergeCell ref="S743:T743"/>
    <mergeCell ref="M753:O753"/>
    <mergeCell ref="H750:I750"/>
    <mergeCell ref="H749:I749"/>
    <mergeCell ref="H748:I748"/>
    <mergeCell ref="H747:I747"/>
    <mergeCell ref="H746:I746"/>
    <mergeCell ref="H745:I745"/>
    <mergeCell ref="H744:I744"/>
    <mergeCell ref="AA742:AB742"/>
    <mergeCell ref="AA741:AB741"/>
    <mergeCell ref="S745:T745"/>
    <mergeCell ref="S744:T744"/>
    <mergeCell ref="U743:W743"/>
    <mergeCell ref="X743:Z743"/>
    <mergeCell ref="J742:L742"/>
    <mergeCell ref="J741:L741"/>
    <mergeCell ref="H742:I742"/>
    <mergeCell ref="H741:I741"/>
    <mergeCell ref="X742:Z742"/>
    <mergeCell ref="X741:Z741"/>
    <mergeCell ref="AM559:AP559"/>
    <mergeCell ref="AM560:AP560"/>
    <mergeCell ref="AM561:AP561"/>
    <mergeCell ref="AM562:AP562"/>
    <mergeCell ref="AH559:AJ559"/>
    <mergeCell ref="AH560:AJ560"/>
    <mergeCell ref="AH561:AJ561"/>
    <mergeCell ref="AM556:AP556"/>
    <mergeCell ref="AM557:AP557"/>
    <mergeCell ref="AM558:AP558"/>
    <mergeCell ref="AK556:AL556"/>
    <mergeCell ref="AK560:AL560"/>
    <mergeCell ref="AK561:AL561"/>
    <mergeCell ref="AK557:AL557"/>
    <mergeCell ref="AK558:AL558"/>
    <mergeCell ref="AW435:AY435"/>
    <mergeCell ref="BF385:BJ385"/>
    <mergeCell ref="BF386:BJ386"/>
    <mergeCell ref="BF387:BJ387"/>
    <mergeCell ref="BF388:BJ388"/>
    <mergeCell ref="AU381:AY381"/>
    <mergeCell ref="AU382:AY382"/>
    <mergeCell ref="AU383:AY383"/>
    <mergeCell ref="AU384:AY384"/>
    <mergeCell ref="AU385:AY385"/>
    <mergeCell ref="AU386:AY386"/>
    <mergeCell ref="AU387:AY387"/>
    <mergeCell ref="AU388:AY388"/>
    <mergeCell ref="BS1:BV1"/>
    <mergeCell ref="BW1:BY1"/>
    <mergeCell ref="BS2:BV2"/>
    <mergeCell ref="BW2:BY2"/>
    <mergeCell ref="BS3:BV3"/>
    <mergeCell ref="BW3:BY3"/>
    <mergeCell ref="E6:BR6"/>
    <mergeCell ref="BS6:BV6"/>
    <mergeCell ref="BW6:BY6"/>
    <mergeCell ref="BG1:BR2"/>
    <mergeCell ref="A4:D4"/>
    <mergeCell ref="E4:BR4"/>
    <mergeCell ref="BS4:BV4"/>
    <mergeCell ref="BW4:BY4"/>
    <mergeCell ref="A5:D5"/>
    <mergeCell ref="BS5:BV5"/>
    <mergeCell ref="BW5:BY5"/>
    <mergeCell ref="E5:BR5"/>
    <mergeCell ref="BT9:BY9"/>
    <mergeCell ref="A6:D6"/>
    <mergeCell ref="A8:BS9"/>
    <mergeCell ref="G362:BR363"/>
    <mergeCell ref="G368:BR369"/>
    <mergeCell ref="X365:AB365"/>
    <mergeCell ref="X366:AB366"/>
    <mergeCell ref="X367:AB367"/>
    <mergeCell ref="N381:R381"/>
    <mergeCell ref="N382:R382"/>
    <mergeCell ref="G202:BR203"/>
    <mergeCell ref="C209:F210"/>
    <mergeCell ref="G209:BR210"/>
    <mergeCell ref="C216:F217"/>
    <mergeCell ref="G216:BR217"/>
    <mergeCell ref="C228:D229"/>
    <mergeCell ref="E228:BS229"/>
    <mergeCell ref="C241:F242"/>
    <mergeCell ref="G241:BR242"/>
    <mergeCell ref="X221:AB221"/>
    <mergeCell ref="X222:AB222"/>
    <mergeCell ref="X223:AB223"/>
    <mergeCell ref="X224:AB224"/>
    <mergeCell ref="X219:AB219"/>
    <mergeCell ref="X220:AB220"/>
    <mergeCell ref="Y382:AC382"/>
    <mergeCell ref="BF381:BJ381"/>
    <mergeCell ref="AF562:AG562"/>
    <mergeCell ref="AK562:AL562"/>
    <mergeCell ref="AA556:AB556"/>
    <mergeCell ref="AA557:AB557"/>
    <mergeCell ref="AA558:AB558"/>
    <mergeCell ref="AA559:AB559"/>
    <mergeCell ref="AA560:AB560"/>
    <mergeCell ref="AA561:AB561"/>
    <mergeCell ref="AA562:AB562"/>
    <mergeCell ref="AC559:AE559"/>
    <mergeCell ref="AC560:AE560"/>
    <mergeCell ref="AC556:AE556"/>
    <mergeCell ref="AC557:AE557"/>
    <mergeCell ref="AC558:AE558"/>
    <mergeCell ref="AH557:AJ557"/>
    <mergeCell ref="AH558:AJ558"/>
    <mergeCell ref="AC561:AE561"/>
    <mergeCell ref="AC562:AE562"/>
    <mergeCell ref="AH556:AJ556"/>
    <mergeCell ref="AF556:AG556"/>
    <mergeCell ref="AH562:AJ562"/>
    <mergeCell ref="AK559:AL559"/>
    <mergeCell ref="AF561:AG561"/>
    <mergeCell ref="AF560:AG560"/>
    <mergeCell ref="AF559:AG559"/>
    <mergeCell ref="AF558:AG558"/>
    <mergeCell ref="AF557:AG557"/>
    <mergeCell ref="S556:T556"/>
    <mergeCell ref="S557:T557"/>
    <mergeCell ref="S558:T558"/>
    <mergeCell ref="S559:T559"/>
    <mergeCell ref="S560:T560"/>
    <mergeCell ref="S561:T561"/>
    <mergeCell ref="AF563:AG563"/>
    <mergeCell ref="AH563:AJ563"/>
    <mergeCell ref="AK563:AL563"/>
    <mergeCell ref="H556:I556"/>
    <mergeCell ref="H557:I557"/>
    <mergeCell ref="H558:I558"/>
    <mergeCell ref="H559:I559"/>
    <mergeCell ref="H560:I560"/>
    <mergeCell ref="H561:I561"/>
    <mergeCell ref="X556:Z556"/>
    <mergeCell ref="X557:Z557"/>
    <mergeCell ref="X558:Z558"/>
    <mergeCell ref="X559:Z559"/>
    <mergeCell ref="X560:Z560"/>
    <mergeCell ref="X561:Z561"/>
    <mergeCell ref="U556:W556"/>
    <mergeCell ref="U557:W557"/>
    <mergeCell ref="U558:W558"/>
    <mergeCell ref="U559:W559"/>
    <mergeCell ref="P561:R561"/>
    <mergeCell ref="S562:T562"/>
    <mergeCell ref="M563:O563"/>
    <mergeCell ref="U560:W560"/>
    <mergeCell ref="U561:W561"/>
    <mergeCell ref="AC563:AE563"/>
    <mergeCell ref="U562:W562"/>
    <mergeCell ref="M562:O562"/>
    <mergeCell ref="M557:O557"/>
    <mergeCell ref="M558:O558"/>
    <mergeCell ref="M559:O559"/>
    <mergeCell ref="M560:O560"/>
    <mergeCell ref="M561:O561"/>
    <mergeCell ref="AA563:AB563"/>
    <mergeCell ref="S563:T563"/>
    <mergeCell ref="U563:W563"/>
    <mergeCell ref="X563:Z563"/>
    <mergeCell ref="P562:R562"/>
    <mergeCell ref="P560:R560"/>
    <mergeCell ref="P559:R559"/>
    <mergeCell ref="P558:R558"/>
    <mergeCell ref="P557:R557"/>
    <mergeCell ref="X562:Z562"/>
    <mergeCell ref="P563:R563"/>
    <mergeCell ref="H568:I568"/>
    <mergeCell ref="H569:I569"/>
    <mergeCell ref="H570:I570"/>
    <mergeCell ref="H571:I571"/>
    <mergeCell ref="H572:I572"/>
    <mergeCell ref="H573:I573"/>
    <mergeCell ref="J568:L568"/>
    <mergeCell ref="H562:I562"/>
    <mergeCell ref="J557:L557"/>
    <mergeCell ref="J558:L558"/>
    <mergeCell ref="J559:L559"/>
    <mergeCell ref="J560:L560"/>
    <mergeCell ref="J561:L561"/>
    <mergeCell ref="J573:L573"/>
    <mergeCell ref="J572:L572"/>
    <mergeCell ref="H563:I563"/>
    <mergeCell ref="J563:L563"/>
    <mergeCell ref="J571:L571"/>
    <mergeCell ref="M572:O572"/>
    <mergeCell ref="M573:O573"/>
    <mergeCell ref="P572:R572"/>
    <mergeCell ref="P573:R573"/>
    <mergeCell ref="P576:R576"/>
    <mergeCell ref="P574:R574"/>
    <mergeCell ref="M576:O576"/>
    <mergeCell ref="M574:O574"/>
    <mergeCell ref="H564:I564"/>
    <mergeCell ref="H565:I565"/>
    <mergeCell ref="H566:I566"/>
    <mergeCell ref="H567:I567"/>
    <mergeCell ref="J564:L564"/>
    <mergeCell ref="J565:L565"/>
    <mergeCell ref="J566:L566"/>
    <mergeCell ref="J567:L567"/>
    <mergeCell ref="P564:R564"/>
    <mergeCell ref="P565:R565"/>
    <mergeCell ref="P566:R566"/>
    <mergeCell ref="P567:R567"/>
    <mergeCell ref="P568:R568"/>
    <mergeCell ref="P569:R569"/>
    <mergeCell ref="P570:R570"/>
    <mergeCell ref="P571:R571"/>
    <mergeCell ref="P556:R556"/>
    <mergeCell ref="J562:L562"/>
    <mergeCell ref="J556:L556"/>
    <mergeCell ref="M556:O556"/>
    <mergeCell ref="J569:L569"/>
    <mergeCell ref="J570:L570"/>
    <mergeCell ref="M564:O564"/>
    <mergeCell ref="M565:O565"/>
    <mergeCell ref="M566:O566"/>
    <mergeCell ref="M567:O567"/>
    <mergeCell ref="M568:O568"/>
    <mergeCell ref="M569:O569"/>
    <mergeCell ref="M570:O570"/>
    <mergeCell ref="M571:O571"/>
    <mergeCell ref="U571:W571"/>
    <mergeCell ref="U573:W573"/>
    <mergeCell ref="X573:Z573"/>
    <mergeCell ref="U568:W568"/>
    <mergeCell ref="U569:W569"/>
    <mergeCell ref="U564:W564"/>
    <mergeCell ref="U565:W565"/>
    <mergeCell ref="U566:W566"/>
    <mergeCell ref="U567:W567"/>
    <mergeCell ref="S567:T567"/>
    <mergeCell ref="S568:T568"/>
    <mergeCell ref="S569:T569"/>
    <mergeCell ref="S570:T570"/>
    <mergeCell ref="S571:T571"/>
    <mergeCell ref="S572:T572"/>
    <mergeCell ref="U572:W572"/>
    <mergeCell ref="S573:T573"/>
    <mergeCell ref="U570:W570"/>
    <mergeCell ref="X564:Z564"/>
    <mergeCell ref="X565:Z565"/>
    <mergeCell ref="S564:T564"/>
    <mergeCell ref="S565:T565"/>
    <mergeCell ref="S566:T566"/>
    <mergeCell ref="AA566:AB566"/>
    <mergeCell ref="AA567:AB567"/>
    <mergeCell ref="AA568:AB568"/>
    <mergeCell ref="AA569:AB569"/>
    <mergeCell ref="AA570:AB570"/>
    <mergeCell ref="AA571:AB571"/>
    <mergeCell ref="AA572:AB572"/>
    <mergeCell ref="AA573:AB573"/>
    <mergeCell ref="X566:Z566"/>
    <mergeCell ref="X567:Z567"/>
    <mergeCell ref="X568:Z568"/>
    <mergeCell ref="X569:Z569"/>
    <mergeCell ref="X570:Z570"/>
    <mergeCell ref="X571:Z571"/>
    <mergeCell ref="X572:Z572"/>
    <mergeCell ref="AF569:AG569"/>
    <mergeCell ref="AF570:AG570"/>
    <mergeCell ref="AC564:AE564"/>
    <mergeCell ref="AC565:AE565"/>
    <mergeCell ref="AC566:AE566"/>
    <mergeCell ref="AC567:AE567"/>
    <mergeCell ref="AC568:AE568"/>
    <mergeCell ref="AC569:AE569"/>
    <mergeCell ref="AC570:AE570"/>
    <mergeCell ref="AA564:AB564"/>
    <mergeCell ref="AA565:AB565"/>
    <mergeCell ref="AF573:AG573"/>
    <mergeCell ref="AC573:AE573"/>
    <mergeCell ref="AK568:AL568"/>
    <mergeCell ref="AK569:AL569"/>
    <mergeCell ref="AK570:AL570"/>
    <mergeCell ref="AK571:AL571"/>
    <mergeCell ref="AK572:AL572"/>
    <mergeCell ref="AH573:AJ573"/>
    <mergeCell ref="AF572:AG572"/>
    <mergeCell ref="AF571:AG571"/>
    <mergeCell ref="AH568:AJ568"/>
    <mergeCell ref="AH569:AJ569"/>
    <mergeCell ref="AH570:AJ570"/>
    <mergeCell ref="AH572:AJ572"/>
    <mergeCell ref="AC571:AE571"/>
    <mergeCell ref="AC572:AE572"/>
    <mergeCell ref="AH571:AJ571"/>
    <mergeCell ref="AF564:AG564"/>
    <mergeCell ref="AF565:AG565"/>
    <mergeCell ref="AF566:AG566"/>
    <mergeCell ref="AF567:AG567"/>
    <mergeCell ref="AF568:AG568"/>
    <mergeCell ref="AM566:AP566"/>
    <mergeCell ref="AK564:AL564"/>
    <mergeCell ref="AK565:AL565"/>
    <mergeCell ref="AH564:AJ564"/>
    <mergeCell ref="AH565:AJ565"/>
    <mergeCell ref="AH566:AJ566"/>
    <mergeCell ref="AH567:AJ567"/>
    <mergeCell ref="AM573:AP573"/>
    <mergeCell ref="AM572:AP572"/>
    <mergeCell ref="AM571:AP571"/>
    <mergeCell ref="AM570:AP570"/>
    <mergeCell ref="AM569:AP569"/>
    <mergeCell ref="AM568:AP568"/>
    <mergeCell ref="AM567:AP567"/>
    <mergeCell ref="H733:I733"/>
    <mergeCell ref="J733:L733"/>
    <mergeCell ref="M733:O733"/>
    <mergeCell ref="P733:R733"/>
    <mergeCell ref="S733:T733"/>
    <mergeCell ref="U733:W733"/>
    <mergeCell ref="X733:Z733"/>
    <mergeCell ref="AA733:AB733"/>
    <mergeCell ref="AF576:AG576"/>
    <mergeCell ref="J576:L576"/>
    <mergeCell ref="S576:T576"/>
    <mergeCell ref="X585:AB585"/>
    <mergeCell ref="X586:AB586"/>
    <mergeCell ref="X587:AB587"/>
    <mergeCell ref="X588:AB588"/>
    <mergeCell ref="X589:AB589"/>
    <mergeCell ref="I691:W691"/>
    <mergeCell ref="I692:W692"/>
    <mergeCell ref="I693:W693"/>
    <mergeCell ref="I694:W694"/>
    <mergeCell ref="I695:W695"/>
    <mergeCell ref="I696:W696"/>
    <mergeCell ref="X670:AB670"/>
    <mergeCell ref="X671:AB671"/>
    <mergeCell ref="H734:I734"/>
    <mergeCell ref="J734:L734"/>
    <mergeCell ref="M734:O734"/>
    <mergeCell ref="P734:R734"/>
    <mergeCell ref="S734:T734"/>
    <mergeCell ref="U734:W734"/>
    <mergeCell ref="X734:Z734"/>
    <mergeCell ref="AA734:AB734"/>
    <mergeCell ref="AC734:AE734"/>
    <mergeCell ref="AM735:AP735"/>
    <mergeCell ref="AF736:AG736"/>
    <mergeCell ref="AH736:AJ736"/>
    <mergeCell ref="AK736:AL736"/>
    <mergeCell ref="AM736:AP736"/>
    <mergeCell ref="AF733:AG733"/>
    <mergeCell ref="AK733:AL733"/>
    <mergeCell ref="AM733:AP733"/>
    <mergeCell ref="AH733:AJ733"/>
    <mergeCell ref="AK734:AL734"/>
    <mergeCell ref="AK735:AL735"/>
    <mergeCell ref="AF735:AG735"/>
    <mergeCell ref="AH734:AJ734"/>
    <mergeCell ref="J743:L743"/>
    <mergeCell ref="H737:I737"/>
    <mergeCell ref="J737:L737"/>
    <mergeCell ref="M737:O737"/>
    <mergeCell ref="P737:R737"/>
    <mergeCell ref="S737:T737"/>
    <mergeCell ref="U737:W737"/>
    <mergeCell ref="X737:Z737"/>
    <mergeCell ref="AA737:AB737"/>
    <mergeCell ref="AA740:AB740"/>
    <mergeCell ref="AC742:AE742"/>
    <mergeCell ref="AC741:AE741"/>
    <mergeCell ref="AC740:AE740"/>
    <mergeCell ref="J740:L740"/>
    <mergeCell ref="H740:I740"/>
    <mergeCell ref="X740:Z740"/>
    <mergeCell ref="AC737:AE737"/>
    <mergeCell ref="H735:I735"/>
    <mergeCell ref="J735:L735"/>
    <mergeCell ref="M735:O735"/>
    <mergeCell ref="P735:R735"/>
    <mergeCell ref="S735:T735"/>
    <mergeCell ref="U735:W735"/>
    <mergeCell ref="X735:Z735"/>
    <mergeCell ref="AA735:AB735"/>
    <mergeCell ref="AC736:AE736"/>
    <mergeCell ref="U736:W736"/>
    <mergeCell ref="X736:Z736"/>
    <mergeCell ref="AA736:AB736"/>
    <mergeCell ref="C96:D97"/>
    <mergeCell ref="E96:BS97"/>
    <mergeCell ref="C10:D11"/>
    <mergeCell ref="E10:BS11"/>
    <mergeCell ref="C184:D185"/>
    <mergeCell ref="E184:BS185"/>
    <mergeCell ref="C196:F197"/>
    <mergeCell ref="G196:BR197"/>
    <mergeCell ref="E12:BR18"/>
    <mergeCell ref="G19:BR19"/>
    <mergeCell ref="G20:BR20"/>
    <mergeCell ref="G21:BR21"/>
    <mergeCell ref="G22:BR22"/>
    <mergeCell ref="G23:BR23"/>
    <mergeCell ref="G24:BR24"/>
    <mergeCell ref="E26:BR27"/>
    <mergeCell ref="C29:F30"/>
    <mergeCell ref="G29:BR30"/>
    <mergeCell ref="E98:BQ100"/>
    <mergeCell ref="C101:F102"/>
    <mergeCell ref="G101:BQ102"/>
    <mergeCell ref="C140:D141"/>
    <mergeCell ref="E140:BS141"/>
    <mergeCell ref="X143:AB143"/>
    <mergeCell ref="C258:F259"/>
    <mergeCell ref="G258:BR259"/>
    <mergeCell ref="X199:AB199"/>
    <mergeCell ref="X200:AB200"/>
    <mergeCell ref="X252:AB252"/>
    <mergeCell ref="X253:AB253"/>
    <mergeCell ref="X254:AB254"/>
    <mergeCell ref="X255:AB255"/>
    <mergeCell ref="H753:I753"/>
    <mergeCell ref="H751:I751"/>
    <mergeCell ref="C202:F203"/>
    <mergeCell ref="J753:L753"/>
    <mergeCell ref="J751:L751"/>
    <mergeCell ref="J750:L750"/>
    <mergeCell ref="J749:L749"/>
    <mergeCell ref="P739:R739"/>
    <mergeCell ref="S739:T739"/>
    <mergeCell ref="U739:W739"/>
    <mergeCell ref="X739:Z739"/>
    <mergeCell ref="J748:L748"/>
    <mergeCell ref="J747:L747"/>
    <mergeCell ref="J746:L746"/>
    <mergeCell ref="J745:L745"/>
    <mergeCell ref="J744:L744"/>
    <mergeCell ref="X144:AB144"/>
    <mergeCell ref="X145:AB145"/>
    <mergeCell ref="X146:AB146"/>
    <mergeCell ref="X147:AB147"/>
    <mergeCell ref="X148:AB148"/>
    <mergeCell ref="X149:AB149"/>
    <mergeCell ref="X150:AB150"/>
    <mergeCell ref="X151:AB151"/>
    <mergeCell ref="X152:AB152"/>
    <mergeCell ref="X153:AB153"/>
    <mergeCell ref="X154:AB154"/>
    <mergeCell ref="X155:AB155"/>
    <mergeCell ref="X156:AB156"/>
    <mergeCell ref="X157:AB157"/>
    <mergeCell ref="X158:AB158"/>
    <mergeCell ref="X159:AB159"/>
    <mergeCell ref="X160:AB160"/>
    <mergeCell ref="E178:Z178"/>
    <mergeCell ref="X205:AB205"/>
    <mergeCell ref="X206:AB206"/>
    <mergeCell ref="X207:AB207"/>
    <mergeCell ref="X261:AB261"/>
    <mergeCell ref="X265:AB265"/>
    <mergeCell ref="X266:AB266"/>
    <mergeCell ref="X267:AB267"/>
    <mergeCell ref="X268:AB268"/>
    <mergeCell ref="X269:AB269"/>
    <mergeCell ref="G263:BR263"/>
    <mergeCell ref="X244:AB244"/>
    <mergeCell ref="X245:AB245"/>
    <mergeCell ref="X246:AB246"/>
    <mergeCell ref="X247:AB247"/>
    <mergeCell ref="X248:AB248"/>
    <mergeCell ref="X249:AB249"/>
    <mergeCell ref="X250:AB250"/>
    <mergeCell ref="X251:AB251"/>
    <mergeCell ref="X212:AB212"/>
    <mergeCell ref="X213:AB213"/>
    <mergeCell ref="X214:AB214"/>
    <mergeCell ref="X270:AB270"/>
    <mergeCell ref="C316:F317"/>
    <mergeCell ref="G316:BR317"/>
    <mergeCell ref="X275:AB275"/>
    <mergeCell ref="X276:AB276"/>
    <mergeCell ref="X277:AB277"/>
    <mergeCell ref="X278:AB278"/>
    <mergeCell ref="X280:AB280"/>
    <mergeCell ref="X281:AB281"/>
    <mergeCell ref="X282:AB282"/>
    <mergeCell ref="C272:F273"/>
    <mergeCell ref="G272:BR273"/>
    <mergeCell ref="X306:AB306"/>
    <mergeCell ref="X307:AB307"/>
    <mergeCell ref="X283:AB283"/>
    <mergeCell ref="X285:AB285"/>
    <mergeCell ref="X286:AB286"/>
    <mergeCell ref="X287:AB287"/>
    <mergeCell ref="X288:AB288"/>
    <mergeCell ref="X290:AB290"/>
    <mergeCell ref="X291:AB291"/>
    <mergeCell ref="X292:AB292"/>
    <mergeCell ref="X295:AB295"/>
    <mergeCell ref="C360:F361"/>
    <mergeCell ref="G360:BR361"/>
    <mergeCell ref="X322:AB322"/>
    <mergeCell ref="X326:AB326"/>
    <mergeCell ref="X327:AB327"/>
    <mergeCell ref="X328:AB328"/>
    <mergeCell ref="X331:AB331"/>
    <mergeCell ref="X332:AB332"/>
    <mergeCell ref="X335:AB335"/>
    <mergeCell ref="X336:AB336"/>
    <mergeCell ref="E413:F413"/>
    <mergeCell ref="G413:BP413"/>
    <mergeCell ref="E414:F414"/>
    <mergeCell ref="X443:AB443"/>
    <mergeCell ref="X444:AB444"/>
    <mergeCell ref="X308:AB308"/>
    <mergeCell ref="X310:AB310"/>
    <mergeCell ref="X311:AB311"/>
    <mergeCell ref="X312:AB312"/>
    <mergeCell ref="X313:AB313"/>
    <mergeCell ref="X314:AB314"/>
    <mergeCell ref="X429:AB429"/>
    <mergeCell ref="X430:AB430"/>
    <mergeCell ref="X431:AB431"/>
    <mergeCell ref="X432:AB432"/>
    <mergeCell ref="X433:AB433"/>
    <mergeCell ref="X434:AB434"/>
    <mergeCell ref="X441:AB441"/>
    <mergeCell ref="X442:AB442"/>
    <mergeCell ref="G318:BR320"/>
    <mergeCell ref="AU335:BS335"/>
    <mergeCell ref="G414:BP414"/>
    <mergeCell ref="E415:BR423"/>
    <mergeCell ref="C437:F438"/>
    <mergeCell ref="AJ388:AN388"/>
    <mergeCell ref="I391:BK391"/>
    <mergeCell ref="BF382:BJ382"/>
    <mergeCell ref="BF383:BJ383"/>
    <mergeCell ref="BF384:BJ384"/>
    <mergeCell ref="N383:R383"/>
    <mergeCell ref="Y381:AC381"/>
    <mergeCell ref="Y383:AC383"/>
    <mergeCell ref="E412:F412"/>
    <mergeCell ref="G412:BP412"/>
    <mergeCell ref="C580:F581"/>
    <mergeCell ref="G580:BR581"/>
    <mergeCell ref="C492:D493"/>
    <mergeCell ref="E494:BR502"/>
    <mergeCell ref="H534:AH534"/>
    <mergeCell ref="G543:AX543"/>
    <mergeCell ref="BB549:BR550"/>
    <mergeCell ref="AX562:BM563"/>
    <mergeCell ref="G536:BR536"/>
    <mergeCell ref="AR516:BP517"/>
    <mergeCell ref="G550:AM550"/>
    <mergeCell ref="H552:AP552"/>
    <mergeCell ref="X509:AB509"/>
    <mergeCell ref="X510:AB510"/>
    <mergeCell ref="G505:BR508"/>
    <mergeCell ref="G512:BR514"/>
    <mergeCell ref="AK566:AL566"/>
    <mergeCell ref="AK567:AL567"/>
    <mergeCell ref="AF574:AG574"/>
    <mergeCell ref="AM576:AP576"/>
    <mergeCell ref="AM563:AP563"/>
    <mergeCell ref="AK573:AL573"/>
    <mergeCell ref="AM564:AP564"/>
    <mergeCell ref="AM565:AP565"/>
    <mergeCell ref="AE178:AX178"/>
    <mergeCell ref="BA178:BS178"/>
    <mergeCell ref="G582:BR583"/>
    <mergeCell ref="H334:AC334"/>
    <mergeCell ref="X464:AA464"/>
    <mergeCell ref="AC464:AF464"/>
    <mergeCell ref="X465:AA465"/>
    <mergeCell ref="G460:BR460"/>
    <mergeCell ref="AV465:BO465"/>
    <mergeCell ref="G437:BR438"/>
    <mergeCell ref="E492:BS493"/>
    <mergeCell ref="C503:F504"/>
    <mergeCell ref="G503:BR504"/>
    <mergeCell ref="C404:D405"/>
    <mergeCell ref="E404:BS405"/>
    <mergeCell ref="C424:F425"/>
    <mergeCell ref="G424:BR425"/>
    <mergeCell ref="AJ381:AN381"/>
    <mergeCell ref="AJ382:AN382"/>
    <mergeCell ref="AJ383:AN383"/>
    <mergeCell ref="AJ384:AN384"/>
    <mergeCell ref="AJ385:AN385"/>
    <mergeCell ref="AJ386:AN386"/>
    <mergeCell ref="AJ387:AN387"/>
    <mergeCell ref="C448:F449"/>
    <mergeCell ref="G448:BR449"/>
    <mergeCell ref="G450:BR451"/>
    <mergeCell ref="X427:AB427"/>
    <mergeCell ref="X428:AB428"/>
    <mergeCell ref="C624:D625"/>
    <mergeCell ref="E624:BS625"/>
    <mergeCell ref="C637:F638"/>
    <mergeCell ref="G637:BR638"/>
    <mergeCell ref="E626:BR636"/>
    <mergeCell ref="X594:AB594"/>
    <mergeCell ref="X595:AB595"/>
    <mergeCell ref="X596:AB596"/>
    <mergeCell ref="X597:AB597"/>
    <mergeCell ref="X598:AB598"/>
    <mergeCell ref="X462:AB462"/>
    <mergeCell ref="X463:AB463"/>
    <mergeCell ref="X440:AC440"/>
    <mergeCell ref="X456:AB456"/>
    <mergeCell ref="X457:AB457"/>
    <mergeCell ref="X455:AB455"/>
    <mergeCell ref="X454:AB454"/>
    <mergeCell ref="X453:AB453"/>
    <mergeCell ref="X458:AB458"/>
    <mergeCell ref="X672:AB672"/>
    <mergeCell ref="X673:AB673"/>
    <mergeCell ref="X674:AB674"/>
    <mergeCell ref="X675:AB675"/>
    <mergeCell ref="X676:AB676"/>
    <mergeCell ref="X677:AB677"/>
    <mergeCell ref="X685:AB685"/>
    <mergeCell ref="G680:BR680"/>
    <mergeCell ref="C756:F757"/>
    <mergeCell ref="G756:BR757"/>
    <mergeCell ref="AK737:AL737"/>
    <mergeCell ref="AA738:AB738"/>
    <mergeCell ref="AC738:AE738"/>
    <mergeCell ref="H739:I739"/>
    <mergeCell ref="J739:L739"/>
    <mergeCell ref="M739:O739"/>
    <mergeCell ref="AA739:AB739"/>
    <mergeCell ref="AC739:AE739"/>
    <mergeCell ref="H743:I743"/>
    <mergeCell ref="AH739:AJ739"/>
    <mergeCell ref="H738:I738"/>
    <mergeCell ref="J738:L738"/>
    <mergeCell ref="M738:O738"/>
    <mergeCell ref="P738:R738"/>
    <mergeCell ref="G758:BR759"/>
    <mergeCell ref="X761:AB761"/>
    <mergeCell ref="X762:AB762"/>
    <mergeCell ref="X763:AB763"/>
    <mergeCell ref="X764:AB764"/>
    <mergeCell ref="X765:AB765"/>
    <mergeCell ref="I698:BR698"/>
    <mergeCell ref="G720:AX720"/>
    <mergeCell ref="BB724:BR725"/>
    <mergeCell ref="G727:AM727"/>
    <mergeCell ref="G712:BR713"/>
    <mergeCell ref="AX739:BM740"/>
    <mergeCell ref="AM734:AP734"/>
    <mergeCell ref="AF734:AG734"/>
    <mergeCell ref="AH735:AJ735"/>
    <mergeCell ref="H736:I736"/>
    <mergeCell ref="J736:L736"/>
    <mergeCell ref="M736:O736"/>
    <mergeCell ref="P736:R736"/>
    <mergeCell ref="S736:T736"/>
    <mergeCell ref="U738:W738"/>
    <mergeCell ref="X738:Z738"/>
    <mergeCell ref="S738:T738"/>
    <mergeCell ref="AH737:AJ737"/>
    <mergeCell ref="I40:BR41"/>
    <mergeCell ref="G42:H42"/>
    <mergeCell ref="I42:BR42"/>
    <mergeCell ref="I43:BR44"/>
    <mergeCell ref="G45:H45"/>
    <mergeCell ref="I45:BR45"/>
    <mergeCell ref="I46:BR47"/>
    <mergeCell ref="C59:F60"/>
    <mergeCell ref="G59:BR60"/>
    <mergeCell ref="C52:F53"/>
    <mergeCell ref="G52:BR53"/>
    <mergeCell ref="G54:BQ58"/>
    <mergeCell ref="G31:BQ32"/>
    <mergeCell ref="G33:H33"/>
    <mergeCell ref="I33:BR33"/>
    <mergeCell ref="I34:BR35"/>
    <mergeCell ref="G36:H36"/>
    <mergeCell ref="I36:BR36"/>
    <mergeCell ref="I37:BR38"/>
    <mergeCell ref="G39:H39"/>
    <mergeCell ref="I39:BR39"/>
    <mergeCell ref="G61:BR65"/>
    <mergeCell ref="E186:BR195"/>
    <mergeCell ref="E230:BR240"/>
    <mergeCell ref="E406:BR411"/>
    <mergeCell ref="G279:AB279"/>
    <mergeCell ref="G284:AB284"/>
    <mergeCell ref="G289:AB289"/>
    <mergeCell ref="G294:AB294"/>
    <mergeCell ref="G299:AB299"/>
    <mergeCell ref="G304:AB304"/>
    <mergeCell ref="G309:AB309"/>
    <mergeCell ref="H321:AC321"/>
    <mergeCell ref="G324:AS324"/>
    <mergeCell ref="H330:AC330"/>
    <mergeCell ref="C64:F65"/>
    <mergeCell ref="AE159:AX159"/>
    <mergeCell ref="BA164:BS164"/>
    <mergeCell ref="X296:AB296"/>
    <mergeCell ref="X297:AB297"/>
    <mergeCell ref="X300:AB300"/>
    <mergeCell ref="X301:AB301"/>
    <mergeCell ref="X302:AB302"/>
    <mergeCell ref="X303:AB303"/>
    <mergeCell ref="X305:AB305"/>
  </mergeCells>
  <phoneticPr fontId="11" type="noConversion"/>
  <conditionalFormatting sqref="H553 J553 M553 P553 S553 U553 X553 AA553 AC553 AF553 AH553 AK553 AM553 H556:AP579 H730 J730 M730 P730 S730 U730 X730 AA730 AC730 AF730 AH730 AK730 AM730 H733:AP733 H734:I755">
    <cfRule type="notContainsBlanks" dxfId="5" priority="3">
      <formula>LEN(TRIM(H553))&gt;0</formula>
    </cfRule>
  </conditionalFormatting>
  <conditionalFormatting sqref="J734:AP734 P734:R755 U735:AP735 J735:R738 S735:T755 AF736:AP737 U736:AE755 AH738:AP741 AF738:AG755 J739:O755 AK742:AP742 AH743:AP751 AH752 AK752 AM752 AH753:AP755">
    <cfRule type="notContainsBlanks" dxfId="4" priority="9">
      <formula>LEN(TRIM(J734))&gt;0</formula>
    </cfRule>
  </conditionalFormatting>
  <conditionalFormatting sqref="P556:R579">
    <cfRule type="notContainsBlanks" dxfId="3" priority="8">
      <formula>LEN(TRIM(P556))&gt;0</formula>
    </cfRule>
  </conditionalFormatting>
  <conditionalFormatting sqref="P733:R752">
    <cfRule type="expression" dxfId="2" priority="1">
      <formula>AND($P732&lt;&gt;"", $P734&lt;&gt;"")</formula>
    </cfRule>
  </conditionalFormatting>
  <conditionalFormatting sqref="P753:R754">
    <cfRule type="expression" dxfId="1" priority="24">
      <formula>AND($P752&lt;&gt;"", $P758&lt;&gt;"")</formula>
    </cfRule>
  </conditionalFormatting>
  <conditionalFormatting sqref="P755:R755">
    <cfRule type="expression" dxfId="0" priority="25">
      <formula>AND($P753&lt;&gt;"", $P759&lt;&gt;"")</formula>
    </cfRule>
  </conditionalFormatting>
  <printOptions horizontalCentered="1"/>
  <pageMargins left="0.25" right="0.25" top="0.3" bottom="0.3" header="0.3" footer="0"/>
  <pageSetup paperSize="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3">
    <tabColor rgb="FFC00000"/>
  </sheetPr>
  <dimension ref="A1:J39"/>
  <sheetViews>
    <sheetView workbookViewId="0">
      <selection activeCell="F15" sqref="F15"/>
    </sheetView>
  </sheetViews>
  <sheetFormatPr defaultColWidth="10.28515625" defaultRowHeight="12" x14ac:dyDescent="0.2"/>
  <cols>
    <col min="1" max="1" width="41.28515625" style="3" bestFit="1" customWidth="1"/>
    <col min="2" max="2" width="9.85546875" style="3" customWidth="1"/>
    <col min="3" max="4" width="10.28515625" style="3"/>
    <col min="5" max="5" width="11.7109375" style="3" bestFit="1" customWidth="1"/>
    <col min="6" max="16384" width="10.28515625" style="3"/>
  </cols>
  <sheetData>
    <row r="1" spans="1:10" ht="15.6" customHeight="1" x14ac:dyDescent="0.2">
      <c r="A1" s="19" t="s">
        <v>155</v>
      </c>
    </row>
    <row r="2" spans="1:10" ht="15.6" customHeight="1" x14ac:dyDescent="0.25">
      <c r="A2" s="12" t="s">
        <v>107</v>
      </c>
      <c r="B2" s="44">
        <f>Calculation!X433</f>
        <v>39.870516629982127</v>
      </c>
      <c r="C2" s="45" t="s">
        <v>527</v>
      </c>
      <c r="D2" s="14"/>
      <c r="E2" s="15" t="s">
        <v>19</v>
      </c>
      <c r="I2" s="142"/>
      <c r="J2" s="142"/>
    </row>
    <row r="3" spans="1:10" ht="15.6" customHeight="1" x14ac:dyDescent="0.25">
      <c r="A3" s="12" t="s">
        <v>108</v>
      </c>
      <c r="B3" s="44">
        <f>Calculation!X434</f>
        <v>39.741855999999999</v>
      </c>
      <c r="C3" s="45" t="s">
        <v>527</v>
      </c>
      <c r="D3" s="14"/>
      <c r="E3" s="16" t="s">
        <v>20</v>
      </c>
      <c r="F3" s="43"/>
      <c r="G3" s="43"/>
      <c r="I3" s="43"/>
      <c r="J3" s="43"/>
    </row>
    <row r="4" spans="1:10" ht="15.6" customHeight="1" x14ac:dyDescent="0.2">
      <c r="A4" s="12" t="s">
        <v>530</v>
      </c>
      <c r="B4" s="14">
        <f>B2/B3</f>
        <v>1.0032374086902769</v>
      </c>
      <c r="C4" s="45"/>
      <c r="D4" s="14"/>
      <c r="E4" s="27"/>
      <c r="F4" s="43"/>
      <c r="G4" s="43"/>
      <c r="I4" s="43"/>
      <c r="J4" s="43"/>
    </row>
    <row r="5" spans="1:10" ht="15.6" customHeight="1" x14ac:dyDescent="0.2">
      <c r="A5" s="19" t="s">
        <v>156</v>
      </c>
      <c r="B5" s="44"/>
      <c r="E5" s="27"/>
      <c r="G5" s="32"/>
    </row>
    <row r="6" spans="1:10" ht="15.6" customHeight="1" x14ac:dyDescent="0.25">
      <c r="A6" s="12" t="s">
        <v>107</v>
      </c>
      <c r="B6" s="44">
        <f>Calculation!X443</f>
        <v>3.8807922383999998</v>
      </c>
      <c r="C6" s="45" t="s">
        <v>527</v>
      </c>
      <c r="G6" s="32"/>
    </row>
    <row r="7" spans="1:10" ht="15.6" customHeight="1" x14ac:dyDescent="0.25">
      <c r="A7" s="12" t="s">
        <v>108</v>
      </c>
      <c r="B7" s="44">
        <f>Calculation!X444</f>
        <v>3.9999919999999998</v>
      </c>
      <c r="C7" s="45" t="s">
        <v>527</v>
      </c>
      <c r="G7" s="32"/>
    </row>
    <row r="8" spans="1:10" ht="15.6" customHeight="1" x14ac:dyDescent="0.2">
      <c r="A8" s="12" t="s">
        <v>530</v>
      </c>
      <c r="B8" s="14">
        <f>B6/B7</f>
        <v>0.97019999999999995</v>
      </c>
      <c r="C8" s="45"/>
      <c r="G8" s="32"/>
    </row>
    <row r="9" spans="1:10" ht="15.6" customHeight="1" x14ac:dyDescent="0.2">
      <c r="A9" s="33" t="s">
        <v>157</v>
      </c>
      <c r="B9" s="44"/>
    </row>
    <row r="10" spans="1:10" ht="15.6" customHeight="1" x14ac:dyDescent="0.25">
      <c r="A10" s="13" t="s">
        <v>173</v>
      </c>
      <c r="B10" s="44">
        <f>Calculation!X455</f>
        <v>10.0411382373512</v>
      </c>
      <c r="C10" s="3" t="s">
        <v>444</v>
      </c>
    </row>
    <row r="11" spans="1:10" ht="15.6" customHeight="1" x14ac:dyDescent="0.25">
      <c r="A11" s="13" t="s">
        <v>174</v>
      </c>
      <c r="B11" s="44">
        <f>Calculation!X464</f>
        <v>12.471082317423432</v>
      </c>
      <c r="C11" s="3" t="s">
        <v>444</v>
      </c>
    </row>
    <row r="12" spans="1:10" ht="15.6" customHeight="1" x14ac:dyDescent="0.2">
      <c r="A12" s="12" t="s">
        <v>110</v>
      </c>
      <c r="B12" s="14">
        <f>Calculation!X458</f>
        <v>13.513724294671997</v>
      </c>
      <c r="C12" s="3" t="s">
        <v>444</v>
      </c>
    </row>
    <row r="13" spans="1:10" ht="15.6" customHeight="1" x14ac:dyDescent="0.2">
      <c r="A13" s="12" t="s">
        <v>530</v>
      </c>
      <c r="B13" s="14">
        <f>MAX(B10:B11)/B12</f>
        <v>0.92284569712143361</v>
      </c>
    </row>
    <row r="14" spans="1:10" ht="15.6" customHeight="1" x14ac:dyDescent="0.2">
      <c r="A14" s="33" t="s">
        <v>158</v>
      </c>
    </row>
    <row r="15" spans="1:10" ht="15.6" customHeight="1" x14ac:dyDescent="0.2">
      <c r="A15" s="3" t="s">
        <v>113</v>
      </c>
    </row>
    <row r="16" spans="1:10" ht="15.6" customHeight="1" x14ac:dyDescent="0.25">
      <c r="A16" s="12" t="s">
        <v>107</v>
      </c>
      <c r="B16" s="14">
        <f>Calculation!X588</f>
        <v>22.566662872077895</v>
      </c>
      <c r="C16" s="45" t="s">
        <v>527</v>
      </c>
    </row>
    <row r="17" spans="1:3" ht="15.6" customHeight="1" x14ac:dyDescent="0.25">
      <c r="A17" s="12" t="s">
        <v>108</v>
      </c>
      <c r="B17" s="14">
        <f>Calculation!X589</f>
        <v>23.225759999999998</v>
      </c>
      <c r="C17" s="45" t="s">
        <v>527</v>
      </c>
    </row>
    <row r="18" spans="1:3" ht="15.6" customHeight="1" x14ac:dyDescent="0.2">
      <c r="A18" s="12" t="s">
        <v>530</v>
      </c>
      <c r="B18" s="14">
        <f>B16/B17</f>
        <v>0.9716221502365433</v>
      </c>
      <c r="C18" s="45"/>
    </row>
    <row r="19" spans="1:3" ht="15.6" customHeight="1" x14ac:dyDescent="0.2">
      <c r="A19" s="3" t="s">
        <v>116</v>
      </c>
    </row>
    <row r="20" spans="1:3" ht="15.6" customHeight="1" x14ac:dyDescent="0.25">
      <c r="A20" s="12" t="s">
        <v>107</v>
      </c>
      <c r="B20" s="14">
        <f>Calculation!X597</f>
        <v>7.3714844241401796</v>
      </c>
      <c r="C20" s="45" t="s">
        <v>527</v>
      </c>
    </row>
    <row r="21" spans="1:3" ht="15.6" customHeight="1" x14ac:dyDescent="0.25">
      <c r="A21" s="12" t="s">
        <v>108</v>
      </c>
      <c r="B21" s="14">
        <f>Calculation!X598</f>
        <v>7.9999839999999995</v>
      </c>
      <c r="C21" s="45" t="s">
        <v>527</v>
      </c>
    </row>
    <row r="22" spans="1:3" ht="15.6" customHeight="1" x14ac:dyDescent="0.2">
      <c r="A22" s="12" t="s">
        <v>530</v>
      </c>
      <c r="B22" s="14">
        <f>B20/B21</f>
        <v>0.92143739589231433</v>
      </c>
      <c r="C22" s="45"/>
    </row>
    <row r="23" spans="1:3" ht="15.6" customHeight="1" x14ac:dyDescent="0.2">
      <c r="A23" s="33" t="s">
        <v>159</v>
      </c>
    </row>
    <row r="24" spans="1:3" ht="15.6" customHeight="1" x14ac:dyDescent="0.2">
      <c r="A24" s="3" t="s">
        <v>113</v>
      </c>
    </row>
    <row r="25" spans="1:3" ht="15.6" customHeight="1" x14ac:dyDescent="0.25">
      <c r="A25" s="12" t="s">
        <v>107</v>
      </c>
      <c r="B25" s="14">
        <f>Calculation!X764</f>
        <v>68.640837775799696</v>
      </c>
      <c r="C25" s="45" t="s">
        <v>164</v>
      </c>
    </row>
    <row r="26" spans="1:3" ht="15.6" customHeight="1" x14ac:dyDescent="0.25">
      <c r="A26" s="12" t="s">
        <v>108</v>
      </c>
      <c r="B26" s="14">
        <f>Calculation!X765</f>
        <v>77.419200000000004</v>
      </c>
      <c r="C26" s="45" t="s">
        <v>164</v>
      </c>
    </row>
    <row r="27" spans="1:3" ht="15.6" customHeight="1" x14ac:dyDescent="0.2">
      <c r="A27" s="12" t="s">
        <v>530</v>
      </c>
      <c r="B27" s="14">
        <f>B25/B26</f>
        <v>0.88661259449593499</v>
      </c>
    </row>
    <row r="28" spans="1:3" ht="15.6" customHeight="1" x14ac:dyDescent="0.2"/>
    <row r="29" spans="1:3" ht="15.6" customHeight="1" x14ac:dyDescent="0.2"/>
    <row r="30" spans="1:3" ht="15.6" customHeight="1" x14ac:dyDescent="0.2"/>
    <row r="31" spans="1:3" ht="15.6" customHeight="1" x14ac:dyDescent="0.2"/>
    <row r="32" spans="1:3" ht="15.6" customHeight="1" x14ac:dyDescent="0.2"/>
    <row r="33" ht="15.6" customHeight="1" x14ac:dyDescent="0.2"/>
    <row r="34" ht="15.6" customHeight="1" x14ac:dyDescent="0.2"/>
    <row r="35" ht="15.6" customHeight="1" x14ac:dyDescent="0.2"/>
    <row r="36" ht="15.6" customHeight="1" x14ac:dyDescent="0.2"/>
    <row r="37" ht="15.6" customHeight="1" x14ac:dyDescent="0.2"/>
    <row r="38" ht="15.6" customHeight="1" x14ac:dyDescent="0.2"/>
    <row r="39" ht="15.6" customHeight="1" x14ac:dyDescent="0.2"/>
  </sheetData>
  <mergeCells count="1">
    <mergeCell ref="I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67293-1F58-4BD4-B04E-2BB67FEFD038}">
  <sheetPr codeName="Sheet5">
    <tabColor theme="1"/>
  </sheetPr>
  <dimension ref="A1:B8"/>
  <sheetViews>
    <sheetView zoomScale="145" zoomScaleNormal="145" workbookViewId="0">
      <selection activeCell="E9" sqref="E9"/>
    </sheetView>
  </sheetViews>
  <sheetFormatPr defaultColWidth="9.140625" defaultRowHeight="12" x14ac:dyDescent="0.2"/>
  <cols>
    <col min="1" max="1" width="9.140625" style="8"/>
    <col min="2" max="16384" width="9.140625" style="3"/>
  </cols>
  <sheetData>
    <row r="1" spans="1:2" x14ac:dyDescent="0.2">
      <c r="A1" s="8" t="s">
        <v>12</v>
      </c>
    </row>
    <row r="2" spans="1:2" x14ac:dyDescent="0.2">
      <c r="A2" s="8">
        <v>1</v>
      </c>
      <c r="B2" s="3" t="s">
        <v>13</v>
      </c>
    </row>
    <row r="3" spans="1:2" x14ac:dyDescent="0.2">
      <c r="A3" s="8">
        <v>2</v>
      </c>
      <c r="B3" s="3" t="s">
        <v>14</v>
      </c>
    </row>
    <row r="4" spans="1:2" x14ac:dyDescent="0.2">
      <c r="A4" s="8">
        <v>3</v>
      </c>
      <c r="B4" s="3" t="s">
        <v>15</v>
      </c>
    </row>
    <row r="5" spans="1:2" x14ac:dyDescent="0.2">
      <c r="A5" s="8">
        <v>4</v>
      </c>
      <c r="B5" s="3" t="s">
        <v>16</v>
      </c>
    </row>
    <row r="6" spans="1:2" x14ac:dyDescent="0.2">
      <c r="A6" s="8">
        <v>5</v>
      </c>
      <c r="B6" s="3" t="s">
        <v>17</v>
      </c>
    </row>
    <row r="7" spans="1:2" x14ac:dyDescent="0.2">
      <c r="A7" s="8">
        <v>6</v>
      </c>
      <c r="B7" s="3" t="s">
        <v>18</v>
      </c>
    </row>
    <row r="8" spans="1:2" x14ac:dyDescent="0.2">
      <c r="A8" s="8">
        <v>7</v>
      </c>
      <c r="B8" s="3" t="s">
        <v>176</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D4DDEA-49B8-45A4-A47F-B580E4062F8B}">
  <ds:schemaRefs>
    <ds:schemaRef ds:uri="http://purl.org/dc/elements/1.1/"/>
    <ds:schemaRef ds:uri="http://schemas.openxmlformats.org/package/2006/metadata/core-properties"/>
    <ds:schemaRef ds:uri="http://purl.org/dc/dcmitype/"/>
    <ds:schemaRef ds:uri="http://schemas.microsoft.com/office/infopath/2007/PartnerControls"/>
    <ds:schemaRef ds:uri="0f960519-5caf-4de2-84f0-f6d58d38b748"/>
    <ds:schemaRef ds:uri="http://schemas.microsoft.com/office/2006/metadata/properties"/>
    <ds:schemaRef ds:uri="http://schemas.microsoft.com/office/2006/documentManagement/types"/>
    <ds:schemaRef ds:uri="c3a8d1a6-0167-4884-a8b2-3d72a0b3493c"/>
    <ds:schemaRef ds:uri="f24df638-9aca-4731-be58-9fbaeb5edb6e"/>
    <ds:schemaRef ds:uri="http://www.w3.org/XML/1998/namespace"/>
    <ds:schemaRef ds:uri="http://purl.org/dc/terms/"/>
  </ds:schemaRefs>
</ds:datastoreItem>
</file>

<file path=customXml/itemProps2.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3.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105</vt:i4>
      </vt:variant>
    </vt:vector>
  </HeadingPairs>
  <TitlesOfParts>
    <vt:vector size="110" baseType="lpstr">
      <vt:lpstr>Guidance and Scope</vt:lpstr>
      <vt:lpstr>Inputs</vt:lpstr>
      <vt:lpstr>Calculation</vt:lpstr>
      <vt:lpstr>Outputs</vt:lpstr>
      <vt:lpstr>Template Notes</vt:lpstr>
      <vt:lpstr>A.ps</vt:lpstr>
      <vt:lpstr>b.s</vt:lpstr>
      <vt:lpstr>b.w1</vt:lpstr>
      <vt:lpstr>b.w2</vt:lpstr>
      <vt:lpstr>BS.F11</vt:lpstr>
      <vt:lpstr>BS.F12</vt:lpstr>
      <vt:lpstr>BS.F13</vt:lpstr>
      <vt:lpstr>BS.F14</vt:lpstr>
      <vt:lpstr>c.g._bot</vt:lpstr>
      <vt:lpstr>c.g._spc_tendons</vt:lpstr>
      <vt:lpstr>c.g._top</vt:lpstr>
      <vt:lpstr>c.g.comb.</vt:lpstr>
      <vt:lpstr>c.g.ext.f</vt:lpstr>
      <vt:lpstr>c.g.int.f</vt:lpstr>
      <vt:lpstr>c.g.overhang</vt:lpstr>
      <vt:lpstr>c.g.web</vt:lpstr>
      <vt:lpstr>CG.BS</vt:lpstr>
      <vt:lpstr>CG.OFW</vt:lpstr>
      <vt:lpstr>CG.TS</vt:lpstr>
      <vt:lpstr>Comb.F</vt:lpstr>
      <vt:lpstr>D.bs</vt:lpstr>
      <vt:lpstr>e.genzone</vt:lpstr>
      <vt:lpstr>EF.F5</vt:lpstr>
      <vt:lpstr>EF.F6</vt:lpstr>
      <vt:lpstr>f.s</vt:lpstr>
      <vt:lpstr>fci</vt:lpstr>
      <vt:lpstr>fpu</vt:lpstr>
      <vt:lpstr>fy</vt:lpstr>
      <vt:lpstr>H.bs</vt:lpstr>
      <vt:lpstr>H.o</vt:lpstr>
      <vt:lpstr>H.ts</vt:lpstr>
      <vt:lpstr>Hf.ext</vt:lpstr>
      <vt:lpstr>Hf.int</vt:lpstr>
      <vt:lpstr>Hw.ext</vt:lpstr>
      <vt:lpstr>IF.F7</vt:lpstr>
      <vt:lpstr>IF.F8</vt:lpstr>
      <vt:lpstr>J.5_y_Coord</vt:lpstr>
      <vt:lpstr>J.7_x_Coord</vt:lpstr>
      <vt:lpstr>J.7_y_Coord</vt:lpstr>
      <vt:lpstr>J.8_x_Coord</vt:lpstr>
      <vt:lpstr>J.8_y_Coord</vt:lpstr>
      <vt:lpstr>L.A</vt:lpstr>
      <vt:lpstr>L.anchorage</vt:lpstr>
      <vt:lpstr>L.b</vt:lpstr>
      <vt:lpstr>L.bf</vt:lpstr>
      <vt:lpstr>L.bs</vt:lpstr>
      <vt:lpstr>L.CL1</vt:lpstr>
      <vt:lpstr>L.CL2</vt:lpstr>
      <vt:lpstr>L.ds</vt:lpstr>
      <vt:lpstr>L.F</vt:lpstr>
      <vt:lpstr>L.Gz</vt:lpstr>
      <vt:lpstr>L.Lz</vt:lpstr>
      <vt:lpstr>L.oh</vt:lpstr>
      <vt:lpstr>L.s</vt:lpstr>
      <vt:lpstr>m.I</vt:lpstr>
      <vt:lpstr>N.B</vt:lpstr>
      <vt:lpstr>N.B1</vt:lpstr>
      <vt:lpstr>N.BT</vt:lpstr>
      <vt:lpstr>N.S</vt:lpstr>
      <vt:lpstr>N.T1</vt:lpstr>
      <vt:lpstr>N.T2</vt:lpstr>
      <vt:lpstr>N.TT</vt:lpstr>
      <vt:lpstr>N.web</vt:lpstr>
      <vt:lpstr>No.bundle.Bott</vt:lpstr>
      <vt:lpstr>No.bundle.Top.first</vt:lpstr>
      <vt:lpstr>No.bundle.Top.second</vt:lpstr>
      <vt:lpstr>No.str</vt:lpstr>
      <vt:lpstr>O.F3</vt:lpstr>
      <vt:lpstr>O.F4</vt:lpstr>
      <vt:lpstr>o.s</vt:lpstr>
      <vt:lpstr>P.uh</vt:lpstr>
      <vt:lpstr>P.uh_b</vt:lpstr>
      <vt:lpstr>P.uh_t</vt:lpstr>
      <vt:lpstr>P.uv</vt:lpstr>
      <vt:lpstr>P.uv_b</vt:lpstr>
      <vt:lpstr>P.uv_t</vt:lpstr>
      <vt:lpstr>Calculation!Print_Titles</vt:lpstr>
      <vt:lpstr>Pu</vt:lpstr>
      <vt:lpstr>S.a</vt:lpstr>
      <vt:lpstr>S.h</vt:lpstr>
      <vt:lpstr>s.s</vt:lpstr>
      <vt:lpstr>S.w</vt:lpstr>
      <vt:lpstr>t.s</vt:lpstr>
      <vt:lpstr>tb.s</vt:lpstr>
      <vt:lpstr>TEMPLATE_VERSION</vt:lpstr>
      <vt:lpstr>TS.F1</vt:lpstr>
      <vt:lpstr>TS.F2</vt:lpstr>
      <vt:lpstr>TW.fw</vt:lpstr>
      <vt:lpstr>W.F10</vt:lpstr>
      <vt:lpstr>W.F9</vt:lpstr>
      <vt:lpstr>W.fw</vt:lpstr>
      <vt:lpstr>W.lz</vt:lpstr>
      <vt:lpstr>Wf.int</vt:lpstr>
      <vt:lpstr>X.B</vt:lpstr>
      <vt:lpstr>X.B1</vt:lpstr>
      <vt:lpstr>X.S</vt:lpstr>
      <vt:lpstr>X.T1</vt:lpstr>
      <vt:lpstr>X.T2</vt:lpstr>
      <vt:lpstr>y.b2.9</vt:lpstr>
      <vt:lpstr>y.bf</vt:lpstr>
      <vt:lpstr>y.tf</vt:lpstr>
      <vt:lpstr>α</vt:lpstr>
      <vt:lpstr>β</vt:lpstr>
      <vt:lpstr>ϕ.t</vt:lpstr>
      <vt:lpstr>ϕc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2026-04-13T10:15:09Z</cp:lastPrinted>
  <dcterms:created xsi:type="dcterms:W3CDTF">2020-09-18T21:42:55Z</dcterms:created>
  <dcterms:modified xsi:type="dcterms:W3CDTF">2026-04-27T13:50:35Z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