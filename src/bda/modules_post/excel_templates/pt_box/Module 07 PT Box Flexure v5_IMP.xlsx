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BOLANOS\GitHub\DesignAutomation.BridgeAutomationAndOptimisation\src\bda\modules_post\excel_templates\pt_box\"/>
    </mc:Choice>
  </mc:AlternateContent>
  <xr:revisionPtr revIDLastSave="0" documentId="13_ncr:1_{EE119BF7-5C1A-4DCE-A4B3-83917CD5A026}" xr6:coauthVersionLast="47" xr6:coauthVersionMax="47" xr10:uidLastSave="{00000000-0000-0000-0000-000000000000}"/>
  <bookViews>
    <workbookView xWindow="-28920" yWindow="8490" windowWidth="29040" windowHeight="17520" activeTab="1" xr2:uid="{25701B9B-7E28-4CF2-9CFC-9F3E14BC0A91}"/>
  </bookViews>
  <sheets>
    <sheet name="Guidance and Scope" sheetId="11" r:id="rId1"/>
    <sheet name="Inputs" sheetId="9" r:id="rId2"/>
    <sheet name="Calculation" sheetId="7" r:id="rId3"/>
    <sheet name="Outputs" sheetId="10" r:id="rId4"/>
    <sheet name="Template Notes" sheetId="8" r:id="rId5"/>
  </sheets>
  <definedNames>
    <definedName name="Demand_M.u.Negative">Calculation!$W$319</definedName>
    <definedName name="Demand_M.u.Positive">Calculation!$W$237</definedName>
    <definedName name="Geometry_a.Negative">Calculation!$AN$350</definedName>
    <definedName name="Geometry_a.Positive">Calculation!#REF!</definedName>
    <definedName name="Geometry_b.Negative">Calculation!$W$336</definedName>
    <definedName name="Geometry_b.Positive">Calculation!$W$253</definedName>
    <definedName name="Geometry_b.w">Calculation!$W$248</definedName>
    <definedName name="Geometry_c.Negative">Calculation!$AN$347</definedName>
    <definedName name="Geometry_c.Positive">Calculation!#REF!</definedName>
    <definedName name="Geometry_d.p.Negative">Calculation!$W$329</definedName>
    <definedName name="Geometry_d.p.Positive">Calculation!$W$246</definedName>
    <definedName name="Geometry_d.s.Negative">Calculation!$W$330</definedName>
    <definedName name="Geometry_d.s.Positive">Calculation!$W$247</definedName>
    <definedName name="Geometry_GirderLocation">Calculation!#REF!</definedName>
    <definedName name="Geometry_h.f.Negative">Calculation!$W$332</definedName>
    <definedName name="Geometry_h.f.Positive">Calculation!$W$249</definedName>
    <definedName name="Geometry_S">Calculation!$W$251</definedName>
    <definedName name="Geometry_S.OH">Calculation!$W$252</definedName>
    <definedName name="Geometry_SectionType.Positive">Calculation!#REF!</definedName>
    <definedName name="Geometry_x.u.Positive">Calculation!$W$236</definedName>
    <definedName name="Mat.Conc_Alpha.1">Calculation!$W$257</definedName>
    <definedName name="Mat.Conc_Beta.1">Calculation!$W$256</definedName>
    <definedName name="Mat.Conc_f.c">Calculation!$W$245</definedName>
    <definedName name="Mat.PT_A.ps">Calculation!$W$240</definedName>
    <definedName name="Mat.PT_E.ps">Calculation!$W$239</definedName>
    <definedName name="Mat.PT_E.s">Calculation!$W$238</definedName>
    <definedName name="Mat.PT_epsilon.t2">Calculation!#REF!</definedName>
    <definedName name="Mat.PT_f.pe">Calculation!$W$243</definedName>
    <definedName name="Mat.PT_f.ps">Calculation!#REF!</definedName>
    <definedName name="Mat.PT_f.pu">Calculation!$W$242</definedName>
    <definedName name="Mat.PT_f.py">Calculation!$W$244</definedName>
    <definedName name="Mat.PT_k">Calculation!$W$255</definedName>
    <definedName name="Mat.PT_phi">Calculation!#REF!</definedName>
    <definedName name="Mat.Rebar_A.s.Positive">Calculation!$W$241</definedName>
    <definedName name="Mat.Rebar_epsilon.cl">Calculation!$W$254</definedName>
    <definedName name="Mat.Rebar_epsilon.tl">Calculation!$W$300</definedName>
    <definedName name="Mat.Rebar_f.y">Calculation!$W$250</definedName>
    <definedName name="_xlnm.Print_Titles" localSheetId="2">Calculation!$1:$7</definedName>
    <definedName name="Resistance_M.n.Negative">Calculation!$AN$351</definedName>
    <definedName name="RF_phi">Calculation!$AN$352</definedName>
    <definedName name="solver_eng" localSheetId="2" hidden="1">1</definedName>
    <definedName name="solver_neg" localSheetId="2" hidden="1">1</definedName>
    <definedName name="solver_num" localSheetId="2" hidden="1">0</definedName>
    <definedName name="solver_opt" localSheetId="2" hidden="1">Calculation!#REF!</definedName>
    <definedName name="solver_typ" localSheetId="2" hidden="1">3</definedName>
    <definedName name="solver_val" localSheetId="2" hidden="1">0</definedName>
    <definedName name="solver_ver" localSheetId="2" hidden="1">3</definedName>
    <definedName name="Table_DC">Calculation!$BO$674:INDEX(Calculation!$BO$674:$BO$774,   MATCH(TRUE, Calculation!$BO$674:$BO$774="", 0) - 1)</definedName>
    <definedName name="Table_Location">Calculation!$H$674:INDEX(Calculation!$H$674:$H$774,   MATCH(TRUE, Calculation!$H$674:$H$774="", 0) - 1)</definedName>
    <definedName name="Table_Mr_neg">Calculation!$BI$674:INDEX(Calculation!$BI$674:$BI$774,   MATCH(TRUE, Calculation!$BI$674:$BI$774="", 0) - 1)</definedName>
    <definedName name="Table_Mr_pos">Calculation!$AH$674:INDEX(Calculation!$AH$674:$AH$774,   MATCH(TRUE, Calculation!$AH$674:$AH$774="", 0) - 1)</definedName>
    <definedName name="Table_Mu">Calculation!$BL$674:INDEX(Calculation!$BL$674:$BL$774,   MATCH(TRUE, Calculation!$BL$674:$BL$774="", 0) - 1)</definedName>
    <definedName name="TEMPLATE_VERSION">Inputs!$I$1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25" i="7" l="1"/>
  <c r="W338" i="7" l="1"/>
  <c r="W337" i="7"/>
  <c r="W254" i="7"/>
  <c r="W245" i="7"/>
  <c r="W340" i="7" s="1"/>
  <c r="J641" i="7"/>
  <c r="J640" i="7"/>
  <c r="J639" i="7"/>
  <c r="J638" i="7"/>
  <c r="J637" i="7"/>
  <c r="J636" i="7"/>
  <c r="J635" i="7"/>
  <c r="J634" i="7"/>
  <c r="J633" i="7"/>
  <c r="J632" i="7"/>
  <c r="J631" i="7"/>
  <c r="J630" i="7"/>
  <c r="J629" i="7"/>
  <c r="J628" i="7"/>
  <c r="J627" i="7"/>
  <c r="J626" i="7"/>
  <c r="J625" i="7"/>
  <c r="J624" i="7"/>
  <c r="J623" i="7"/>
  <c r="J622" i="7"/>
  <c r="J621" i="7"/>
  <c r="J620" i="7"/>
  <c r="J619" i="7"/>
  <c r="J618" i="7"/>
  <c r="J617" i="7"/>
  <c r="J616" i="7"/>
  <c r="J615" i="7"/>
  <c r="J614" i="7"/>
  <c r="J613" i="7"/>
  <c r="J612" i="7"/>
  <c r="J611" i="7"/>
  <c r="J610" i="7"/>
  <c r="J609" i="7"/>
  <c r="J608" i="7"/>
  <c r="J607" i="7"/>
  <c r="J606" i="7"/>
  <c r="J605" i="7"/>
  <c r="J604" i="7"/>
  <c r="J603" i="7"/>
  <c r="J602" i="7"/>
  <c r="J601" i="7"/>
  <c r="J600" i="7"/>
  <c r="J599" i="7"/>
  <c r="J598" i="7"/>
  <c r="J597" i="7"/>
  <c r="J596" i="7"/>
  <c r="J595" i="7"/>
  <c r="J594" i="7"/>
  <c r="J593" i="7"/>
  <c r="J592" i="7"/>
  <c r="J591" i="7"/>
  <c r="J590" i="7"/>
  <c r="J589" i="7"/>
  <c r="J588" i="7"/>
  <c r="J587" i="7"/>
  <c r="J586" i="7"/>
  <c r="J585" i="7"/>
  <c r="J584" i="7"/>
  <c r="J583" i="7"/>
  <c r="J582" i="7"/>
  <c r="J581" i="7"/>
  <c r="J580" i="7"/>
  <c r="J579" i="7"/>
  <c r="J578" i="7"/>
  <c r="J577" i="7"/>
  <c r="J576" i="7"/>
  <c r="J575" i="7"/>
  <c r="J574" i="7"/>
  <c r="J573" i="7"/>
  <c r="J572" i="7"/>
  <c r="J571" i="7"/>
  <c r="J570" i="7"/>
  <c r="J569" i="7"/>
  <c r="J568" i="7"/>
  <c r="J567" i="7"/>
  <c r="J566" i="7"/>
  <c r="J565" i="7"/>
  <c r="J564" i="7"/>
  <c r="J563" i="7"/>
  <c r="J562" i="7"/>
  <c r="J561" i="7"/>
  <c r="J560" i="7"/>
  <c r="J559" i="7"/>
  <c r="J558" i="7"/>
  <c r="J557" i="7"/>
  <c r="J556" i="7"/>
  <c r="J555" i="7"/>
  <c r="J554" i="7"/>
  <c r="J553" i="7"/>
  <c r="J552" i="7"/>
  <c r="J551" i="7"/>
  <c r="J550" i="7"/>
  <c r="J549" i="7"/>
  <c r="J548" i="7"/>
  <c r="J547" i="7"/>
  <c r="J546" i="7"/>
  <c r="J545" i="7"/>
  <c r="J544" i="7"/>
  <c r="J543" i="7"/>
  <c r="J542" i="7"/>
  <c r="P641" i="7"/>
  <c r="P615" i="7"/>
  <c r="P614" i="7"/>
  <c r="P613" i="7"/>
  <c r="P612" i="7"/>
  <c r="P611" i="7"/>
  <c r="P610" i="7"/>
  <c r="P609" i="7"/>
  <c r="P608" i="7"/>
  <c r="P607" i="7"/>
  <c r="P606" i="7"/>
  <c r="P605" i="7"/>
  <c r="P604" i="7"/>
  <c r="P603" i="7"/>
  <c r="P602" i="7"/>
  <c r="P601" i="7"/>
  <c r="P600" i="7"/>
  <c r="P599" i="7"/>
  <c r="P598" i="7"/>
  <c r="P597" i="7"/>
  <c r="P596" i="7"/>
  <c r="P595" i="7"/>
  <c r="P594" i="7"/>
  <c r="P593" i="7"/>
  <c r="P592" i="7"/>
  <c r="P591" i="7"/>
  <c r="P590" i="7"/>
  <c r="P589" i="7"/>
  <c r="P588" i="7"/>
  <c r="P587" i="7"/>
  <c r="P586" i="7"/>
  <c r="P585" i="7"/>
  <c r="P584" i="7"/>
  <c r="P583" i="7"/>
  <c r="P582" i="7"/>
  <c r="P581" i="7"/>
  <c r="P580" i="7"/>
  <c r="P579" i="7"/>
  <c r="P578" i="7"/>
  <c r="P577" i="7"/>
  <c r="P576" i="7"/>
  <c r="P575" i="7"/>
  <c r="P574" i="7"/>
  <c r="P573" i="7"/>
  <c r="P572" i="7"/>
  <c r="P571" i="7"/>
  <c r="P570" i="7"/>
  <c r="P569" i="7"/>
  <c r="P568" i="7"/>
  <c r="P542" i="7"/>
  <c r="P490" i="7"/>
  <c r="P489" i="7"/>
  <c r="P488" i="7"/>
  <c r="P487" i="7"/>
  <c r="P486" i="7"/>
  <c r="P485" i="7"/>
  <c r="P484" i="7"/>
  <c r="P483" i="7"/>
  <c r="P482" i="7"/>
  <c r="P481" i="7"/>
  <c r="P480" i="7"/>
  <c r="P479" i="7"/>
  <c r="P478" i="7"/>
  <c r="P477" i="7"/>
  <c r="P476" i="7"/>
  <c r="P475" i="7"/>
  <c r="P474" i="7"/>
  <c r="P473" i="7"/>
  <c r="P472" i="7"/>
  <c r="P471" i="7"/>
  <c r="P470" i="7"/>
  <c r="P469" i="7"/>
  <c r="P468" i="7"/>
  <c r="P467" i="7"/>
  <c r="P466" i="7"/>
  <c r="P465" i="7"/>
  <c r="P464" i="7"/>
  <c r="P463" i="7"/>
  <c r="P462" i="7"/>
  <c r="P461" i="7"/>
  <c r="P460" i="7"/>
  <c r="P459" i="7"/>
  <c r="P458" i="7"/>
  <c r="P457" i="7"/>
  <c r="P456" i="7"/>
  <c r="P455" i="7"/>
  <c r="P454" i="7"/>
  <c r="P453" i="7"/>
  <c r="P452" i="7"/>
  <c r="P451" i="7"/>
  <c r="P450" i="7"/>
  <c r="P449" i="7"/>
  <c r="P448" i="7"/>
  <c r="P447" i="7"/>
  <c r="P446" i="7"/>
  <c r="P445" i="7"/>
  <c r="P444" i="7"/>
  <c r="P443" i="7"/>
  <c r="P417" i="7"/>
  <c r="W328" i="7"/>
  <c r="W335" i="7"/>
  <c r="W334" i="7"/>
  <c r="W251" i="7"/>
  <c r="W333" i="7"/>
  <c r="W250" i="7"/>
  <c r="W326" i="7"/>
  <c r="W324" i="7"/>
  <c r="W321" i="7"/>
  <c r="W320" i="7"/>
  <c r="W327" i="7"/>
  <c r="W244" i="7"/>
  <c r="W243" i="7"/>
  <c r="W242" i="7"/>
  <c r="W239" i="7"/>
  <c r="W238" i="7"/>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7" i="9"/>
  <c r="J96" i="9"/>
  <c r="J95" i="9"/>
  <c r="J94" i="9"/>
  <c r="J93" i="9"/>
  <c r="J92" i="9"/>
  <c r="J91" i="9"/>
  <c r="J90" i="9"/>
  <c r="J89" i="9"/>
  <c r="J88" i="9"/>
  <c r="J87" i="9"/>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AB430" i="7" s="1"/>
  <c r="J37" i="9"/>
  <c r="AB429" i="7" s="1"/>
  <c r="J36" i="9"/>
  <c r="AB428" i="7" s="1"/>
  <c r="J35" i="9"/>
  <c r="AB427" i="7" s="1"/>
  <c r="J34" i="9"/>
  <c r="AB426" i="7" s="1"/>
  <c r="J33" i="9"/>
  <c r="AB425" i="7" s="1"/>
  <c r="J32" i="9"/>
  <c r="J31" i="9"/>
  <c r="J30" i="9"/>
  <c r="J29" i="9"/>
  <c r="J28" i="9"/>
  <c r="AB420" i="7" s="1"/>
  <c r="J27" i="9"/>
  <c r="AB419" i="7" s="1"/>
  <c r="J26" i="9"/>
  <c r="AB418" i="7" s="1"/>
  <c r="J25" i="9"/>
  <c r="AB417" i="7" s="1"/>
  <c r="BL674" i="7"/>
  <c r="F536" i="7"/>
  <c r="F411" i="7"/>
  <c r="G30" i="7"/>
  <c r="H674" i="7"/>
  <c r="Y543" i="7"/>
  <c r="Y544" i="7"/>
  <c r="Y545" i="7"/>
  <c r="Y546" i="7"/>
  <c r="Y547" i="7"/>
  <c r="Y548" i="7"/>
  <c r="Y549" i="7"/>
  <c r="Y550" i="7"/>
  <c r="Y551" i="7"/>
  <c r="Y552" i="7"/>
  <c r="Y553" i="7"/>
  <c r="Y554" i="7"/>
  <c r="Y555" i="7"/>
  <c r="Y556" i="7"/>
  <c r="Y557" i="7"/>
  <c r="Y558" i="7"/>
  <c r="Y559" i="7"/>
  <c r="Y560" i="7"/>
  <c r="Y561" i="7"/>
  <c r="Y562" i="7"/>
  <c r="Y563" i="7"/>
  <c r="Y564" i="7"/>
  <c r="Y565" i="7"/>
  <c r="Y566" i="7"/>
  <c r="Y567" i="7"/>
  <c r="Y568" i="7"/>
  <c r="Y569" i="7"/>
  <c r="Y570" i="7"/>
  <c r="Y571" i="7"/>
  <c r="Y572" i="7"/>
  <c r="Y573" i="7"/>
  <c r="Y574" i="7"/>
  <c r="Y575" i="7"/>
  <c r="Y576" i="7"/>
  <c r="Y577" i="7"/>
  <c r="Y578" i="7"/>
  <c r="Y579" i="7"/>
  <c r="Y580" i="7"/>
  <c r="Y581" i="7"/>
  <c r="Y582" i="7"/>
  <c r="Y583" i="7"/>
  <c r="Y584" i="7"/>
  <c r="Y585" i="7"/>
  <c r="Y586" i="7"/>
  <c r="Y587" i="7"/>
  <c r="Y588" i="7"/>
  <c r="Y589" i="7"/>
  <c r="Y590" i="7"/>
  <c r="Y591" i="7"/>
  <c r="Y592" i="7"/>
  <c r="Y593" i="7"/>
  <c r="Y594" i="7"/>
  <c r="Y595" i="7"/>
  <c r="Y596" i="7"/>
  <c r="Y597" i="7"/>
  <c r="Y598" i="7"/>
  <c r="Y599" i="7"/>
  <c r="Y600" i="7"/>
  <c r="Y601" i="7"/>
  <c r="Y602" i="7"/>
  <c r="Y603" i="7"/>
  <c r="Y604" i="7"/>
  <c r="Y605" i="7"/>
  <c r="Y606" i="7"/>
  <c r="Y607" i="7"/>
  <c r="Y608" i="7"/>
  <c r="Y609" i="7"/>
  <c r="Y610" i="7"/>
  <c r="Y611" i="7"/>
  <c r="Y612" i="7"/>
  <c r="Y613" i="7"/>
  <c r="Y614" i="7"/>
  <c r="Y615" i="7"/>
  <c r="Y616" i="7"/>
  <c r="Y617" i="7"/>
  <c r="Y618" i="7"/>
  <c r="Y619" i="7"/>
  <c r="Y620" i="7"/>
  <c r="Y621" i="7"/>
  <c r="Y622" i="7"/>
  <c r="Y623" i="7"/>
  <c r="Y624" i="7"/>
  <c r="Y625" i="7"/>
  <c r="Y626" i="7"/>
  <c r="Y627" i="7"/>
  <c r="Y628" i="7"/>
  <c r="Y629" i="7"/>
  <c r="Y630" i="7"/>
  <c r="Y631" i="7"/>
  <c r="Y632" i="7"/>
  <c r="Y633" i="7"/>
  <c r="Y634" i="7"/>
  <c r="Y635" i="7"/>
  <c r="Y636" i="7"/>
  <c r="Y637" i="7"/>
  <c r="Y638" i="7"/>
  <c r="Y639" i="7"/>
  <c r="Y640" i="7"/>
  <c r="Y641" i="7"/>
  <c r="V543"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V634" i="7"/>
  <c r="V635" i="7"/>
  <c r="V636" i="7"/>
  <c r="V637" i="7"/>
  <c r="V638" i="7"/>
  <c r="V639" i="7"/>
  <c r="V640" i="7"/>
  <c r="V641"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AB543" i="7"/>
  <c r="AB544" i="7"/>
  <c r="AB545" i="7"/>
  <c r="AB546" i="7"/>
  <c r="AB547" i="7"/>
  <c r="AB548" i="7"/>
  <c r="AB549" i="7"/>
  <c r="AB550" i="7"/>
  <c r="AB551" i="7"/>
  <c r="AB552" i="7"/>
  <c r="AB553" i="7"/>
  <c r="AB554" i="7"/>
  <c r="AB555" i="7"/>
  <c r="AB556" i="7"/>
  <c r="AB557" i="7"/>
  <c r="AB558" i="7"/>
  <c r="AB559" i="7"/>
  <c r="AB560" i="7"/>
  <c r="AB561" i="7"/>
  <c r="AB562" i="7"/>
  <c r="AB563" i="7"/>
  <c r="AB564" i="7"/>
  <c r="AB565" i="7"/>
  <c r="AB566" i="7"/>
  <c r="AB567" i="7"/>
  <c r="AB568" i="7"/>
  <c r="AB569" i="7"/>
  <c r="AB570" i="7"/>
  <c r="AB571" i="7"/>
  <c r="AB572" i="7"/>
  <c r="AB573" i="7"/>
  <c r="AB574" i="7"/>
  <c r="AB575" i="7"/>
  <c r="AB576" i="7"/>
  <c r="AB577" i="7"/>
  <c r="AB578" i="7"/>
  <c r="AB579" i="7"/>
  <c r="AB580" i="7"/>
  <c r="AB581" i="7"/>
  <c r="AB582" i="7"/>
  <c r="AB583" i="7"/>
  <c r="AB584" i="7"/>
  <c r="AB585" i="7"/>
  <c r="AB586" i="7"/>
  <c r="AB587" i="7"/>
  <c r="AB588" i="7"/>
  <c r="AB589" i="7"/>
  <c r="AB590" i="7"/>
  <c r="AB591" i="7"/>
  <c r="AB592" i="7"/>
  <c r="AB593" i="7"/>
  <c r="AB594" i="7"/>
  <c r="AB595" i="7"/>
  <c r="AB596" i="7"/>
  <c r="AB597" i="7"/>
  <c r="AB598" i="7"/>
  <c r="AB599" i="7"/>
  <c r="AB600" i="7"/>
  <c r="AB601" i="7"/>
  <c r="AB602" i="7"/>
  <c r="AB603" i="7"/>
  <c r="AB604" i="7"/>
  <c r="AB605" i="7"/>
  <c r="AB606" i="7"/>
  <c r="AB607" i="7"/>
  <c r="AB608" i="7"/>
  <c r="AB609" i="7"/>
  <c r="AB610" i="7"/>
  <c r="AB611" i="7"/>
  <c r="AB612" i="7"/>
  <c r="AB613" i="7"/>
  <c r="AB614" i="7"/>
  <c r="AB615" i="7"/>
  <c r="AB616" i="7"/>
  <c r="AB617" i="7"/>
  <c r="AB618" i="7"/>
  <c r="AB619" i="7"/>
  <c r="AB620" i="7"/>
  <c r="AB621" i="7"/>
  <c r="AB622" i="7"/>
  <c r="AB623" i="7"/>
  <c r="AB624" i="7"/>
  <c r="AB625" i="7"/>
  <c r="AB626" i="7"/>
  <c r="AB627" i="7"/>
  <c r="AB628" i="7"/>
  <c r="AB629" i="7"/>
  <c r="AB630" i="7"/>
  <c r="AB631" i="7"/>
  <c r="AB632" i="7"/>
  <c r="AB633" i="7"/>
  <c r="AB634" i="7"/>
  <c r="AB635" i="7"/>
  <c r="AB636" i="7"/>
  <c r="AB637" i="7"/>
  <c r="AB638" i="7"/>
  <c r="AB639" i="7"/>
  <c r="AB640" i="7"/>
  <c r="AB641" i="7"/>
  <c r="AB542" i="7"/>
  <c r="Y542" i="7"/>
  <c r="V542" i="7"/>
  <c r="S542" i="7"/>
  <c r="M542" i="7"/>
  <c r="H542" i="7"/>
  <c r="BE674" i="7"/>
  <c r="J419" i="7"/>
  <c r="M419" i="7"/>
  <c r="S419" i="7"/>
  <c r="V419" i="7"/>
  <c r="Y419" i="7"/>
  <c r="J420" i="7"/>
  <c r="M420" i="7"/>
  <c r="S420" i="7"/>
  <c r="V420" i="7"/>
  <c r="Y420" i="7"/>
  <c r="J421" i="7"/>
  <c r="M421" i="7"/>
  <c r="S421" i="7"/>
  <c r="V421" i="7"/>
  <c r="Y421" i="7"/>
  <c r="J422" i="7"/>
  <c r="M422" i="7"/>
  <c r="S422" i="7"/>
  <c r="V422" i="7"/>
  <c r="Y422" i="7"/>
  <c r="J423" i="7"/>
  <c r="M423" i="7"/>
  <c r="S423" i="7"/>
  <c r="V423" i="7"/>
  <c r="Y423" i="7"/>
  <c r="J424" i="7"/>
  <c r="M424" i="7"/>
  <c r="S424" i="7"/>
  <c r="V424" i="7"/>
  <c r="Y424" i="7"/>
  <c r="J425" i="7"/>
  <c r="M425" i="7"/>
  <c r="S425" i="7"/>
  <c r="V425" i="7"/>
  <c r="Y425" i="7"/>
  <c r="J426" i="7"/>
  <c r="M426" i="7"/>
  <c r="S426" i="7"/>
  <c r="V426" i="7"/>
  <c r="Y426" i="7"/>
  <c r="J427" i="7"/>
  <c r="M427" i="7"/>
  <c r="S427" i="7"/>
  <c r="V427" i="7"/>
  <c r="Y427" i="7"/>
  <c r="J428" i="7"/>
  <c r="M428" i="7"/>
  <c r="S428" i="7"/>
  <c r="V428" i="7"/>
  <c r="Y428" i="7"/>
  <c r="J429" i="7"/>
  <c r="M429" i="7"/>
  <c r="S429" i="7"/>
  <c r="V429" i="7"/>
  <c r="Y429" i="7"/>
  <c r="J430" i="7"/>
  <c r="M430" i="7"/>
  <c r="S430" i="7"/>
  <c r="V430" i="7"/>
  <c r="Y430" i="7"/>
  <c r="J431" i="7"/>
  <c r="M431" i="7"/>
  <c r="S431" i="7"/>
  <c r="V431" i="7"/>
  <c r="Y431" i="7"/>
  <c r="J432" i="7"/>
  <c r="M432" i="7"/>
  <c r="S432" i="7"/>
  <c r="V432" i="7"/>
  <c r="Y432" i="7"/>
  <c r="J433" i="7"/>
  <c r="M433" i="7"/>
  <c r="S433" i="7"/>
  <c r="V433" i="7"/>
  <c r="Y433" i="7"/>
  <c r="J434" i="7"/>
  <c r="M434" i="7"/>
  <c r="S434" i="7"/>
  <c r="V434" i="7"/>
  <c r="Y434" i="7"/>
  <c r="J435" i="7"/>
  <c r="M435" i="7"/>
  <c r="S435" i="7"/>
  <c r="V435" i="7"/>
  <c r="Y435" i="7"/>
  <c r="J436" i="7"/>
  <c r="M436" i="7"/>
  <c r="S436" i="7"/>
  <c r="V436" i="7"/>
  <c r="Y436" i="7"/>
  <c r="J437" i="7"/>
  <c r="M437" i="7"/>
  <c r="S437" i="7"/>
  <c r="V437" i="7"/>
  <c r="Y437" i="7"/>
  <c r="J438" i="7"/>
  <c r="M438" i="7"/>
  <c r="S438" i="7"/>
  <c r="V438" i="7"/>
  <c r="Y438" i="7"/>
  <c r="J439" i="7"/>
  <c r="M439" i="7"/>
  <c r="S439" i="7"/>
  <c r="V439" i="7"/>
  <c r="Y439" i="7"/>
  <c r="J440" i="7"/>
  <c r="M440" i="7"/>
  <c r="S440" i="7"/>
  <c r="V440" i="7"/>
  <c r="Y440" i="7"/>
  <c r="J441" i="7"/>
  <c r="M441" i="7"/>
  <c r="S441" i="7"/>
  <c r="V441" i="7"/>
  <c r="Y441" i="7"/>
  <c r="J442" i="7"/>
  <c r="M442" i="7"/>
  <c r="S442" i="7"/>
  <c r="V442" i="7"/>
  <c r="Y442" i="7"/>
  <c r="J443" i="7"/>
  <c r="M443" i="7"/>
  <c r="S443" i="7"/>
  <c r="V443" i="7"/>
  <c r="Y443" i="7"/>
  <c r="J444" i="7"/>
  <c r="M444" i="7"/>
  <c r="S444" i="7"/>
  <c r="V444" i="7"/>
  <c r="Y444" i="7"/>
  <c r="J445" i="7"/>
  <c r="M445" i="7"/>
  <c r="S445" i="7"/>
  <c r="V445" i="7"/>
  <c r="Y445" i="7"/>
  <c r="J446" i="7"/>
  <c r="M446" i="7"/>
  <c r="S446" i="7"/>
  <c r="V446" i="7"/>
  <c r="Y446" i="7"/>
  <c r="J447" i="7"/>
  <c r="M447" i="7"/>
  <c r="S447" i="7"/>
  <c r="V447" i="7"/>
  <c r="Y447" i="7"/>
  <c r="J448" i="7"/>
  <c r="M448" i="7"/>
  <c r="S448" i="7"/>
  <c r="V448" i="7"/>
  <c r="Y448" i="7"/>
  <c r="J449" i="7"/>
  <c r="M449" i="7"/>
  <c r="S449" i="7"/>
  <c r="V449" i="7"/>
  <c r="Y449" i="7"/>
  <c r="J450" i="7"/>
  <c r="M450" i="7"/>
  <c r="S450" i="7"/>
  <c r="V450" i="7"/>
  <c r="Y450" i="7"/>
  <c r="J451" i="7"/>
  <c r="M451" i="7"/>
  <c r="S451" i="7"/>
  <c r="V451" i="7"/>
  <c r="Y451" i="7"/>
  <c r="J452" i="7"/>
  <c r="M452" i="7"/>
  <c r="S452" i="7"/>
  <c r="V452" i="7"/>
  <c r="Y452" i="7"/>
  <c r="J453" i="7"/>
  <c r="M453" i="7"/>
  <c r="S453" i="7"/>
  <c r="V453" i="7"/>
  <c r="Y453" i="7"/>
  <c r="J454" i="7"/>
  <c r="M454" i="7"/>
  <c r="S454" i="7"/>
  <c r="V454" i="7"/>
  <c r="Y454" i="7"/>
  <c r="J455" i="7"/>
  <c r="M455" i="7"/>
  <c r="S455" i="7"/>
  <c r="V455" i="7"/>
  <c r="Y455" i="7"/>
  <c r="J456" i="7"/>
  <c r="M456" i="7"/>
  <c r="S456" i="7"/>
  <c r="V456" i="7"/>
  <c r="Y456" i="7"/>
  <c r="J457" i="7"/>
  <c r="M457" i="7"/>
  <c r="S457" i="7"/>
  <c r="V457" i="7"/>
  <c r="Y457" i="7"/>
  <c r="J458" i="7"/>
  <c r="M458" i="7"/>
  <c r="S458" i="7"/>
  <c r="V458" i="7"/>
  <c r="Y458" i="7"/>
  <c r="J459" i="7"/>
  <c r="M459" i="7"/>
  <c r="S459" i="7"/>
  <c r="V459" i="7"/>
  <c r="Y459" i="7"/>
  <c r="J460" i="7"/>
  <c r="M460" i="7"/>
  <c r="S460" i="7"/>
  <c r="V460" i="7"/>
  <c r="Y460" i="7"/>
  <c r="J461" i="7"/>
  <c r="M461" i="7"/>
  <c r="S461" i="7"/>
  <c r="V461" i="7"/>
  <c r="Y461" i="7"/>
  <c r="J462" i="7"/>
  <c r="M462" i="7"/>
  <c r="S462" i="7"/>
  <c r="V462" i="7"/>
  <c r="Y462" i="7"/>
  <c r="J463" i="7"/>
  <c r="M463" i="7"/>
  <c r="S463" i="7"/>
  <c r="V463" i="7"/>
  <c r="Y463" i="7"/>
  <c r="J464" i="7"/>
  <c r="M464" i="7"/>
  <c r="S464" i="7"/>
  <c r="V464" i="7"/>
  <c r="Y464" i="7"/>
  <c r="J465" i="7"/>
  <c r="M465" i="7"/>
  <c r="S465" i="7"/>
  <c r="V465" i="7"/>
  <c r="Y465" i="7"/>
  <c r="J466" i="7"/>
  <c r="M466" i="7"/>
  <c r="S466" i="7"/>
  <c r="V466" i="7"/>
  <c r="Y466" i="7"/>
  <c r="J467" i="7"/>
  <c r="M467" i="7"/>
  <c r="S467" i="7"/>
  <c r="V467" i="7"/>
  <c r="Y467" i="7"/>
  <c r="J468" i="7"/>
  <c r="M468" i="7"/>
  <c r="S468" i="7"/>
  <c r="V468" i="7"/>
  <c r="Y468" i="7"/>
  <c r="J469" i="7"/>
  <c r="M469" i="7"/>
  <c r="S469" i="7"/>
  <c r="V469" i="7"/>
  <c r="Y469" i="7"/>
  <c r="J470" i="7"/>
  <c r="M470" i="7"/>
  <c r="S470" i="7"/>
  <c r="V470" i="7"/>
  <c r="Y470" i="7"/>
  <c r="J471" i="7"/>
  <c r="M471" i="7"/>
  <c r="S471" i="7"/>
  <c r="V471" i="7"/>
  <c r="Y471" i="7"/>
  <c r="J472" i="7"/>
  <c r="M472" i="7"/>
  <c r="S472" i="7"/>
  <c r="V472" i="7"/>
  <c r="Y472" i="7"/>
  <c r="J473" i="7"/>
  <c r="M473" i="7"/>
  <c r="S473" i="7"/>
  <c r="V473" i="7"/>
  <c r="Y473" i="7"/>
  <c r="J474" i="7"/>
  <c r="M474" i="7"/>
  <c r="S474" i="7"/>
  <c r="V474" i="7"/>
  <c r="Y474" i="7"/>
  <c r="J475" i="7"/>
  <c r="M475" i="7"/>
  <c r="S475" i="7"/>
  <c r="V475" i="7"/>
  <c r="Y475" i="7"/>
  <c r="J476" i="7"/>
  <c r="M476" i="7"/>
  <c r="S476" i="7"/>
  <c r="V476" i="7"/>
  <c r="Y476" i="7"/>
  <c r="J477" i="7"/>
  <c r="M477" i="7"/>
  <c r="S477" i="7"/>
  <c r="V477" i="7"/>
  <c r="Y477" i="7"/>
  <c r="J478" i="7"/>
  <c r="M478" i="7"/>
  <c r="S478" i="7"/>
  <c r="V478" i="7"/>
  <c r="Y478" i="7"/>
  <c r="J479" i="7"/>
  <c r="M479" i="7"/>
  <c r="S479" i="7"/>
  <c r="V479" i="7"/>
  <c r="Y479" i="7"/>
  <c r="J480" i="7"/>
  <c r="M480" i="7"/>
  <c r="S480" i="7"/>
  <c r="V480" i="7"/>
  <c r="Y480" i="7"/>
  <c r="J481" i="7"/>
  <c r="M481" i="7"/>
  <c r="S481" i="7"/>
  <c r="V481" i="7"/>
  <c r="Y481" i="7"/>
  <c r="J482" i="7"/>
  <c r="M482" i="7"/>
  <c r="S482" i="7"/>
  <c r="V482" i="7"/>
  <c r="Y482" i="7"/>
  <c r="J483" i="7"/>
  <c r="M483" i="7"/>
  <c r="S483" i="7"/>
  <c r="V483" i="7"/>
  <c r="Y483" i="7"/>
  <c r="J484" i="7"/>
  <c r="M484" i="7"/>
  <c r="S484" i="7"/>
  <c r="V484" i="7"/>
  <c r="Y484" i="7"/>
  <c r="J485" i="7"/>
  <c r="M485" i="7"/>
  <c r="S485" i="7"/>
  <c r="V485" i="7"/>
  <c r="Y485" i="7"/>
  <c r="J486" i="7"/>
  <c r="M486" i="7"/>
  <c r="S486" i="7"/>
  <c r="V486" i="7"/>
  <c r="Y486" i="7"/>
  <c r="J487" i="7"/>
  <c r="M487" i="7"/>
  <c r="S487" i="7"/>
  <c r="V487" i="7"/>
  <c r="Y487" i="7"/>
  <c r="J488" i="7"/>
  <c r="M488" i="7"/>
  <c r="S488" i="7"/>
  <c r="V488" i="7"/>
  <c r="Y488" i="7"/>
  <c r="J489" i="7"/>
  <c r="M489" i="7"/>
  <c r="S489" i="7"/>
  <c r="V489" i="7"/>
  <c r="Y489" i="7"/>
  <c r="J490" i="7"/>
  <c r="M490" i="7"/>
  <c r="S490" i="7"/>
  <c r="V490" i="7"/>
  <c r="Y490" i="7"/>
  <c r="J491" i="7"/>
  <c r="M491" i="7"/>
  <c r="S491" i="7"/>
  <c r="V491" i="7"/>
  <c r="Y491" i="7"/>
  <c r="J492" i="7"/>
  <c r="M492" i="7"/>
  <c r="S492" i="7"/>
  <c r="V492" i="7"/>
  <c r="Y492" i="7"/>
  <c r="J493" i="7"/>
  <c r="M493" i="7"/>
  <c r="S493" i="7"/>
  <c r="V493" i="7"/>
  <c r="Y493" i="7"/>
  <c r="J494" i="7"/>
  <c r="M494" i="7"/>
  <c r="S494" i="7"/>
  <c r="V494" i="7"/>
  <c r="Y494" i="7"/>
  <c r="J495" i="7"/>
  <c r="M495" i="7"/>
  <c r="S495" i="7"/>
  <c r="V495" i="7"/>
  <c r="Y495" i="7"/>
  <c r="J496" i="7"/>
  <c r="M496" i="7"/>
  <c r="S496" i="7"/>
  <c r="V496" i="7"/>
  <c r="Y496" i="7"/>
  <c r="J497" i="7"/>
  <c r="M497" i="7"/>
  <c r="S497" i="7"/>
  <c r="V497" i="7"/>
  <c r="Y497" i="7"/>
  <c r="J498" i="7"/>
  <c r="M498" i="7"/>
  <c r="S498" i="7"/>
  <c r="V498" i="7"/>
  <c r="Y498" i="7"/>
  <c r="J499" i="7"/>
  <c r="M499" i="7"/>
  <c r="S499" i="7"/>
  <c r="V499" i="7"/>
  <c r="Y499" i="7"/>
  <c r="J500" i="7"/>
  <c r="M500" i="7"/>
  <c r="S500" i="7"/>
  <c r="V500" i="7"/>
  <c r="Y500" i="7"/>
  <c r="J501" i="7"/>
  <c r="M501" i="7"/>
  <c r="S501" i="7"/>
  <c r="V501" i="7"/>
  <c r="Y501" i="7"/>
  <c r="J502" i="7"/>
  <c r="M502" i="7"/>
  <c r="S502" i="7"/>
  <c r="V502" i="7"/>
  <c r="Y502" i="7"/>
  <c r="J503" i="7"/>
  <c r="M503" i="7"/>
  <c r="S503" i="7"/>
  <c r="V503" i="7"/>
  <c r="Y503" i="7"/>
  <c r="J504" i="7"/>
  <c r="M504" i="7"/>
  <c r="S504" i="7"/>
  <c r="V504" i="7"/>
  <c r="Y504" i="7"/>
  <c r="J505" i="7"/>
  <c r="M505" i="7"/>
  <c r="S505" i="7"/>
  <c r="V505" i="7"/>
  <c r="Y505" i="7"/>
  <c r="J506" i="7"/>
  <c r="M506" i="7"/>
  <c r="S506" i="7"/>
  <c r="V506" i="7"/>
  <c r="Y506" i="7"/>
  <c r="J507" i="7"/>
  <c r="M507" i="7"/>
  <c r="S507" i="7"/>
  <c r="V507" i="7"/>
  <c r="Y507" i="7"/>
  <c r="J508" i="7"/>
  <c r="M508" i="7"/>
  <c r="S508" i="7"/>
  <c r="V508" i="7"/>
  <c r="Y508" i="7"/>
  <c r="J509" i="7"/>
  <c r="M509" i="7"/>
  <c r="S509" i="7"/>
  <c r="V509" i="7"/>
  <c r="Y509" i="7"/>
  <c r="J510" i="7"/>
  <c r="M510" i="7"/>
  <c r="S510" i="7"/>
  <c r="V510" i="7"/>
  <c r="Y510" i="7"/>
  <c r="J511" i="7"/>
  <c r="M511" i="7"/>
  <c r="S511" i="7"/>
  <c r="V511" i="7"/>
  <c r="Y511" i="7"/>
  <c r="J512" i="7"/>
  <c r="M512" i="7"/>
  <c r="S512" i="7"/>
  <c r="V512" i="7"/>
  <c r="Y512" i="7"/>
  <c r="J513" i="7"/>
  <c r="M513" i="7"/>
  <c r="S513" i="7"/>
  <c r="V513" i="7"/>
  <c r="Y513" i="7"/>
  <c r="J514" i="7"/>
  <c r="M514" i="7"/>
  <c r="S514" i="7"/>
  <c r="V514" i="7"/>
  <c r="Y514" i="7"/>
  <c r="J515" i="7"/>
  <c r="M515" i="7"/>
  <c r="S515" i="7"/>
  <c r="V515" i="7"/>
  <c r="Y515" i="7"/>
  <c r="J516" i="7"/>
  <c r="M516" i="7"/>
  <c r="S516" i="7"/>
  <c r="V516" i="7"/>
  <c r="Y516" i="7"/>
  <c r="Y418" i="7"/>
  <c r="V418" i="7"/>
  <c r="S418" i="7"/>
  <c r="M418" i="7"/>
  <c r="J418" i="7"/>
  <c r="Y417" i="7"/>
  <c r="V417" i="7"/>
  <c r="S417" i="7"/>
  <c r="M417" i="7"/>
  <c r="J417" i="7"/>
  <c r="H417" i="7"/>
  <c r="W256" i="7" l="1"/>
  <c r="W339" i="7"/>
  <c r="P640" i="7"/>
  <c r="P515" i="7"/>
  <c r="P543" i="7"/>
  <c r="P516" i="7"/>
  <c r="P419" i="7"/>
  <c r="P544" i="7"/>
  <c r="P418" i="7"/>
  <c r="AB422" i="7"/>
  <c r="AB421" i="7"/>
  <c r="AB424" i="7"/>
  <c r="AB423" i="7"/>
  <c r="AE542" i="7"/>
  <c r="AB674" i="7"/>
  <c r="F417" i="7"/>
  <c r="BC674" i="7"/>
  <c r="AD674" i="7"/>
  <c r="F674" i="7"/>
  <c r="BE675" i="7"/>
  <c r="F542" i="7"/>
  <c r="AE417" i="7"/>
  <c r="AE543" i="7" l="1"/>
  <c r="BC675" i="7"/>
  <c r="AD675" i="7"/>
  <c r="F675" i="7"/>
  <c r="AB675" i="7"/>
  <c r="F543" i="7"/>
  <c r="AE418" i="7"/>
  <c r="G360" i="7"/>
  <c r="F668" i="7"/>
  <c r="G272" i="7"/>
  <c r="A8" i="7"/>
  <c r="P639" i="7" l="1"/>
  <c r="P514" i="7"/>
  <c r="P545" i="7"/>
  <c r="P420" i="7"/>
  <c r="H675" i="7"/>
  <c r="H543" i="7"/>
  <c r="AB431" i="7"/>
  <c r="H418" i="7"/>
  <c r="W388" i="7"/>
  <c r="W252" i="7"/>
  <c r="E229" i="7"/>
  <c r="P638" i="7" l="1"/>
  <c r="P513" i="7"/>
  <c r="P546" i="7"/>
  <c r="P421" i="7"/>
  <c r="BL675" i="7"/>
  <c r="BL676" i="7"/>
  <c r="H544" i="7"/>
  <c r="H676" i="7"/>
  <c r="H419" i="7"/>
  <c r="AB432" i="7"/>
  <c r="F418" i="7"/>
  <c r="W300" i="7"/>
  <c r="BE676" i="7"/>
  <c r="W257" i="7"/>
  <c r="P547" i="7" l="1"/>
  <c r="P422" i="7"/>
  <c r="P637" i="7"/>
  <c r="P512" i="7"/>
  <c r="W387" i="7"/>
  <c r="H677" i="7"/>
  <c r="H545" i="7"/>
  <c r="AB433" i="7"/>
  <c r="H420" i="7"/>
  <c r="AE419" i="7"/>
  <c r="BC676" i="7"/>
  <c r="F676" i="7"/>
  <c r="AB676" i="7"/>
  <c r="F544" i="7"/>
  <c r="AD676" i="7"/>
  <c r="AE544" i="7"/>
  <c r="F419" i="7"/>
  <c r="W299" i="7"/>
  <c r="BE677" i="7"/>
  <c r="P636" i="7" l="1"/>
  <c r="P511" i="7"/>
  <c r="P548" i="7"/>
  <c r="P423" i="7"/>
  <c r="BL677" i="7"/>
  <c r="AE420" i="7"/>
  <c r="F677" i="7"/>
  <c r="BC677" i="7"/>
  <c r="F545" i="7"/>
  <c r="AB677" i="7"/>
  <c r="AD677" i="7"/>
  <c r="AE545" i="7"/>
  <c r="H678" i="7"/>
  <c r="H546" i="7"/>
  <c r="H421" i="7"/>
  <c r="BL678" i="7"/>
  <c r="AB434" i="7"/>
  <c r="F420" i="7"/>
  <c r="BE678" i="7"/>
  <c r="P549" i="7" l="1"/>
  <c r="P424" i="7"/>
  <c r="P635" i="7"/>
  <c r="P510" i="7"/>
  <c r="F678" i="7"/>
  <c r="BC678" i="7"/>
  <c r="AB678" i="7"/>
  <c r="F546" i="7"/>
  <c r="AD678" i="7"/>
  <c r="AE546" i="7"/>
  <c r="AE421" i="7"/>
  <c r="H679" i="7"/>
  <c r="H547" i="7"/>
  <c r="AB435" i="7"/>
  <c r="BL679" i="7"/>
  <c r="H422" i="7"/>
  <c r="BE679" i="7"/>
  <c r="F421" i="7"/>
  <c r="C820" i="7"/>
  <c r="P550" i="7" l="1"/>
  <c r="P425" i="7"/>
  <c r="P634" i="7"/>
  <c r="P509" i="7"/>
  <c r="H548" i="7"/>
  <c r="H423" i="7"/>
  <c r="H680" i="7"/>
  <c r="BL680" i="7"/>
  <c r="AB436" i="7"/>
  <c r="AE422" i="7"/>
  <c r="F679" i="7"/>
  <c r="BC679" i="7"/>
  <c r="AB679" i="7"/>
  <c r="F547" i="7"/>
  <c r="AD679" i="7"/>
  <c r="AE547" i="7"/>
  <c r="F422" i="7"/>
  <c r="BE680" i="7"/>
  <c r="C842" i="7"/>
  <c r="E6" i="7"/>
  <c r="P633" i="7" l="1"/>
  <c r="P508" i="7"/>
  <c r="P551" i="7"/>
  <c r="P426" i="7"/>
  <c r="H549" i="7"/>
  <c r="BL681" i="7"/>
  <c r="AB437" i="7"/>
  <c r="H424" i="7"/>
  <c r="H681" i="7"/>
  <c r="AE423" i="7"/>
  <c r="BC680" i="7"/>
  <c r="F680" i="7"/>
  <c r="AB680" i="7"/>
  <c r="F548" i="7"/>
  <c r="AD680" i="7"/>
  <c r="AE548" i="7"/>
  <c r="F423" i="7"/>
  <c r="BE681" i="7"/>
  <c r="P632" i="7" l="1"/>
  <c r="P507" i="7"/>
  <c r="P552" i="7"/>
  <c r="P427" i="7"/>
  <c r="H682" i="7"/>
  <c r="H550" i="7"/>
  <c r="AB438" i="7"/>
  <c r="BL682" i="7"/>
  <c r="H425" i="7"/>
  <c r="AE424" i="7"/>
  <c r="BC681" i="7"/>
  <c r="AB681" i="7"/>
  <c r="F681" i="7"/>
  <c r="F549" i="7"/>
  <c r="AD681" i="7"/>
  <c r="AE549" i="7"/>
  <c r="BE682" i="7"/>
  <c r="F424" i="7"/>
  <c r="P506" i="7" l="1"/>
  <c r="P631" i="7"/>
  <c r="P553" i="7"/>
  <c r="P428" i="7"/>
  <c r="H683" i="7"/>
  <c r="H551" i="7"/>
  <c r="BL683" i="7"/>
  <c r="AB439" i="7"/>
  <c r="H426" i="7"/>
  <c r="AE425" i="7"/>
  <c r="BC682" i="7"/>
  <c r="AB682" i="7"/>
  <c r="F682" i="7"/>
  <c r="AD682" i="7"/>
  <c r="F550" i="7"/>
  <c r="AE550" i="7"/>
  <c r="BE683" i="7"/>
  <c r="F425" i="7"/>
  <c r="P630" i="7" l="1"/>
  <c r="P505" i="7"/>
  <c r="P554" i="7"/>
  <c r="P429" i="7"/>
  <c r="F426" i="7"/>
  <c r="F683" i="7"/>
  <c r="BC683" i="7"/>
  <c r="AB683" i="7"/>
  <c r="F551" i="7"/>
  <c r="AD683" i="7"/>
  <c r="AE551" i="7"/>
  <c r="H552" i="7"/>
  <c r="H427" i="7"/>
  <c r="BL684" i="7"/>
  <c r="AB440" i="7"/>
  <c r="H684" i="7"/>
  <c r="AE426" i="7"/>
  <c r="P629" i="7" l="1"/>
  <c r="P504" i="7"/>
  <c r="P430" i="7"/>
  <c r="P555" i="7"/>
  <c r="AD684" i="7"/>
  <c r="BE684" i="7"/>
  <c r="BC684" i="7"/>
  <c r="F427" i="7"/>
  <c r="AE427" i="7"/>
  <c r="F552" i="7"/>
  <c r="AE552" i="7"/>
  <c r="F684" i="7"/>
  <c r="AB684" i="7"/>
  <c r="F428" i="7"/>
  <c r="H553" i="7"/>
  <c r="AB441" i="7"/>
  <c r="H685" i="7"/>
  <c r="H428" i="7"/>
  <c r="BL685" i="7"/>
  <c r="P431" i="7" l="1"/>
  <c r="P556" i="7"/>
  <c r="P628" i="7"/>
  <c r="P503" i="7"/>
  <c r="BE685" i="7"/>
  <c r="F429" i="7"/>
  <c r="AE553" i="7"/>
  <c r="BC685" i="7"/>
  <c r="AB685" i="7"/>
  <c r="AD685" i="7"/>
  <c r="F685" i="7"/>
  <c r="F553" i="7"/>
  <c r="AE428" i="7"/>
  <c r="AE554" i="7"/>
  <c r="BC686" i="7"/>
  <c r="F686" i="7"/>
  <c r="AB686" i="7"/>
  <c r="AD686" i="7"/>
  <c r="F554" i="7"/>
  <c r="H554" i="7"/>
  <c r="AB442" i="7"/>
  <c r="H686" i="7"/>
  <c r="BL686" i="7"/>
  <c r="H429" i="7"/>
  <c r="B4" i="10"/>
  <c r="BV4" i="7"/>
  <c r="BV5" i="7"/>
  <c r="BV6" i="7"/>
  <c r="BV3" i="7"/>
  <c r="BV2" i="7"/>
  <c r="E5" i="7"/>
  <c r="E4" i="7"/>
  <c r="P627" i="7" l="1"/>
  <c r="P502" i="7"/>
  <c r="AE429" i="7"/>
  <c r="BE686" i="7"/>
  <c r="H555" i="7"/>
  <c r="AB443" i="7"/>
  <c r="H687" i="7"/>
  <c r="H430" i="7"/>
  <c r="BL687" i="7"/>
  <c r="W255" i="7"/>
  <c r="B3" i="10"/>
  <c r="AG417" i="7" l="1"/>
  <c r="AI417" i="7" s="1"/>
  <c r="AG542" i="7"/>
  <c r="AG543" i="7"/>
  <c r="P501" i="7"/>
  <c r="P626" i="7"/>
  <c r="P433" i="7"/>
  <c r="P558" i="7"/>
  <c r="BE687" i="7"/>
  <c r="AE430" i="7"/>
  <c r="AG430" i="7" s="1"/>
  <c r="AI430" i="7" s="1"/>
  <c r="AB687" i="7"/>
  <c r="F687" i="7"/>
  <c r="F555" i="7"/>
  <c r="AD687" i="7"/>
  <c r="AE555" i="7"/>
  <c r="AG555" i="7" s="1"/>
  <c r="AI555" i="7" s="1"/>
  <c r="F430" i="7"/>
  <c r="BC687" i="7"/>
  <c r="AB444" i="7"/>
  <c r="H556" i="7"/>
  <c r="H688" i="7"/>
  <c r="BL688" i="7"/>
  <c r="H431" i="7"/>
  <c r="AG553" i="7"/>
  <c r="AI553" i="7" s="1"/>
  <c r="AG545" i="7"/>
  <c r="AI545" i="7" s="1"/>
  <c r="AG554" i="7"/>
  <c r="AI554" i="7" s="1"/>
  <c r="AI543" i="7"/>
  <c r="AG550" i="7"/>
  <c r="AI550" i="7" s="1"/>
  <c r="AG546" i="7"/>
  <c r="AI546" i="7" s="1"/>
  <c r="AG544" i="7"/>
  <c r="AI544" i="7" s="1"/>
  <c r="AG552" i="7"/>
  <c r="AI552" i="7" s="1"/>
  <c r="AG548" i="7"/>
  <c r="AI548" i="7" s="1"/>
  <c r="AI542" i="7"/>
  <c r="AG549" i="7"/>
  <c r="AI549" i="7" s="1"/>
  <c r="AG547" i="7"/>
  <c r="AI547" i="7" s="1"/>
  <c r="AG551" i="7"/>
  <c r="AI551" i="7" s="1"/>
  <c r="AG428" i="7"/>
  <c r="AI428" i="7" s="1"/>
  <c r="AG427" i="7"/>
  <c r="AI427" i="7" s="1"/>
  <c r="AG426" i="7"/>
  <c r="AI426" i="7" s="1"/>
  <c r="AG429" i="7"/>
  <c r="AI429" i="7" s="1"/>
  <c r="AG425" i="7"/>
  <c r="AI425" i="7" s="1"/>
  <c r="AG424" i="7"/>
  <c r="AI424" i="7" s="1"/>
  <c r="AG423" i="7"/>
  <c r="AI423" i="7" s="1"/>
  <c r="AG422" i="7"/>
  <c r="AI422" i="7" s="1"/>
  <c r="AG420" i="7"/>
  <c r="AI420" i="7" s="1"/>
  <c r="AG419" i="7"/>
  <c r="AI419" i="7" s="1"/>
  <c r="AG421" i="7"/>
  <c r="AI421" i="7" s="1"/>
  <c r="AG418" i="7"/>
  <c r="AI418" i="7" s="1"/>
  <c r="B2" i="10"/>
  <c r="P434" i="7" l="1"/>
  <c r="P559" i="7"/>
  <c r="P500" i="7"/>
  <c r="P625" i="7"/>
  <c r="BE688" i="7"/>
  <c r="AE431" i="7"/>
  <c r="AG431" i="7" s="1"/>
  <c r="AI431" i="7" s="1"/>
  <c r="AK431" i="7" s="1"/>
  <c r="AM431" i="7" s="1"/>
  <c r="AO431" i="7" s="1"/>
  <c r="AQ431" i="7" s="1"/>
  <c r="AS431" i="7" s="1"/>
  <c r="AU431" i="7" s="1"/>
  <c r="AW431" i="7" s="1"/>
  <c r="AY431" i="7" s="1"/>
  <c r="BA431" i="7" s="1"/>
  <c r="BC431" i="7" s="1"/>
  <c r="BE431" i="7" s="1"/>
  <c r="BG431" i="7" s="1"/>
  <c r="BI431" i="7" s="1"/>
  <c r="BK431" i="7" s="1"/>
  <c r="BM431" i="7" s="1"/>
  <c r="BO431" i="7" s="1"/>
  <c r="BQ431" i="7" s="1"/>
  <c r="F556" i="7"/>
  <c r="AD688" i="7"/>
  <c r="BC688" i="7"/>
  <c r="AB688" i="7"/>
  <c r="F688" i="7"/>
  <c r="AE556" i="7"/>
  <c r="AG556" i="7" s="1"/>
  <c r="AI556" i="7" s="1"/>
  <c r="AK556" i="7" s="1"/>
  <c r="AM556" i="7" s="1"/>
  <c r="AO556" i="7" s="1"/>
  <c r="AQ556" i="7" s="1"/>
  <c r="AS556" i="7" s="1"/>
  <c r="AU556" i="7" s="1"/>
  <c r="AW556" i="7" s="1"/>
  <c r="AY556" i="7" s="1"/>
  <c r="BA556" i="7" s="1"/>
  <c r="BC556" i="7" s="1"/>
  <c r="BE556" i="7" s="1"/>
  <c r="BG556" i="7" s="1"/>
  <c r="BI556" i="7" s="1"/>
  <c r="BK556" i="7" s="1"/>
  <c r="BM556" i="7" s="1"/>
  <c r="BO556" i="7" s="1"/>
  <c r="BQ556" i="7" s="1"/>
  <c r="F431" i="7"/>
  <c r="H689" i="7"/>
  <c r="AB445" i="7"/>
  <c r="H557" i="7"/>
  <c r="H432" i="7"/>
  <c r="BL689" i="7"/>
  <c r="AK544" i="7"/>
  <c r="AM544" i="7" s="1"/>
  <c r="AO544" i="7" s="1"/>
  <c r="AQ544" i="7" s="1"/>
  <c r="AS544" i="7" s="1"/>
  <c r="AU544" i="7" s="1"/>
  <c r="AW544" i="7" s="1"/>
  <c r="AY544" i="7" s="1"/>
  <c r="BA544" i="7" s="1"/>
  <c r="BC544" i="7" s="1"/>
  <c r="BE544" i="7" s="1"/>
  <c r="BG544" i="7" s="1"/>
  <c r="BI544" i="7" s="1"/>
  <c r="BK544" i="7" s="1"/>
  <c r="BM544" i="7" s="1"/>
  <c r="BO544" i="7" s="1"/>
  <c r="BQ544" i="7" s="1"/>
  <c r="AK554" i="7"/>
  <c r="AM554" i="7" s="1"/>
  <c r="AO554" i="7" s="1"/>
  <c r="AQ554" i="7" s="1"/>
  <c r="AS554" i="7" s="1"/>
  <c r="AU554" i="7" s="1"/>
  <c r="AW554" i="7" s="1"/>
  <c r="AY554" i="7" s="1"/>
  <c r="BA554" i="7" s="1"/>
  <c r="BC554" i="7" s="1"/>
  <c r="BE554" i="7" s="1"/>
  <c r="BG554" i="7" s="1"/>
  <c r="BI554" i="7" s="1"/>
  <c r="BK554" i="7" s="1"/>
  <c r="BM554" i="7" s="1"/>
  <c r="BO554" i="7" s="1"/>
  <c r="BQ554" i="7" s="1"/>
  <c r="AK545" i="7"/>
  <c r="AM545" i="7" s="1"/>
  <c r="AO545" i="7" s="1"/>
  <c r="AQ545" i="7" s="1"/>
  <c r="AS545" i="7" s="1"/>
  <c r="AU545" i="7" s="1"/>
  <c r="AW545" i="7" s="1"/>
  <c r="AY545" i="7" s="1"/>
  <c r="BA545" i="7" s="1"/>
  <c r="BC545" i="7" s="1"/>
  <c r="BE545" i="7" s="1"/>
  <c r="BG545" i="7" s="1"/>
  <c r="BI545" i="7" s="1"/>
  <c r="BK545" i="7" s="1"/>
  <c r="BM545" i="7" s="1"/>
  <c r="BO545" i="7" s="1"/>
  <c r="BQ545" i="7" s="1"/>
  <c r="AK542" i="7"/>
  <c r="AM542" i="7" s="1"/>
  <c r="AO542" i="7" s="1"/>
  <c r="AQ542" i="7" s="1"/>
  <c r="AS542" i="7" s="1"/>
  <c r="AU542" i="7" s="1"/>
  <c r="AW542" i="7" s="1"/>
  <c r="AY542" i="7" s="1"/>
  <c r="BA542" i="7" s="1"/>
  <c r="BC542" i="7" s="1"/>
  <c r="AK552" i="7"/>
  <c r="AM552" i="7" s="1"/>
  <c r="AO552" i="7" s="1"/>
  <c r="AQ552" i="7" s="1"/>
  <c r="AS552" i="7" s="1"/>
  <c r="AU552" i="7" s="1"/>
  <c r="AW552" i="7" s="1"/>
  <c r="AY552" i="7" s="1"/>
  <c r="BA552" i="7" s="1"/>
  <c r="BC552" i="7" s="1"/>
  <c r="BE552" i="7" s="1"/>
  <c r="BG552" i="7" s="1"/>
  <c r="BI552" i="7" s="1"/>
  <c r="BK552" i="7" s="1"/>
  <c r="BM552" i="7" s="1"/>
  <c r="BO552" i="7" s="1"/>
  <c r="BQ552" i="7" s="1"/>
  <c r="AK548" i="7"/>
  <c r="AM548" i="7" s="1"/>
  <c r="AO548" i="7" s="1"/>
  <c r="AQ548" i="7" s="1"/>
  <c r="AS548" i="7" s="1"/>
  <c r="AU548" i="7" s="1"/>
  <c r="AW548" i="7" s="1"/>
  <c r="AY548" i="7" s="1"/>
  <c r="BA548" i="7" s="1"/>
  <c r="BC548" i="7" s="1"/>
  <c r="BE548" i="7" s="1"/>
  <c r="BG548" i="7" s="1"/>
  <c r="BI548" i="7" s="1"/>
  <c r="BK548" i="7" s="1"/>
  <c r="BM548" i="7" s="1"/>
  <c r="BO548" i="7" s="1"/>
  <c r="BQ548" i="7" s="1"/>
  <c r="AK428" i="7"/>
  <c r="AM428" i="7" s="1"/>
  <c r="AO428" i="7" s="1"/>
  <c r="AQ428" i="7" s="1"/>
  <c r="AS428" i="7" s="1"/>
  <c r="AU428" i="7" s="1"/>
  <c r="AW428" i="7" s="1"/>
  <c r="AY428" i="7" s="1"/>
  <c r="BA428" i="7" s="1"/>
  <c r="BC428" i="7" s="1"/>
  <c r="BE428" i="7" s="1"/>
  <c r="BG428" i="7" s="1"/>
  <c r="BI428" i="7" s="1"/>
  <c r="BK428" i="7" s="1"/>
  <c r="BM428" i="7" s="1"/>
  <c r="BO428" i="7" s="1"/>
  <c r="BQ428" i="7" s="1"/>
  <c r="AK550" i="7"/>
  <c r="AM550" i="7" s="1"/>
  <c r="AO550" i="7" s="1"/>
  <c r="AQ550" i="7" s="1"/>
  <c r="AS550" i="7" s="1"/>
  <c r="AU550" i="7" s="1"/>
  <c r="AW550" i="7" s="1"/>
  <c r="AY550" i="7" s="1"/>
  <c r="BA550" i="7" s="1"/>
  <c r="BC550" i="7" s="1"/>
  <c r="BE550" i="7" s="1"/>
  <c r="BG550" i="7" s="1"/>
  <c r="BI550" i="7" s="1"/>
  <c r="BK550" i="7" s="1"/>
  <c r="BM550" i="7" s="1"/>
  <c r="BO550" i="7" s="1"/>
  <c r="BQ550" i="7" s="1"/>
  <c r="AK553" i="7"/>
  <c r="AM553" i="7" s="1"/>
  <c r="AO553" i="7" s="1"/>
  <c r="AQ553" i="7" s="1"/>
  <c r="AS553" i="7" s="1"/>
  <c r="AU553" i="7" s="1"/>
  <c r="AW553" i="7" s="1"/>
  <c r="AY553" i="7" s="1"/>
  <c r="BA553" i="7" s="1"/>
  <c r="BC553" i="7" s="1"/>
  <c r="BE553" i="7" s="1"/>
  <c r="BG553" i="7" s="1"/>
  <c r="BI553" i="7" s="1"/>
  <c r="BK553" i="7" s="1"/>
  <c r="BM553" i="7" s="1"/>
  <c r="BO553" i="7" s="1"/>
  <c r="BQ553" i="7" s="1"/>
  <c r="AK555" i="7"/>
  <c r="AM555" i="7" s="1"/>
  <c r="AO555" i="7" s="1"/>
  <c r="AQ555" i="7" s="1"/>
  <c r="AS555" i="7" s="1"/>
  <c r="AU555" i="7" s="1"/>
  <c r="AW555" i="7" s="1"/>
  <c r="AY555" i="7" s="1"/>
  <c r="BA555" i="7" s="1"/>
  <c r="BC555" i="7" s="1"/>
  <c r="BE555" i="7" s="1"/>
  <c r="BG555" i="7" s="1"/>
  <c r="BI555" i="7" s="1"/>
  <c r="BK555" i="7" s="1"/>
  <c r="BM555" i="7" s="1"/>
  <c r="BO555" i="7" s="1"/>
  <c r="BQ555" i="7" s="1"/>
  <c r="AK430" i="7"/>
  <c r="AM430" i="7" s="1"/>
  <c r="AO430" i="7" s="1"/>
  <c r="AQ430" i="7" s="1"/>
  <c r="AS430" i="7" s="1"/>
  <c r="AU430" i="7" s="1"/>
  <c r="AW430" i="7" s="1"/>
  <c r="AY430" i="7" s="1"/>
  <c r="BA430" i="7" s="1"/>
  <c r="BC430" i="7" s="1"/>
  <c r="BE430" i="7" s="1"/>
  <c r="BG430" i="7" s="1"/>
  <c r="BI430" i="7" s="1"/>
  <c r="BK430" i="7" s="1"/>
  <c r="BM430" i="7" s="1"/>
  <c r="BO430" i="7" s="1"/>
  <c r="BQ430" i="7" s="1"/>
  <c r="AK546" i="7"/>
  <c r="AM546" i="7" s="1"/>
  <c r="AO546" i="7" s="1"/>
  <c r="AQ546" i="7" s="1"/>
  <c r="AS546" i="7" s="1"/>
  <c r="AU546" i="7" s="1"/>
  <c r="AW546" i="7" s="1"/>
  <c r="AY546" i="7" s="1"/>
  <c r="BA546" i="7" s="1"/>
  <c r="BC546" i="7" s="1"/>
  <c r="BE546" i="7" s="1"/>
  <c r="BG546" i="7" s="1"/>
  <c r="BI546" i="7" s="1"/>
  <c r="BK546" i="7" s="1"/>
  <c r="BM546" i="7" s="1"/>
  <c r="BO546" i="7" s="1"/>
  <c r="BQ546" i="7" s="1"/>
  <c r="AK547" i="7"/>
  <c r="AM547" i="7" s="1"/>
  <c r="AO547" i="7" s="1"/>
  <c r="AQ547" i="7" s="1"/>
  <c r="AS547" i="7" s="1"/>
  <c r="AU547" i="7" s="1"/>
  <c r="AW547" i="7" s="1"/>
  <c r="AY547" i="7" s="1"/>
  <c r="BA547" i="7" s="1"/>
  <c r="BC547" i="7" s="1"/>
  <c r="BE547" i="7" s="1"/>
  <c r="BG547" i="7" s="1"/>
  <c r="BI547" i="7" s="1"/>
  <c r="BK547" i="7" s="1"/>
  <c r="BM547" i="7" s="1"/>
  <c r="BO547" i="7" s="1"/>
  <c r="BQ547" i="7" s="1"/>
  <c r="AK543" i="7"/>
  <c r="AM543" i="7" s="1"/>
  <c r="AO543" i="7" s="1"/>
  <c r="AQ543" i="7" s="1"/>
  <c r="AS543" i="7" s="1"/>
  <c r="AU543" i="7" s="1"/>
  <c r="AW543" i="7" s="1"/>
  <c r="AY543" i="7" s="1"/>
  <c r="BA543" i="7" s="1"/>
  <c r="BC543" i="7" s="1"/>
  <c r="BE543" i="7" s="1"/>
  <c r="BG543" i="7" s="1"/>
  <c r="BI543" i="7" s="1"/>
  <c r="BK543" i="7" s="1"/>
  <c r="BM543" i="7" s="1"/>
  <c r="BO543" i="7" s="1"/>
  <c r="BQ543" i="7" s="1"/>
  <c r="AK549" i="7"/>
  <c r="AM549" i="7" s="1"/>
  <c r="AO549" i="7" s="1"/>
  <c r="AQ549" i="7" s="1"/>
  <c r="AS549" i="7" s="1"/>
  <c r="AU549" i="7" s="1"/>
  <c r="AW549" i="7" s="1"/>
  <c r="AY549" i="7" s="1"/>
  <c r="BA549" i="7" s="1"/>
  <c r="BC549" i="7" s="1"/>
  <c r="BE549" i="7" s="1"/>
  <c r="BG549" i="7" s="1"/>
  <c r="BI549" i="7" s="1"/>
  <c r="BK549" i="7" s="1"/>
  <c r="BM549" i="7" s="1"/>
  <c r="BO549" i="7" s="1"/>
  <c r="BQ549" i="7" s="1"/>
  <c r="AK429" i="7"/>
  <c r="AM429" i="7" s="1"/>
  <c r="AO429" i="7" s="1"/>
  <c r="AQ429" i="7" s="1"/>
  <c r="AS429" i="7" s="1"/>
  <c r="AU429" i="7" s="1"/>
  <c r="AW429" i="7" s="1"/>
  <c r="AY429" i="7" s="1"/>
  <c r="BA429" i="7" s="1"/>
  <c r="BC429" i="7" s="1"/>
  <c r="BE429" i="7" s="1"/>
  <c r="BG429" i="7" s="1"/>
  <c r="BI429" i="7" s="1"/>
  <c r="BK429" i="7" s="1"/>
  <c r="BM429" i="7" s="1"/>
  <c r="BO429" i="7" s="1"/>
  <c r="BQ429" i="7" s="1"/>
  <c r="AK551" i="7"/>
  <c r="AM551" i="7" s="1"/>
  <c r="AO551" i="7" s="1"/>
  <c r="AQ551" i="7" s="1"/>
  <c r="AS551" i="7" s="1"/>
  <c r="AU551" i="7" s="1"/>
  <c r="AW551" i="7" s="1"/>
  <c r="AY551" i="7" s="1"/>
  <c r="BA551" i="7" s="1"/>
  <c r="BC551" i="7" s="1"/>
  <c r="BE551" i="7" s="1"/>
  <c r="BG551" i="7" s="1"/>
  <c r="BI551" i="7" s="1"/>
  <c r="BK551" i="7" s="1"/>
  <c r="BM551" i="7" s="1"/>
  <c r="BO551" i="7" s="1"/>
  <c r="BQ551" i="7" s="1"/>
  <c r="AK421" i="7"/>
  <c r="AM421" i="7" s="1"/>
  <c r="AO421" i="7" s="1"/>
  <c r="AQ421" i="7" s="1"/>
  <c r="AS421" i="7" s="1"/>
  <c r="AU421" i="7" s="1"/>
  <c r="AW421" i="7" s="1"/>
  <c r="AY421" i="7" s="1"/>
  <c r="BA421" i="7" s="1"/>
  <c r="BC421" i="7" s="1"/>
  <c r="BE421" i="7" s="1"/>
  <c r="BG421" i="7" s="1"/>
  <c r="BI421" i="7" s="1"/>
  <c r="BK421" i="7" s="1"/>
  <c r="BM421" i="7" s="1"/>
  <c r="BO421" i="7" s="1"/>
  <c r="BQ421" i="7" s="1"/>
  <c r="AK420" i="7"/>
  <c r="AM420" i="7" s="1"/>
  <c r="AO420" i="7" s="1"/>
  <c r="AQ420" i="7" s="1"/>
  <c r="AS420" i="7" s="1"/>
  <c r="AU420" i="7" s="1"/>
  <c r="AW420" i="7" s="1"/>
  <c r="AY420" i="7" s="1"/>
  <c r="BA420" i="7" s="1"/>
  <c r="BC420" i="7" s="1"/>
  <c r="BE420" i="7" s="1"/>
  <c r="BG420" i="7" s="1"/>
  <c r="BI420" i="7" s="1"/>
  <c r="BK420" i="7" s="1"/>
  <c r="BM420" i="7" s="1"/>
  <c r="BO420" i="7" s="1"/>
  <c r="BQ420" i="7" s="1"/>
  <c r="AK423" i="7"/>
  <c r="AM423" i="7" s="1"/>
  <c r="AO423" i="7" s="1"/>
  <c r="AQ423" i="7" s="1"/>
  <c r="AS423" i="7" s="1"/>
  <c r="AU423" i="7" s="1"/>
  <c r="AW423" i="7" s="1"/>
  <c r="AY423" i="7" s="1"/>
  <c r="BA423" i="7" s="1"/>
  <c r="BC423" i="7" s="1"/>
  <c r="BE423" i="7" s="1"/>
  <c r="BG423" i="7" s="1"/>
  <c r="BI423" i="7" s="1"/>
  <c r="BK423" i="7" s="1"/>
  <c r="BM423" i="7" s="1"/>
  <c r="BO423" i="7" s="1"/>
  <c r="BQ423" i="7" s="1"/>
  <c r="AK424" i="7"/>
  <c r="AM424" i="7" s="1"/>
  <c r="AO424" i="7" s="1"/>
  <c r="AQ424" i="7" s="1"/>
  <c r="AS424" i="7" s="1"/>
  <c r="AU424" i="7" s="1"/>
  <c r="AW424" i="7" s="1"/>
  <c r="AY424" i="7" s="1"/>
  <c r="BA424" i="7" s="1"/>
  <c r="BC424" i="7" s="1"/>
  <c r="BE424" i="7" s="1"/>
  <c r="BG424" i="7" s="1"/>
  <c r="BI424" i="7" s="1"/>
  <c r="BK424" i="7" s="1"/>
  <c r="BM424" i="7" s="1"/>
  <c r="BO424" i="7" s="1"/>
  <c r="BQ424" i="7" s="1"/>
  <c r="AK426" i="7"/>
  <c r="AM426" i="7" s="1"/>
  <c r="AO426" i="7" s="1"/>
  <c r="AQ426" i="7" s="1"/>
  <c r="AS426" i="7" s="1"/>
  <c r="AU426" i="7" s="1"/>
  <c r="AW426" i="7" s="1"/>
  <c r="AY426" i="7" s="1"/>
  <c r="BA426" i="7" s="1"/>
  <c r="BC426" i="7" s="1"/>
  <c r="BE426" i="7" s="1"/>
  <c r="BG426" i="7" s="1"/>
  <c r="BI426" i="7" s="1"/>
  <c r="BK426" i="7" s="1"/>
  <c r="BM426" i="7" s="1"/>
  <c r="BO426" i="7" s="1"/>
  <c r="BQ426" i="7" s="1"/>
  <c r="AK419" i="7"/>
  <c r="AM419" i="7" s="1"/>
  <c r="AO419" i="7" s="1"/>
  <c r="AQ419" i="7" s="1"/>
  <c r="AS419" i="7" s="1"/>
  <c r="AU419" i="7" s="1"/>
  <c r="AW419" i="7" s="1"/>
  <c r="AY419" i="7" s="1"/>
  <c r="BA419" i="7" s="1"/>
  <c r="BC419" i="7" s="1"/>
  <c r="BE419" i="7" s="1"/>
  <c r="BG419" i="7" s="1"/>
  <c r="BI419" i="7" s="1"/>
  <c r="BK419" i="7" s="1"/>
  <c r="BM419" i="7" s="1"/>
  <c r="BO419" i="7" s="1"/>
  <c r="BQ419" i="7" s="1"/>
  <c r="AK422" i="7"/>
  <c r="AM422" i="7" s="1"/>
  <c r="AO422" i="7" s="1"/>
  <c r="AQ422" i="7" s="1"/>
  <c r="AS422" i="7" s="1"/>
  <c r="AU422" i="7" s="1"/>
  <c r="AW422" i="7" s="1"/>
  <c r="AY422" i="7" s="1"/>
  <c r="BA422" i="7" s="1"/>
  <c r="BC422" i="7" s="1"/>
  <c r="BE422" i="7" s="1"/>
  <c r="BG422" i="7" s="1"/>
  <c r="BI422" i="7" s="1"/>
  <c r="BK422" i="7" s="1"/>
  <c r="BM422" i="7" s="1"/>
  <c r="BO422" i="7" s="1"/>
  <c r="BQ422" i="7" s="1"/>
  <c r="AK425" i="7"/>
  <c r="AM425" i="7" s="1"/>
  <c r="AO425" i="7" s="1"/>
  <c r="AQ425" i="7" s="1"/>
  <c r="AS425" i="7" s="1"/>
  <c r="AU425" i="7" s="1"/>
  <c r="AW425" i="7" s="1"/>
  <c r="AY425" i="7" s="1"/>
  <c r="BA425" i="7" s="1"/>
  <c r="BC425" i="7" s="1"/>
  <c r="BE425" i="7" s="1"/>
  <c r="BG425" i="7" s="1"/>
  <c r="BI425" i="7" s="1"/>
  <c r="BK425" i="7" s="1"/>
  <c r="BM425" i="7" s="1"/>
  <c r="BO425" i="7" s="1"/>
  <c r="BQ425" i="7" s="1"/>
  <c r="AK427" i="7"/>
  <c r="AM427" i="7" s="1"/>
  <c r="AO427" i="7" s="1"/>
  <c r="AQ427" i="7" s="1"/>
  <c r="AS427" i="7" s="1"/>
  <c r="AU427" i="7" s="1"/>
  <c r="AW427" i="7" s="1"/>
  <c r="AY427" i="7" s="1"/>
  <c r="BA427" i="7" s="1"/>
  <c r="BC427" i="7" s="1"/>
  <c r="BE427" i="7" s="1"/>
  <c r="BG427" i="7" s="1"/>
  <c r="BI427" i="7" s="1"/>
  <c r="BK427" i="7" s="1"/>
  <c r="BM427" i="7" s="1"/>
  <c r="BO427" i="7" s="1"/>
  <c r="BQ427" i="7" s="1"/>
  <c r="AK418" i="7"/>
  <c r="AM418" i="7" s="1"/>
  <c r="AO418" i="7" s="1"/>
  <c r="AQ418" i="7" s="1"/>
  <c r="AS418" i="7" s="1"/>
  <c r="AU418" i="7" s="1"/>
  <c r="AW418" i="7" s="1"/>
  <c r="AY418" i="7" s="1"/>
  <c r="BA418" i="7" s="1"/>
  <c r="BC418" i="7" s="1"/>
  <c r="BE418" i="7" s="1"/>
  <c r="BG418" i="7" s="1"/>
  <c r="BI418" i="7" s="1"/>
  <c r="BK418" i="7" s="1"/>
  <c r="BM418" i="7" s="1"/>
  <c r="BO418" i="7" s="1"/>
  <c r="BQ418" i="7" s="1"/>
  <c r="AK417" i="7"/>
  <c r="AM417" i="7" s="1"/>
  <c r="AO417" i="7" s="1"/>
  <c r="AQ417" i="7" s="1"/>
  <c r="AS417" i="7" s="1"/>
  <c r="AU417" i="7" s="1"/>
  <c r="AW417" i="7" s="1"/>
  <c r="AY417" i="7" s="1"/>
  <c r="BA417" i="7" s="1"/>
  <c r="BC417" i="7" s="1"/>
  <c r="BE417" i="7" s="1"/>
  <c r="BG417" i="7" s="1"/>
  <c r="BI417" i="7" s="1"/>
  <c r="BK417" i="7" s="1"/>
  <c r="BM417" i="7" s="1"/>
  <c r="BO417" i="7" s="1"/>
  <c r="BQ417" i="7" s="1"/>
  <c r="BE542" i="7" l="1"/>
  <c r="BG542" i="7" s="1"/>
  <c r="BI542" i="7" s="1"/>
  <c r="BK542" i="7" s="1"/>
  <c r="BM542" i="7" s="1"/>
  <c r="BO542" i="7" s="1"/>
  <c r="BQ542" i="7" s="1"/>
  <c r="P560" i="7"/>
  <c r="P435" i="7"/>
  <c r="P624" i="7"/>
  <c r="P499" i="7"/>
  <c r="P432" i="7"/>
  <c r="P557" i="7"/>
  <c r="BE689" i="7"/>
  <c r="AE432" i="7"/>
  <c r="AG432" i="7" s="1"/>
  <c r="AI432" i="7" s="1"/>
  <c r="F689" i="7"/>
  <c r="BC689" i="7"/>
  <c r="F432" i="7"/>
  <c r="F557" i="7"/>
  <c r="AB689" i="7"/>
  <c r="AE557" i="7"/>
  <c r="H433" i="7"/>
  <c r="H690" i="7"/>
  <c r="AB446" i="7"/>
  <c r="H558" i="7"/>
  <c r="BL690" i="7"/>
  <c r="AD689" i="7"/>
  <c r="AK676" i="7"/>
  <c r="AM676" i="7" s="1"/>
  <c r="AK679" i="7"/>
  <c r="AM679" i="7" s="1"/>
  <c r="J687" i="7"/>
  <c r="L687" i="7" s="1"/>
  <c r="J685" i="7"/>
  <c r="L685" i="7" s="1"/>
  <c r="AK677" i="7"/>
  <c r="AM677" i="7" s="1"/>
  <c r="J678" i="7"/>
  <c r="L678" i="7" s="1"/>
  <c r="AK678" i="7"/>
  <c r="AM678" i="7" s="1"/>
  <c r="J688" i="7"/>
  <c r="L688" i="7" s="1"/>
  <c r="J677" i="7"/>
  <c r="L677" i="7" s="1"/>
  <c r="J681" i="7"/>
  <c r="L681" i="7" s="1"/>
  <c r="AK675" i="7"/>
  <c r="AM675" i="7" s="1"/>
  <c r="J680" i="7"/>
  <c r="L680" i="7" s="1"/>
  <c r="AK682" i="7"/>
  <c r="AM682" i="7" s="1"/>
  <c r="J686" i="7"/>
  <c r="L686" i="7" s="1"/>
  <c r="J684" i="7"/>
  <c r="L684" i="7" s="1"/>
  <c r="AK685" i="7"/>
  <c r="AM685" i="7" s="1"/>
  <c r="AK684" i="7"/>
  <c r="AM684" i="7" s="1"/>
  <c r="J683" i="7"/>
  <c r="L683" i="7" s="1"/>
  <c r="AK688" i="7"/>
  <c r="AM688" i="7" s="1"/>
  <c r="AK687" i="7"/>
  <c r="AM687" i="7" s="1"/>
  <c r="J676" i="7"/>
  <c r="L676" i="7" s="1"/>
  <c r="AK681" i="7"/>
  <c r="AM681" i="7" s="1"/>
  <c r="AK680" i="7"/>
  <c r="AM680" i="7" s="1"/>
  <c r="AK683" i="7"/>
  <c r="AM683" i="7" s="1"/>
  <c r="AK686" i="7"/>
  <c r="AM686" i="7" s="1"/>
  <c r="J679" i="7"/>
  <c r="L679" i="7" s="1"/>
  <c r="J682" i="7"/>
  <c r="L682" i="7" s="1"/>
  <c r="J675" i="7"/>
  <c r="L675" i="7" s="1"/>
  <c r="J674" i="7"/>
  <c r="L674" i="7" s="1"/>
  <c r="P674" i="7" s="1"/>
  <c r="AG557" i="7" l="1"/>
  <c r="AI557" i="7" s="1"/>
  <c r="AK557" i="7" s="1"/>
  <c r="AM557" i="7" s="1"/>
  <c r="AO557" i="7" s="1"/>
  <c r="AQ557" i="7" s="1"/>
  <c r="AS557" i="7" s="1"/>
  <c r="AU557" i="7" s="1"/>
  <c r="AW557" i="7" s="1"/>
  <c r="AY557" i="7" s="1"/>
  <c r="BA557" i="7" s="1"/>
  <c r="BC557" i="7" s="1"/>
  <c r="BE557" i="7" s="1"/>
  <c r="BG557" i="7" s="1"/>
  <c r="BI557" i="7" s="1"/>
  <c r="BK557" i="7" s="1"/>
  <c r="BM557" i="7" s="1"/>
  <c r="BO557" i="7" s="1"/>
  <c r="BQ557" i="7" s="1"/>
  <c r="P561" i="7"/>
  <c r="P436" i="7"/>
  <c r="P498" i="7"/>
  <c r="P623" i="7"/>
  <c r="BE690" i="7"/>
  <c r="AE433" i="7"/>
  <c r="AE558" i="7"/>
  <c r="AB690" i="7"/>
  <c r="AD690" i="7"/>
  <c r="F690" i="7"/>
  <c r="F433" i="7"/>
  <c r="BC690" i="7"/>
  <c r="F558" i="7"/>
  <c r="R682" i="7"/>
  <c r="T682" i="7"/>
  <c r="R683" i="7"/>
  <c r="T683" i="7"/>
  <c r="R686" i="7"/>
  <c r="T686" i="7"/>
  <c r="R680" i="7"/>
  <c r="T680" i="7"/>
  <c r="R677" i="7"/>
  <c r="T677" i="7"/>
  <c r="R684" i="7"/>
  <c r="T684" i="7"/>
  <c r="R681" i="7"/>
  <c r="T681" i="7"/>
  <c r="R688" i="7"/>
  <c r="T688" i="7"/>
  <c r="R678" i="7"/>
  <c r="T678" i="7"/>
  <c r="R674" i="7"/>
  <c r="T674" i="7"/>
  <c r="R675" i="7"/>
  <c r="T675" i="7"/>
  <c r="R679" i="7"/>
  <c r="T679" i="7"/>
  <c r="R676" i="7"/>
  <c r="T676" i="7"/>
  <c r="R685" i="7"/>
  <c r="T685" i="7"/>
  <c r="R687" i="7"/>
  <c r="T687" i="7"/>
  <c r="N678" i="7"/>
  <c r="P678" i="7"/>
  <c r="N682" i="7"/>
  <c r="P682" i="7"/>
  <c r="N688" i="7"/>
  <c r="P688" i="7"/>
  <c r="N687" i="7"/>
  <c r="P687" i="7"/>
  <c r="N686" i="7"/>
  <c r="P686" i="7"/>
  <c r="N681" i="7"/>
  <c r="P681" i="7"/>
  <c r="N675" i="7"/>
  <c r="P675" i="7"/>
  <c r="N684" i="7"/>
  <c r="P684" i="7"/>
  <c r="N677" i="7"/>
  <c r="P677" i="7"/>
  <c r="N685" i="7"/>
  <c r="P685" i="7"/>
  <c r="N679" i="7"/>
  <c r="P679" i="7"/>
  <c r="N676" i="7"/>
  <c r="P676" i="7"/>
  <c r="N683" i="7"/>
  <c r="P683" i="7"/>
  <c r="N680" i="7"/>
  <c r="P680" i="7"/>
  <c r="N674" i="7"/>
  <c r="AK432" i="7"/>
  <c r="AM432" i="7" s="1"/>
  <c r="AO432" i="7" s="1"/>
  <c r="AQ432" i="7" s="1"/>
  <c r="AS432" i="7" s="1"/>
  <c r="AU432" i="7" s="1"/>
  <c r="AW432" i="7" s="1"/>
  <c r="AY432" i="7" s="1"/>
  <c r="BA432" i="7" s="1"/>
  <c r="BC432" i="7" s="1"/>
  <c r="BE432" i="7" s="1"/>
  <c r="BG432" i="7" s="1"/>
  <c r="BI432" i="7" s="1"/>
  <c r="BK432" i="7" s="1"/>
  <c r="BM432" i="7" s="1"/>
  <c r="BO432" i="7" s="1"/>
  <c r="BQ432" i="7" s="1"/>
  <c r="H434" i="7"/>
  <c r="AB447" i="7"/>
  <c r="H691" i="7"/>
  <c r="H559" i="7"/>
  <c r="BL691" i="7"/>
  <c r="AK674" i="7"/>
  <c r="AM674" i="7" s="1"/>
  <c r="AK689" i="7" l="1"/>
  <c r="AM689" i="7" s="1"/>
  <c r="P562" i="7"/>
  <c r="P437" i="7"/>
  <c r="P497" i="7"/>
  <c r="P622" i="7"/>
  <c r="AG433" i="7"/>
  <c r="AI433" i="7" s="1"/>
  <c r="AK433" i="7" s="1"/>
  <c r="AM433" i="7" s="1"/>
  <c r="AO433" i="7" s="1"/>
  <c r="AQ433" i="7" s="1"/>
  <c r="AS433" i="7" s="1"/>
  <c r="AU433" i="7" s="1"/>
  <c r="AW433" i="7" s="1"/>
  <c r="AY433" i="7" s="1"/>
  <c r="BA433" i="7" s="1"/>
  <c r="BC433" i="7" s="1"/>
  <c r="BE433" i="7" s="1"/>
  <c r="BG433" i="7" s="1"/>
  <c r="BI433" i="7" s="1"/>
  <c r="BK433" i="7" s="1"/>
  <c r="BM433" i="7" s="1"/>
  <c r="BO433" i="7" s="1"/>
  <c r="BQ433" i="7" s="1"/>
  <c r="AG558" i="7"/>
  <c r="AI558" i="7" s="1"/>
  <c r="AK558" i="7" s="1"/>
  <c r="AM558" i="7" s="1"/>
  <c r="AO558" i="7" s="1"/>
  <c r="AQ558" i="7" s="1"/>
  <c r="AS558" i="7" s="1"/>
  <c r="AU558" i="7" s="1"/>
  <c r="AW558" i="7" s="1"/>
  <c r="AY558" i="7" s="1"/>
  <c r="BA558" i="7" s="1"/>
  <c r="BC558" i="7" s="1"/>
  <c r="BE558" i="7" s="1"/>
  <c r="BG558" i="7" s="1"/>
  <c r="BI558" i="7" s="1"/>
  <c r="BK558" i="7" s="1"/>
  <c r="BM558" i="7" s="1"/>
  <c r="BO558" i="7" s="1"/>
  <c r="BQ558" i="7" s="1"/>
  <c r="F559" i="7"/>
  <c r="BE691" i="7"/>
  <c r="AB691" i="7"/>
  <c r="AE559" i="7"/>
  <c r="AG559" i="7" s="1"/>
  <c r="AI559" i="7" s="1"/>
  <c r="AK559" i="7" s="1"/>
  <c r="AM559" i="7" s="1"/>
  <c r="AO559" i="7" s="1"/>
  <c r="AQ559" i="7" s="1"/>
  <c r="AS559" i="7" s="1"/>
  <c r="AU559" i="7" s="1"/>
  <c r="AW559" i="7" s="1"/>
  <c r="AY559" i="7" s="1"/>
  <c r="BA559" i="7" s="1"/>
  <c r="BC559" i="7" s="1"/>
  <c r="BE559" i="7" s="1"/>
  <c r="BG559" i="7" s="1"/>
  <c r="BI559" i="7" s="1"/>
  <c r="BK559" i="7" s="1"/>
  <c r="BM559" i="7" s="1"/>
  <c r="BO559" i="7" s="1"/>
  <c r="BQ559" i="7" s="1"/>
  <c r="F434" i="7"/>
  <c r="AE434" i="7"/>
  <c r="AG434" i="7" s="1"/>
  <c r="AI434" i="7" s="1"/>
  <c r="AK434" i="7" s="1"/>
  <c r="AM434" i="7" s="1"/>
  <c r="AO434" i="7" s="1"/>
  <c r="AQ434" i="7" s="1"/>
  <c r="AS434" i="7" s="1"/>
  <c r="AU434" i="7" s="1"/>
  <c r="AW434" i="7" s="1"/>
  <c r="AY434" i="7" s="1"/>
  <c r="BA434" i="7" s="1"/>
  <c r="BC434" i="7" s="1"/>
  <c r="BE434" i="7" s="1"/>
  <c r="BG434" i="7" s="1"/>
  <c r="BI434" i="7" s="1"/>
  <c r="BK434" i="7" s="1"/>
  <c r="BM434" i="7" s="1"/>
  <c r="BO434" i="7" s="1"/>
  <c r="BQ434" i="7" s="1"/>
  <c r="BC691" i="7"/>
  <c r="AD691" i="7"/>
  <c r="F691" i="7"/>
  <c r="J689" i="7"/>
  <c r="L689" i="7" s="1"/>
  <c r="H435" i="7"/>
  <c r="BL692" i="7"/>
  <c r="H560" i="7"/>
  <c r="H692" i="7"/>
  <c r="AB448" i="7"/>
  <c r="P563" i="7" l="1"/>
  <c r="P438" i="7"/>
  <c r="P621" i="7"/>
  <c r="P496" i="7"/>
  <c r="J691" i="7"/>
  <c r="L691" i="7" s="1"/>
  <c r="T691" i="7" s="1"/>
  <c r="F435" i="7"/>
  <c r="BE692" i="7"/>
  <c r="AD692" i="7"/>
  <c r="AE560" i="7"/>
  <c r="F560" i="7"/>
  <c r="BC692" i="7"/>
  <c r="AE435" i="7"/>
  <c r="F692" i="7"/>
  <c r="AB692" i="7"/>
  <c r="J690" i="7"/>
  <c r="L690" i="7" s="1"/>
  <c r="AK691" i="7"/>
  <c r="AM691" i="7" s="1"/>
  <c r="AK690" i="7"/>
  <c r="AM690" i="7" s="1"/>
  <c r="T689" i="7"/>
  <c r="R689" i="7"/>
  <c r="N689" i="7"/>
  <c r="P689" i="7"/>
  <c r="AB449" i="7"/>
  <c r="BL693" i="7"/>
  <c r="H561" i="7"/>
  <c r="H436" i="7"/>
  <c r="H693" i="7"/>
  <c r="P691" i="7" l="1"/>
  <c r="N691" i="7"/>
  <c r="R691" i="7"/>
  <c r="P564" i="7"/>
  <c r="P439" i="7"/>
  <c r="P495" i="7"/>
  <c r="P620" i="7"/>
  <c r="N690" i="7"/>
  <c r="P690" i="7"/>
  <c r="T690" i="7"/>
  <c r="R690" i="7"/>
  <c r="BE693" i="7"/>
  <c r="AD693" i="7"/>
  <c r="AE436" i="7"/>
  <c r="AG436" i="7" s="1"/>
  <c r="AI436" i="7" s="1"/>
  <c r="AK436" i="7" s="1"/>
  <c r="AM436" i="7" s="1"/>
  <c r="AO436" i="7" s="1"/>
  <c r="AQ436" i="7" s="1"/>
  <c r="AS436" i="7" s="1"/>
  <c r="AU436" i="7" s="1"/>
  <c r="AW436" i="7" s="1"/>
  <c r="AY436" i="7" s="1"/>
  <c r="BA436" i="7" s="1"/>
  <c r="BC436" i="7" s="1"/>
  <c r="BE436" i="7" s="1"/>
  <c r="BG436" i="7" s="1"/>
  <c r="BI436" i="7" s="1"/>
  <c r="BK436" i="7" s="1"/>
  <c r="BM436" i="7" s="1"/>
  <c r="BO436" i="7" s="1"/>
  <c r="BQ436" i="7" s="1"/>
  <c r="F561" i="7"/>
  <c r="F436" i="7"/>
  <c r="AB693" i="7"/>
  <c r="AE561" i="7"/>
  <c r="F693" i="7"/>
  <c r="BC693" i="7"/>
  <c r="AG435" i="7"/>
  <c r="AI435" i="7" s="1"/>
  <c r="AK435" i="7" s="1"/>
  <c r="AM435" i="7" s="1"/>
  <c r="AO435" i="7" s="1"/>
  <c r="AQ435" i="7" s="1"/>
  <c r="AS435" i="7" s="1"/>
  <c r="AU435" i="7" s="1"/>
  <c r="AW435" i="7" s="1"/>
  <c r="AY435" i="7" s="1"/>
  <c r="BA435" i="7" s="1"/>
  <c r="BC435" i="7" s="1"/>
  <c r="BE435" i="7" s="1"/>
  <c r="BG435" i="7" s="1"/>
  <c r="BI435" i="7" s="1"/>
  <c r="BK435" i="7" s="1"/>
  <c r="BM435" i="7" s="1"/>
  <c r="BO435" i="7" s="1"/>
  <c r="BQ435" i="7" s="1"/>
  <c r="AG560" i="7"/>
  <c r="AI560" i="7" s="1"/>
  <c r="AK560" i="7" s="1"/>
  <c r="AM560" i="7" s="1"/>
  <c r="AO560" i="7" s="1"/>
  <c r="AQ560" i="7" s="1"/>
  <c r="AS560" i="7" s="1"/>
  <c r="AU560" i="7" s="1"/>
  <c r="AW560" i="7" s="1"/>
  <c r="AY560" i="7" s="1"/>
  <c r="BA560" i="7" s="1"/>
  <c r="BC560" i="7" s="1"/>
  <c r="BE560" i="7" s="1"/>
  <c r="BG560" i="7" s="1"/>
  <c r="BI560" i="7" s="1"/>
  <c r="BK560" i="7" s="1"/>
  <c r="BM560" i="7" s="1"/>
  <c r="BO560" i="7" s="1"/>
  <c r="BQ560" i="7" s="1"/>
  <c r="AB450" i="7"/>
  <c r="BL694" i="7"/>
  <c r="H437" i="7"/>
  <c r="H562" i="7"/>
  <c r="H694" i="7"/>
  <c r="P565" i="7" l="1"/>
  <c r="P440" i="7"/>
  <c r="P619" i="7"/>
  <c r="P494" i="7"/>
  <c r="J692" i="7"/>
  <c r="L692" i="7" s="1"/>
  <c r="AK692" i="7"/>
  <c r="AM692" i="7" s="1"/>
  <c r="AG561" i="7"/>
  <c r="AI561" i="7" s="1"/>
  <c r="AK561" i="7" s="1"/>
  <c r="AM561" i="7" s="1"/>
  <c r="AO561" i="7" s="1"/>
  <c r="AQ561" i="7" s="1"/>
  <c r="AS561" i="7" s="1"/>
  <c r="AU561" i="7" s="1"/>
  <c r="AW561" i="7" s="1"/>
  <c r="AY561" i="7" s="1"/>
  <c r="BA561" i="7" s="1"/>
  <c r="BC561" i="7" s="1"/>
  <c r="BE561" i="7" s="1"/>
  <c r="BG561" i="7" s="1"/>
  <c r="BI561" i="7" s="1"/>
  <c r="BK561" i="7" s="1"/>
  <c r="BM561" i="7" s="1"/>
  <c r="BO561" i="7" s="1"/>
  <c r="BQ561" i="7" s="1"/>
  <c r="J693" i="7"/>
  <c r="L693" i="7" s="1"/>
  <c r="BE694" i="7"/>
  <c r="AB694" i="7"/>
  <c r="F562" i="7"/>
  <c r="BC694" i="7"/>
  <c r="F694" i="7"/>
  <c r="F437" i="7"/>
  <c r="AD694" i="7"/>
  <c r="AE562" i="7"/>
  <c r="AG562" i="7" s="1"/>
  <c r="AI562" i="7" s="1"/>
  <c r="AE437" i="7"/>
  <c r="AG437" i="7" s="1"/>
  <c r="AI437" i="7" s="1"/>
  <c r="AK437" i="7" s="1"/>
  <c r="AM437" i="7" s="1"/>
  <c r="AO437" i="7" s="1"/>
  <c r="AQ437" i="7" s="1"/>
  <c r="AS437" i="7" s="1"/>
  <c r="AU437" i="7" s="1"/>
  <c r="AW437" i="7" s="1"/>
  <c r="AY437" i="7" s="1"/>
  <c r="BA437" i="7" s="1"/>
  <c r="BC437" i="7" s="1"/>
  <c r="BE437" i="7" s="1"/>
  <c r="BG437" i="7" s="1"/>
  <c r="BI437" i="7" s="1"/>
  <c r="BK437" i="7" s="1"/>
  <c r="BM437" i="7" s="1"/>
  <c r="BO437" i="7" s="1"/>
  <c r="BQ437" i="7" s="1"/>
  <c r="AB451" i="7"/>
  <c r="BL695" i="7"/>
  <c r="H563" i="7"/>
  <c r="H438" i="7"/>
  <c r="H695" i="7"/>
  <c r="P566" i="7" l="1"/>
  <c r="P441" i="7"/>
  <c r="P493" i="7"/>
  <c r="P618" i="7"/>
  <c r="AK562" i="7"/>
  <c r="AM562" i="7" s="1"/>
  <c r="AO562" i="7" s="1"/>
  <c r="AQ562" i="7" s="1"/>
  <c r="AS562" i="7" s="1"/>
  <c r="AU562" i="7" s="1"/>
  <c r="AW562" i="7" s="1"/>
  <c r="AY562" i="7" s="1"/>
  <c r="BA562" i="7" s="1"/>
  <c r="BC562" i="7" s="1"/>
  <c r="BE562" i="7" s="1"/>
  <c r="BG562" i="7" s="1"/>
  <c r="BI562" i="7" s="1"/>
  <c r="BK562" i="7" s="1"/>
  <c r="BM562" i="7" s="1"/>
  <c r="BO562" i="7" s="1"/>
  <c r="BQ562" i="7" s="1"/>
  <c r="R693" i="7"/>
  <c r="T693" i="7"/>
  <c r="N693" i="7"/>
  <c r="P693" i="7"/>
  <c r="AK693" i="7"/>
  <c r="AM693" i="7" s="1"/>
  <c r="F564" i="7"/>
  <c r="BE696" i="7"/>
  <c r="F439" i="7"/>
  <c r="F696" i="7"/>
  <c r="AD696" i="7"/>
  <c r="AB696" i="7"/>
  <c r="AE439" i="7"/>
  <c r="AE564" i="7"/>
  <c r="BC696" i="7"/>
  <c r="J694" i="7"/>
  <c r="L694" i="7" s="1"/>
  <c r="F438" i="7"/>
  <c r="BE695" i="7"/>
  <c r="F695" i="7"/>
  <c r="BC695" i="7"/>
  <c r="AE438" i="7"/>
  <c r="AG438" i="7" s="1"/>
  <c r="AI438" i="7" s="1"/>
  <c r="AK438" i="7" s="1"/>
  <c r="AM438" i="7" s="1"/>
  <c r="AO438" i="7" s="1"/>
  <c r="AQ438" i="7" s="1"/>
  <c r="AS438" i="7" s="1"/>
  <c r="AU438" i="7" s="1"/>
  <c r="AW438" i="7" s="1"/>
  <c r="AY438" i="7" s="1"/>
  <c r="BA438" i="7" s="1"/>
  <c r="BC438" i="7" s="1"/>
  <c r="BE438" i="7" s="1"/>
  <c r="BG438" i="7" s="1"/>
  <c r="BI438" i="7" s="1"/>
  <c r="BK438" i="7" s="1"/>
  <c r="BM438" i="7" s="1"/>
  <c r="BO438" i="7" s="1"/>
  <c r="BQ438" i="7" s="1"/>
  <c r="AE563" i="7"/>
  <c r="F563" i="7"/>
  <c r="AD695" i="7"/>
  <c r="AB695" i="7"/>
  <c r="N692" i="7"/>
  <c r="P692" i="7"/>
  <c r="T692" i="7"/>
  <c r="R692" i="7"/>
  <c r="BL696" i="7"/>
  <c r="AB452" i="7"/>
  <c r="H696" i="7"/>
  <c r="H439" i="7"/>
  <c r="H564" i="7"/>
  <c r="P567" i="7" l="1"/>
  <c r="P442" i="7"/>
  <c r="P492" i="7"/>
  <c r="P617" i="7"/>
  <c r="T694" i="7"/>
  <c r="R694" i="7"/>
  <c r="P694" i="7"/>
  <c r="N694" i="7"/>
  <c r="AG439" i="7"/>
  <c r="AI439" i="7" s="1"/>
  <c r="AK439" i="7" s="1"/>
  <c r="AM439" i="7" s="1"/>
  <c r="AO439" i="7" s="1"/>
  <c r="AQ439" i="7" s="1"/>
  <c r="AS439" i="7" s="1"/>
  <c r="AU439" i="7" s="1"/>
  <c r="AW439" i="7" s="1"/>
  <c r="AY439" i="7" s="1"/>
  <c r="BA439" i="7" s="1"/>
  <c r="BC439" i="7" s="1"/>
  <c r="BE439" i="7" s="1"/>
  <c r="BG439" i="7" s="1"/>
  <c r="BI439" i="7" s="1"/>
  <c r="BK439" i="7" s="1"/>
  <c r="BM439" i="7" s="1"/>
  <c r="BO439" i="7" s="1"/>
  <c r="BQ439" i="7" s="1"/>
  <c r="AK694" i="7"/>
  <c r="AM694" i="7" s="1"/>
  <c r="J695" i="7"/>
  <c r="L695" i="7" s="1"/>
  <c r="AE440" i="7"/>
  <c r="AG440" i="7" s="1"/>
  <c r="AI440" i="7" s="1"/>
  <c r="AK440" i="7" s="1"/>
  <c r="AM440" i="7" s="1"/>
  <c r="AO440" i="7" s="1"/>
  <c r="AQ440" i="7" s="1"/>
  <c r="AS440" i="7" s="1"/>
  <c r="AU440" i="7" s="1"/>
  <c r="AW440" i="7" s="1"/>
  <c r="AY440" i="7" s="1"/>
  <c r="BA440" i="7" s="1"/>
  <c r="BC440" i="7" s="1"/>
  <c r="BE440" i="7" s="1"/>
  <c r="BG440" i="7" s="1"/>
  <c r="BI440" i="7" s="1"/>
  <c r="BK440" i="7" s="1"/>
  <c r="BM440" i="7" s="1"/>
  <c r="BO440" i="7" s="1"/>
  <c r="BQ440" i="7" s="1"/>
  <c r="BE697" i="7"/>
  <c r="F440" i="7"/>
  <c r="AE565" i="7"/>
  <c r="AG565" i="7" s="1"/>
  <c r="AI565" i="7" s="1"/>
  <c r="AK565" i="7" s="1"/>
  <c r="AM565" i="7" s="1"/>
  <c r="F697" i="7"/>
  <c r="AB697" i="7"/>
  <c r="BC697" i="7"/>
  <c r="F565" i="7"/>
  <c r="AD697" i="7"/>
  <c r="AG563" i="7"/>
  <c r="AI563" i="7" s="1"/>
  <c r="AK563" i="7" s="1"/>
  <c r="AM563" i="7" s="1"/>
  <c r="AO563" i="7" s="1"/>
  <c r="AQ563" i="7" s="1"/>
  <c r="AS563" i="7" s="1"/>
  <c r="AU563" i="7" s="1"/>
  <c r="AW563" i="7" s="1"/>
  <c r="AY563" i="7" s="1"/>
  <c r="BA563" i="7" s="1"/>
  <c r="BC563" i="7" s="1"/>
  <c r="BE563" i="7" s="1"/>
  <c r="BG563" i="7" s="1"/>
  <c r="BI563" i="7" s="1"/>
  <c r="BK563" i="7" s="1"/>
  <c r="BM563" i="7" s="1"/>
  <c r="BO563" i="7" s="1"/>
  <c r="BQ563" i="7" s="1"/>
  <c r="AG564" i="7"/>
  <c r="AI564" i="7" s="1"/>
  <c r="AK564" i="7" s="1"/>
  <c r="AM564" i="7" s="1"/>
  <c r="AO564" i="7" s="1"/>
  <c r="AQ564" i="7" s="1"/>
  <c r="AS564" i="7" s="1"/>
  <c r="AU564" i="7" s="1"/>
  <c r="AW564" i="7" s="1"/>
  <c r="AY564" i="7" s="1"/>
  <c r="BA564" i="7" s="1"/>
  <c r="BC564" i="7" s="1"/>
  <c r="BE564" i="7" s="1"/>
  <c r="BG564" i="7" s="1"/>
  <c r="BI564" i="7" s="1"/>
  <c r="BK564" i="7" s="1"/>
  <c r="BM564" i="7" s="1"/>
  <c r="BO564" i="7" s="1"/>
  <c r="BQ564" i="7" s="1"/>
  <c r="H440" i="7"/>
  <c r="BL697" i="7"/>
  <c r="H565" i="7"/>
  <c r="AB453" i="7"/>
  <c r="H697" i="7"/>
  <c r="P491" i="7" l="1"/>
  <c r="P616" i="7"/>
  <c r="AO565" i="7"/>
  <c r="AQ565" i="7" s="1"/>
  <c r="AS565" i="7" s="1"/>
  <c r="AU565" i="7" s="1"/>
  <c r="AW565" i="7" s="1"/>
  <c r="AY565" i="7" s="1"/>
  <c r="BA565" i="7" s="1"/>
  <c r="BC565" i="7" s="1"/>
  <c r="BE565" i="7" s="1"/>
  <c r="BG565" i="7" s="1"/>
  <c r="BI565" i="7" s="1"/>
  <c r="BK565" i="7" s="1"/>
  <c r="BM565" i="7" s="1"/>
  <c r="BO565" i="7" s="1"/>
  <c r="BQ565" i="7" s="1"/>
  <c r="BE699" i="7"/>
  <c r="AD699" i="7"/>
  <c r="BC699" i="7"/>
  <c r="F699" i="7"/>
  <c r="AE567" i="7"/>
  <c r="AG567" i="7" s="1"/>
  <c r="AI567" i="7" s="1"/>
  <c r="AK567" i="7" s="1"/>
  <c r="AM567" i="7" s="1"/>
  <c r="AO567" i="7" s="1"/>
  <c r="AQ567" i="7" s="1"/>
  <c r="AS567" i="7" s="1"/>
  <c r="AU567" i="7" s="1"/>
  <c r="AW567" i="7" s="1"/>
  <c r="AY567" i="7" s="1"/>
  <c r="BA567" i="7" s="1"/>
  <c r="BC567" i="7" s="1"/>
  <c r="BE567" i="7" s="1"/>
  <c r="BG567" i="7" s="1"/>
  <c r="BI567" i="7" s="1"/>
  <c r="BK567" i="7" s="1"/>
  <c r="BM567" i="7" s="1"/>
  <c r="BO567" i="7" s="1"/>
  <c r="BQ567" i="7" s="1"/>
  <c r="F442" i="7"/>
  <c r="AE442" i="7"/>
  <c r="AG442" i="7" s="1"/>
  <c r="AI442" i="7" s="1"/>
  <c r="AK442" i="7" s="1"/>
  <c r="AM442" i="7" s="1"/>
  <c r="AO442" i="7" s="1"/>
  <c r="AQ442" i="7" s="1"/>
  <c r="AS442" i="7" s="1"/>
  <c r="AU442" i="7" s="1"/>
  <c r="AW442" i="7" s="1"/>
  <c r="AY442" i="7" s="1"/>
  <c r="BA442" i="7" s="1"/>
  <c r="BC442" i="7" s="1"/>
  <c r="BE442" i="7" s="1"/>
  <c r="BG442" i="7" s="1"/>
  <c r="BI442" i="7" s="1"/>
  <c r="BK442" i="7" s="1"/>
  <c r="BM442" i="7" s="1"/>
  <c r="BO442" i="7" s="1"/>
  <c r="BQ442" i="7" s="1"/>
  <c r="F567" i="7"/>
  <c r="AB699" i="7"/>
  <c r="AK695" i="7"/>
  <c r="AM695" i="7" s="1"/>
  <c r="P695" i="7"/>
  <c r="N695" i="7"/>
  <c r="R695" i="7"/>
  <c r="T695" i="7"/>
  <c r="J696" i="7"/>
  <c r="L696" i="7" s="1"/>
  <c r="AK696" i="7"/>
  <c r="AM696" i="7" s="1"/>
  <c r="BE698" i="7"/>
  <c r="AE566" i="7"/>
  <c r="AG566" i="7" s="1"/>
  <c r="AI566" i="7" s="1"/>
  <c r="AK566" i="7" s="1"/>
  <c r="AM566" i="7" s="1"/>
  <c r="AO566" i="7" s="1"/>
  <c r="AQ566" i="7" s="1"/>
  <c r="AS566" i="7" s="1"/>
  <c r="AU566" i="7" s="1"/>
  <c r="AW566" i="7" s="1"/>
  <c r="AY566" i="7" s="1"/>
  <c r="BA566" i="7" s="1"/>
  <c r="BC566" i="7" s="1"/>
  <c r="BE566" i="7" s="1"/>
  <c r="BG566" i="7" s="1"/>
  <c r="BI566" i="7" s="1"/>
  <c r="BK566" i="7" s="1"/>
  <c r="BM566" i="7" s="1"/>
  <c r="BO566" i="7" s="1"/>
  <c r="BQ566" i="7" s="1"/>
  <c r="F441" i="7"/>
  <c r="AE441" i="7"/>
  <c r="AG441" i="7" s="1"/>
  <c r="AI441" i="7" s="1"/>
  <c r="AK441" i="7" s="1"/>
  <c r="AM441" i="7" s="1"/>
  <c r="AO441" i="7" s="1"/>
  <c r="AQ441" i="7" s="1"/>
  <c r="AS441" i="7" s="1"/>
  <c r="AU441" i="7" s="1"/>
  <c r="AW441" i="7" s="1"/>
  <c r="AY441" i="7" s="1"/>
  <c r="BA441" i="7" s="1"/>
  <c r="BC441" i="7" s="1"/>
  <c r="BE441" i="7" s="1"/>
  <c r="BG441" i="7" s="1"/>
  <c r="BI441" i="7" s="1"/>
  <c r="BK441" i="7" s="1"/>
  <c r="BM441" i="7" s="1"/>
  <c r="BO441" i="7" s="1"/>
  <c r="BQ441" i="7" s="1"/>
  <c r="AD698" i="7"/>
  <c r="BC698" i="7"/>
  <c r="F566" i="7"/>
  <c r="F698" i="7"/>
  <c r="AB698" i="7"/>
  <c r="BE701" i="7"/>
  <c r="J697" i="7"/>
  <c r="L697" i="7" s="1"/>
  <c r="H441" i="7"/>
  <c r="BL698" i="7"/>
  <c r="H698" i="7"/>
  <c r="AB454" i="7"/>
  <c r="H566" i="7"/>
  <c r="AK698" i="7" l="1"/>
  <c r="AM698" i="7" s="1"/>
  <c r="J698" i="7"/>
  <c r="L698" i="7" s="1"/>
  <c r="R698" i="7" s="1"/>
  <c r="AE569" i="7"/>
  <c r="AG569" i="7" s="1"/>
  <c r="AI569" i="7" s="1"/>
  <c r="AK569" i="7" s="1"/>
  <c r="AM569" i="7" s="1"/>
  <c r="AO569" i="7" s="1"/>
  <c r="AQ569" i="7" s="1"/>
  <c r="AS569" i="7" s="1"/>
  <c r="AU569" i="7" s="1"/>
  <c r="AW569" i="7" s="1"/>
  <c r="AY569" i="7" s="1"/>
  <c r="BA569" i="7" s="1"/>
  <c r="BC569" i="7" s="1"/>
  <c r="BE569" i="7" s="1"/>
  <c r="BG569" i="7" s="1"/>
  <c r="BI569" i="7" s="1"/>
  <c r="BK569" i="7" s="1"/>
  <c r="BM569" i="7" s="1"/>
  <c r="BO569" i="7" s="1"/>
  <c r="BQ569" i="7" s="1"/>
  <c r="BE700" i="7"/>
  <c r="BC700" i="7"/>
  <c r="F568" i="7"/>
  <c r="F700" i="7"/>
  <c r="AB700" i="7"/>
  <c r="AE568" i="7"/>
  <c r="AG568" i="7" s="1"/>
  <c r="AI568" i="7" s="1"/>
  <c r="AK568" i="7" s="1"/>
  <c r="AM568" i="7" s="1"/>
  <c r="AO568" i="7" s="1"/>
  <c r="AQ568" i="7" s="1"/>
  <c r="AS568" i="7" s="1"/>
  <c r="AU568" i="7" s="1"/>
  <c r="AW568" i="7" s="1"/>
  <c r="AY568" i="7" s="1"/>
  <c r="BA568" i="7" s="1"/>
  <c r="BC568" i="7" s="1"/>
  <c r="BE568" i="7" s="1"/>
  <c r="BG568" i="7" s="1"/>
  <c r="BI568" i="7" s="1"/>
  <c r="BK568" i="7" s="1"/>
  <c r="BM568" i="7" s="1"/>
  <c r="BO568" i="7" s="1"/>
  <c r="BQ568" i="7" s="1"/>
  <c r="F443" i="7"/>
  <c r="AE443" i="7"/>
  <c r="AD700" i="7"/>
  <c r="F569" i="7"/>
  <c r="T696" i="7"/>
  <c r="P696" i="7"/>
  <c r="N696" i="7"/>
  <c r="R696" i="7"/>
  <c r="AD701" i="7"/>
  <c r="AK699" i="7"/>
  <c r="AM699" i="7" s="1"/>
  <c r="AK697" i="7"/>
  <c r="AM697" i="7" s="1"/>
  <c r="P697" i="7"/>
  <c r="R697" i="7"/>
  <c r="N697" i="7"/>
  <c r="T697" i="7"/>
  <c r="BE702" i="7"/>
  <c r="F444" i="7"/>
  <c r="AB701" i="7"/>
  <c r="F701" i="7"/>
  <c r="BC701" i="7"/>
  <c r="AE444" i="7"/>
  <c r="AG444" i="7" s="1"/>
  <c r="AI444" i="7" s="1"/>
  <c r="AK444" i="7" s="1"/>
  <c r="AM444" i="7" s="1"/>
  <c r="AO444" i="7" s="1"/>
  <c r="AQ444" i="7" s="1"/>
  <c r="AS444" i="7" s="1"/>
  <c r="AU444" i="7" s="1"/>
  <c r="AW444" i="7" s="1"/>
  <c r="AY444" i="7" s="1"/>
  <c r="BA444" i="7" s="1"/>
  <c r="BC444" i="7" s="1"/>
  <c r="BE444" i="7" s="1"/>
  <c r="BG444" i="7" s="1"/>
  <c r="BI444" i="7" s="1"/>
  <c r="BK444" i="7" s="1"/>
  <c r="BM444" i="7" s="1"/>
  <c r="BO444" i="7" s="1"/>
  <c r="BQ444" i="7" s="1"/>
  <c r="J699" i="7"/>
  <c r="L699" i="7" s="1"/>
  <c r="H699" i="7"/>
  <c r="H567" i="7"/>
  <c r="H442" i="7"/>
  <c r="BL699" i="7"/>
  <c r="AB455" i="7"/>
  <c r="T698" i="7" l="1"/>
  <c r="N698" i="7"/>
  <c r="P698" i="7"/>
  <c r="AK700" i="7"/>
  <c r="AM700" i="7" s="1"/>
  <c r="R699" i="7"/>
  <c r="T699" i="7"/>
  <c r="N699" i="7"/>
  <c r="P699" i="7"/>
  <c r="AE570" i="7"/>
  <c r="AG570" i="7" s="1"/>
  <c r="AI570" i="7" s="1"/>
  <c r="AK570" i="7" s="1"/>
  <c r="AM570" i="7" s="1"/>
  <c r="AO570" i="7" s="1"/>
  <c r="AQ570" i="7" s="1"/>
  <c r="AS570" i="7" s="1"/>
  <c r="AU570" i="7" s="1"/>
  <c r="AW570" i="7" s="1"/>
  <c r="AY570" i="7" s="1"/>
  <c r="BA570" i="7" s="1"/>
  <c r="BC570" i="7" s="1"/>
  <c r="BE570" i="7" s="1"/>
  <c r="BG570" i="7" s="1"/>
  <c r="BI570" i="7" s="1"/>
  <c r="BK570" i="7" s="1"/>
  <c r="BM570" i="7" s="1"/>
  <c r="BO570" i="7" s="1"/>
  <c r="BQ570" i="7" s="1"/>
  <c r="AB702" i="7"/>
  <c r="AK701" i="7"/>
  <c r="AM701" i="7" s="1"/>
  <c r="BE703" i="7"/>
  <c r="F445" i="7"/>
  <c r="J701" i="7"/>
  <c r="L701" i="7" s="1"/>
  <c r="T701" i="7" s="1"/>
  <c r="F702" i="7"/>
  <c r="F570" i="7"/>
  <c r="AD702" i="7"/>
  <c r="BC702" i="7"/>
  <c r="AE445" i="7"/>
  <c r="AG445" i="7" s="1"/>
  <c r="AI445" i="7" s="1"/>
  <c r="AK445" i="7" s="1"/>
  <c r="AM445" i="7" s="1"/>
  <c r="AO445" i="7" s="1"/>
  <c r="AQ445" i="7" s="1"/>
  <c r="AS445" i="7" s="1"/>
  <c r="AU445" i="7" s="1"/>
  <c r="AW445" i="7" s="1"/>
  <c r="AY445" i="7" s="1"/>
  <c r="BA445" i="7" s="1"/>
  <c r="BC445" i="7" s="1"/>
  <c r="BE445" i="7" s="1"/>
  <c r="BG445" i="7" s="1"/>
  <c r="BI445" i="7" s="1"/>
  <c r="BK445" i="7" s="1"/>
  <c r="BM445" i="7" s="1"/>
  <c r="BO445" i="7" s="1"/>
  <c r="BQ445" i="7" s="1"/>
  <c r="AG443" i="7"/>
  <c r="AI443" i="7" s="1"/>
  <c r="AK443" i="7" s="1"/>
  <c r="AM443" i="7" s="1"/>
  <c r="AO443" i="7" s="1"/>
  <c r="AQ443" i="7" s="1"/>
  <c r="AS443" i="7" s="1"/>
  <c r="AU443" i="7" s="1"/>
  <c r="AW443" i="7" s="1"/>
  <c r="AY443" i="7" s="1"/>
  <c r="BA443" i="7" s="1"/>
  <c r="BC443" i="7" s="1"/>
  <c r="BE443" i="7" s="1"/>
  <c r="BG443" i="7" s="1"/>
  <c r="BI443" i="7" s="1"/>
  <c r="BK443" i="7" s="1"/>
  <c r="BM443" i="7" s="1"/>
  <c r="BO443" i="7" s="1"/>
  <c r="BQ443" i="7" s="1"/>
  <c r="H443" i="7"/>
  <c r="BL700" i="7"/>
  <c r="AB456" i="7"/>
  <c r="H700" i="7"/>
  <c r="H568" i="7"/>
  <c r="AE446" i="7"/>
  <c r="AG446" i="7" s="1"/>
  <c r="AI446" i="7" s="1"/>
  <c r="AK446" i="7" s="1"/>
  <c r="AM446" i="7" s="1"/>
  <c r="AO446" i="7" s="1"/>
  <c r="AQ446" i="7" s="1"/>
  <c r="AS446" i="7" s="1"/>
  <c r="AU446" i="7" s="1"/>
  <c r="AW446" i="7" s="1"/>
  <c r="AY446" i="7" s="1"/>
  <c r="BA446" i="7" s="1"/>
  <c r="BC446" i="7" s="1"/>
  <c r="BE446" i="7" s="1"/>
  <c r="BG446" i="7" s="1"/>
  <c r="BI446" i="7" s="1"/>
  <c r="BK446" i="7" s="1"/>
  <c r="BM446" i="7" s="1"/>
  <c r="BO446" i="7" s="1"/>
  <c r="BQ446" i="7" s="1"/>
  <c r="F703" i="7"/>
  <c r="AB703" i="7"/>
  <c r="BC703" i="7"/>
  <c r="AD703" i="7"/>
  <c r="P701" i="7" l="1"/>
  <c r="N701" i="7"/>
  <c r="R701" i="7"/>
  <c r="AK702" i="7"/>
  <c r="AM702" i="7" s="1"/>
  <c r="J700" i="7"/>
  <c r="L700" i="7" s="1"/>
  <c r="T700" i="7" s="1"/>
  <c r="BE704" i="7"/>
  <c r="F446" i="7"/>
  <c r="J702" i="7"/>
  <c r="L702" i="7" s="1"/>
  <c r="T702" i="7" s="1"/>
  <c r="AE571" i="7"/>
  <c r="AG571" i="7" s="1"/>
  <c r="AI571" i="7" s="1"/>
  <c r="AK571" i="7" s="1"/>
  <c r="AM571" i="7" s="1"/>
  <c r="AO571" i="7" s="1"/>
  <c r="AQ571" i="7" s="1"/>
  <c r="AS571" i="7" s="1"/>
  <c r="AU571" i="7" s="1"/>
  <c r="AW571" i="7" s="1"/>
  <c r="AY571" i="7" s="1"/>
  <c r="BA571" i="7" s="1"/>
  <c r="BC571" i="7" s="1"/>
  <c r="BE571" i="7" s="1"/>
  <c r="BG571" i="7" s="1"/>
  <c r="BI571" i="7" s="1"/>
  <c r="BK571" i="7" s="1"/>
  <c r="BM571" i="7" s="1"/>
  <c r="BO571" i="7" s="1"/>
  <c r="BQ571" i="7" s="1"/>
  <c r="F571" i="7"/>
  <c r="H444" i="7"/>
  <c r="H701" i="7"/>
  <c r="H569" i="7"/>
  <c r="BL701" i="7"/>
  <c r="AB457" i="7"/>
  <c r="AE447" i="7"/>
  <c r="AG447" i="7" s="1"/>
  <c r="AI447" i="7" s="1"/>
  <c r="AK447" i="7" s="1"/>
  <c r="AM447" i="7" s="1"/>
  <c r="AO447" i="7" s="1"/>
  <c r="AQ447" i="7" s="1"/>
  <c r="AS447" i="7" s="1"/>
  <c r="AU447" i="7" s="1"/>
  <c r="AW447" i="7" s="1"/>
  <c r="AY447" i="7" s="1"/>
  <c r="BA447" i="7" s="1"/>
  <c r="BC447" i="7" s="1"/>
  <c r="BE447" i="7" s="1"/>
  <c r="BG447" i="7" s="1"/>
  <c r="BI447" i="7" s="1"/>
  <c r="BK447" i="7" s="1"/>
  <c r="BM447" i="7" s="1"/>
  <c r="BO447" i="7" s="1"/>
  <c r="BQ447" i="7" s="1"/>
  <c r="AB704" i="7"/>
  <c r="BC704" i="7"/>
  <c r="AD704" i="7"/>
  <c r="F572" i="7"/>
  <c r="F704" i="7"/>
  <c r="AE572" i="7"/>
  <c r="AG572" i="7" s="1"/>
  <c r="AI572" i="7" s="1"/>
  <c r="AK572" i="7" s="1"/>
  <c r="AM572" i="7" s="1"/>
  <c r="AO572" i="7" s="1"/>
  <c r="AQ572" i="7" s="1"/>
  <c r="AS572" i="7" s="1"/>
  <c r="AU572" i="7" s="1"/>
  <c r="AW572" i="7" s="1"/>
  <c r="AY572" i="7" s="1"/>
  <c r="BA572" i="7" s="1"/>
  <c r="BC572" i="7" s="1"/>
  <c r="BE572" i="7" s="1"/>
  <c r="BG572" i="7" s="1"/>
  <c r="BI572" i="7" s="1"/>
  <c r="BK572" i="7" s="1"/>
  <c r="BM572" i="7" s="1"/>
  <c r="BO572" i="7" s="1"/>
  <c r="BQ572" i="7" s="1"/>
  <c r="J703" i="7"/>
  <c r="L703" i="7" s="1"/>
  <c r="F447" i="7"/>
  <c r="BE705" i="7"/>
  <c r="P700" i="7" l="1"/>
  <c r="N700" i="7"/>
  <c r="P702" i="7"/>
  <c r="N702" i="7"/>
  <c r="R702" i="7"/>
  <c r="R700" i="7"/>
  <c r="AK703" i="7"/>
  <c r="AM703" i="7" s="1"/>
  <c r="T703" i="7"/>
  <c r="R703" i="7"/>
  <c r="N703" i="7"/>
  <c r="P703" i="7"/>
  <c r="AK704" i="7"/>
  <c r="AM704" i="7" s="1"/>
  <c r="H702" i="7"/>
  <c r="H445" i="7"/>
  <c r="AB458" i="7"/>
  <c r="H570" i="7"/>
  <c r="BL702" i="7"/>
  <c r="AE448" i="7"/>
  <c r="AG448" i="7" s="1"/>
  <c r="AI448" i="7" s="1"/>
  <c r="AK448" i="7" s="1"/>
  <c r="AM448" i="7" s="1"/>
  <c r="AO448" i="7" s="1"/>
  <c r="AQ448" i="7" s="1"/>
  <c r="AS448" i="7" s="1"/>
  <c r="AU448" i="7" s="1"/>
  <c r="AW448" i="7" s="1"/>
  <c r="AY448" i="7" s="1"/>
  <c r="BA448" i="7" s="1"/>
  <c r="BC448" i="7" s="1"/>
  <c r="BE448" i="7" s="1"/>
  <c r="BG448" i="7" s="1"/>
  <c r="BI448" i="7" s="1"/>
  <c r="BK448" i="7" s="1"/>
  <c r="BM448" i="7" s="1"/>
  <c r="BO448" i="7" s="1"/>
  <c r="BQ448" i="7" s="1"/>
  <c r="AB705" i="7"/>
  <c r="F573" i="7"/>
  <c r="BC705" i="7"/>
  <c r="AD705" i="7"/>
  <c r="F705" i="7"/>
  <c r="AE573" i="7"/>
  <c r="AG573" i="7" s="1"/>
  <c r="AI573" i="7" s="1"/>
  <c r="AK573" i="7" s="1"/>
  <c r="AM573" i="7" s="1"/>
  <c r="AO573" i="7" s="1"/>
  <c r="AQ573" i="7" s="1"/>
  <c r="AS573" i="7" s="1"/>
  <c r="AU573" i="7" s="1"/>
  <c r="AW573" i="7" s="1"/>
  <c r="AY573" i="7" s="1"/>
  <c r="BA573" i="7" s="1"/>
  <c r="BC573" i="7" s="1"/>
  <c r="BE573" i="7" s="1"/>
  <c r="BG573" i="7" s="1"/>
  <c r="BI573" i="7" s="1"/>
  <c r="BK573" i="7" s="1"/>
  <c r="BM573" i="7" s="1"/>
  <c r="BO573" i="7" s="1"/>
  <c r="BQ573" i="7" s="1"/>
  <c r="J704" i="7"/>
  <c r="L704" i="7" s="1"/>
  <c r="F448" i="7"/>
  <c r="BE706" i="7"/>
  <c r="T704" i="7" l="1"/>
  <c r="R704" i="7"/>
  <c r="N704" i="7"/>
  <c r="P704" i="7"/>
  <c r="AK705" i="7"/>
  <c r="AM705" i="7" s="1"/>
  <c r="H703" i="7"/>
  <c r="H446" i="7"/>
  <c r="AB459" i="7"/>
  <c r="H571" i="7"/>
  <c r="BL703" i="7"/>
  <c r="AE449" i="7"/>
  <c r="AG449" i="7" s="1"/>
  <c r="AI449" i="7" s="1"/>
  <c r="AK449" i="7" s="1"/>
  <c r="AM449" i="7" s="1"/>
  <c r="AO449" i="7" s="1"/>
  <c r="AQ449" i="7" s="1"/>
  <c r="AS449" i="7" s="1"/>
  <c r="AU449" i="7" s="1"/>
  <c r="AW449" i="7" s="1"/>
  <c r="AY449" i="7" s="1"/>
  <c r="BA449" i="7" s="1"/>
  <c r="BC449" i="7" s="1"/>
  <c r="BE449" i="7" s="1"/>
  <c r="BG449" i="7" s="1"/>
  <c r="BI449" i="7" s="1"/>
  <c r="BK449" i="7" s="1"/>
  <c r="BM449" i="7" s="1"/>
  <c r="BO449" i="7" s="1"/>
  <c r="BQ449" i="7" s="1"/>
  <c r="AB706" i="7"/>
  <c r="BC706" i="7"/>
  <c r="AD706" i="7"/>
  <c r="F574" i="7"/>
  <c r="F706" i="7"/>
  <c r="AE574" i="7"/>
  <c r="AG574" i="7" s="1"/>
  <c r="AI574" i="7" s="1"/>
  <c r="AK574" i="7" s="1"/>
  <c r="AM574" i="7" s="1"/>
  <c r="AO574" i="7" s="1"/>
  <c r="AQ574" i="7" s="1"/>
  <c r="AS574" i="7" s="1"/>
  <c r="AU574" i="7" s="1"/>
  <c r="AW574" i="7" s="1"/>
  <c r="AY574" i="7" s="1"/>
  <c r="BA574" i="7" s="1"/>
  <c r="BC574" i="7" s="1"/>
  <c r="BE574" i="7" s="1"/>
  <c r="BG574" i="7" s="1"/>
  <c r="BI574" i="7" s="1"/>
  <c r="BK574" i="7" s="1"/>
  <c r="BM574" i="7" s="1"/>
  <c r="BO574" i="7" s="1"/>
  <c r="BQ574" i="7" s="1"/>
  <c r="J705" i="7"/>
  <c r="L705" i="7" s="1"/>
  <c r="F449" i="7"/>
  <c r="BE707" i="7"/>
  <c r="T705" i="7" l="1"/>
  <c r="R705" i="7"/>
  <c r="N705" i="7"/>
  <c r="P705" i="7"/>
  <c r="AK706" i="7"/>
  <c r="AM706" i="7" s="1"/>
  <c r="H447" i="7"/>
  <c r="AB460" i="7"/>
  <c r="H704" i="7"/>
  <c r="H572" i="7"/>
  <c r="BL704" i="7"/>
  <c r="AE450" i="7"/>
  <c r="AG450" i="7" s="1"/>
  <c r="AI450" i="7" s="1"/>
  <c r="AK450" i="7" s="1"/>
  <c r="AM450" i="7" s="1"/>
  <c r="AO450" i="7" s="1"/>
  <c r="AQ450" i="7" s="1"/>
  <c r="AS450" i="7" s="1"/>
  <c r="AU450" i="7" s="1"/>
  <c r="AW450" i="7" s="1"/>
  <c r="AY450" i="7" s="1"/>
  <c r="BA450" i="7" s="1"/>
  <c r="BC450" i="7" s="1"/>
  <c r="BE450" i="7" s="1"/>
  <c r="BG450" i="7" s="1"/>
  <c r="BI450" i="7" s="1"/>
  <c r="BK450" i="7" s="1"/>
  <c r="BM450" i="7" s="1"/>
  <c r="BO450" i="7" s="1"/>
  <c r="BQ450" i="7" s="1"/>
  <c r="AB707" i="7"/>
  <c r="BC707" i="7"/>
  <c r="AD707" i="7"/>
  <c r="F707" i="7"/>
  <c r="F575" i="7"/>
  <c r="AE575" i="7"/>
  <c r="AG575" i="7" s="1"/>
  <c r="AI575" i="7" s="1"/>
  <c r="AK575" i="7" s="1"/>
  <c r="AM575" i="7" s="1"/>
  <c r="AO575" i="7" s="1"/>
  <c r="AQ575" i="7" s="1"/>
  <c r="AS575" i="7" s="1"/>
  <c r="AU575" i="7" s="1"/>
  <c r="AW575" i="7" s="1"/>
  <c r="AY575" i="7" s="1"/>
  <c r="BA575" i="7" s="1"/>
  <c r="BC575" i="7" s="1"/>
  <c r="BE575" i="7" s="1"/>
  <c r="BG575" i="7" s="1"/>
  <c r="BI575" i="7" s="1"/>
  <c r="BK575" i="7" s="1"/>
  <c r="BM575" i="7" s="1"/>
  <c r="BO575" i="7" s="1"/>
  <c r="BQ575" i="7" s="1"/>
  <c r="J706" i="7"/>
  <c r="L706" i="7" s="1"/>
  <c r="F450" i="7"/>
  <c r="BE708" i="7"/>
  <c r="R706" i="7" l="1"/>
  <c r="T706" i="7"/>
  <c r="N706" i="7"/>
  <c r="P706" i="7"/>
  <c r="AK707" i="7"/>
  <c r="AM707" i="7" s="1"/>
  <c r="BL705" i="7"/>
  <c r="H448" i="7"/>
  <c r="AB461" i="7"/>
  <c r="H573" i="7"/>
  <c r="H705" i="7"/>
  <c r="AE451" i="7"/>
  <c r="AG451" i="7" s="1"/>
  <c r="AI451" i="7" s="1"/>
  <c r="AK451" i="7" s="1"/>
  <c r="AM451" i="7" s="1"/>
  <c r="AO451" i="7" s="1"/>
  <c r="AQ451" i="7" s="1"/>
  <c r="AS451" i="7" s="1"/>
  <c r="AU451" i="7" s="1"/>
  <c r="AW451" i="7" s="1"/>
  <c r="AY451" i="7" s="1"/>
  <c r="BA451" i="7" s="1"/>
  <c r="BC451" i="7" s="1"/>
  <c r="BE451" i="7" s="1"/>
  <c r="BG451" i="7" s="1"/>
  <c r="BI451" i="7" s="1"/>
  <c r="BK451" i="7" s="1"/>
  <c r="BM451" i="7" s="1"/>
  <c r="BO451" i="7" s="1"/>
  <c r="BQ451" i="7" s="1"/>
  <c r="AB708" i="7"/>
  <c r="BC708" i="7"/>
  <c r="F708" i="7"/>
  <c r="AD708" i="7"/>
  <c r="F576" i="7"/>
  <c r="AE576" i="7"/>
  <c r="AG576" i="7" s="1"/>
  <c r="AI576" i="7" s="1"/>
  <c r="AK576" i="7" s="1"/>
  <c r="AM576" i="7" s="1"/>
  <c r="AO576" i="7" s="1"/>
  <c r="AQ576" i="7" s="1"/>
  <c r="AS576" i="7" s="1"/>
  <c r="AU576" i="7" s="1"/>
  <c r="AW576" i="7" s="1"/>
  <c r="AY576" i="7" s="1"/>
  <c r="BA576" i="7" s="1"/>
  <c r="BC576" i="7" s="1"/>
  <c r="BE576" i="7" s="1"/>
  <c r="BG576" i="7" s="1"/>
  <c r="BI576" i="7" s="1"/>
  <c r="BK576" i="7" s="1"/>
  <c r="BM576" i="7" s="1"/>
  <c r="BO576" i="7" s="1"/>
  <c r="BQ576" i="7" s="1"/>
  <c r="J707" i="7"/>
  <c r="L707" i="7" s="1"/>
  <c r="F451" i="7"/>
  <c r="BE709" i="7"/>
  <c r="R707" i="7" l="1"/>
  <c r="T707" i="7"/>
  <c r="N707" i="7"/>
  <c r="P707" i="7"/>
  <c r="AK708" i="7"/>
  <c r="AM708" i="7" s="1"/>
  <c r="H449" i="7"/>
  <c r="BL706" i="7"/>
  <c r="H706" i="7"/>
  <c r="H574" i="7"/>
  <c r="AB462" i="7"/>
  <c r="AE452" i="7"/>
  <c r="AG452" i="7" s="1"/>
  <c r="AI452" i="7" s="1"/>
  <c r="AK452" i="7" s="1"/>
  <c r="AM452" i="7" s="1"/>
  <c r="AO452" i="7" s="1"/>
  <c r="AQ452" i="7" s="1"/>
  <c r="AS452" i="7" s="1"/>
  <c r="AU452" i="7" s="1"/>
  <c r="AW452" i="7" s="1"/>
  <c r="AY452" i="7" s="1"/>
  <c r="BA452" i="7" s="1"/>
  <c r="BC452" i="7" s="1"/>
  <c r="BE452" i="7" s="1"/>
  <c r="BG452" i="7" s="1"/>
  <c r="BI452" i="7" s="1"/>
  <c r="BK452" i="7" s="1"/>
  <c r="BM452" i="7" s="1"/>
  <c r="BO452" i="7" s="1"/>
  <c r="BQ452" i="7" s="1"/>
  <c r="BC709" i="7"/>
  <c r="AB709" i="7"/>
  <c r="F577" i="7"/>
  <c r="AD709" i="7"/>
  <c r="F709" i="7"/>
  <c r="AE577" i="7"/>
  <c r="AG577" i="7" s="1"/>
  <c r="AI577" i="7" s="1"/>
  <c r="AK577" i="7" s="1"/>
  <c r="AM577" i="7" s="1"/>
  <c r="AO577" i="7" s="1"/>
  <c r="AQ577" i="7" s="1"/>
  <c r="AS577" i="7" s="1"/>
  <c r="AU577" i="7" s="1"/>
  <c r="AW577" i="7" s="1"/>
  <c r="AY577" i="7" s="1"/>
  <c r="BA577" i="7" s="1"/>
  <c r="BC577" i="7" s="1"/>
  <c r="BE577" i="7" s="1"/>
  <c r="BG577" i="7" s="1"/>
  <c r="BI577" i="7" s="1"/>
  <c r="BK577" i="7" s="1"/>
  <c r="BM577" i="7" s="1"/>
  <c r="BO577" i="7" s="1"/>
  <c r="BQ577" i="7" s="1"/>
  <c r="J708" i="7"/>
  <c r="L708" i="7" s="1"/>
  <c r="F452" i="7"/>
  <c r="BE710" i="7"/>
  <c r="T708" i="7" l="1"/>
  <c r="R708" i="7"/>
  <c r="N708" i="7"/>
  <c r="P708" i="7"/>
  <c r="AK709" i="7"/>
  <c r="AM709" i="7" s="1"/>
  <c r="BL707" i="7"/>
  <c r="H450" i="7"/>
  <c r="AB463" i="7"/>
  <c r="H707" i="7"/>
  <c r="H575" i="7"/>
  <c r="AE453" i="7"/>
  <c r="AG453" i="7" s="1"/>
  <c r="AI453" i="7" s="1"/>
  <c r="AK453" i="7" s="1"/>
  <c r="AM453" i="7" s="1"/>
  <c r="AO453" i="7" s="1"/>
  <c r="AQ453" i="7" s="1"/>
  <c r="AS453" i="7" s="1"/>
  <c r="AU453" i="7" s="1"/>
  <c r="AW453" i="7" s="1"/>
  <c r="AY453" i="7" s="1"/>
  <c r="BA453" i="7" s="1"/>
  <c r="BC453" i="7" s="1"/>
  <c r="BE453" i="7" s="1"/>
  <c r="BG453" i="7" s="1"/>
  <c r="BI453" i="7" s="1"/>
  <c r="BK453" i="7" s="1"/>
  <c r="BM453" i="7" s="1"/>
  <c r="BO453" i="7" s="1"/>
  <c r="BQ453" i="7" s="1"/>
  <c r="BC710" i="7"/>
  <c r="F710" i="7"/>
  <c r="F578" i="7"/>
  <c r="AD710" i="7"/>
  <c r="AB710" i="7"/>
  <c r="AE578" i="7"/>
  <c r="AG578" i="7" s="1"/>
  <c r="AI578" i="7" s="1"/>
  <c r="J709" i="7"/>
  <c r="L709" i="7" s="1"/>
  <c r="BE711" i="7"/>
  <c r="F453" i="7"/>
  <c r="T709" i="7" l="1"/>
  <c r="R709" i="7"/>
  <c r="BE712" i="7"/>
  <c r="N709" i="7"/>
  <c r="P709" i="7"/>
  <c r="AK578" i="7"/>
  <c r="AM578" i="7" s="1"/>
  <c r="AO578" i="7" s="1"/>
  <c r="AQ578" i="7" s="1"/>
  <c r="AS578" i="7" s="1"/>
  <c r="AU578" i="7" s="1"/>
  <c r="AW578" i="7" s="1"/>
  <c r="AY578" i="7" s="1"/>
  <c r="BA578" i="7" s="1"/>
  <c r="BC578" i="7" s="1"/>
  <c r="BE578" i="7" s="1"/>
  <c r="BG578" i="7" s="1"/>
  <c r="BI578" i="7" s="1"/>
  <c r="BK578" i="7" s="1"/>
  <c r="BM578" i="7" s="1"/>
  <c r="BO578" i="7" s="1"/>
  <c r="BQ578" i="7" s="1"/>
  <c r="BL708" i="7"/>
  <c r="H451" i="7"/>
  <c r="AB464" i="7"/>
  <c r="H708" i="7"/>
  <c r="H576" i="7"/>
  <c r="BC712" i="7"/>
  <c r="F712" i="7"/>
  <c r="AD712" i="7"/>
  <c r="AB712" i="7"/>
  <c r="F580" i="7"/>
  <c r="AE580" i="7"/>
  <c r="AG580" i="7" s="1"/>
  <c r="AI580" i="7" s="1"/>
  <c r="AK580" i="7" s="1"/>
  <c r="AM580" i="7" s="1"/>
  <c r="AO580" i="7" s="1"/>
  <c r="AQ580" i="7" s="1"/>
  <c r="AS580" i="7" s="1"/>
  <c r="AU580" i="7" s="1"/>
  <c r="AW580" i="7" s="1"/>
  <c r="AY580" i="7" s="1"/>
  <c r="BA580" i="7" s="1"/>
  <c r="BC580" i="7" s="1"/>
  <c r="BE580" i="7" s="1"/>
  <c r="BG580" i="7" s="1"/>
  <c r="BI580" i="7" s="1"/>
  <c r="BK580" i="7" s="1"/>
  <c r="BM580" i="7" s="1"/>
  <c r="BO580" i="7" s="1"/>
  <c r="BQ580" i="7" s="1"/>
  <c r="BC711" i="7"/>
  <c r="F711" i="7"/>
  <c r="F579" i="7"/>
  <c r="AB711" i="7"/>
  <c r="AD711" i="7"/>
  <c r="AE579" i="7"/>
  <c r="AG579" i="7" s="1"/>
  <c r="AI579" i="7" s="1"/>
  <c r="AK579" i="7" s="1"/>
  <c r="AM579" i="7" s="1"/>
  <c r="AO579" i="7" s="1"/>
  <c r="AQ579" i="7" s="1"/>
  <c r="AS579" i="7" s="1"/>
  <c r="AU579" i="7" s="1"/>
  <c r="AW579" i="7" s="1"/>
  <c r="AY579" i="7" s="1"/>
  <c r="BA579" i="7" s="1"/>
  <c r="BC579" i="7" s="1"/>
  <c r="BE579" i="7" s="1"/>
  <c r="BG579" i="7" s="1"/>
  <c r="BI579" i="7" s="1"/>
  <c r="BK579" i="7" s="1"/>
  <c r="BM579" i="7" s="1"/>
  <c r="BO579" i="7" s="1"/>
  <c r="BQ579" i="7" s="1"/>
  <c r="J710" i="7"/>
  <c r="L710" i="7" s="1"/>
  <c r="AE455" i="7"/>
  <c r="F454" i="7"/>
  <c r="AE454" i="7"/>
  <c r="BE713" i="7"/>
  <c r="R710" i="7" l="1"/>
  <c r="T710" i="7"/>
  <c r="F455" i="7"/>
  <c r="N710" i="7"/>
  <c r="P710" i="7"/>
  <c r="AK710" i="7"/>
  <c r="AM710" i="7" s="1"/>
  <c r="AK712" i="7"/>
  <c r="AM712" i="7" s="1"/>
  <c r="AE456" i="7"/>
  <c r="AG456" i="7" s="1"/>
  <c r="AI456" i="7" s="1"/>
  <c r="AK456" i="7" s="1"/>
  <c r="AM456" i="7" s="1"/>
  <c r="AO456" i="7" s="1"/>
  <c r="AQ456" i="7" s="1"/>
  <c r="AS456" i="7" s="1"/>
  <c r="AU456" i="7" s="1"/>
  <c r="AW456" i="7" s="1"/>
  <c r="AY456" i="7" s="1"/>
  <c r="BA456" i="7" s="1"/>
  <c r="BC456" i="7" s="1"/>
  <c r="BE456" i="7" s="1"/>
  <c r="BG456" i="7" s="1"/>
  <c r="BI456" i="7" s="1"/>
  <c r="BK456" i="7" s="1"/>
  <c r="BM456" i="7" s="1"/>
  <c r="BO456" i="7" s="1"/>
  <c r="BQ456" i="7" s="1"/>
  <c r="BC713" i="7"/>
  <c r="F713" i="7"/>
  <c r="AD713" i="7"/>
  <c r="AB713" i="7"/>
  <c r="F581" i="7"/>
  <c r="AE581" i="7"/>
  <c r="AG581" i="7" s="1"/>
  <c r="AI581" i="7" s="1"/>
  <c r="AK581" i="7" s="1"/>
  <c r="AM581" i="7" s="1"/>
  <c r="AO581" i="7" s="1"/>
  <c r="AQ581" i="7" s="1"/>
  <c r="AS581" i="7" s="1"/>
  <c r="AU581" i="7" s="1"/>
  <c r="AW581" i="7" s="1"/>
  <c r="AY581" i="7" s="1"/>
  <c r="BA581" i="7" s="1"/>
  <c r="BC581" i="7" s="1"/>
  <c r="BE581" i="7" s="1"/>
  <c r="BG581" i="7" s="1"/>
  <c r="BI581" i="7" s="1"/>
  <c r="BK581" i="7" s="1"/>
  <c r="BM581" i="7" s="1"/>
  <c r="BO581" i="7" s="1"/>
  <c r="BQ581" i="7" s="1"/>
  <c r="AK711" i="7"/>
  <c r="AM711" i="7" s="1"/>
  <c r="BE714" i="7"/>
  <c r="BL709" i="7"/>
  <c r="H452" i="7"/>
  <c r="AB465" i="7"/>
  <c r="H709" i="7"/>
  <c r="H577" i="7"/>
  <c r="AG454" i="7"/>
  <c r="AI454" i="7" s="1"/>
  <c r="AK454" i="7" s="1"/>
  <c r="AM454" i="7" s="1"/>
  <c r="AO454" i="7" s="1"/>
  <c r="AQ454" i="7" s="1"/>
  <c r="AS454" i="7" s="1"/>
  <c r="AU454" i="7" s="1"/>
  <c r="AW454" i="7" s="1"/>
  <c r="AY454" i="7" s="1"/>
  <c r="BA454" i="7" s="1"/>
  <c r="BC454" i="7" s="1"/>
  <c r="BE454" i="7" s="1"/>
  <c r="BG454" i="7" s="1"/>
  <c r="BI454" i="7" s="1"/>
  <c r="BK454" i="7" s="1"/>
  <c r="BM454" i="7" s="1"/>
  <c r="BO454" i="7" s="1"/>
  <c r="BQ454" i="7" s="1"/>
  <c r="AG455" i="7"/>
  <c r="AI455" i="7" s="1"/>
  <c r="AK455" i="7" s="1"/>
  <c r="AM455" i="7" s="1"/>
  <c r="AO455" i="7" s="1"/>
  <c r="AQ455" i="7" s="1"/>
  <c r="AS455" i="7" s="1"/>
  <c r="AU455" i="7" s="1"/>
  <c r="AW455" i="7" s="1"/>
  <c r="AY455" i="7" s="1"/>
  <c r="BA455" i="7" s="1"/>
  <c r="BC455" i="7" s="1"/>
  <c r="BE455" i="7" s="1"/>
  <c r="BG455" i="7" s="1"/>
  <c r="BI455" i="7" s="1"/>
  <c r="BK455" i="7" s="1"/>
  <c r="BM455" i="7" s="1"/>
  <c r="BO455" i="7" s="1"/>
  <c r="BQ455" i="7" s="1"/>
  <c r="F457" i="7"/>
  <c r="F456" i="7"/>
  <c r="BE715" i="7"/>
  <c r="AK713" i="7" l="1"/>
  <c r="AM713" i="7" s="1"/>
  <c r="H453" i="7"/>
  <c r="H578" i="7"/>
  <c r="AB466" i="7"/>
  <c r="BL710" i="7"/>
  <c r="H710" i="7"/>
  <c r="AE458" i="7"/>
  <c r="AG458" i="7" s="1"/>
  <c r="AI458" i="7" s="1"/>
  <c r="AK458" i="7" s="1"/>
  <c r="AM458" i="7" s="1"/>
  <c r="AO458" i="7" s="1"/>
  <c r="AQ458" i="7" s="1"/>
  <c r="AS458" i="7" s="1"/>
  <c r="AU458" i="7" s="1"/>
  <c r="AW458" i="7" s="1"/>
  <c r="AY458" i="7" s="1"/>
  <c r="BA458" i="7" s="1"/>
  <c r="BC458" i="7" s="1"/>
  <c r="BE458" i="7" s="1"/>
  <c r="BG458" i="7" s="1"/>
  <c r="BI458" i="7" s="1"/>
  <c r="BK458" i="7" s="1"/>
  <c r="BM458" i="7" s="1"/>
  <c r="BO458" i="7" s="1"/>
  <c r="BQ458" i="7" s="1"/>
  <c r="F715" i="7"/>
  <c r="BC715" i="7"/>
  <c r="AD715" i="7"/>
  <c r="AB715" i="7"/>
  <c r="F583" i="7"/>
  <c r="AE583" i="7"/>
  <c r="AG583" i="7" s="1"/>
  <c r="AI583" i="7" s="1"/>
  <c r="AK583" i="7" s="1"/>
  <c r="AM583" i="7" s="1"/>
  <c r="AO583" i="7" s="1"/>
  <c r="AQ583" i="7" s="1"/>
  <c r="AS583" i="7" s="1"/>
  <c r="AU583" i="7" s="1"/>
  <c r="AW583" i="7" s="1"/>
  <c r="AY583" i="7" s="1"/>
  <c r="BA583" i="7" s="1"/>
  <c r="BC583" i="7" s="1"/>
  <c r="BE583" i="7" s="1"/>
  <c r="BG583" i="7" s="1"/>
  <c r="BI583" i="7" s="1"/>
  <c r="BK583" i="7" s="1"/>
  <c r="BM583" i="7" s="1"/>
  <c r="BO583" i="7" s="1"/>
  <c r="BQ583" i="7" s="1"/>
  <c r="AE457" i="7"/>
  <c r="AG457" i="7" s="1"/>
  <c r="AI457" i="7" s="1"/>
  <c r="AK457" i="7" s="1"/>
  <c r="AM457" i="7" s="1"/>
  <c r="AO457" i="7" s="1"/>
  <c r="AQ457" i="7" s="1"/>
  <c r="AS457" i="7" s="1"/>
  <c r="AU457" i="7" s="1"/>
  <c r="AW457" i="7" s="1"/>
  <c r="AY457" i="7" s="1"/>
  <c r="BA457" i="7" s="1"/>
  <c r="BC457" i="7" s="1"/>
  <c r="BE457" i="7" s="1"/>
  <c r="BG457" i="7" s="1"/>
  <c r="BI457" i="7" s="1"/>
  <c r="BK457" i="7" s="1"/>
  <c r="BM457" i="7" s="1"/>
  <c r="BO457" i="7" s="1"/>
  <c r="BQ457" i="7" s="1"/>
  <c r="BC714" i="7"/>
  <c r="AD714" i="7"/>
  <c r="AB714" i="7"/>
  <c r="F714" i="7"/>
  <c r="F582" i="7"/>
  <c r="AE582" i="7"/>
  <c r="AG582" i="7" s="1"/>
  <c r="AI582" i="7" s="1"/>
  <c r="AK582" i="7" s="1"/>
  <c r="AM582" i="7" s="1"/>
  <c r="AO582" i="7" s="1"/>
  <c r="AQ582" i="7" s="1"/>
  <c r="AS582" i="7" s="1"/>
  <c r="AU582" i="7" s="1"/>
  <c r="AW582" i="7" s="1"/>
  <c r="AY582" i="7" s="1"/>
  <c r="BA582" i="7" s="1"/>
  <c r="BC582" i="7" s="1"/>
  <c r="BE582" i="7" s="1"/>
  <c r="BG582" i="7" s="1"/>
  <c r="BI582" i="7" s="1"/>
  <c r="BK582" i="7" s="1"/>
  <c r="BM582" i="7" s="1"/>
  <c r="BO582" i="7" s="1"/>
  <c r="BQ582" i="7" s="1"/>
  <c r="J713" i="7"/>
  <c r="L713" i="7" s="1"/>
  <c r="J711" i="7"/>
  <c r="L711" i="7" s="1"/>
  <c r="J712" i="7"/>
  <c r="L712" i="7" s="1"/>
  <c r="F458" i="7"/>
  <c r="BE716" i="7"/>
  <c r="R712" i="7" l="1"/>
  <c r="T712" i="7"/>
  <c r="R713" i="7"/>
  <c r="T713" i="7"/>
  <c r="T711" i="7"/>
  <c r="R711" i="7"/>
  <c r="N712" i="7"/>
  <c r="P712" i="7"/>
  <c r="N711" i="7"/>
  <c r="P711" i="7"/>
  <c r="N713" i="7"/>
  <c r="P713" i="7"/>
  <c r="J714" i="7"/>
  <c r="L714" i="7" s="1"/>
  <c r="AK715" i="7"/>
  <c r="AM715" i="7" s="1"/>
  <c r="AK714" i="7"/>
  <c r="AM714" i="7" s="1"/>
  <c r="H711" i="7"/>
  <c r="H454" i="7"/>
  <c r="H579" i="7"/>
  <c r="AB467" i="7"/>
  <c r="BL711" i="7"/>
  <c r="AE459" i="7"/>
  <c r="AG459" i="7" s="1"/>
  <c r="AI459" i="7" s="1"/>
  <c r="AK459" i="7" s="1"/>
  <c r="AM459" i="7" s="1"/>
  <c r="AO459" i="7" s="1"/>
  <c r="AQ459" i="7" s="1"/>
  <c r="AS459" i="7" s="1"/>
  <c r="AU459" i="7" s="1"/>
  <c r="AW459" i="7" s="1"/>
  <c r="AY459" i="7" s="1"/>
  <c r="BA459" i="7" s="1"/>
  <c r="BC459" i="7" s="1"/>
  <c r="BE459" i="7" s="1"/>
  <c r="BG459" i="7" s="1"/>
  <c r="BI459" i="7" s="1"/>
  <c r="BK459" i="7" s="1"/>
  <c r="BM459" i="7" s="1"/>
  <c r="BO459" i="7" s="1"/>
  <c r="BQ459" i="7" s="1"/>
  <c r="F584" i="7"/>
  <c r="F716" i="7"/>
  <c r="BC716" i="7"/>
  <c r="AD716" i="7"/>
  <c r="AB716" i="7"/>
  <c r="AE584" i="7"/>
  <c r="AG584" i="7" s="1"/>
  <c r="AI584" i="7" s="1"/>
  <c r="J715" i="7"/>
  <c r="L715" i="7" s="1"/>
  <c r="F459" i="7"/>
  <c r="BE717" i="7"/>
  <c r="R715" i="7" l="1"/>
  <c r="T715" i="7"/>
  <c r="R714" i="7"/>
  <c r="T714" i="7"/>
  <c r="N715" i="7"/>
  <c r="P715" i="7"/>
  <c r="N714" i="7"/>
  <c r="P714" i="7"/>
  <c r="AK584" i="7"/>
  <c r="AM584" i="7" s="1"/>
  <c r="AO584" i="7" s="1"/>
  <c r="AQ584" i="7" s="1"/>
  <c r="AS584" i="7" s="1"/>
  <c r="AU584" i="7" s="1"/>
  <c r="AW584" i="7" s="1"/>
  <c r="AY584" i="7" s="1"/>
  <c r="BA584" i="7" s="1"/>
  <c r="BC584" i="7" s="1"/>
  <c r="BE584" i="7" s="1"/>
  <c r="BG584" i="7" s="1"/>
  <c r="BI584" i="7" s="1"/>
  <c r="BK584" i="7" s="1"/>
  <c r="BM584" i="7" s="1"/>
  <c r="BO584" i="7" s="1"/>
  <c r="BQ584" i="7" s="1"/>
  <c r="H712" i="7"/>
  <c r="H455" i="7"/>
  <c r="H580" i="7"/>
  <c r="AB468" i="7"/>
  <c r="BL712" i="7"/>
  <c r="AE460" i="7"/>
  <c r="AG460" i="7" s="1"/>
  <c r="AI460" i="7" s="1"/>
  <c r="AK460" i="7" s="1"/>
  <c r="AM460" i="7" s="1"/>
  <c r="AO460" i="7" s="1"/>
  <c r="AQ460" i="7" s="1"/>
  <c r="AS460" i="7" s="1"/>
  <c r="AU460" i="7" s="1"/>
  <c r="AW460" i="7" s="1"/>
  <c r="AY460" i="7" s="1"/>
  <c r="BA460" i="7" s="1"/>
  <c r="BC460" i="7" s="1"/>
  <c r="BE460" i="7" s="1"/>
  <c r="BG460" i="7" s="1"/>
  <c r="BI460" i="7" s="1"/>
  <c r="BK460" i="7" s="1"/>
  <c r="BM460" i="7" s="1"/>
  <c r="BO460" i="7" s="1"/>
  <c r="BQ460" i="7" s="1"/>
  <c r="F585" i="7"/>
  <c r="BC717" i="7"/>
  <c r="F717" i="7"/>
  <c r="AD717" i="7"/>
  <c r="AB717" i="7"/>
  <c r="AE585" i="7"/>
  <c r="AG585" i="7" s="1"/>
  <c r="AI585" i="7" s="1"/>
  <c r="AK585" i="7" s="1"/>
  <c r="AM585" i="7" s="1"/>
  <c r="AO585" i="7" s="1"/>
  <c r="AQ585" i="7" s="1"/>
  <c r="AS585" i="7" s="1"/>
  <c r="AU585" i="7" s="1"/>
  <c r="AW585" i="7" s="1"/>
  <c r="AY585" i="7" s="1"/>
  <c r="BA585" i="7" s="1"/>
  <c r="BC585" i="7" s="1"/>
  <c r="BE585" i="7" s="1"/>
  <c r="BG585" i="7" s="1"/>
  <c r="BI585" i="7" s="1"/>
  <c r="BK585" i="7" s="1"/>
  <c r="BM585" i="7" s="1"/>
  <c r="BO585" i="7" s="1"/>
  <c r="BQ585" i="7" s="1"/>
  <c r="J716" i="7"/>
  <c r="L716" i="7" s="1"/>
  <c r="F460" i="7"/>
  <c r="BE718" i="7"/>
  <c r="R716" i="7" l="1"/>
  <c r="T716" i="7"/>
  <c r="N716" i="7"/>
  <c r="P716" i="7"/>
  <c r="AK717" i="7"/>
  <c r="AM717" i="7" s="1"/>
  <c r="AK716" i="7"/>
  <c r="AM716" i="7" s="1"/>
  <c r="AE461" i="7"/>
  <c r="AG461" i="7" s="1"/>
  <c r="AI461" i="7" s="1"/>
  <c r="AK461" i="7" s="1"/>
  <c r="AM461" i="7" s="1"/>
  <c r="AO461" i="7" s="1"/>
  <c r="AQ461" i="7" s="1"/>
  <c r="AS461" i="7" s="1"/>
  <c r="AU461" i="7" s="1"/>
  <c r="AW461" i="7" s="1"/>
  <c r="AY461" i="7" s="1"/>
  <c r="BA461" i="7" s="1"/>
  <c r="BC461" i="7" s="1"/>
  <c r="BE461" i="7" s="1"/>
  <c r="BG461" i="7" s="1"/>
  <c r="BI461" i="7" s="1"/>
  <c r="BK461" i="7" s="1"/>
  <c r="BM461" i="7" s="1"/>
  <c r="BO461" i="7" s="1"/>
  <c r="BQ461" i="7" s="1"/>
  <c r="F586" i="7"/>
  <c r="BC718" i="7"/>
  <c r="AD718" i="7"/>
  <c r="AB718" i="7"/>
  <c r="F718" i="7"/>
  <c r="AE586" i="7"/>
  <c r="AG586" i="7" s="1"/>
  <c r="AI586" i="7" s="1"/>
  <c r="AK586" i="7" s="1"/>
  <c r="AM586" i="7" s="1"/>
  <c r="AO586" i="7" s="1"/>
  <c r="AQ586" i="7" s="1"/>
  <c r="AS586" i="7" s="1"/>
  <c r="AU586" i="7" s="1"/>
  <c r="AW586" i="7" s="1"/>
  <c r="AY586" i="7" s="1"/>
  <c r="BA586" i="7" s="1"/>
  <c r="BC586" i="7" s="1"/>
  <c r="BE586" i="7" s="1"/>
  <c r="BG586" i="7" s="1"/>
  <c r="BI586" i="7" s="1"/>
  <c r="BK586" i="7" s="1"/>
  <c r="BM586" i="7" s="1"/>
  <c r="BO586" i="7" s="1"/>
  <c r="BQ586" i="7" s="1"/>
  <c r="H713" i="7"/>
  <c r="H456" i="7"/>
  <c r="H581" i="7"/>
  <c r="BL713" i="7"/>
  <c r="AB469" i="7"/>
  <c r="J717" i="7"/>
  <c r="L717" i="7" s="1"/>
  <c r="F461" i="7"/>
  <c r="BE719" i="7"/>
  <c r="T717" i="7" l="1"/>
  <c r="R717" i="7"/>
  <c r="N717" i="7"/>
  <c r="P717" i="7"/>
  <c r="AK718" i="7"/>
  <c r="AM718" i="7" s="1"/>
  <c r="H714" i="7"/>
  <c r="H457" i="7"/>
  <c r="AB470" i="7"/>
  <c r="BL714" i="7"/>
  <c r="H582" i="7"/>
  <c r="AE462" i="7"/>
  <c r="AG462" i="7" s="1"/>
  <c r="AI462" i="7" s="1"/>
  <c r="AK462" i="7" s="1"/>
  <c r="AM462" i="7" s="1"/>
  <c r="AO462" i="7" s="1"/>
  <c r="AQ462" i="7" s="1"/>
  <c r="AS462" i="7" s="1"/>
  <c r="AU462" i="7" s="1"/>
  <c r="AW462" i="7" s="1"/>
  <c r="AY462" i="7" s="1"/>
  <c r="BA462" i="7" s="1"/>
  <c r="BC462" i="7" s="1"/>
  <c r="BE462" i="7" s="1"/>
  <c r="BG462" i="7" s="1"/>
  <c r="BI462" i="7" s="1"/>
  <c r="BK462" i="7" s="1"/>
  <c r="BM462" i="7" s="1"/>
  <c r="BO462" i="7" s="1"/>
  <c r="BQ462" i="7" s="1"/>
  <c r="BC719" i="7"/>
  <c r="AD719" i="7"/>
  <c r="AB719" i="7"/>
  <c r="F587" i="7"/>
  <c r="F719" i="7"/>
  <c r="AE587" i="7"/>
  <c r="AG587" i="7" s="1"/>
  <c r="AI587" i="7" s="1"/>
  <c r="J718" i="7"/>
  <c r="L718" i="7" s="1"/>
  <c r="F462" i="7"/>
  <c r="BE720" i="7"/>
  <c r="T718" i="7" l="1"/>
  <c r="R718" i="7"/>
  <c r="N718" i="7"/>
  <c r="P718" i="7"/>
  <c r="AK587" i="7"/>
  <c r="AM587" i="7" s="1"/>
  <c r="AO587" i="7" s="1"/>
  <c r="AQ587" i="7" s="1"/>
  <c r="AS587" i="7" s="1"/>
  <c r="AU587" i="7" s="1"/>
  <c r="AW587" i="7" s="1"/>
  <c r="AY587" i="7" s="1"/>
  <c r="BA587" i="7" s="1"/>
  <c r="BC587" i="7" s="1"/>
  <c r="BE587" i="7" s="1"/>
  <c r="BG587" i="7" s="1"/>
  <c r="BI587" i="7" s="1"/>
  <c r="BK587" i="7" s="1"/>
  <c r="BM587" i="7" s="1"/>
  <c r="BO587" i="7" s="1"/>
  <c r="BQ587" i="7" s="1"/>
  <c r="AE463" i="7"/>
  <c r="AG463" i="7" s="1"/>
  <c r="AI463" i="7" s="1"/>
  <c r="AK463" i="7" s="1"/>
  <c r="AM463" i="7" s="1"/>
  <c r="AO463" i="7" s="1"/>
  <c r="AQ463" i="7" s="1"/>
  <c r="AS463" i="7" s="1"/>
  <c r="AU463" i="7" s="1"/>
  <c r="AW463" i="7" s="1"/>
  <c r="AY463" i="7" s="1"/>
  <c r="BA463" i="7" s="1"/>
  <c r="BC463" i="7" s="1"/>
  <c r="BE463" i="7" s="1"/>
  <c r="BG463" i="7" s="1"/>
  <c r="BI463" i="7" s="1"/>
  <c r="BK463" i="7" s="1"/>
  <c r="BM463" i="7" s="1"/>
  <c r="BO463" i="7" s="1"/>
  <c r="BQ463" i="7" s="1"/>
  <c r="AB720" i="7"/>
  <c r="BC720" i="7"/>
  <c r="AD720" i="7"/>
  <c r="F720" i="7"/>
  <c r="F588" i="7"/>
  <c r="AE588" i="7"/>
  <c r="AG588" i="7" s="1"/>
  <c r="AI588" i="7" s="1"/>
  <c r="AK588" i="7" s="1"/>
  <c r="AM588" i="7" s="1"/>
  <c r="AO588" i="7" s="1"/>
  <c r="AQ588" i="7" s="1"/>
  <c r="AS588" i="7" s="1"/>
  <c r="AU588" i="7" s="1"/>
  <c r="AW588" i="7" s="1"/>
  <c r="AY588" i="7" s="1"/>
  <c r="BA588" i="7" s="1"/>
  <c r="BC588" i="7" s="1"/>
  <c r="BE588" i="7" s="1"/>
  <c r="BG588" i="7" s="1"/>
  <c r="BI588" i="7" s="1"/>
  <c r="BK588" i="7" s="1"/>
  <c r="BM588" i="7" s="1"/>
  <c r="BO588" i="7" s="1"/>
  <c r="BQ588" i="7" s="1"/>
  <c r="H583" i="7"/>
  <c r="H715" i="7"/>
  <c r="H458" i="7"/>
  <c r="BL715" i="7"/>
  <c r="AB471" i="7"/>
  <c r="J719" i="7"/>
  <c r="L719" i="7" s="1"/>
  <c r="F463" i="7"/>
  <c r="BE721" i="7"/>
  <c r="T719" i="7" l="1"/>
  <c r="R719" i="7"/>
  <c r="N719" i="7"/>
  <c r="P719" i="7"/>
  <c r="AK720" i="7"/>
  <c r="AM720" i="7" s="1"/>
  <c r="AK719" i="7"/>
  <c r="AM719" i="7" s="1"/>
  <c r="AE464" i="7"/>
  <c r="AG464" i="7" s="1"/>
  <c r="AI464" i="7" s="1"/>
  <c r="AK464" i="7" s="1"/>
  <c r="AM464" i="7" s="1"/>
  <c r="AO464" i="7" s="1"/>
  <c r="AQ464" i="7" s="1"/>
  <c r="AS464" i="7" s="1"/>
  <c r="AU464" i="7" s="1"/>
  <c r="AW464" i="7" s="1"/>
  <c r="AY464" i="7" s="1"/>
  <c r="BA464" i="7" s="1"/>
  <c r="BC464" i="7" s="1"/>
  <c r="BE464" i="7" s="1"/>
  <c r="BG464" i="7" s="1"/>
  <c r="BI464" i="7" s="1"/>
  <c r="BK464" i="7" s="1"/>
  <c r="BM464" i="7" s="1"/>
  <c r="BO464" i="7" s="1"/>
  <c r="BQ464" i="7" s="1"/>
  <c r="AB721" i="7"/>
  <c r="BC721" i="7"/>
  <c r="F721" i="7"/>
  <c r="F589" i="7"/>
  <c r="AD721" i="7"/>
  <c r="AE589" i="7"/>
  <c r="AG589" i="7" s="1"/>
  <c r="AI589" i="7" s="1"/>
  <c r="AK589" i="7" s="1"/>
  <c r="AM589" i="7" s="1"/>
  <c r="AO589" i="7" s="1"/>
  <c r="AQ589" i="7" s="1"/>
  <c r="AS589" i="7" s="1"/>
  <c r="AU589" i="7" s="1"/>
  <c r="AW589" i="7" s="1"/>
  <c r="AY589" i="7" s="1"/>
  <c r="BA589" i="7" s="1"/>
  <c r="BC589" i="7" s="1"/>
  <c r="BE589" i="7" s="1"/>
  <c r="BG589" i="7" s="1"/>
  <c r="BI589" i="7" s="1"/>
  <c r="BK589" i="7" s="1"/>
  <c r="BM589" i="7" s="1"/>
  <c r="BO589" i="7" s="1"/>
  <c r="BQ589" i="7" s="1"/>
  <c r="H584" i="7"/>
  <c r="H716" i="7"/>
  <c r="AB472" i="7"/>
  <c r="BL716" i="7"/>
  <c r="H459" i="7"/>
  <c r="J720" i="7"/>
  <c r="L720" i="7" s="1"/>
  <c r="F464" i="7"/>
  <c r="BE722" i="7"/>
  <c r="T720" i="7" l="1"/>
  <c r="R720" i="7"/>
  <c r="N720" i="7"/>
  <c r="P720" i="7"/>
  <c r="AK721" i="7"/>
  <c r="AM721" i="7" s="1"/>
  <c r="H585" i="7"/>
  <c r="H717" i="7"/>
  <c r="AB473" i="7"/>
  <c r="BL717" i="7"/>
  <c r="H460" i="7"/>
  <c r="AE465" i="7"/>
  <c r="AG465" i="7" s="1"/>
  <c r="AI465" i="7" s="1"/>
  <c r="AK465" i="7" s="1"/>
  <c r="AM465" i="7" s="1"/>
  <c r="AO465" i="7" s="1"/>
  <c r="AQ465" i="7" s="1"/>
  <c r="AS465" i="7" s="1"/>
  <c r="AU465" i="7" s="1"/>
  <c r="AW465" i="7" s="1"/>
  <c r="AY465" i="7" s="1"/>
  <c r="BA465" i="7" s="1"/>
  <c r="BC465" i="7" s="1"/>
  <c r="BE465" i="7" s="1"/>
  <c r="BG465" i="7" s="1"/>
  <c r="BI465" i="7" s="1"/>
  <c r="BK465" i="7" s="1"/>
  <c r="BM465" i="7" s="1"/>
  <c r="BO465" i="7" s="1"/>
  <c r="BQ465" i="7" s="1"/>
  <c r="AB722" i="7"/>
  <c r="AD722" i="7"/>
  <c r="F722" i="7"/>
  <c r="BC722" i="7"/>
  <c r="F590" i="7"/>
  <c r="AE590" i="7"/>
  <c r="AG590" i="7" s="1"/>
  <c r="AI590" i="7" s="1"/>
  <c r="AK590" i="7" s="1"/>
  <c r="AM590" i="7" s="1"/>
  <c r="AO590" i="7" s="1"/>
  <c r="AQ590" i="7" s="1"/>
  <c r="AS590" i="7" s="1"/>
  <c r="AU590" i="7" s="1"/>
  <c r="AW590" i="7" s="1"/>
  <c r="AY590" i="7" s="1"/>
  <c r="BA590" i="7" s="1"/>
  <c r="BC590" i="7" s="1"/>
  <c r="BE590" i="7" s="1"/>
  <c r="BG590" i="7" s="1"/>
  <c r="BI590" i="7" s="1"/>
  <c r="BK590" i="7" s="1"/>
  <c r="BM590" i="7" s="1"/>
  <c r="BO590" i="7" s="1"/>
  <c r="BQ590" i="7" s="1"/>
  <c r="J721" i="7"/>
  <c r="L721" i="7" s="1"/>
  <c r="F465" i="7"/>
  <c r="BE723" i="7"/>
  <c r="T721" i="7" l="1"/>
  <c r="R721" i="7"/>
  <c r="N721" i="7"/>
  <c r="P721" i="7"/>
  <c r="AK722" i="7"/>
  <c r="AM722" i="7" s="1"/>
  <c r="AE466" i="7"/>
  <c r="AG466" i="7" s="1"/>
  <c r="AI466" i="7" s="1"/>
  <c r="AK466" i="7" s="1"/>
  <c r="AM466" i="7" s="1"/>
  <c r="AO466" i="7" s="1"/>
  <c r="AQ466" i="7" s="1"/>
  <c r="AS466" i="7" s="1"/>
  <c r="AU466" i="7" s="1"/>
  <c r="AW466" i="7" s="1"/>
  <c r="AY466" i="7" s="1"/>
  <c r="BA466" i="7" s="1"/>
  <c r="BC466" i="7" s="1"/>
  <c r="BE466" i="7" s="1"/>
  <c r="BG466" i="7" s="1"/>
  <c r="BI466" i="7" s="1"/>
  <c r="BK466" i="7" s="1"/>
  <c r="BM466" i="7" s="1"/>
  <c r="BO466" i="7" s="1"/>
  <c r="BQ466" i="7" s="1"/>
  <c r="F591" i="7"/>
  <c r="AB723" i="7"/>
  <c r="BC723" i="7"/>
  <c r="AD723" i="7"/>
  <c r="F723" i="7"/>
  <c r="AE591" i="7"/>
  <c r="AG591" i="7" s="1"/>
  <c r="AI591" i="7" s="1"/>
  <c r="AK591" i="7" s="1"/>
  <c r="AM591" i="7" s="1"/>
  <c r="AO591" i="7" s="1"/>
  <c r="AQ591" i="7" s="1"/>
  <c r="AS591" i="7" s="1"/>
  <c r="AU591" i="7" s="1"/>
  <c r="AW591" i="7" s="1"/>
  <c r="AY591" i="7" s="1"/>
  <c r="BA591" i="7" s="1"/>
  <c r="BC591" i="7" s="1"/>
  <c r="BE591" i="7" s="1"/>
  <c r="BG591" i="7" s="1"/>
  <c r="BI591" i="7" s="1"/>
  <c r="BK591" i="7" s="1"/>
  <c r="BM591" i="7" s="1"/>
  <c r="BO591" i="7" s="1"/>
  <c r="BQ591" i="7" s="1"/>
  <c r="H586" i="7"/>
  <c r="BL718" i="7"/>
  <c r="AB474" i="7"/>
  <c r="H718" i="7"/>
  <c r="H461" i="7"/>
  <c r="J722" i="7"/>
  <c r="L722" i="7" s="1"/>
  <c r="F466" i="7"/>
  <c r="BE724" i="7"/>
  <c r="T722" i="7" l="1"/>
  <c r="R722" i="7"/>
  <c r="N722" i="7"/>
  <c r="P722" i="7"/>
  <c r="AK723" i="7"/>
  <c r="AM723" i="7" s="1"/>
  <c r="AE467" i="7"/>
  <c r="AD724" i="7"/>
  <c r="F592" i="7"/>
  <c r="AB724" i="7"/>
  <c r="BC724" i="7"/>
  <c r="F724" i="7"/>
  <c r="AE592" i="7"/>
  <c r="AG592" i="7" s="1"/>
  <c r="AI592" i="7" s="1"/>
  <c r="AK592" i="7" s="1"/>
  <c r="AM592" i="7" s="1"/>
  <c r="AO592" i="7" s="1"/>
  <c r="AQ592" i="7" s="1"/>
  <c r="AS592" i="7" s="1"/>
  <c r="AU592" i="7" s="1"/>
  <c r="AW592" i="7" s="1"/>
  <c r="AY592" i="7" s="1"/>
  <c r="BA592" i="7" s="1"/>
  <c r="BC592" i="7" s="1"/>
  <c r="BE592" i="7" s="1"/>
  <c r="BG592" i="7" s="1"/>
  <c r="BI592" i="7" s="1"/>
  <c r="BK592" i="7" s="1"/>
  <c r="BM592" i="7" s="1"/>
  <c r="BO592" i="7" s="1"/>
  <c r="BQ592" i="7" s="1"/>
  <c r="H587" i="7"/>
  <c r="AB475" i="7"/>
  <c r="H462" i="7"/>
  <c r="H719" i="7"/>
  <c r="BL719" i="7"/>
  <c r="AG467" i="7"/>
  <c r="AI467" i="7" s="1"/>
  <c r="AK467" i="7" s="1"/>
  <c r="AM467" i="7" s="1"/>
  <c r="AO467" i="7" s="1"/>
  <c r="AQ467" i="7" s="1"/>
  <c r="AS467" i="7" s="1"/>
  <c r="AU467" i="7" s="1"/>
  <c r="AW467" i="7" s="1"/>
  <c r="AY467" i="7" s="1"/>
  <c r="BA467" i="7" s="1"/>
  <c r="BC467" i="7" s="1"/>
  <c r="BE467" i="7" s="1"/>
  <c r="BG467" i="7" s="1"/>
  <c r="BI467" i="7" s="1"/>
  <c r="BK467" i="7" s="1"/>
  <c r="BM467" i="7" s="1"/>
  <c r="BO467" i="7" s="1"/>
  <c r="BQ467" i="7" s="1"/>
  <c r="J723" i="7"/>
  <c r="L723" i="7" s="1"/>
  <c r="F467" i="7"/>
  <c r="BE725" i="7"/>
  <c r="T723" i="7" l="1"/>
  <c r="R723" i="7"/>
  <c r="N723" i="7"/>
  <c r="P723" i="7"/>
  <c r="AK724" i="7"/>
  <c r="AM724" i="7" s="1"/>
  <c r="AE468" i="7"/>
  <c r="AD725" i="7"/>
  <c r="F725" i="7"/>
  <c r="F593" i="7"/>
  <c r="AB725" i="7"/>
  <c r="BC725" i="7"/>
  <c r="AE593" i="7"/>
  <c r="AG593" i="7" s="1"/>
  <c r="AI593" i="7" s="1"/>
  <c r="AK593" i="7" s="1"/>
  <c r="AM593" i="7" s="1"/>
  <c r="AO593" i="7" s="1"/>
  <c r="AQ593" i="7" s="1"/>
  <c r="AS593" i="7" s="1"/>
  <c r="AU593" i="7" s="1"/>
  <c r="AW593" i="7" s="1"/>
  <c r="AY593" i="7" s="1"/>
  <c r="BA593" i="7" s="1"/>
  <c r="BC593" i="7" s="1"/>
  <c r="BE593" i="7" s="1"/>
  <c r="BG593" i="7" s="1"/>
  <c r="BI593" i="7" s="1"/>
  <c r="BK593" i="7" s="1"/>
  <c r="BM593" i="7" s="1"/>
  <c r="BO593" i="7" s="1"/>
  <c r="BQ593" i="7" s="1"/>
  <c r="H588" i="7"/>
  <c r="AB476" i="7"/>
  <c r="H463" i="7"/>
  <c r="H720" i="7"/>
  <c r="BL720" i="7"/>
  <c r="AG468" i="7"/>
  <c r="AI468" i="7" s="1"/>
  <c r="AK468" i="7" s="1"/>
  <c r="AM468" i="7" s="1"/>
  <c r="AO468" i="7" s="1"/>
  <c r="AQ468" i="7" s="1"/>
  <c r="AS468" i="7" s="1"/>
  <c r="AU468" i="7" s="1"/>
  <c r="AW468" i="7" s="1"/>
  <c r="AY468" i="7" s="1"/>
  <c r="BA468" i="7" s="1"/>
  <c r="BC468" i="7" s="1"/>
  <c r="BE468" i="7" s="1"/>
  <c r="BG468" i="7" s="1"/>
  <c r="BI468" i="7" s="1"/>
  <c r="BK468" i="7" s="1"/>
  <c r="BM468" i="7" s="1"/>
  <c r="BO468" i="7" s="1"/>
  <c r="BQ468" i="7" s="1"/>
  <c r="J724" i="7"/>
  <c r="L724" i="7" s="1"/>
  <c r="F468" i="7"/>
  <c r="BE726" i="7"/>
  <c r="R724" i="7" l="1"/>
  <c r="T724" i="7"/>
  <c r="N724" i="7"/>
  <c r="P724" i="7"/>
  <c r="AK725" i="7"/>
  <c r="AM725" i="7" s="1"/>
  <c r="H589" i="7"/>
  <c r="AB477" i="7"/>
  <c r="BL721" i="7"/>
  <c r="H464" i="7"/>
  <c r="H721" i="7"/>
  <c r="AE469" i="7"/>
  <c r="AG469" i="7" s="1"/>
  <c r="AI469" i="7" s="1"/>
  <c r="AK469" i="7" s="1"/>
  <c r="AM469" i="7" s="1"/>
  <c r="AO469" i="7" s="1"/>
  <c r="AQ469" i="7" s="1"/>
  <c r="AS469" i="7" s="1"/>
  <c r="AU469" i="7" s="1"/>
  <c r="AW469" i="7" s="1"/>
  <c r="AY469" i="7" s="1"/>
  <c r="BA469" i="7" s="1"/>
  <c r="BC469" i="7" s="1"/>
  <c r="BE469" i="7" s="1"/>
  <c r="BG469" i="7" s="1"/>
  <c r="BI469" i="7" s="1"/>
  <c r="BK469" i="7" s="1"/>
  <c r="BM469" i="7" s="1"/>
  <c r="BO469" i="7" s="1"/>
  <c r="BQ469" i="7" s="1"/>
  <c r="AB726" i="7"/>
  <c r="AD726" i="7"/>
  <c r="F594" i="7"/>
  <c r="BC726" i="7"/>
  <c r="F726" i="7"/>
  <c r="AE594" i="7"/>
  <c r="AG594" i="7" s="1"/>
  <c r="AI594" i="7" s="1"/>
  <c r="AK594" i="7" s="1"/>
  <c r="AM594" i="7" s="1"/>
  <c r="AO594" i="7" s="1"/>
  <c r="AQ594" i="7" s="1"/>
  <c r="AS594" i="7" s="1"/>
  <c r="AU594" i="7" s="1"/>
  <c r="AW594" i="7" s="1"/>
  <c r="AY594" i="7" s="1"/>
  <c r="BA594" i="7" s="1"/>
  <c r="BC594" i="7" s="1"/>
  <c r="BE594" i="7" s="1"/>
  <c r="BG594" i="7" s="1"/>
  <c r="BI594" i="7" s="1"/>
  <c r="BK594" i="7" s="1"/>
  <c r="BM594" i="7" s="1"/>
  <c r="BO594" i="7" s="1"/>
  <c r="BQ594" i="7" s="1"/>
  <c r="J725" i="7"/>
  <c r="L725" i="7" s="1"/>
  <c r="F469" i="7"/>
  <c r="BE727" i="7"/>
  <c r="T725" i="7" l="1"/>
  <c r="R725" i="7"/>
  <c r="N725" i="7"/>
  <c r="P725" i="7"/>
  <c r="AK726" i="7"/>
  <c r="AM726" i="7" s="1"/>
  <c r="AE470" i="7"/>
  <c r="AG470" i="7" s="1"/>
  <c r="AI470" i="7" s="1"/>
  <c r="AK470" i="7" s="1"/>
  <c r="AM470" i="7" s="1"/>
  <c r="AO470" i="7" s="1"/>
  <c r="AQ470" i="7" s="1"/>
  <c r="AS470" i="7" s="1"/>
  <c r="AU470" i="7" s="1"/>
  <c r="AW470" i="7" s="1"/>
  <c r="AY470" i="7" s="1"/>
  <c r="BA470" i="7" s="1"/>
  <c r="BC470" i="7" s="1"/>
  <c r="BE470" i="7" s="1"/>
  <c r="BG470" i="7" s="1"/>
  <c r="BI470" i="7" s="1"/>
  <c r="BK470" i="7" s="1"/>
  <c r="BM470" i="7" s="1"/>
  <c r="BO470" i="7" s="1"/>
  <c r="BQ470" i="7" s="1"/>
  <c r="AB727" i="7"/>
  <c r="F595" i="7"/>
  <c r="AD727" i="7"/>
  <c r="F727" i="7"/>
  <c r="BC727" i="7"/>
  <c r="AE595" i="7"/>
  <c r="AG595" i="7" s="1"/>
  <c r="AI595" i="7" s="1"/>
  <c r="AB478" i="7"/>
  <c r="H590" i="7"/>
  <c r="H465" i="7"/>
  <c r="BL722" i="7"/>
  <c r="H722" i="7"/>
  <c r="J726" i="7"/>
  <c r="L726" i="7" s="1"/>
  <c r="F470" i="7"/>
  <c r="BE728" i="7"/>
  <c r="T726" i="7" l="1"/>
  <c r="R726" i="7"/>
  <c r="N726" i="7"/>
  <c r="P726" i="7"/>
  <c r="AK595" i="7"/>
  <c r="AM595" i="7" s="1"/>
  <c r="AO595" i="7" s="1"/>
  <c r="AQ595" i="7" s="1"/>
  <c r="AS595" i="7" s="1"/>
  <c r="AU595" i="7" s="1"/>
  <c r="AW595" i="7" s="1"/>
  <c r="AY595" i="7" s="1"/>
  <c r="BA595" i="7" s="1"/>
  <c r="BC595" i="7" s="1"/>
  <c r="BE595" i="7" s="1"/>
  <c r="BG595" i="7" s="1"/>
  <c r="BI595" i="7" s="1"/>
  <c r="BK595" i="7" s="1"/>
  <c r="BM595" i="7" s="1"/>
  <c r="BO595" i="7" s="1"/>
  <c r="BQ595" i="7" s="1"/>
  <c r="H591" i="7"/>
  <c r="H466" i="7"/>
  <c r="BL723" i="7"/>
  <c r="H723" i="7"/>
  <c r="AB479" i="7"/>
  <c r="AE471" i="7"/>
  <c r="AG471" i="7" s="1"/>
  <c r="AI471" i="7" s="1"/>
  <c r="AK471" i="7" s="1"/>
  <c r="AM471" i="7" s="1"/>
  <c r="AO471" i="7" s="1"/>
  <c r="AQ471" i="7" s="1"/>
  <c r="AS471" i="7" s="1"/>
  <c r="AU471" i="7" s="1"/>
  <c r="AW471" i="7" s="1"/>
  <c r="AY471" i="7" s="1"/>
  <c r="BA471" i="7" s="1"/>
  <c r="BC471" i="7" s="1"/>
  <c r="BE471" i="7" s="1"/>
  <c r="BG471" i="7" s="1"/>
  <c r="BI471" i="7" s="1"/>
  <c r="BK471" i="7" s="1"/>
  <c r="BM471" i="7" s="1"/>
  <c r="BO471" i="7" s="1"/>
  <c r="BQ471" i="7" s="1"/>
  <c r="AB728" i="7"/>
  <c r="F596" i="7"/>
  <c r="F728" i="7"/>
  <c r="BC728" i="7"/>
  <c r="AD728" i="7"/>
  <c r="AE596" i="7"/>
  <c r="AG596" i="7" s="1"/>
  <c r="AI596" i="7" s="1"/>
  <c r="AK596" i="7" s="1"/>
  <c r="AM596" i="7" s="1"/>
  <c r="AO596" i="7" s="1"/>
  <c r="AQ596" i="7" s="1"/>
  <c r="AS596" i="7" s="1"/>
  <c r="AU596" i="7" s="1"/>
  <c r="AW596" i="7" s="1"/>
  <c r="AY596" i="7" s="1"/>
  <c r="BA596" i="7" s="1"/>
  <c r="BC596" i="7" s="1"/>
  <c r="BE596" i="7" s="1"/>
  <c r="BG596" i="7" s="1"/>
  <c r="BI596" i="7" s="1"/>
  <c r="BK596" i="7" s="1"/>
  <c r="BM596" i="7" s="1"/>
  <c r="BO596" i="7" s="1"/>
  <c r="BQ596" i="7" s="1"/>
  <c r="J727" i="7"/>
  <c r="L727" i="7" s="1"/>
  <c r="F471" i="7"/>
  <c r="BE729" i="7"/>
  <c r="T727" i="7" l="1"/>
  <c r="R727" i="7"/>
  <c r="N727" i="7"/>
  <c r="P727" i="7"/>
  <c r="AK728" i="7"/>
  <c r="AM728" i="7" s="1"/>
  <c r="AK727" i="7"/>
  <c r="AM727" i="7" s="1"/>
  <c r="AE472" i="7"/>
  <c r="AG472" i="7" s="1"/>
  <c r="AI472" i="7" s="1"/>
  <c r="AK472" i="7" s="1"/>
  <c r="AM472" i="7" s="1"/>
  <c r="AO472" i="7" s="1"/>
  <c r="AQ472" i="7" s="1"/>
  <c r="AS472" i="7" s="1"/>
  <c r="AU472" i="7" s="1"/>
  <c r="AW472" i="7" s="1"/>
  <c r="AY472" i="7" s="1"/>
  <c r="BA472" i="7" s="1"/>
  <c r="BC472" i="7" s="1"/>
  <c r="BE472" i="7" s="1"/>
  <c r="BG472" i="7" s="1"/>
  <c r="BI472" i="7" s="1"/>
  <c r="BK472" i="7" s="1"/>
  <c r="BM472" i="7" s="1"/>
  <c r="BO472" i="7" s="1"/>
  <c r="BQ472" i="7" s="1"/>
  <c r="F597" i="7"/>
  <c r="F729" i="7"/>
  <c r="AB729" i="7"/>
  <c r="AD729" i="7"/>
  <c r="BC729" i="7"/>
  <c r="AE597" i="7"/>
  <c r="AG597" i="7" s="1"/>
  <c r="AI597" i="7" s="1"/>
  <c r="AK597" i="7" s="1"/>
  <c r="AM597" i="7" s="1"/>
  <c r="AO597" i="7" s="1"/>
  <c r="AQ597" i="7" s="1"/>
  <c r="AS597" i="7" s="1"/>
  <c r="AU597" i="7" s="1"/>
  <c r="AW597" i="7" s="1"/>
  <c r="AY597" i="7" s="1"/>
  <c r="BA597" i="7" s="1"/>
  <c r="BC597" i="7" s="1"/>
  <c r="BE597" i="7" s="1"/>
  <c r="BG597" i="7" s="1"/>
  <c r="BI597" i="7" s="1"/>
  <c r="BK597" i="7" s="1"/>
  <c r="BM597" i="7" s="1"/>
  <c r="BO597" i="7" s="1"/>
  <c r="BQ597" i="7" s="1"/>
  <c r="H724" i="7"/>
  <c r="H592" i="7"/>
  <c r="BL724" i="7"/>
  <c r="H467" i="7"/>
  <c r="AB480" i="7"/>
  <c r="J728" i="7"/>
  <c r="L728" i="7" s="1"/>
  <c r="F472" i="7"/>
  <c r="BE730" i="7"/>
  <c r="T728" i="7" l="1"/>
  <c r="R728" i="7"/>
  <c r="N728" i="7"/>
  <c r="P728" i="7"/>
  <c r="AK729" i="7"/>
  <c r="AM729" i="7" s="1"/>
  <c r="H725" i="7"/>
  <c r="H593" i="7"/>
  <c r="AB481" i="7"/>
  <c r="H468" i="7"/>
  <c r="BL725" i="7"/>
  <c r="AE473" i="7"/>
  <c r="AD730" i="7"/>
  <c r="F730" i="7"/>
  <c r="AB730" i="7"/>
  <c r="F598" i="7"/>
  <c r="BC730" i="7"/>
  <c r="AE598" i="7"/>
  <c r="AG598" i="7" s="1"/>
  <c r="AI598" i="7" s="1"/>
  <c r="AK598" i="7" s="1"/>
  <c r="AM598" i="7" s="1"/>
  <c r="AO598" i="7" s="1"/>
  <c r="AQ598" i="7" s="1"/>
  <c r="AS598" i="7" s="1"/>
  <c r="AU598" i="7" s="1"/>
  <c r="AW598" i="7" s="1"/>
  <c r="AY598" i="7" s="1"/>
  <c r="BA598" i="7" s="1"/>
  <c r="BC598" i="7" s="1"/>
  <c r="BE598" i="7" s="1"/>
  <c r="BG598" i="7" s="1"/>
  <c r="BI598" i="7" s="1"/>
  <c r="BK598" i="7" s="1"/>
  <c r="BM598" i="7" s="1"/>
  <c r="BO598" i="7" s="1"/>
  <c r="BQ598" i="7" s="1"/>
  <c r="AG473" i="7"/>
  <c r="AI473" i="7" s="1"/>
  <c r="AK473" i="7" s="1"/>
  <c r="AM473" i="7" s="1"/>
  <c r="AO473" i="7" s="1"/>
  <c r="AQ473" i="7" s="1"/>
  <c r="AS473" i="7" s="1"/>
  <c r="AU473" i="7" s="1"/>
  <c r="AW473" i="7" s="1"/>
  <c r="AY473" i="7" s="1"/>
  <c r="BA473" i="7" s="1"/>
  <c r="BC473" i="7" s="1"/>
  <c r="BE473" i="7" s="1"/>
  <c r="BG473" i="7" s="1"/>
  <c r="BI473" i="7" s="1"/>
  <c r="BK473" i="7" s="1"/>
  <c r="BM473" i="7" s="1"/>
  <c r="BO473" i="7" s="1"/>
  <c r="BQ473" i="7" s="1"/>
  <c r="J729" i="7"/>
  <c r="L729" i="7" s="1"/>
  <c r="F473" i="7"/>
  <c r="BE731" i="7"/>
  <c r="R729" i="7" l="1"/>
  <c r="T729" i="7"/>
  <c r="N729" i="7"/>
  <c r="P729" i="7"/>
  <c r="AK730" i="7"/>
  <c r="AM730" i="7" s="1"/>
  <c r="H594" i="7"/>
  <c r="BL726" i="7"/>
  <c r="H469" i="7"/>
  <c r="AB482" i="7"/>
  <c r="H726" i="7"/>
  <c r="AE474" i="7"/>
  <c r="AD731" i="7"/>
  <c r="F731" i="7"/>
  <c r="AB731" i="7"/>
  <c r="BC731" i="7"/>
  <c r="F599" i="7"/>
  <c r="AE599" i="7"/>
  <c r="AG599" i="7" s="1"/>
  <c r="AI599" i="7" s="1"/>
  <c r="AK599" i="7" s="1"/>
  <c r="AM599" i="7" s="1"/>
  <c r="AO599" i="7" s="1"/>
  <c r="AQ599" i="7" s="1"/>
  <c r="AS599" i="7" s="1"/>
  <c r="AU599" i="7" s="1"/>
  <c r="AW599" i="7" s="1"/>
  <c r="AY599" i="7" s="1"/>
  <c r="BA599" i="7" s="1"/>
  <c r="BC599" i="7" s="1"/>
  <c r="BE599" i="7" s="1"/>
  <c r="BG599" i="7" s="1"/>
  <c r="BI599" i="7" s="1"/>
  <c r="BK599" i="7" s="1"/>
  <c r="BM599" i="7" s="1"/>
  <c r="BO599" i="7" s="1"/>
  <c r="BQ599" i="7" s="1"/>
  <c r="AG474" i="7"/>
  <c r="AI474" i="7" s="1"/>
  <c r="AK474" i="7" s="1"/>
  <c r="AM474" i="7" s="1"/>
  <c r="AO474" i="7" s="1"/>
  <c r="AQ474" i="7" s="1"/>
  <c r="AS474" i="7" s="1"/>
  <c r="AU474" i="7" s="1"/>
  <c r="AW474" i="7" s="1"/>
  <c r="AY474" i="7" s="1"/>
  <c r="BA474" i="7" s="1"/>
  <c r="BC474" i="7" s="1"/>
  <c r="BE474" i="7" s="1"/>
  <c r="BG474" i="7" s="1"/>
  <c r="BI474" i="7" s="1"/>
  <c r="BK474" i="7" s="1"/>
  <c r="BM474" i="7" s="1"/>
  <c r="BO474" i="7" s="1"/>
  <c r="BQ474" i="7" s="1"/>
  <c r="J730" i="7"/>
  <c r="L730" i="7" s="1"/>
  <c r="F474" i="7"/>
  <c r="BE732" i="7"/>
  <c r="T730" i="7" l="1"/>
  <c r="R730" i="7"/>
  <c r="N730" i="7"/>
  <c r="P730" i="7"/>
  <c r="AK731" i="7"/>
  <c r="AM731" i="7" s="1"/>
  <c r="AE475" i="7"/>
  <c r="AG475" i="7" s="1"/>
  <c r="AI475" i="7" s="1"/>
  <c r="AK475" i="7" s="1"/>
  <c r="AM475" i="7" s="1"/>
  <c r="AO475" i="7" s="1"/>
  <c r="AQ475" i="7" s="1"/>
  <c r="AS475" i="7" s="1"/>
  <c r="AU475" i="7" s="1"/>
  <c r="AW475" i="7" s="1"/>
  <c r="AY475" i="7" s="1"/>
  <c r="BA475" i="7" s="1"/>
  <c r="BC475" i="7" s="1"/>
  <c r="BE475" i="7" s="1"/>
  <c r="BG475" i="7" s="1"/>
  <c r="BI475" i="7" s="1"/>
  <c r="BK475" i="7" s="1"/>
  <c r="BM475" i="7" s="1"/>
  <c r="BO475" i="7" s="1"/>
  <c r="BQ475" i="7" s="1"/>
  <c r="F732" i="7"/>
  <c r="AD732" i="7"/>
  <c r="AB732" i="7"/>
  <c r="F600" i="7"/>
  <c r="BC732" i="7"/>
  <c r="AE600" i="7"/>
  <c r="AG600" i="7"/>
  <c r="AI600" i="7" s="1"/>
  <c r="AK600" i="7" s="1"/>
  <c r="AM600" i="7" s="1"/>
  <c r="AO600" i="7" s="1"/>
  <c r="AQ600" i="7" s="1"/>
  <c r="AS600" i="7" s="1"/>
  <c r="AU600" i="7" s="1"/>
  <c r="AW600" i="7" s="1"/>
  <c r="AY600" i="7" s="1"/>
  <c r="BA600" i="7" s="1"/>
  <c r="BC600" i="7" s="1"/>
  <c r="BE600" i="7" s="1"/>
  <c r="BG600" i="7" s="1"/>
  <c r="BI600" i="7" s="1"/>
  <c r="BK600" i="7" s="1"/>
  <c r="BM600" i="7" s="1"/>
  <c r="BO600" i="7" s="1"/>
  <c r="BQ600" i="7" s="1"/>
  <c r="BL727" i="7"/>
  <c r="H595" i="7"/>
  <c r="H470" i="7"/>
  <c r="H727" i="7"/>
  <c r="AB483" i="7"/>
  <c r="J731" i="7"/>
  <c r="L731" i="7" s="1"/>
  <c r="F475" i="7"/>
  <c r="AE476" i="7" l="1"/>
  <c r="AG476" i="7" s="1"/>
  <c r="AI476" i="7" s="1"/>
  <c r="AK476" i="7" s="1"/>
  <c r="AM476" i="7" s="1"/>
  <c r="AO476" i="7" s="1"/>
  <c r="AQ476" i="7" s="1"/>
  <c r="AS476" i="7" s="1"/>
  <c r="AU476" i="7" s="1"/>
  <c r="AW476" i="7" s="1"/>
  <c r="AY476" i="7" s="1"/>
  <c r="BA476" i="7" s="1"/>
  <c r="BC476" i="7" s="1"/>
  <c r="BE476" i="7" s="1"/>
  <c r="BG476" i="7" s="1"/>
  <c r="BI476" i="7" s="1"/>
  <c r="BK476" i="7" s="1"/>
  <c r="BM476" i="7" s="1"/>
  <c r="BO476" i="7" s="1"/>
  <c r="BQ476" i="7" s="1"/>
  <c r="BE733" i="7"/>
  <c r="T731" i="7"/>
  <c r="R731" i="7"/>
  <c r="N731" i="7"/>
  <c r="P731" i="7"/>
  <c r="AK732" i="7"/>
  <c r="AM732" i="7" s="1"/>
  <c r="BL728" i="7"/>
  <c r="H596" i="7"/>
  <c r="H728" i="7"/>
  <c r="AB484" i="7"/>
  <c r="H471" i="7"/>
  <c r="F733" i="7"/>
  <c r="AD733" i="7"/>
  <c r="AB733" i="7"/>
  <c r="BC733" i="7"/>
  <c r="F601" i="7"/>
  <c r="AE601" i="7"/>
  <c r="AG601" i="7" s="1"/>
  <c r="AI601" i="7" s="1"/>
  <c r="AK601" i="7" s="1"/>
  <c r="AM601" i="7" s="1"/>
  <c r="AO601" i="7" s="1"/>
  <c r="AQ601" i="7" s="1"/>
  <c r="AS601" i="7" s="1"/>
  <c r="AU601" i="7" s="1"/>
  <c r="AW601" i="7" s="1"/>
  <c r="AY601" i="7" s="1"/>
  <c r="BA601" i="7" s="1"/>
  <c r="BC601" i="7" s="1"/>
  <c r="BE601" i="7" s="1"/>
  <c r="BG601" i="7" s="1"/>
  <c r="BI601" i="7" s="1"/>
  <c r="BK601" i="7" s="1"/>
  <c r="BM601" i="7" s="1"/>
  <c r="BO601" i="7" s="1"/>
  <c r="BQ601" i="7" s="1"/>
  <c r="J732" i="7"/>
  <c r="L732" i="7" s="1"/>
  <c r="F476" i="7"/>
  <c r="AE477" i="7" l="1"/>
  <c r="AG477" i="7" s="1"/>
  <c r="AI477" i="7" s="1"/>
  <c r="AK477" i="7" s="1"/>
  <c r="AM477" i="7" s="1"/>
  <c r="AO477" i="7" s="1"/>
  <c r="AQ477" i="7" s="1"/>
  <c r="AS477" i="7" s="1"/>
  <c r="AU477" i="7" s="1"/>
  <c r="AW477" i="7" s="1"/>
  <c r="AY477" i="7" s="1"/>
  <c r="BA477" i="7" s="1"/>
  <c r="BC477" i="7" s="1"/>
  <c r="BE477" i="7" s="1"/>
  <c r="BG477" i="7" s="1"/>
  <c r="BI477" i="7" s="1"/>
  <c r="BK477" i="7" s="1"/>
  <c r="BM477" i="7" s="1"/>
  <c r="BO477" i="7" s="1"/>
  <c r="BQ477" i="7" s="1"/>
  <c r="BE734" i="7"/>
  <c r="R732" i="7"/>
  <c r="T732" i="7"/>
  <c r="N732" i="7"/>
  <c r="P732" i="7"/>
  <c r="AK733" i="7"/>
  <c r="AM733" i="7" s="1"/>
  <c r="BL729" i="7"/>
  <c r="H729" i="7"/>
  <c r="H597" i="7"/>
  <c r="H472" i="7"/>
  <c r="AB485" i="7"/>
  <c r="AD734" i="7"/>
  <c r="F734" i="7"/>
  <c r="BC734" i="7"/>
  <c r="F602" i="7"/>
  <c r="AB734" i="7"/>
  <c r="AE602" i="7"/>
  <c r="AG602" i="7" s="1"/>
  <c r="AI602" i="7" s="1"/>
  <c r="BE735" i="7"/>
  <c r="J733" i="7"/>
  <c r="L733" i="7" s="1"/>
  <c r="F477" i="7"/>
  <c r="AE478" i="7"/>
  <c r="R733" i="7" l="1"/>
  <c r="T733" i="7"/>
  <c r="N733" i="7"/>
  <c r="P733" i="7"/>
  <c r="AK602" i="7"/>
  <c r="AM602" i="7" s="1"/>
  <c r="AO602" i="7" s="1"/>
  <c r="AQ602" i="7" s="1"/>
  <c r="AS602" i="7" s="1"/>
  <c r="AU602" i="7" s="1"/>
  <c r="AW602" i="7" s="1"/>
  <c r="AY602" i="7" s="1"/>
  <c r="BA602" i="7" s="1"/>
  <c r="BC602" i="7" s="1"/>
  <c r="BE602" i="7" s="1"/>
  <c r="BG602" i="7" s="1"/>
  <c r="BI602" i="7" s="1"/>
  <c r="BK602" i="7" s="1"/>
  <c r="BM602" i="7" s="1"/>
  <c r="BO602" i="7" s="1"/>
  <c r="BQ602" i="7" s="1"/>
  <c r="AB486" i="7"/>
  <c r="BL730" i="7"/>
  <c r="H730" i="7"/>
  <c r="H473" i="7"/>
  <c r="H598" i="7"/>
  <c r="AD735" i="7"/>
  <c r="F735" i="7"/>
  <c r="BC735" i="7"/>
  <c r="AB735" i="7"/>
  <c r="F603" i="7"/>
  <c r="AE603" i="7"/>
  <c r="AG603" i="7" s="1"/>
  <c r="AI603" i="7" s="1"/>
  <c r="AK603" i="7" s="1"/>
  <c r="AM603" i="7" s="1"/>
  <c r="AO603" i="7" s="1"/>
  <c r="AQ603" i="7" s="1"/>
  <c r="AS603" i="7" s="1"/>
  <c r="AU603" i="7" s="1"/>
  <c r="AW603" i="7" s="1"/>
  <c r="AY603" i="7" s="1"/>
  <c r="BA603" i="7" s="1"/>
  <c r="BC603" i="7" s="1"/>
  <c r="BE603" i="7" s="1"/>
  <c r="BG603" i="7" s="1"/>
  <c r="BI603" i="7" s="1"/>
  <c r="BK603" i="7" s="1"/>
  <c r="BM603" i="7" s="1"/>
  <c r="BO603" i="7" s="1"/>
  <c r="BQ603" i="7" s="1"/>
  <c r="BE736" i="7"/>
  <c r="AG478" i="7"/>
  <c r="AI478" i="7" s="1"/>
  <c r="AK478" i="7" s="1"/>
  <c r="AM478" i="7" s="1"/>
  <c r="AO478" i="7" s="1"/>
  <c r="AQ478" i="7" s="1"/>
  <c r="AS478" i="7" s="1"/>
  <c r="AU478" i="7" s="1"/>
  <c r="AW478" i="7" s="1"/>
  <c r="AY478" i="7" s="1"/>
  <c r="BA478" i="7" s="1"/>
  <c r="BC478" i="7" s="1"/>
  <c r="BE478" i="7" s="1"/>
  <c r="BG478" i="7" s="1"/>
  <c r="BI478" i="7" s="1"/>
  <c r="BK478" i="7" s="1"/>
  <c r="BM478" i="7" s="1"/>
  <c r="BO478" i="7" s="1"/>
  <c r="BQ478" i="7" s="1"/>
  <c r="J734" i="7"/>
  <c r="L734" i="7" s="1"/>
  <c r="F478" i="7"/>
  <c r="AE479" i="7"/>
  <c r="T734" i="7" l="1"/>
  <c r="R734" i="7"/>
  <c r="N734" i="7"/>
  <c r="P734" i="7"/>
  <c r="AK735" i="7"/>
  <c r="AM735" i="7" s="1"/>
  <c r="AK734" i="7"/>
  <c r="AM734" i="7" s="1"/>
  <c r="AB487" i="7"/>
  <c r="BL731" i="7"/>
  <c r="H731" i="7"/>
  <c r="H599" i="7"/>
  <c r="H474" i="7"/>
  <c r="AD736" i="7"/>
  <c r="F736" i="7"/>
  <c r="F604" i="7"/>
  <c r="BC736" i="7"/>
  <c r="AE604" i="7"/>
  <c r="AG604" i="7" s="1"/>
  <c r="AI604" i="7" s="1"/>
  <c r="AK604" i="7" s="1"/>
  <c r="AM604" i="7" s="1"/>
  <c r="AO604" i="7" s="1"/>
  <c r="AQ604" i="7" s="1"/>
  <c r="AS604" i="7" s="1"/>
  <c r="AU604" i="7" s="1"/>
  <c r="AW604" i="7" s="1"/>
  <c r="AY604" i="7" s="1"/>
  <c r="BA604" i="7" s="1"/>
  <c r="BC604" i="7" s="1"/>
  <c r="BE604" i="7" s="1"/>
  <c r="BG604" i="7" s="1"/>
  <c r="BI604" i="7" s="1"/>
  <c r="BK604" i="7" s="1"/>
  <c r="BM604" i="7" s="1"/>
  <c r="BO604" i="7" s="1"/>
  <c r="BQ604" i="7" s="1"/>
  <c r="AB736" i="7"/>
  <c r="AG479" i="7"/>
  <c r="AI479" i="7" s="1"/>
  <c r="AK479" i="7" s="1"/>
  <c r="AM479" i="7" s="1"/>
  <c r="AO479" i="7" s="1"/>
  <c r="AQ479" i="7" s="1"/>
  <c r="AS479" i="7" s="1"/>
  <c r="AU479" i="7" s="1"/>
  <c r="AW479" i="7" s="1"/>
  <c r="AY479" i="7" s="1"/>
  <c r="BA479" i="7" s="1"/>
  <c r="BC479" i="7" s="1"/>
  <c r="BE479" i="7" s="1"/>
  <c r="BG479" i="7" s="1"/>
  <c r="BI479" i="7" s="1"/>
  <c r="BK479" i="7" s="1"/>
  <c r="BM479" i="7" s="1"/>
  <c r="BO479" i="7" s="1"/>
  <c r="BQ479" i="7" s="1"/>
  <c r="J735" i="7"/>
  <c r="L735" i="7" s="1"/>
  <c r="F479" i="7"/>
  <c r="AE480" i="7" l="1"/>
  <c r="AG480" i="7" s="1"/>
  <c r="AI480" i="7" s="1"/>
  <c r="AK480" i="7" s="1"/>
  <c r="AM480" i="7" s="1"/>
  <c r="AO480" i="7" s="1"/>
  <c r="AQ480" i="7" s="1"/>
  <c r="AS480" i="7" s="1"/>
  <c r="AU480" i="7" s="1"/>
  <c r="AW480" i="7" s="1"/>
  <c r="AY480" i="7" s="1"/>
  <c r="BA480" i="7" s="1"/>
  <c r="BC480" i="7" s="1"/>
  <c r="BE480" i="7" s="1"/>
  <c r="BG480" i="7" s="1"/>
  <c r="BI480" i="7" s="1"/>
  <c r="BK480" i="7" s="1"/>
  <c r="BM480" i="7" s="1"/>
  <c r="BO480" i="7" s="1"/>
  <c r="BQ480" i="7" s="1"/>
  <c r="BE737" i="7"/>
  <c r="R735" i="7"/>
  <c r="T735" i="7"/>
  <c r="N735" i="7"/>
  <c r="P735" i="7"/>
  <c r="AK736" i="7"/>
  <c r="AM736" i="7" s="1"/>
  <c r="BL732" i="7"/>
  <c r="H732" i="7"/>
  <c r="AB488" i="7"/>
  <c r="H475" i="7"/>
  <c r="H600" i="7"/>
  <c r="BC737" i="7"/>
  <c r="AE605" i="7"/>
  <c r="AG605" i="7" s="1"/>
  <c r="AI605" i="7" s="1"/>
  <c r="AK605" i="7" s="1"/>
  <c r="AM605" i="7" s="1"/>
  <c r="AO605" i="7" s="1"/>
  <c r="AQ605" i="7" s="1"/>
  <c r="AS605" i="7" s="1"/>
  <c r="AU605" i="7" s="1"/>
  <c r="AW605" i="7" s="1"/>
  <c r="AY605" i="7" s="1"/>
  <c r="BA605" i="7" s="1"/>
  <c r="BC605" i="7" s="1"/>
  <c r="BE605" i="7" s="1"/>
  <c r="BG605" i="7" s="1"/>
  <c r="BI605" i="7" s="1"/>
  <c r="BK605" i="7" s="1"/>
  <c r="BM605" i="7" s="1"/>
  <c r="BO605" i="7" s="1"/>
  <c r="BQ605" i="7" s="1"/>
  <c r="AB737" i="7"/>
  <c r="F737" i="7"/>
  <c r="F605" i="7"/>
  <c r="AD737" i="7"/>
  <c r="J736" i="7"/>
  <c r="L736" i="7" s="1"/>
  <c r="F480" i="7"/>
  <c r="AE481" i="7" l="1"/>
  <c r="AG481" i="7" s="1"/>
  <c r="AI481" i="7" s="1"/>
  <c r="AK481" i="7" s="1"/>
  <c r="AM481" i="7" s="1"/>
  <c r="AO481" i="7" s="1"/>
  <c r="AQ481" i="7" s="1"/>
  <c r="AS481" i="7" s="1"/>
  <c r="AU481" i="7" s="1"/>
  <c r="AW481" i="7" s="1"/>
  <c r="AY481" i="7" s="1"/>
  <c r="BA481" i="7" s="1"/>
  <c r="BC481" i="7" s="1"/>
  <c r="BE481" i="7" s="1"/>
  <c r="BG481" i="7" s="1"/>
  <c r="BI481" i="7" s="1"/>
  <c r="BK481" i="7" s="1"/>
  <c r="BM481" i="7" s="1"/>
  <c r="BO481" i="7" s="1"/>
  <c r="BQ481" i="7" s="1"/>
  <c r="BE738" i="7"/>
  <c r="R736" i="7"/>
  <c r="T736" i="7"/>
  <c r="N736" i="7"/>
  <c r="P736" i="7"/>
  <c r="AK737" i="7"/>
  <c r="AM737" i="7" s="1"/>
  <c r="BC738" i="7"/>
  <c r="AD738" i="7"/>
  <c r="AB738" i="7"/>
  <c r="F738" i="7"/>
  <c r="F606" i="7"/>
  <c r="AE606" i="7"/>
  <c r="AG606" i="7" s="1"/>
  <c r="AI606" i="7" s="1"/>
  <c r="H601" i="7"/>
  <c r="BL733" i="7"/>
  <c r="AB489" i="7"/>
  <c r="H733" i="7"/>
  <c r="H476" i="7"/>
  <c r="J737" i="7"/>
  <c r="L737" i="7" s="1"/>
  <c r="F481" i="7"/>
  <c r="AE482" i="7" l="1"/>
  <c r="AG482" i="7" s="1"/>
  <c r="AI482" i="7" s="1"/>
  <c r="AK482" i="7" s="1"/>
  <c r="AM482" i="7" s="1"/>
  <c r="AO482" i="7" s="1"/>
  <c r="AQ482" i="7" s="1"/>
  <c r="AS482" i="7" s="1"/>
  <c r="AU482" i="7" s="1"/>
  <c r="AW482" i="7" s="1"/>
  <c r="AY482" i="7" s="1"/>
  <c r="BA482" i="7" s="1"/>
  <c r="BC482" i="7" s="1"/>
  <c r="BE482" i="7" s="1"/>
  <c r="BG482" i="7" s="1"/>
  <c r="BI482" i="7" s="1"/>
  <c r="BK482" i="7" s="1"/>
  <c r="BM482" i="7" s="1"/>
  <c r="BO482" i="7" s="1"/>
  <c r="BQ482" i="7" s="1"/>
  <c r="BE739" i="7"/>
  <c r="T737" i="7"/>
  <c r="R737" i="7"/>
  <c r="N737" i="7"/>
  <c r="P737" i="7"/>
  <c r="AK606" i="7"/>
  <c r="AM606" i="7" s="1"/>
  <c r="AO606" i="7" s="1"/>
  <c r="AQ606" i="7" s="1"/>
  <c r="AS606" i="7" s="1"/>
  <c r="AU606" i="7" s="1"/>
  <c r="AW606" i="7" s="1"/>
  <c r="AY606" i="7" s="1"/>
  <c r="BA606" i="7" s="1"/>
  <c r="BC606" i="7" s="1"/>
  <c r="BE606" i="7" s="1"/>
  <c r="BG606" i="7" s="1"/>
  <c r="BI606" i="7" s="1"/>
  <c r="BK606" i="7" s="1"/>
  <c r="BM606" i="7" s="1"/>
  <c r="BO606" i="7" s="1"/>
  <c r="BQ606" i="7" s="1"/>
  <c r="H602" i="7"/>
  <c r="H477" i="7"/>
  <c r="AB490" i="7"/>
  <c r="H734" i="7"/>
  <c r="BL734" i="7"/>
  <c r="BC739" i="7"/>
  <c r="AD739" i="7"/>
  <c r="AB739" i="7"/>
  <c r="F739" i="7"/>
  <c r="F607" i="7"/>
  <c r="AE607" i="7"/>
  <c r="AG607" i="7" s="1"/>
  <c r="AI607" i="7" s="1"/>
  <c r="AK607" i="7" s="1"/>
  <c r="AM607" i="7" s="1"/>
  <c r="AO607" i="7" s="1"/>
  <c r="AQ607" i="7" s="1"/>
  <c r="AS607" i="7" s="1"/>
  <c r="AU607" i="7" s="1"/>
  <c r="AW607" i="7" s="1"/>
  <c r="AY607" i="7" s="1"/>
  <c r="BA607" i="7" s="1"/>
  <c r="BC607" i="7" s="1"/>
  <c r="BE607" i="7" s="1"/>
  <c r="BG607" i="7" s="1"/>
  <c r="BI607" i="7" s="1"/>
  <c r="BK607" i="7" s="1"/>
  <c r="BM607" i="7" s="1"/>
  <c r="BO607" i="7" s="1"/>
  <c r="BQ607" i="7" s="1"/>
  <c r="BE740" i="7"/>
  <c r="J738" i="7"/>
  <c r="L738" i="7" s="1"/>
  <c r="F482" i="7"/>
  <c r="AE483" i="7"/>
  <c r="R738" i="7" l="1"/>
  <c r="T738" i="7"/>
  <c r="N738" i="7"/>
  <c r="P738" i="7"/>
  <c r="AK739" i="7"/>
  <c r="AM739" i="7" s="1"/>
  <c r="AK738" i="7"/>
  <c r="AM738" i="7" s="1"/>
  <c r="AE608" i="7"/>
  <c r="F740" i="7"/>
  <c r="AB740" i="7"/>
  <c r="F608" i="7"/>
  <c r="BC740" i="7"/>
  <c r="AD740" i="7"/>
  <c r="BE741" i="7"/>
  <c r="AG608" i="7"/>
  <c r="AI608" i="7" s="1"/>
  <c r="AK608" i="7" s="1"/>
  <c r="AM608" i="7" s="1"/>
  <c r="AO608" i="7" s="1"/>
  <c r="AQ608" i="7" s="1"/>
  <c r="AS608" i="7" s="1"/>
  <c r="AU608" i="7" s="1"/>
  <c r="AW608" i="7" s="1"/>
  <c r="AY608" i="7" s="1"/>
  <c r="BA608" i="7" s="1"/>
  <c r="BC608" i="7" s="1"/>
  <c r="BE608" i="7" s="1"/>
  <c r="BG608" i="7" s="1"/>
  <c r="BI608" i="7" s="1"/>
  <c r="BK608" i="7" s="1"/>
  <c r="BM608" i="7" s="1"/>
  <c r="BO608" i="7" s="1"/>
  <c r="BQ608" i="7" s="1"/>
  <c r="H603" i="7"/>
  <c r="AB491" i="7"/>
  <c r="H735" i="7"/>
  <c r="BL735" i="7"/>
  <c r="H478" i="7"/>
  <c r="AG483" i="7"/>
  <c r="AI483" i="7" s="1"/>
  <c r="AK483" i="7" s="1"/>
  <c r="AM483" i="7" s="1"/>
  <c r="AO483" i="7" s="1"/>
  <c r="AQ483" i="7" s="1"/>
  <c r="AS483" i="7" s="1"/>
  <c r="AU483" i="7" s="1"/>
  <c r="AW483" i="7" s="1"/>
  <c r="AY483" i="7" s="1"/>
  <c r="BA483" i="7" s="1"/>
  <c r="BC483" i="7" s="1"/>
  <c r="BE483" i="7" s="1"/>
  <c r="BG483" i="7" s="1"/>
  <c r="BI483" i="7" s="1"/>
  <c r="BK483" i="7" s="1"/>
  <c r="BM483" i="7" s="1"/>
  <c r="BO483" i="7" s="1"/>
  <c r="BQ483" i="7" s="1"/>
  <c r="J739" i="7"/>
  <c r="L739" i="7" s="1"/>
  <c r="F483" i="7"/>
  <c r="AE484" i="7"/>
  <c r="R739" i="7" l="1"/>
  <c r="T739" i="7"/>
  <c r="N739" i="7"/>
  <c r="P739" i="7"/>
  <c r="AK740" i="7"/>
  <c r="AM740" i="7" s="1"/>
  <c r="BL736" i="7"/>
  <c r="H736" i="7"/>
  <c r="H479" i="7"/>
  <c r="H604" i="7"/>
  <c r="AB492" i="7"/>
  <c r="AE609" i="7"/>
  <c r="F609" i="7"/>
  <c r="F741" i="7"/>
  <c r="BC741" i="7"/>
  <c r="AD741" i="7"/>
  <c r="AB741" i="7"/>
  <c r="AG609" i="7"/>
  <c r="AI609" i="7" s="1"/>
  <c r="AK609" i="7" s="1"/>
  <c r="AM609" i="7" s="1"/>
  <c r="AO609" i="7" s="1"/>
  <c r="AQ609" i="7" s="1"/>
  <c r="AS609" i="7" s="1"/>
  <c r="AU609" i="7" s="1"/>
  <c r="AW609" i="7" s="1"/>
  <c r="AY609" i="7" s="1"/>
  <c r="BA609" i="7" s="1"/>
  <c r="BC609" i="7" s="1"/>
  <c r="BE609" i="7" s="1"/>
  <c r="BG609" i="7" s="1"/>
  <c r="BI609" i="7" s="1"/>
  <c r="BK609" i="7" s="1"/>
  <c r="BM609" i="7" s="1"/>
  <c r="BO609" i="7" s="1"/>
  <c r="BQ609" i="7" s="1"/>
  <c r="AG484" i="7"/>
  <c r="AI484" i="7" s="1"/>
  <c r="AK484" i="7" s="1"/>
  <c r="AM484" i="7" s="1"/>
  <c r="AO484" i="7" s="1"/>
  <c r="AQ484" i="7" s="1"/>
  <c r="AS484" i="7" s="1"/>
  <c r="AU484" i="7" s="1"/>
  <c r="AW484" i="7" s="1"/>
  <c r="AY484" i="7" s="1"/>
  <c r="BA484" i="7" s="1"/>
  <c r="BC484" i="7" s="1"/>
  <c r="BE484" i="7" s="1"/>
  <c r="BG484" i="7" s="1"/>
  <c r="BI484" i="7" s="1"/>
  <c r="BK484" i="7" s="1"/>
  <c r="BM484" i="7" s="1"/>
  <c r="BO484" i="7" s="1"/>
  <c r="BQ484" i="7" s="1"/>
  <c r="J740" i="7"/>
  <c r="L740" i="7" s="1"/>
  <c r="F484" i="7"/>
  <c r="AE485" i="7" l="1"/>
  <c r="AG485" i="7" s="1"/>
  <c r="AI485" i="7" s="1"/>
  <c r="AK485" i="7" s="1"/>
  <c r="AM485" i="7" s="1"/>
  <c r="AO485" i="7" s="1"/>
  <c r="AQ485" i="7" s="1"/>
  <c r="AS485" i="7" s="1"/>
  <c r="AU485" i="7" s="1"/>
  <c r="AW485" i="7" s="1"/>
  <c r="AY485" i="7" s="1"/>
  <c r="BA485" i="7" s="1"/>
  <c r="BC485" i="7" s="1"/>
  <c r="BE485" i="7" s="1"/>
  <c r="BG485" i="7" s="1"/>
  <c r="BI485" i="7" s="1"/>
  <c r="BK485" i="7" s="1"/>
  <c r="BM485" i="7" s="1"/>
  <c r="BO485" i="7" s="1"/>
  <c r="BQ485" i="7" s="1"/>
  <c r="BE742" i="7"/>
  <c r="T740" i="7"/>
  <c r="R740" i="7"/>
  <c r="N740" i="7"/>
  <c r="P740" i="7"/>
  <c r="AK741" i="7"/>
  <c r="AM741" i="7" s="1"/>
  <c r="F610" i="7"/>
  <c r="AD742" i="7"/>
  <c r="F742" i="7"/>
  <c r="BC742" i="7"/>
  <c r="AB742" i="7"/>
  <c r="AE610" i="7"/>
  <c r="AG610" i="7" s="1"/>
  <c r="AI610" i="7" s="1"/>
  <c r="AK610" i="7" s="1"/>
  <c r="AM610" i="7" s="1"/>
  <c r="AO610" i="7" s="1"/>
  <c r="AQ610" i="7" s="1"/>
  <c r="AS610" i="7" s="1"/>
  <c r="AU610" i="7" s="1"/>
  <c r="AW610" i="7" s="1"/>
  <c r="AY610" i="7" s="1"/>
  <c r="BA610" i="7" s="1"/>
  <c r="BC610" i="7" s="1"/>
  <c r="BE610" i="7" s="1"/>
  <c r="BG610" i="7" s="1"/>
  <c r="BI610" i="7" s="1"/>
  <c r="BK610" i="7" s="1"/>
  <c r="BM610" i="7" s="1"/>
  <c r="BO610" i="7" s="1"/>
  <c r="BQ610" i="7" s="1"/>
  <c r="BE743" i="7"/>
  <c r="BL737" i="7"/>
  <c r="AB493" i="7"/>
  <c r="H605" i="7"/>
  <c r="H480" i="7"/>
  <c r="H737" i="7"/>
  <c r="J741" i="7"/>
  <c r="L741" i="7" s="1"/>
  <c r="F485" i="7"/>
  <c r="AE486" i="7"/>
  <c r="T741" i="7" l="1"/>
  <c r="R741" i="7"/>
  <c r="N741" i="7"/>
  <c r="P741" i="7"/>
  <c r="AK742" i="7"/>
  <c r="AM742" i="7" s="1"/>
  <c r="BL738" i="7"/>
  <c r="AB494" i="7"/>
  <c r="H481" i="7"/>
  <c r="H738" i="7"/>
  <c r="H606" i="7"/>
  <c r="F611" i="7"/>
  <c r="AD743" i="7"/>
  <c r="BC743" i="7"/>
  <c r="AB743" i="7"/>
  <c r="F743" i="7"/>
  <c r="AE611" i="7"/>
  <c r="AG611" i="7" s="1"/>
  <c r="AI611" i="7" s="1"/>
  <c r="AG486" i="7"/>
  <c r="AI486" i="7" s="1"/>
  <c r="AK486" i="7" s="1"/>
  <c r="AM486" i="7" s="1"/>
  <c r="AO486" i="7" s="1"/>
  <c r="AQ486" i="7" s="1"/>
  <c r="AS486" i="7" s="1"/>
  <c r="AU486" i="7" s="1"/>
  <c r="AW486" i="7" s="1"/>
  <c r="AY486" i="7" s="1"/>
  <c r="BA486" i="7" s="1"/>
  <c r="BC486" i="7" s="1"/>
  <c r="BE486" i="7" s="1"/>
  <c r="BG486" i="7" s="1"/>
  <c r="BI486" i="7" s="1"/>
  <c r="BK486" i="7" s="1"/>
  <c r="BM486" i="7" s="1"/>
  <c r="BO486" i="7" s="1"/>
  <c r="BQ486" i="7" s="1"/>
  <c r="J742" i="7"/>
  <c r="L742" i="7" s="1"/>
  <c r="F486" i="7"/>
  <c r="AE487" i="7" l="1"/>
  <c r="AG487" i="7" s="1"/>
  <c r="AI487" i="7" s="1"/>
  <c r="AK487" i="7" s="1"/>
  <c r="AM487" i="7" s="1"/>
  <c r="AO487" i="7" s="1"/>
  <c r="AQ487" i="7" s="1"/>
  <c r="AS487" i="7" s="1"/>
  <c r="AU487" i="7" s="1"/>
  <c r="AW487" i="7" s="1"/>
  <c r="AY487" i="7" s="1"/>
  <c r="BA487" i="7" s="1"/>
  <c r="BC487" i="7" s="1"/>
  <c r="BE487" i="7" s="1"/>
  <c r="BG487" i="7" s="1"/>
  <c r="BI487" i="7" s="1"/>
  <c r="BK487" i="7" s="1"/>
  <c r="BM487" i="7" s="1"/>
  <c r="BO487" i="7" s="1"/>
  <c r="BQ487" i="7" s="1"/>
  <c r="BE744" i="7"/>
  <c r="R742" i="7"/>
  <c r="T742" i="7"/>
  <c r="N742" i="7"/>
  <c r="P742" i="7"/>
  <c r="AK611" i="7"/>
  <c r="AM611" i="7" s="1"/>
  <c r="AO611" i="7" s="1"/>
  <c r="AQ611" i="7" s="1"/>
  <c r="AS611" i="7" s="1"/>
  <c r="AU611" i="7" s="1"/>
  <c r="AW611" i="7" s="1"/>
  <c r="AY611" i="7" s="1"/>
  <c r="BA611" i="7" s="1"/>
  <c r="BC611" i="7" s="1"/>
  <c r="BE611" i="7" s="1"/>
  <c r="BG611" i="7" s="1"/>
  <c r="BI611" i="7" s="1"/>
  <c r="BK611" i="7" s="1"/>
  <c r="BM611" i="7" s="1"/>
  <c r="BO611" i="7" s="1"/>
  <c r="BQ611" i="7" s="1"/>
  <c r="BC744" i="7"/>
  <c r="F612" i="7"/>
  <c r="AD744" i="7"/>
  <c r="F744" i="7"/>
  <c r="AB744" i="7"/>
  <c r="AE612" i="7"/>
  <c r="AG612" i="7" s="1"/>
  <c r="AI612" i="7" s="1"/>
  <c r="AK612" i="7" s="1"/>
  <c r="AM612" i="7" s="1"/>
  <c r="AO612" i="7" s="1"/>
  <c r="AQ612" i="7" s="1"/>
  <c r="AS612" i="7" s="1"/>
  <c r="AU612" i="7" s="1"/>
  <c r="AW612" i="7" s="1"/>
  <c r="AY612" i="7" s="1"/>
  <c r="BA612" i="7" s="1"/>
  <c r="BC612" i="7" s="1"/>
  <c r="BE612" i="7" s="1"/>
  <c r="BG612" i="7" s="1"/>
  <c r="BI612" i="7" s="1"/>
  <c r="BK612" i="7" s="1"/>
  <c r="BM612" i="7" s="1"/>
  <c r="BO612" i="7" s="1"/>
  <c r="BQ612" i="7" s="1"/>
  <c r="BE745" i="7"/>
  <c r="BL739" i="7"/>
  <c r="AB495" i="7"/>
  <c r="H482" i="7"/>
  <c r="H739" i="7"/>
  <c r="H607" i="7"/>
  <c r="J743" i="7"/>
  <c r="L743" i="7" s="1"/>
  <c r="F487" i="7"/>
  <c r="AE488" i="7"/>
  <c r="T743" i="7" l="1"/>
  <c r="R743" i="7"/>
  <c r="N743" i="7"/>
  <c r="P743" i="7"/>
  <c r="AK744" i="7"/>
  <c r="AM744" i="7" s="1"/>
  <c r="AK743" i="7"/>
  <c r="AM743" i="7" s="1"/>
  <c r="BL740" i="7"/>
  <c r="AB496" i="7"/>
  <c r="H483" i="7"/>
  <c r="H608" i="7"/>
  <c r="H740" i="7"/>
  <c r="BC745" i="7"/>
  <c r="F745" i="7"/>
  <c r="F613" i="7"/>
  <c r="AD745" i="7"/>
  <c r="AB745" i="7"/>
  <c r="AE613" i="7"/>
  <c r="AG613" i="7" s="1"/>
  <c r="AI613" i="7" s="1"/>
  <c r="AK613" i="7" s="1"/>
  <c r="AM613" i="7" s="1"/>
  <c r="AO613" i="7" s="1"/>
  <c r="AQ613" i="7" s="1"/>
  <c r="AS613" i="7" s="1"/>
  <c r="AU613" i="7" s="1"/>
  <c r="AW613" i="7" s="1"/>
  <c r="AY613" i="7" s="1"/>
  <c r="BA613" i="7" s="1"/>
  <c r="BC613" i="7" s="1"/>
  <c r="BE613" i="7" s="1"/>
  <c r="BG613" i="7" s="1"/>
  <c r="BI613" i="7" s="1"/>
  <c r="BK613" i="7" s="1"/>
  <c r="BM613" i="7" s="1"/>
  <c r="BO613" i="7" s="1"/>
  <c r="BQ613" i="7" s="1"/>
  <c r="AG488" i="7"/>
  <c r="AI488" i="7" s="1"/>
  <c r="AK488" i="7" s="1"/>
  <c r="AM488" i="7" s="1"/>
  <c r="AO488" i="7" s="1"/>
  <c r="AQ488" i="7" s="1"/>
  <c r="AS488" i="7" s="1"/>
  <c r="AU488" i="7" s="1"/>
  <c r="AW488" i="7" s="1"/>
  <c r="AY488" i="7" s="1"/>
  <c r="BA488" i="7" s="1"/>
  <c r="BC488" i="7" s="1"/>
  <c r="BE488" i="7" s="1"/>
  <c r="BG488" i="7" s="1"/>
  <c r="BI488" i="7" s="1"/>
  <c r="BK488" i="7" s="1"/>
  <c r="BM488" i="7" s="1"/>
  <c r="BO488" i="7" s="1"/>
  <c r="BQ488" i="7" s="1"/>
  <c r="J744" i="7"/>
  <c r="L744" i="7" s="1"/>
  <c r="F488" i="7"/>
  <c r="AE489" i="7" l="1"/>
  <c r="AG489" i="7" s="1"/>
  <c r="AI489" i="7" s="1"/>
  <c r="AK489" i="7" s="1"/>
  <c r="AM489" i="7" s="1"/>
  <c r="AO489" i="7" s="1"/>
  <c r="AQ489" i="7" s="1"/>
  <c r="AS489" i="7" s="1"/>
  <c r="AU489" i="7" s="1"/>
  <c r="AW489" i="7" s="1"/>
  <c r="AY489" i="7" s="1"/>
  <c r="BA489" i="7" s="1"/>
  <c r="BC489" i="7" s="1"/>
  <c r="BE489" i="7" s="1"/>
  <c r="BG489" i="7" s="1"/>
  <c r="BI489" i="7" s="1"/>
  <c r="BK489" i="7" s="1"/>
  <c r="BM489" i="7" s="1"/>
  <c r="BO489" i="7" s="1"/>
  <c r="BQ489" i="7" s="1"/>
  <c r="BE746" i="7"/>
  <c r="R744" i="7"/>
  <c r="T744" i="7"/>
  <c r="N744" i="7"/>
  <c r="P744" i="7"/>
  <c r="AK745" i="7"/>
  <c r="AM745" i="7" s="1"/>
  <c r="BC746" i="7"/>
  <c r="F746" i="7"/>
  <c r="F614" i="7"/>
  <c r="AD746" i="7"/>
  <c r="AB746" i="7"/>
  <c r="AE614" i="7"/>
  <c r="AG614" i="7" s="1"/>
  <c r="AI614" i="7" s="1"/>
  <c r="AK614" i="7" s="1"/>
  <c r="AM614" i="7" s="1"/>
  <c r="AO614" i="7" s="1"/>
  <c r="AQ614" i="7" s="1"/>
  <c r="AS614" i="7" s="1"/>
  <c r="AU614" i="7" s="1"/>
  <c r="AW614" i="7" s="1"/>
  <c r="AY614" i="7" s="1"/>
  <c r="BA614" i="7" s="1"/>
  <c r="BC614" i="7" s="1"/>
  <c r="BE614" i="7" s="1"/>
  <c r="BG614" i="7" s="1"/>
  <c r="BI614" i="7" s="1"/>
  <c r="BK614" i="7" s="1"/>
  <c r="BM614" i="7" s="1"/>
  <c r="BO614" i="7" s="1"/>
  <c r="BQ614" i="7" s="1"/>
  <c r="BE747" i="7"/>
  <c r="BL741" i="7"/>
  <c r="H609" i="7"/>
  <c r="H741" i="7"/>
  <c r="H484" i="7"/>
  <c r="AB497" i="7"/>
  <c r="J745" i="7"/>
  <c r="L745" i="7" s="1"/>
  <c r="F489" i="7"/>
  <c r="AE490" i="7"/>
  <c r="R745" i="7" l="1"/>
  <c r="T745" i="7"/>
  <c r="N745" i="7"/>
  <c r="P745" i="7"/>
  <c r="AK746" i="7"/>
  <c r="AM746" i="7" s="1"/>
  <c r="BL742" i="7"/>
  <c r="H610" i="7"/>
  <c r="H485" i="7"/>
  <c r="H742" i="7"/>
  <c r="AB498" i="7"/>
  <c r="AB747" i="7"/>
  <c r="AE615" i="7"/>
  <c r="BC747" i="7"/>
  <c r="F615" i="7"/>
  <c r="F747" i="7"/>
  <c r="AD747" i="7"/>
  <c r="AG615" i="7"/>
  <c r="AI615" i="7" s="1"/>
  <c r="AK615" i="7" s="1"/>
  <c r="AM615" i="7" s="1"/>
  <c r="AO615" i="7" s="1"/>
  <c r="AQ615" i="7" s="1"/>
  <c r="AS615" i="7" s="1"/>
  <c r="AU615" i="7" s="1"/>
  <c r="AW615" i="7" s="1"/>
  <c r="AY615" i="7" s="1"/>
  <c r="BA615" i="7" s="1"/>
  <c r="BC615" i="7" s="1"/>
  <c r="BE615" i="7" s="1"/>
  <c r="BG615" i="7" s="1"/>
  <c r="BI615" i="7" s="1"/>
  <c r="BK615" i="7" s="1"/>
  <c r="BM615" i="7" s="1"/>
  <c r="BO615" i="7" s="1"/>
  <c r="BQ615" i="7" s="1"/>
  <c r="AG490" i="7"/>
  <c r="AI490" i="7" s="1"/>
  <c r="AK490" i="7" s="1"/>
  <c r="AM490" i="7" s="1"/>
  <c r="AO490" i="7" s="1"/>
  <c r="AQ490" i="7" s="1"/>
  <c r="AS490" i="7" s="1"/>
  <c r="AU490" i="7" s="1"/>
  <c r="AW490" i="7" s="1"/>
  <c r="AY490" i="7" s="1"/>
  <c r="BA490" i="7" s="1"/>
  <c r="BC490" i="7" s="1"/>
  <c r="BE490" i="7" s="1"/>
  <c r="BG490" i="7" s="1"/>
  <c r="BI490" i="7" s="1"/>
  <c r="BK490" i="7" s="1"/>
  <c r="BM490" i="7" s="1"/>
  <c r="BO490" i="7" s="1"/>
  <c r="BQ490" i="7" s="1"/>
  <c r="J746" i="7"/>
  <c r="L746" i="7" s="1"/>
  <c r="F490" i="7"/>
  <c r="AE491" i="7" l="1"/>
  <c r="AG491" i="7" s="1"/>
  <c r="AI491" i="7" s="1"/>
  <c r="AK491" i="7" s="1"/>
  <c r="AM491" i="7" s="1"/>
  <c r="AO491" i="7" s="1"/>
  <c r="AQ491" i="7" s="1"/>
  <c r="AS491" i="7" s="1"/>
  <c r="AU491" i="7" s="1"/>
  <c r="AW491" i="7" s="1"/>
  <c r="AY491" i="7" s="1"/>
  <c r="BA491" i="7" s="1"/>
  <c r="BC491" i="7" s="1"/>
  <c r="BE491" i="7" s="1"/>
  <c r="BG491" i="7" s="1"/>
  <c r="BI491" i="7" s="1"/>
  <c r="BK491" i="7" s="1"/>
  <c r="BM491" i="7" s="1"/>
  <c r="BO491" i="7" s="1"/>
  <c r="BQ491" i="7" s="1"/>
  <c r="BE748" i="7"/>
  <c r="R746" i="7"/>
  <c r="T746" i="7"/>
  <c r="N746" i="7"/>
  <c r="P746" i="7"/>
  <c r="AK747" i="7"/>
  <c r="AM747" i="7" s="1"/>
  <c r="BC748" i="7"/>
  <c r="F616" i="7"/>
  <c r="F748" i="7"/>
  <c r="AD748" i="7"/>
  <c r="AB748" i="7"/>
  <c r="AE616" i="7"/>
  <c r="AG616" i="7" s="1"/>
  <c r="AI616" i="7" s="1"/>
  <c r="AK616" i="7" s="1"/>
  <c r="AM616" i="7" s="1"/>
  <c r="AO616" i="7" s="1"/>
  <c r="AQ616" i="7" s="1"/>
  <c r="AS616" i="7" s="1"/>
  <c r="AU616" i="7" s="1"/>
  <c r="AW616" i="7" s="1"/>
  <c r="AY616" i="7" s="1"/>
  <c r="BA616" i="7" s="1"/>
  <c r="BC616" i="7" s="1"/>
  <c r="BE616" i="7" s="1"/>
  <c r="BG616" i="7" s="1"/>
  <c r="BI616" i="7" s="1"/>
  <c r="BK616" i="7" s="1"/>
  <c r="BM616" i="7" s="1"/>
  <c r="BO616" i="7" s="1"/>
  <c r="BQ616" i="7" s="1"/>
  <c r="BE749" i="7"/>
  <c r="BL743" i="7"/>
  <c r="H611" i="7"/>
  <c r="H486" i="7"/>
  <c r="H743" i="7"/>
  <c r="AB499" i="7"/>
  <c r="J747" i="7"/>
  <c r="L747" i="7" s="1"/>
  <c r="F491" i="7"/>
  <c r="AE492" i="7"/>
  <c r="R747" i="7" l="1"/>
  <c r="T747" i="7"/>
  <c r="N747" i="7"/>
  <c r="P747" i="7"/>
  <c r="AK748" i="7"/>
  <c r="AM748" i="7" s="1"/>
  <c r="BL744" i="7"/>
  <c r="H744" i="7"/>
  <c r="AB500" i="7"/>
  <c r="H612" i="7"/>
  <c r="H487" i="7"/>
  <c r="AD749" i="7"/>
  <c r="F749" i="7"/>
  <c r="BC749" i="7"/>
  <c r="AB749" i="7"/>
  <c r="AE617" i="7"/>
  <c r="AG617" i="7" s="1"/>
  <c r="AI617" i="7" s="1"/>
  <c r="AK617" i="7" s="1"/>
  <c r="AM617" i="7" s="1"/>
  <c r="AO617" i="7" s="1"/>
  <c r="AQ617" i="7" s="1"/>
  <c r="AS617" i="7" s="1"/>
  <c r="AU617" i="7" s="1"/>
  <c r="AW617" i="7" s="1"/>
  <c r="AY617" i="7" s="1"/>
  <c r="BA617" i="7" s="1"/>
  <c r="BC617" i="7" s="1"/>
  <c r="BE617" i="7" s="1"/>
  <c r="BG617" i="7" s="1"/>
  <c r="BI617" i="7" s="1"/>
  <c r="BK617" i="7" s="1"/>
  <c r="BM617" i="7" s="1"/>
  <c r="BO617" i="7" s="1"/>
  <c r="BQ617" i="7" s="1"/>
  <c r="F617" i="7"/>
  <c r="AG492" i="7"/>
  <c r="AI492" i="7" s="1"/>
  <c r="AK492" i="7" s="1"/>
  <c r="AM492" i="7" s="1"/>
  <c r="AO492" i="7" s="1"/>
  <c r="AQ492" i="7" s="1"/>
  <c r="AS492" i="7" s="1"/>
  <c r="AU492" i="7" s="1"/>
  <c r="AW492" i="7" s="1"/>
  <c r="AY492" i="7" s="1"/>
  <c r="BA492" i="7" s="1"/>
  <c r="BC492" i="7" s="1"/>
  <c r="BE492" i="7" s="1"/>
  <c r="BG492" i="7" s="1"/>
  <c r="BI492" i="7" s="1"/>
  <c r="BK492" i="7" s="1"/>
  <c r="BM492" i="7" s="1"/>
  <c r="BO492" i="7" s="1"/>
  <c r="BQ492" i="7" s="1"/>
  <c r="J748" i="7"/>
  <c r="L748" i="7" s="1"/>
  <c r="F492" i="7"/>
  <c r="AE493" i="7" l="1"/>
  <c r="AG493" i="7" s="1"/>
  <c r="AI493" i="7" s="1"/>
  <c r="AK493" i="7" s="1"/>
  <c r="AM493" i="7" s="1"/>
  <c r="AO493" i="7" s="1"/>
  <c r="AQ493" i="7" s="1"/>
  <c r="AS493" i="7" s="1"/>
  <c r="AU493" i="7" s="1"/>
  <c r="AW493" i="7" s="1"/>
  <c r="AY493" i="7" s="1"/>
  <c r="BA493" i="7" s="1"/>
  <c r="BC493" i="7" s="1"/>
  <c r="BE493" i="7" s="1"/>
  <c r="BG493" i="7" s="1"/>
  <c r="BI493" i="7" s="1"/>
  <c r="BK493" i="7" s="1"/>
  <c r="BM493" i="7" s="1"/>
  <c r="BO493" i="7" s="1"/>
  <c r="BQ493" i="7" s="1"/>
  <c r="BE750" i="7"/>
  <c r="R748" i="7"/>
  <c r="T748" i="7"/>
  <c r="N748" i="7"/>
  <c r="P748" i="7"/>
  <c r="AK749" i="7"/>
  <c r="AM749" i="7" s="1"/>
  <c r="F618" i="7"/>
  <c r="AD750" i="7"/>
  <c r="F750" i="7"/>
  <c r="BC750" i="7"/>
  <c r="AB750" i="7"/>
  <c r="AE618" i="7"/>
  <c r="BL745" i="7"/>
  <c r="H745" i="7"/>
  <c r="H613" i="7"/>
  <c r="H488" i="7"/>
  <c r="AB501" i="7"/>
  <c r="J749" i="7"/>
  <c r="L749" i="7" s="1"/>
  <c r="F493" i="7"/>
  <c r="AG618" i="7" l="1"/>
  <c r="AI618" i="7" s="1"/>
  <c r="AK618" i="7" s="1"/>
  <c r="AM618" i="7" s="1"/>
  <c r="AO618" i="7" s="1"/>
  <c r="AQ618" i="7" s="1"/>
  <c r="AS618" i="7" s="1"/>
  <c r="AU618" i="7" s="1"/>
  <c r="AW618" i="7" s="1"/>
  <c r="AY618" i="7" s="1"/>
  <c r="BA618" i="7" s="1"/>
  <c r="BC618" i="7" s="1"/>
  <c r="BE618" i="7" s="1"/>
  <c r="BG618" i="7" s="1"/>
  <c r="BI618" i="7" s="1"/>
  <c r="BK618" i="7" s="1"/>
  <c r="BM618" i="7" s="1"/>
  <c r="BO618" i="7" s="1"/>
  <c r="BQ618" i="7" s="1"/>
  <c r="AE494" i="7"/>
  <c r="AG494" i="7" s="1"/>
  <c r="AI494" i="7" s="1"/>
  <c r="AK494" i="7" s="1"/>
  <c r="AM494" i="7" s="1"/>
  <c r="AO494" i="7" s="1"/>
  <c r="AQ494" i="7" s="1"/>
  <c r="AS494" i="7" s="1"/>
  <c r="AU494" i="7" s="1"/>
  <c r="AW494" i="7" s="1"/>
  <c r="AY494" i="7" s="1"/>
  <c r="BA494" i="7" s="1"/>
  <c r="BC494" i="7" s="1"/>
  <c r="BE494" i="7" s="1"/>
  <c r="BG494" i="7" s="1"/>
  <c r="BI494" i="7" s="1"/>
  <c r="BK494" i="7" s="1"/>
  <c r="BM494" i="7" s="1"/>
  <c r="BO494" i="7" s="1"/>
  <c r="BQ494" i="7" s="1"/>
  <c r="BE751" i="7"/>
  <c r="R749" i="7"/>
  <c r="T749" i="7"/>
  <c r="N749" i="7"/>
  <c r="P749" i="7"/>
  <c r="BL746" i="7"/>
  <c r="H746" i="7"/>
  <c r="H614" i="7"/>
  <c r="AB502" i="7"/>
  <c r="H489" i="7"/>
  <c r="F619" i="7"/>
  <c r="AD751" i="7"/>
  <c r="F751" i="7"/>
  <c r="BC751" i="7"/>
  <c r="AB751" i="7"/>
  <c r="AE619" i="7"/>
  <c r="AG619" i="7" s="1"/>
  <c r="AI619" i="7" s="1"/>
  <c r="AK619" i="7" s="1"/>
  <c r="AM619" i="7" s="1"/>
  <c r="AO619" i="7" s="1"/>
  <c r="AQ619" i="7" s="1"/>
  <c r="AS619" i="7" s="1"/>
  <c r="AU619" i="7" s="1"/>
  <c r="AW619" i="7" s="1"/>
  <c r="AY619" i="7" s="1"/>
  <c r="BA619" i="7" s="1"/>
  <c r="BC619" i="7" s="1"/>
  <c r="BE619" i="7" s="1"/>
  <c r="BG619" i="7" s="1"/>
  <c r="BI619" i="7" s="1"/>
  <c r="BK619" i="7" s="1"/>
  <c r="BM619" i="7" s="1"/>
  <c r="BO619" i="7" s="1"/>
  <c r="BQ619" i="7" s="1"/>
  <c r="BE752" i="7"/>
  <c r="J750" i="7"/>
  <c r="L750" i="7" s="1"/>
  <c r="F494" i="7"/>
  <c r="AE495" i="7"/>
  <c r="T750" i="7" l="1"/>
  <c r="R750" i="7"/>
  <c r="N750" i="7"/>
  <c r="P750" i="7"/>
  <c r="AK751" i="7"/>
  <c r="AM751" i="7" s="1"/>
  <c r="AK750" i="7"/>
  <c r="AM750" i="7" s="1"/>
  <c r="F620" i="7"/>
  <c r="F752" i="7"/>
  <c r="BC752" i="7"/>
  <c r="AD752" i="7"/>
  <c r="AB752" i="7"/>
  <c r="AE620" i="7"/>
  <c r="AG620" i="7" s="1"/>
  <c r="AI620" i="7" s="1"/>
  <c r="BL747" i="7"/>
  <c r="H490" i="7"/>
  <c r="H615" i="7"/>
  <c r="H747" i="7"/>
  <c r="AB503" i="7"/>
  <c r="AG495" i="7"/>
  <c r="AI495" i="7" s="1"/>
  <c r="AK495" i="7" s="1"/>
  <c r="AM495" i="7" s="1"/>
  <c r="AO495" i="7" s="1"/>
  <c r="AQ495" i="7" s="1"/>
  <c r="AS495" i="7" s="1"/>
  <c r="AU495" i="7" s="1"/>
  <c r="AW495" i="7" s="1"/>
  <c r="AY495" i="7" s="1"/>
  <c r="BA495" i="7" s="1"/>
  <c r="BC495" i="7" s="1"/>
  <c r="BE495" i="7" s="1"/>
  <c r="BG495" i="7" s="1"/>
  <c r="BI495" i="7" s="1"/>
  <c r="BK495" i="7" s="1"/>
  <c r="BM495" i="7" s="1"/>
  <c r="BO495" i="7" s="1"/>
  <c r="BQ495" i="7" s="1"/>
  <c r="J751" i="7"/>
  <c r="L751" i="7" s="1"/>
  <c r="F495" i="7"/>
  <c r="AE496" i="7" l="1"/>
  <c r="BE753" i="7"/>
  <c r="T751" i="7"/>
  <c r="R751" i="7"/>
  <c r="N751" i="7"/>
  <c r="P751" i="7"/>
  <c r="AK620" i="7"/>
  <c r="AM620" i="7" s="1"/>
  <c r="AO620" i="7" s="1"/>
  <c r="AQ620" i="7" s="1"/>
  <c r="AS620" i="7" s="1"/>
  <c r="AU620" i="7" s="1"/>
  <c r="AW620" i="7" s="1"/>
  <c r="AY620" i="7" s="1"/>
  <c r="BA620" i="7" s="1"/>
  <c r="BC620" i="7" s="1"/>
  <c r="BE620" i="7" s="1"/>
  <c r="BG620" i="7" s="1"/>
  <c r="BI620" i="7" s="1"/>
  <c r="BK620" i="7" s="1"/>
  <c r="BM620" i="7" s="1"/>
  <c r="BO620" i="7" s="1"/>
  <c r="BQ620" i="7" s="1"/>
  <c r="BL748" i="7"/>
  <c r="H491" i="7"/>
  <c r="AB504" i="7"/>
  <c r="H616" i="7"/>
  <c r="H748" i="7"/>
  <c r="F621" i="7"/>
  <c r="BC753" i="7"/>
  <c r="F753" i="7"/>
  <c r="AD753" i="7"/>
  <c r="AB753" i="7"/>
  <c r="AE621" i="7"/>
  <c r="AG621" i="7"/>
  <c r="AI621" i="7" s="1"/>
  <c r="AK621" i="7" s="1"/>
  <c r="AM621" i="7" s="1"/>
  <c r="AO621" i="7" s="1"/>
  <c r="AQ621" i="7" s="1"/>
  <c r="AS621" i="7" s="1"/>
  <c r="AU621" i="7" s="1"/>
  <c r="AW621" i="7" s="1"/>
  <c r="AY621" i="7" s="1"/>
  <c r="BA621" i="7" s="1"/>
  <c r="BC621" i="7" s="1"/>
  <c r="BE621" i="7" s="1"/>
  <c r="BG621" i="7" s="1"/>
  <c r="BI621" i="7" s="1"/>
  <c r="BK621" i="7" s="1"/>
  <c r="BM621" i="7" s="1"/>
  <c r="BO621" i="7" s="1"/>
  <c r="BQ621" i="7" s="1"/>
  <c r="AG496" i="7"/>
  <c r="AI496" i="7" s="1"/>
  <c r="AK496" i="7" s="1"/>
  <c r="AM496" i="7" s="1"/>
  <c r="AO496" i="7" s="1"/>
  <c r="AQ496" i="7" s="1"/>
  <c r="AS496" i="7" s="1"/>
  <c r="AU496" i="7" s="1"/>
  <c r="AW496" i="7" s="1"/>
  <c r="AY496" i="7" s="1"/>
  <c r="BA496" i="7" s="1"/>
  <c r="BC496" i="7" s="1"/>
  <c r="BE496" i="7" s="1"/>
  <c r="BG496" i="7" s="1"/>
  <c r="BI496" i="7" s="1"/>
  <c r="BK496" i="7" s="1"/>
  <c r="BM496" i="7" s="1"/>
  <c r="BO496" i="7" s="1"/>
  <c r="BQ496" i="7" s="1"/>
  <c r="J752" i="7"/>
  <c r="L752" i="7" s="1"/>
  <c r="F496" i="7"/>
  <c r="AE497" i="7" l="1"/>
  <c r="AG497" i="7" s="1"/>
  <c r="AI497" i="7" s="1"/>
  <c r="AK497" i="7" s="1"/>
  <c r="AM497" i="7" s="1"/>
  <c r="AO497" i="7" s="1"/>
  <c r="AQ497" i="7" s="1"/>
  <c r="AS497" i="7" s="1"/>
  <c r="AU497" i="7" s="1"/>
  <c r="AW497" i="7" s="1"/>
  <c r="AY497" i="7" s="1"/>
  <c r="BA497" i="7" s="1"/>
  <c r="BC497" i="7" s="1"/>
  <c r="BE497" i="7" s="1"/>
  <c r="BG497" i="7" s="1"/>
  <c r="BI497" i="7" s="1"/>
  <c r="BK497" i="7" s="1"/>
  <c r="BM497" i="7" s="1"/>
  <c r="BO497" i="7" s="1"/>
  <c r="BQ497" i="7" s="1"/>
  <c r="BE754" i="7"/>
  <c r="T752" i="7"/>
  <c r="R752" i="7"/>
  <c r="N752" i="7"/>
  <c r="P752" i="7"/>
  <c r="AK752" i="7"/>
  <c r="AM752" i="7" s="1"/>
  <c r="AK753" i="7"/>
  <c r="AM753" i="7" s="1"/>
  <c r="AE622" i="7"/>
  <c r="AG622" i="7" s="1"/>
  <c r="AI622" i="7" s="1"/>
  <c r="AK622" i="7" s="1"/>
  <c r="AM622" i="7" s="1"/>
  <c r="AO622" i="7" s="1"/>
  <c r="AQ622" i="7" s="1"/>
  <c r="AS622" i="7" s="1"/>
  <c r="AU622" i="7" s="1"/>
  <c r="AW622" i="7" s="1"/>
  <c r="AY622" i="7" s="1"/>
  <c r="BA622" i="7" s="1"/>
  <c r="BC622" i="7" s="1"/>
  <c r="BE622" i="7" s="1"/>
  <c r="BG622" i="7" s="1"/>
  <c r="BI622" i="7" s="1"/>
  <c r="BK622" i="7" s="1"/>
  <c r="BM622" i="7" s="1"/>
  <c r="BO622" i="7" s="1"/>
  <c r="BQ622" i="7" s="1"/>
  <c r="AD754" i="7"/>
  <c r="F622" i="7"/>
  <c r="BC754" i="7"/>
  <c r="F754" i="7"/>
  <c r="AB754" i="7"/>
  <c r="BE755" i="7"/>
  <c r="BL749" i="7"/>
  <c r="AB505" i="7"/>
  <c r="H617" i="7"/>
  <c r="H749" i="7"/>
  <c r="H492" i="7"/>
  <c r="J753" i="7"/>
  <c r="L753" i="7" s="1"/>
  <c r="F497" i="7"/>
  <c r="AE498" i="7"/>
  <c r="T753" i="7" l="1"/>
  <c r="R753" i="7"/>
  <c r="N753" i="7"/>
  <c r="P753" i="7"/>
  <c r="AK754" i="7"/>
  <c r="AM754" i="7" s="1"/>
  <c r="BL750" i="7"/>
  <c r="H493" i="7"/>
  <c r="H618" i="7"/>
  <c r="AB506" i="7"/>
  <c r="H750" i="7"/>
  <c r="AD755" i="7"/>
  <c r="BC755" i="7"/>
  <c r="F755" i="7"/>
  <c r="AB755" i="7"/>
  <c r="F623" i="7"/>
  <c r="AE623" i="7"/>
  <c r="AG623" i="7" s="1"/>
  <c r="AI623" i="7" s="1"/>
  <c r="AK623" i="7" s="1"/>
  <c r="AM623" i="7" s="1"/>
  <c r="AO623" i="7" s="1"/>
  <c r="AQ623" i="7" s="1"/>
  <c r="AS623" i="7" s="1"/>
  <c r="AU623" i="7" s="1"/>
  <c r="AW623" i="7" s="1"/>
  <c r="AY623" i="7" s="1"/>
  <c r="BA623" i="7" s="1"/>
  <c r="BC623" i="7" s="1"/>
  <c r="BE623" i="7" s="1"/>
  <c r="BG623" i="7" s="1"/>
  <c r="BI623" i="7" s="1"/>
  <c r="BK623" i="7" s="1"/>
  <c r="BM623" i="7" s="1"/>
  <c r="BO623" i="7" s="1"/>
  <c r="BQ623" i="7" s="1"/>
  <c r="AG498" i="7"/>
  <c r="AI498" i="7" s="1"/>
  <c r="AK498" i="7" s="1"/>
  <c r="AM498" i="7" s="1"/>
  <c r="AO498" i="7" s="1"/>
  <c r="AQ498" i="7" s="1"/>
  <c r="AS498" i="7" s="1"/>
  <c r="AU498" i="7" s="1"/>
  <c r="AW498" i="7" s="1"/>
  <c r="AY498" i="7" s="1"/>
  <c r="BA498" i="7" s="1"/>
  <c r="BC498" i="7" s="1"/>
  <c r="BE498" i="7" s="1"/>
  <c r="BG498" i="7" s="1"/>
  <c r="BI498" i="7" s="1"/>
  <c r="BK498" i="7" s="1"/>
  <c r="BM498" i="7" s="1"/>
  <c r="BO498" i="7" s="1"/>
  <c r="BQ498" i="7" s="1"/>
  <c r="J754" i="7"/>
  <c r="L754" i="7" s="1"/>
  <c r="F498" i="7"/>
  <c r="AE499" i="7" l="1"/>
  <c r="AG499" i="7" s="1"/>
  <c r="AI499" i="7" s="1"/>
  <c r="AK499" i="7" s="1"/>
  <c r="AM499" i="7" s="1"/>
  <c r="AO499" i="7" s="1"/>
  <c r="AQ499" i="7" s="1"/>
  <c r="AS499" i="7" s="1"/>
  <c r="AU499" i="7" s="1"/>
  <c r="AW499" i="7" s="1"/>
  <c r="AY499" i="7" s="1"/>
  <c r="BA499" i="7" s="1"/>
  <c r="BC499" i="7" s="1"/>
  <c r="BE499" i="7" s="1"/>
  <c r="BG499" i="7" s="1"/>
  <c r="BI499" i="7" s="1"/>
  <c r="BK499" i="7" s="1"/>
  <c r="BM499" i="7" s="1"/>
  <c r="BO499" i="7" s="1"/>
  <c r="BQ499" i="7" s="1"/>
  <c r="BE756" i="7"/>
  <c r="T754" i="7"/>
  <c r="R754" i="7"/>
  <c r="N754" i="7"/>
  <c r="P754" i="7"/>
  <c r="AK755" i="7"/>
  <c r="AM755" i="7" s="1"/>
  <c r="AD756" i="7"/>
  <c r="BC756" i="7"/>
  <c r="AB756" i="7"/>
  <c r="F624" i="7"/>
  <c r="F756" i="7"/>
  <c r="AE624" i="7"/>
  <c r="AG624" i="7" s="1"/>
  <c r="AI624" i="7" s="1"/>
  <c r="AK624" i="7" s="1"/>
  <c r="AM624" i="7" s="1"/>
  <c r="AO624" i="7" s="1"/>
  <c r="AQ624" i="7" s="1"/>
  <c r="AS624" i="7" s="1"/>
  <c r="AU624" i="7" s="1"/>
  <c r="AW624" i="7" s="1"/>
  <c r="AY624" i="7" s="1"/>
  <c r="BA624" i="7" s="1"/>
  <c r="BC624" i="7" s="1"/>
  <c r="BE624" i="7" s="1"/>
  <c r="BG624" i="7" s="1"/>
  <c r="BI624" i="7" s="1"/>
  <c r="BK624" i="7" s="1"/>
  <c r="BM624" i="7" s="1"/>
  <c r="BO624" i="7" s="1"/>
  <c r="BQ624" i="7" s="1"/>
  <c r="BL751" i="7"/>
  <c r="H494" i="7"/>
  <c r="H619" i="7"/>
  <c r="AB507" i="7"/>
  <c r="H751" i="7"/>
  <c r="J755" i="7"/>
  <c r="L755" i="7" s="1"/>
  <c r="F499" i="7"/>
  <c r="AE500" i="7" l="1"/>
  <c r="BE757" i="7"/>
  <c r="T755" i="7"/>
  <c r="R755" i="7"/>
  <c r="N755" i="7"/>
  <c r="P755" i="7"/>
  <c r="AK756" i="7"/>
  <c r="AM756" i="7" s="1"/>
  <c r="BL752" i="7"/>
  <c r="H620" i="7"/>
  <c r="H752" i="7"/>
  <c r="AB508" i="7"/>
  <c r="H495" i="7"/>
  <c r="AD757" i="7"/>
  <c r="BC757" i="7"/>
  <c r="AB757" i="7"/>
  <c r="F625" i="7"/>
  <c r="F757" i="7"/>
  <c r="AE625" i="7"/>
  <c r="AG625" i="7" s="1"/>
  <c r="AI625" i="7" s="1"/>
  <c r="AK625" i="7" s="1"/>
  <c r="AM625" i="7" s="1"/>
  <c r="AO625" i="7" s="1"/>
  <c r="AQ625" i="7" s="1"/>
  <c r="AS625" i="7" s="1"/>
  <c r="AU625" i="7" s="1"/>
  <c r="AW625" i="7" s="1"/>
  <c r="AY625" i="7" s="1"/>
  <c r="BA625" i="7" s="1"/>
  <c r="BC625" i="7" s="1"/>
  <c r="BE625" i="7" s="1"/>
  <c r="BG625" i="7" s="1"/>
  <c r="BI625" i="7" s="1"/>
  <c r="BK625" i="7" s="1"/>
  <c r="BM625" i="7" s="1"/>
  <c r="BO625" i="7" s="1"/>
  <c r="BQ625" i="7" s="1"/>
  <c r="AG500" i="7"/>
  <c r="AI500" i="7" s="1"/>
  <c r="AK500" i="7" s="1"/>
  <c r="AM500" i="7" s="1"/>
  <c r="AO500" i="7" s="1"/>
  <c r="AQ500" i="7" s="1"/>
  <c r="AS500" i="7" s="1"/>
  <c r="AU500" i="7" s="1"/>
  <c r="AW500" i="7" s="1"/>
  <c r="AY500" i="7" s="1"/>
  <c r="BA500" i="7" s="1"/>
  <c r="BC500" i="7" s="1"/>
  <c r="BE500" i="7" s="1"/>
  <c r="BG500" i="7" s="1"/>
  <c r="BI500" i="7" s="1"/>
  <c r="BK500" i="7" s="1"/>
  <c r="BM500" i="7" s="1"/>
  <c r="BO500" i="7" s="1"/>
  <c r="BQ500" i="7" s="1"/>
  <c r="J756" i="7"/>
  <c r="L756" i="7" s="1"/>
  <c r="F500" i="7"/>
  <c r="AE501" i="7" l="1"/>
  <c r="AG501" i="7" s="1"/>
  <c r="AI501" i="7" s="1"/>
  <c r="AK501" i="7" s="1"/>
  <c r="AM501" i="7" s="1"/>
  <c r="AO501" i="7" s="1"/>
  <c r="AQ501" i="7" s="1"/>
  <c r="AS501" i="7" s="1"/>
  <c r="AU501" i="7" s="1"/>
  <c r="AW501" i="7" s="1"/>
  <c r="AY501" i="7" s="1"/>
  <c r="BA501" i="7" s="1"/>
  <c r="BC501" i="7" s="1"/>
  <c r="BE501" i="7" s="1"/>
  <c r="BG501" i="7" s="1"/>
  <c r="BI501" i="7" s="1"/>
  <c r="BK501" i="7" s="1"/>
  <c r="BM501" i="7" s="1"/>
  <c r="BO501" i="7" s="1"/>
  <c r="BQ501" i="7" s="1"/>
  <c r="BE758" i="7"/>
  <c r="T756" i="7"/>
  <c r="R756" i="7"/>
  <c r="N756" i="7"/>
  <c r="P756" i="7"/>
  <c r="AK757" i="7"/>
  <c r="AM757" i="7" s="1"/>
  <c r="BC758" i="7"/>
  <c r="F626" i="7"/>
  <c r="F758" i="7"/>
  <c r="AE626" i="7"/>
  <c r="AG626" i="7" s="1"/>
  <c r="AI626" i="7" s="1"/>
  <c r="AK626" i="7" s="1"/>
  <c r="AM626" i="7" s="1"/>
  <c r="AO626" i="7" s="1"/>
  <c r="AQ626" i="7" s="1"/>
  <c r="AS626" i="7" s="1"/>
  <c r="AU626" i="7" s="1"/>
  <c r="AW626" i="7" s="1"/>
  <c r="AY626" i="7" s="1"/>
  <c r="BA626" i="7" s="1"/>
  <c r="BC626" i="7" s="1"/>
  <c r="BE626" i="7" s="1"/>
  <c r="BG626" i="7" s="1"/>
  <c r="BI626" i="7" s="1"/>
  <c r="BK626" i="7" s="1"/>
  <c r="BM626" i="7" s="1"/>
  <c r="BO626" i="7" s="1"/>
  <c r="BQ626" i="7" s="1"/>
  <c r="AB758" i="7"/>
  <c r="AD758" i="7"/>
  <c r="BE759" i="7"/>
  <c r="BL753" i="7"/>
  <c r="H496" i="7"/>
  <c r="H621" i="7"/>
  <c r="H753" i="7"/>
  <c r="AB509" i="7"/>
  <c r="J757" i="7"/>
  <c r="L757" i="7" s="1"/>
  <c r="F501" i="7"/>
  <c r="AE502" i="7"/>
  <c r="T757" i="7" l="1"/>
  <c r="R757" i="7"/>
  <c r="N757" i="7"/>
  <c r="P757" i="7"/>
  <c r="AK758" i="7"/>
  <c r="AM758" i="7" s="1"/>
  <c r="BL754" i="7"/>
  <c r="H622" i="7"/>
  <c r="H754" i="7"/>
  <c r="H497" i="7"/>
  <c r="AB510" i="7"/>
  <c r="AD759" i="7"/>
  <c r="F627" i="7"/>
  <c r="F759" i="7"/>
  <c r="AE627" i="7"/>
  <c r="AG627" i="7" s="1"/>
  <c r="AI627" i="7" s="1"/>
  <c r="AK627" i="7" s="1"/>
  <c r="AM627" i="7" s="1"/>
  <c r="AO627" i="7" s="1"/>
  <c r="AQ627" i="7" s="1"/>
  <c r="AS627" i="7" s="1"/>
  <c r="AU627" i="7" s="1"/>
  <c r="AW627" i="7" s="1"/>
  <c r="AY627" i="7" s="1"/>
  <c r="BA627" i="7" s="1"/>
  <c r="BC627" i="7" s="1"/>
  <c r="BE627" i="7" s="1"/>
  <c r="BG627" i="7" s="1"/>
  <c r="BI627" i="7" s="1"/>
  <c r="BK627" i="7" s="1"/>
  <c r="BM627" i="7" s="1"/>
  <c r="BO627" i="7" s="1"/>
  <c r="BQ627" i="7" s="1"/>
  <c r="AB759" i="7"/>
  <c r="BC759" i="7"/>
  <c r="AG502" i="7"/>
  <c r="AI502" i="7" s="1"/>
  <c r="AK502" i="7" s="1"/>
  <c r="AM502" i="7" s="1"/>
  <c r="AO502" i="7" s="1"/>
  <c r="AQ502" i="7" s="1"/>
  <c r="AS502" i="7" s="1"/>
  <c r="AU502" i="7" s="1"/>
  <c r="AW502" i="7" s="1"/>
  <c r="AY502" i="7" s="1"/>
  <c r="BA502" i="7" s="1"/>
  <c r="BC502" i="7" s="1"/>
  <c r="BE502" i="7" s="1"/>
  <c r="BG502" i="7" s="1"/>
  <c r="BI502" i="7" s="1"/>
  <c r="BK502" i="7" s="1"/>
  <c r="BM502" i="7" s="1"/>
  <c r="BO502" i="7" s="1"/>
  <c r="BQ502" i="7" s="1"/>
  <c r="J758" i="7"/>
  <c r="L758" i="7" s="1"/>
  <c r="F502" i="7"/>
  <c r="AE503" i="7" l="1"/>
  <c r="AG503" i="7" s="1"/>
  <c r="AI503" i="7" s="1"/>
  <c r="AK503" i="7" s="1"/>
  <c r="AM503" i="7" s="1"/>
  <c r="AO503" i="7" s="1"/>
  <c r="AQ503" i="7" s="1"/>
  <c r="AS503" i="7" s="1"/>
  <c r="AU503" i="7" s="1"/>
  <c r="AW503" i="7" s="1"/>
  <c r="AY503" i="7" s="1"/>
  <c r="BA503" i="7" s="1"/>
  <c r="BC503" i="7" s="1"/>
  <c r="BE503" i="7" s="1"/>
  <c r="BG503" i="7" s="1"/>
  <c r="BI503" i="7" s="1"/>
  <c r="BK503" i="7" s="1"/>
  <c r="BM503" i="7" s="1"/>
  <c r="BO503" i="7" s="1"/>
  <c r="BQ503" i="7" s="1"/>
  <c r="BE760" i="7"/>
  <c r="T758" i="7"/>
  <c r="R758" i="7"/>
  <c r="N758" i="7"/>
  <c r="P758" i="7"/>
  <c r="AK759" i="7"/>
  <c r="AM759" i="7" s="1"/>
  <c r="F628" i="7"/>
  <c r="AD760" i="7"/>
  <c r="BC760" i="7"/>
  <c r="F760" i="7"/>
  <c r="AB760" i="7"/>
  <c r="AE628" i="7"/>
  <c r="AG628" i="7" s="1"/>
  <c r="AI628" i="7" s="1"/>
  <c r="AK628" i="7" s="1"/>
  <c r="AM628" i="7" s="1"/>
  <c r="AO628" i="7" s="1"/>
  <c r="AQ628" i="7" s="1"/>
  <c r="AS628" i="7" s="1"/>
  <c r="AU628" i="7" s="1"/>
  <c r="AW628" i="7" s="1"/>
  <c r="AY628" i="7" s="1"/>
  <c r="BA628" i="7" s="1"/>
  <c r="BC628" i="7" s="1"/>
  <c r="BE628" i="7" s="1"/>
  <c r="BG628" i="7" s="1"/>
  <c r="BI628" i="7" s="1"/>
  <c r="BK628" i="7" s="1"/>
  <c r="BM628" i="7" s="1"/>
  <c r="BO628" i="7" s="1"/>
  <c r="BQ628" i="7" s="1"/>
  <c r="BE761" i="7"/>
  <c r="BL755" i="7"/>
  <c r="H623" i="7"/>
  <c r="H755" i="7"/>
  <c r="AB511" i="7"/>
  <c r="H498" i="7"/>
  <c r="J759" i="7"/>
  <c r="L759" i="7" s="1"/>
  <c r="F503" i="7"/>
  <c r="AE504" i="7"/>
  <c r="T759" i="7" l="1"/>
  <c r="R759" i="7"/>
  <c r="N759" i="7"/>
  <c r="P759" i="7"/>
  <c r="AK760" i="7"/>
  <c r="AM760" i="7" s="1"/>
  <c r="BL756" i="7"/>
  <c r="H624" i="7"/>
  <c r="AB512" i="7"/>
  <c r="H756" i="7"/>
  <c r="H499" i="7"/>
  <c r="F761" i="7"/>
  <c r="F629" i="7"/>
  <c r="AE629" i="7"/>
  <c r="AG629" i="7" s="1"/>
  <c r="AI629" i="7" s="1"/>
  <c r="AK629" i="7" s="1"/>
  <c r="AM629" i="7" s="1"/>
  <c r="AO629" i="7" s="1"/>
  <c r="AQ629" i="7" s="1"/>
  <c r="AS629" i="7" s="1"/>
  <c r="AU629" i="7" s="1"/>
  <c r="AW629" i="7" s="1"/>
  <c r="AY629" i="7" s="1"/>
  <c r="BA629" i="7" s="1"/>
  <c r="BC629" i="7" s="1"/>
  <c r="BE629" i="7" s="1"/>
  <c r="BG629" i="7" s="1"/>
  <c r="BI629" i="7" s="1"/>
  <c r="BK629" i="7" s="1"/>
  <c r="BM629" i="7" s="1"/>
  <c r="BO629" i="7" s="1"/>
  <c r="BQ629" i="7" s="1"/>
  <c r="AD761" i="7"/>
  <c r="AB761" i="7"/>
  <c r="BC761" i="7"/>
  <c r="J760" i="7"/>
  <c r="L760" i="7" s="1"/>
  <c r="AG504" i="7"/>
  <c r="AI504" i="7" s="1"/>
  <c r="AK504" i="7" s="1"/>
  <c r="AM504" i="7" s="1"/>
  <c r="AO504" i="7" s="1"/>
  <c r="AQ504" i="7" s="1"/>
  <c r="AS504" i="7" s="1"/>
  <c r="AU504" i="7" s="1"/>
  <c r="AW504" i="7" s="1"/>
  <c r="AY504" i="7" s="1"/>
  <c r="BA504" i="7" s="1"/>
  <c r="BC504" i="7" s="1"/>
  <c r="BE504" i="7" s="1"/>
  <c r="BG504" i="7" s="1"/>
  <c r="BI504" i="7" s="1"/>
  <c r="BK504" i="7" s="1"/>
  <c r="BM504" i="7" s="1"/>
  <c r="BO504" i="7" s="1"/>
  <c r="BQ504" i="7" s="1"/>
  <c r="F504" i="7"/>
  <c r="AE505" i="7" l="1"/>
  <c r="AG505" i="7" s="1"/>
  <c r="AI505" i="7" s="1"/>
  <c r="AK505" i="7" s="1"/>
  <c r="AM505" i="7" s="1"/>
  <c r="AO505" i="7" s="1"/>
  <c r="AQ505" i="7" s="1"/>
  <c r="AS505" i="7" s="1"/>
  <c r="AU505" i="7" s="1"/>
  <c r="AW505" i="7" s="1"/>
  <c r="AY505" i="7" s="1"/>
  <c r="BA505" i="7" s="1"/>
  <c r="BC505" i="7" s="1"/>
  <c r="BE505" i="7" s="1"/>
  <c r="BG505" i="7" s="1"/>
  <c r="BI505" i="7" s="1"/>
  <c r="BK505" i="7" s="1"/>
  <c r="BM505" i="7" s="1"/>
  <c r="BO505" i="7" s="1"/>
  <c r="BQ505" i="7" s="1"/>
  <c r="BE762" i="7"/>
  <c r="T760" i="7"/>
  <c r="R760" i="7"/>
  <c r="N760" i="7"/>
  <c r="P760" i="7"/>
  <c r="AK761" i="7"/>
  <c r="AM761" i="7" s="1"/>
  <c r="AE630" i="7"/>
  <c r="AG630" i="7" s="1"/>
  <c r="AI630" i="7" s="1"/>
  <c r="AK630" i="7" s="1"/>
  <c r="AM630" i="7" s="1"/>
  <c r="AO630" i="7" s="1"/>
  <c r="AQ630" i="7" s="1"/>
  <c r="AS630" i="7" s="1"/>
  <c r="AU630" i="7" s="1"/>
  <c r="AW630" i="7" s="1"/>
  <c r="AY630" i="7" s="1"/>
  <c r="BA630" i="7" s="1"/>
  <c r="BC630" i="7" s="1"/>
  <c r="BE630" i="7" s="1"/>
  <c r="BG630" i="7" s="1"/>
  <c r="BI630" i="7" s="1"/>
  <c r="BK630" i="7" s="1"/>
  <c r="BM630" i="7" s="1"/>
  <c r="BO630" i="7" s="1"/>
  <c r="BQ630" i="7" s="1"/>
  <c r="AB762" i="7"/>
  <c r="BC762" i="7"/>
  <c r="F630" i="7"/>
  <c r="F762" i="7"/>
  <c r="AD762" i="7"/>
  <c r="BE763" i="7"/>
  <c r="BL757" i="7"/>
  <c r="AB513" i="7"/>
  <c r="H625" i="7"/>
  <c r="H757" i="7"/>
  <c r="H500" i="7"/>
  <c r="J761" i="7"/>
  <c r="L761" i="7" s="1"/>
  <c r="F505" i="7"/>
  <c r="AE506" i="7" l="1"/>
  <c r="T761" i="7"/>
  <c r="R761" i="7"/>
  <c r="N761" i="7"/>
  <c r="P761" i="7"/>
  <c r="AK762" i="7"/>
  <c r="AM762" i="7" s="1"/>
  <c r="BL758" i="7"/>
  <c r="H758" i="7"/>
  <c r="AB514" i="7"/>
  <c r="H626" i="7"/>
  <c r="H501" i="7"/>
  <c r="AE631" i="7"/>
  <c r="AG631" i="7" s="1"/>
  <c r="AI631" i="7" s="1"/>
  <c r="AK631" i="7" s="1"/>
  <c r="AM631" i="7" s="1"/>
  <c r="AO631" i="7" s="1"/>
  <c r="AQ631" i="7" s="1"/>
  <c r="AS631" i="7" s="1"/>
  <c r="AU631" i="7" s="1"/>
  <c r="AW631" i="7" s="1"/>
  <c r="AY631" i="7" s="1"/>
  <c r="BA631" i="7" s="1"/>
  <c r="BC631" i="7" s="1"/>
  <c r="BE631" i="7" s="1"/>
  <c r="BG631" i="7" s="1"/>
  <c r="BI631" i="7" s="1"/>
  <c r="BK631" i="7" s="1"/>
  <c r="BM631" i="7" s="1"/>
  <c r="BO631" i="7" s="1"/>
  <c r="BQ631" i="7" s="1"/>
  <c r="BC763" i="7"/>
  <c r="F631" i="7"/>
  <c r="AB763" i="7"/>
  <c r="AD763" i="7"/>
  <c r="F763" i="7"/>
  <c r="J762" i="7"/>
  <c r="L762" i="7" s="1"/>
  <c r="AG506" i="7"/>
  <c r="AI506" i="7" s="1"/>
  <c r="AK506" i="7" s="1"/>
  <c r="AM506" i="7" s="1"/>
  <c r="AO506" i="7" s="1"/>
  <c r="AQ506" i="7" s="1"/>
  <c r="AS506" i="7" s="1"/>
  <c r="AU506" i="7" s="1"/>
  <c r="AW506" i="7" s="1"/>
  <c r="AY506" i="7" s="1"/>
  <c r="BA506" i="7" s="1"/>
  <c r="BC506" i="7" s="1"/>
  <c r="BE506" i="7" s="1"/>
  <c r="BG506" i="7" s="1"/>
  <c r="BI506" i="7" s="1"/>
  <c r="BK506" i="7" s="1"/>
  <c r="BM506" i="7" s="1"/>
  <c r="BO506" i="7" s="1"/>
  <c r="BQ506" i="7" s="1"/>
  <c r="F506" i="7"/>
  <c r="AE507" i="7" l="1"/>
  <c r="BE764" i="7"/>
  <c r="T762" i="7"/>
  <c r="R762" i="7"/>
  <c r="N762" i="7"/>
  <c r="P762" i="7"/>
  <c r="AK763" i="7"/>
  <c r="AM763" i="7" s="1"/>
  <c r="BC764" i="7"/>
  <c r="AE632" i="7"/>
  <c r="AG632" i="7" s="1"/>
  <c r="AI632" i="7" s="1"/>
  <c r="AK632" i="7" s="1"/>
  <c r="AM632" i="7" s="1"/>
  <c r="AO632" i="7" s="1"/>
  <c r="AQ632" i="7" s="1"/>
  <c r="AS632" i="7" s="1"/>
  <c r="AU632" i="7" s="1"/>
  <c r="AW632" i="7" s="1"/>
  <c r="AY632" i="7" s="1"/>
  <c r="BA632" i="7" s="1"/>
  <c r="BC632" i="7" s="1"/>
  <c r="BE632" i="7" s="1"/>
  <c r="BG632" i="7" s="1"/>
  <c r="BI632" i="7" s="1"/>
  <c r="BK632" i="7" s="1"/>
  <c r="BM632" i="7" s="1"/>
  <c r="BO632" i="7" s="1"/>
  <c r="BQ632" i="7" s="1"/>
  <c r="AB764" i="7"/>
  <c r="AD764" i="7"/>
  <c r="F764" i="7"/>
  <c r="F632" i="7"/>
  <c r="BE765" i="7"/>
  <c r="BL759" i="7"/>
  <c r="H759" i="7"/>
  <c r="AB515" i="7"/>
  <c r="H627" i="7"/>
  <c r="H502" i="7"/>
  <c r="J763" i="7"/>
  <c r="L763" i="7" s="1"/>
  <c r="AG507" i="7"/>
  <c r="AI507" i="7" s="1"/>
  <c r="AK507" i="7" s="1"/>
  <c r="AM507" i="7" s="1"/>
  <c r="AO507" i="7" s="1"/>
  <c r="AQ507" i="7" s="1"/>
  <c r="AS507" i="7" s="1"/>
  <c r="AU507" i="7" s="1"/>
  <c r="AW507" i="7" s="1"/>
  <c r="AY507" i="7" s="1"/>
  <c r="BA507" i="7" s="1"/>
  <c r="BC507" i="7" s="1"/>
  <c r="BE507" i="7" s="1"/>
  <c r="BG507" i="7" s="1"/>
  <c r="BI507" i="7" s="1"/>
  <c r="BK507" i="7" s="1"/>
  <c r="BM507" i="7" s="1"/>
  <c r="BO507" i="7" s="1"/>
  <c r="BQ507" i="7" s="1"/>
  <c r="F507" i="7"/>
  <c r="AE508" i="7"/>
  <c r="R763" i="7" l="1"/>
  <c r="T763" i="7"/>
  <c r="N763" i="7"/>
  <c r="P763" i="7"/>
  <c r="AK764" i="7"/>
  <c r="AM764" i="7" s="1"/>
  <c r="BL760" i="7"/>
  <c r="AB516" i="7"/>
  <c r="H760" i="7"/>
  <c r="H628" i="7"/>
  <c r="H503" i="7"/>
  <c r="AB765" i="7"/>
  <c r="F765" i="7"/>
  <c r="BC765" i="7"/>
  <c r="F633" i="7"/>
  <c r="AD765" i="7"/>
  <c r="AE633" i="7"/>
  <c r="AG633" i="7" s="1"/>
  <c r="AI633" i="7" s="1"/>
  <c r="AK633" i="7" s="1"/>
  <c r="AM633" i="7" s="1"/>
  <c r="AO633" i="7" s="1"/>
  <c r="AQ633" i="7" s="1"/>
  <c r="AS633" i="7" s="1"/>
  <c r="AU633" i="7" s="1"/>
  <c r="AW633" i="7" s="1"/>
  <c r="AY633" i="7" s="1"/>
  <c r="BA633" i="7" s="1"/>
  <c r="BC633" i="7" s="1"/>
  <c r="BE633" i="7" s="1"/>
  <c r="BG633" i="7" s="1"/>
  <c r="BI633" i="7" s="1"/>
  <c r="BK633" i="7" s="1"/>
  <c r="BM633" i="7" s="1"/>
  <c r="BO633" i="7" s="1"/>
  <c r="BQ633" i="7" s="1"/>
  <c r="J764" i="7"/>
  <c r="L764" i="7" s="1"/>
  <c r="AG508" i="7"/>
  <c r="AI508" i="7" s="1"/>
  <c r="AK508" i="7" s="1"/>
  <c r="AM508" i="7" s="1"/>
  <c r="AO508" i="7" s="1"/>
  <c r="AQ508" i="7" s="1"/>
  <c r="AS508" i="7" s="1"/>
  <c r="AU508" i="7" s="1"/>
  <c r="AW508" i="7" s="1"/>
  <c r="AY508" i="7" s="1"/>
  <c r="BA508" i="7" s="1"/>
  <c r="BC508" i="7" s="1"/>
  <c r="BE508" i="7" s="1"/>
  <c r="BG508" i="7" s="1"/>
  <c r="BI508" i="7" s="1"/>
  <c r="BK508" i="7" s="1"/>
  <c r="BM508" i="7" s="1"/>
  <c r="BO508" i="7" s="1"/>
  <c r="BQ508" i="7" s="1"/>
  <c r="F508" i="7"/>
  <c r="AE509" i="7" l="1"/>
  <c r="AG509" i="7" s="1"/>
  <c r="AI509" i="7" s="1"/>
  <c r="AK509" i="7" s="1"/>
  <c r="AM509" i="7" s="1"/>
  <c r="AO509" i="7" s="1"/>
  <c r="AQ509" i="7" s="1"/>
  <c r="AS509" i="7" s="1"/>
  <c r="AU509" i="7" s="1"/>
  <c r="AW509" i="7" s="1"/>
  <c r="AY509" i="7" s="1"/>
  <c r="BA509" i="7" s="1"/>
  <c r="BC509" i="7" s="1"/>
  <c r="BE509" i="7" s="1"/>
  <c r="BG509" i="7" s="1"/>
  <c r="BI509" i="7" s="1"/>
  <c r="BK509" i="7" s="1"/>
  <c r="BM509" i="7" s="1"/>
  <c r="BO509" i="7" s="1"/>
  <c r="BQ509" i="7" s="1"/>
  <c r="BE766" i="7"/>
  <c r="T764" i="7"/>
  <c r="R764" i="7"/>
  <c r="N764" i="7"/>
  <c r="P764" i="7"/>
  <c r="AK765" i="7"/>
  <c r="AM765" i="7" s="1"/>
  <c r="AD766" i="7"/>
  <c r="AB766" i="7"/>
  <c r="F634" i="7"/>
  <c r="BC766" i="7"/>
  <c r="F766" i="7"/>
  <c r="AE634" i="7"/>
  <c r="AG634" i="7" s="1"/>
  <c r="AI634" i="7" s="1"/>
  <c r="BE767" i="7"/>
  <c r="BL761" i="7"/>
  <c r="H761" i="7"/>
  <c r="H629" i="7"/>
  <c r="H504" i="7"/>
  <c r="J765" i="7"/>
  <c r="L765" i="7" s="1"/>
  <c r="F509" i="7"/>
  <c r="AE510" i="7"/>
  <c r="T765" i="7" l="1"/>
  <c r="R765" i="7"/>
  <c r="N765" i="7"/>
  <c r="P765" i="7"/>
  <c r="AK634" i="7"/>
  <c r="AM634" i="7" s="1"/>
  <c r="AO634" i="7" s="1"/>
  <c r="AQ634" i="7" s="1"/>
  <c r="AS634" i="7" s="1"/>
  <c r="AU634" i="7" s="1"/>
  <c r="AW634" i="7" s="1"/>
  <c r="AY634" i="7" s="1"/>
  <c r="BA634" i="7" s="1"/>
  <c r="BC634" i="7" s="1"/>
  <c r="BE634" i="7" s="1"/>
  <c r="BG634" i="7" s="1"/>
  <c r="BI634" i="7" s="1"/>
  <c r="BK634" i="7" s="1"/>
  <c r="BM634" i="7" s="1"/>
  <c r="BO634" i="7" s="1"/>
  <c r="BQ634" i="7" s="1"/>
  <c r="BL762" i="7"/>
  <c r="H762" i="7"/>
  <c r="H630" i="7"/>
  <c r="H505" i="7"/>
  <c r="F635" i="7"/>
  <c r="AD767" i="7"/>
  <c r="AE635" i="7"/>
  <c r="AG635" i="7" s="1"/>
  <c r="AI635" i="7" s="1"/>
  <c r="AK635" i="7" s="1"/>
  <c r="AM635" i="7" s="1"/>
  <c r="AO635" i="7" s="1"/>
  <c r="AQ635" i="7" s="1"/>
  <c r="AS635" i="7" s="1"/>
  <c r="AU635" i="7" s="1"/>
  <c r="AW635" i="7" s="1"/>
  <c r="AY635" i="7" s="1"/>
  <c r="BA635" i="7" s="1"/>
  <c r="BC635" i="7" s="1"/>
  <c r="BE635" i="7" s="1"/>
  <c r="BG635" i="7" s="1"/>
  <c r="BI635" i="7" s="1"/>
  <c r="BK635" i="7" s="1"/>
  <c r="BM635" i="7" s="1"/>
  <c r="BO635" i="7" s="1"/>
  <c r="BQ635" i="7" s="1"/>
  <c r="AB767" i="7"/>
  <c r="BC767" i="7"/>
  <c r="F767" i="7"/>
  <c r="BE768" i="7"/>
  <c r="J766" i="7"/>
  <c r="L766" i="7" s="1"/>
  <c r="AG510" i="7"/>
  <c r="AI510" i="7" s="1"/>
  <c r="AK510" i="7" s="1"/>
  <c r="AM510" i="7" s="1"/>
  <c r="AO510" i="7" s="1"/>
  <c r="AQ510" i="7" s="1"/>
  <c r="AS510" i="7" s="1"/>
  <c r="AU510" i="7" s="1"/>
  <c r="AW510" i="7" s="1"/>
  <c r="AY510" i="7" s="1"/>
  <c r="BA510" i="7" s="1"/>
  <c r="BC510" i="7" s="1"/>
  <c r="BE510" i="7" s="1"/>
  <c r="BG510" i="7" s="1"/>
  <c r="BI510" i="7" s="1"/>
  <c r="BK510" i="7" s="1"/>
  <c r="BM510" i="7" s="1"/>
  <c r="BO510" i="7" s="1"/>
  <c r="BQ510" i="7" s="1"/>
  <c r="F510" i="7"/>
  <c r="T766" i="7" l="1"/>
  <c r="R766" i="7"/>
  <c r="N766" i="7"/>
  <c r="P766" i="7"/>
  <c r="AE511" i="7"/>
  <c r="AG511" i="7" s="1"/>
  <c r="AI511" i="7" s="1"/>
  <c r="AK511" i="7" s="1"/>
  <c r="AM511" i="7" s="1"/>
  <c r="AO511" i="7" s="1"/>
  <c r="AQ511" i="7" s="1"/>
  <c r="AS511" i="7" s="1"/>
  <c r="AU511" i="7" s="1"/>
  <c r="AW511" i="7" s="1"/>
  <c r="AY511" i="7" s="1"/>
  <c r="BA511" i="7" s="1"/>
  <c r="BC511" i="7" s="1"/>
  <c r="BE511" i="7" s="1"/>
  <c r="BG511" i="7" s="1"/>
  <c r="BI511" i="7" s="1"/>
  <c r="BK511" i="7" s="1"/>
  <c r="BM511" i="7" s="1"/>
  <c r="BO511" i="7" s="1"/>
  <c r="BQ511" i="7" s="1"/>
  <c r="BL763" i="7"/>
  <c r="H763" i="7"/>
  <c r="H631" i="7"/>
  <c r="H506" i="7"/>
  <c r="AK766" i="7"/>
  <c r="AM766" i="7" s="1"/>
  <c r="F768" i="7"/>
  <c r="AD768" i="7"/>
  <c r="BC768" i="7"/>
  <c r="AB768" i="7"/>
  <c r="F636" i="7"/>
  <c r="AE636" i="7"/>
  <c r="AG636" i="7" s="1"/>
  <c r="AI636" i="7" s="1"/>
  <c r="AK636" i="7" s="1"/>
  <c r="AM636" i="7" s="1"/>
  <c r="AO636" i="7" s="1"/>
  <c r="AQ636" i="7" s="1"/>
  <c r="AS636" i="7" s="1"/>
  <c r="AU636" i="7" s="1"/>
  <c r="AW636" i="7" s="1"/>
  <c r="AY636" i="7" s="1"/>
  <c r="BA636" i="7" s="1"/>
  <c r="BC636" i="7" s="1"/>
  <c r="BE636" i="7" s="1"/>
  <c r="BG636" i="7" s="1"/>
  <c r="BI636" i="7" s="1"/>
  <c r="BK636" i="7" s="1"/>
  <c r="BM636" i="7" s="1"/>
  <c r="BO636" i="7" s="1"/>
  <c r="BQ636" i="7" s="1"/>
  <c r="BE769" i="7"/>
  <c r="AK767" i="7"/>
  <c r="AM767" i="7" s="1"/>
  <c r="J767" i="7"/>
  <c r="L767" i="7" s="1"/>
  <c r="F511" i="7"/>
  <c r="R767" i="7" l="1"/>
  <c r="T767" i="7"/>
  <c r="N767" i="7"/>
  <c r="P767" i="7"/>
  <c r="AE637" i="7"/>
  <c r="AG637" i="7" s="1"/>
  <c r="AI637" i="7" s="1"/>
  <c r="AK637" i="7" s="1"/>
  <c r="AM637" i="7" s="1"/>
  <c r="AO637" i="7" s="1"/>
  <c r="AQ637" i="7" s="1"/>
  <c r="AS637" i="7" s="1"/>
  <c r="AU637" i="7" s="1"/>
  <c r="AW637" i="7" s="1"/>
  <c r="AY637" i="7" s="1"/>
  <c r="BA637" i="7" s="1"/>
  <c r="BC637" i="7" s="1"/>
  <c r="BE637" i="7" s="1"/>
  <c r="BG637" i="7" s="1"/>
  <c r="BI637" i="7" s="1"/>
  <c r="BK637" i="7" s="1"/>
  <c r="BM637" i="7" s="1"/>
  <c r="BO637" i="7" s="1"/>
  <c r="BQ637" i="7" s="1"/>
  <c r="BC769" i="7"/>
  <c r="F769" i="7"/>
  <c r="F637" i="7"/>
  <c r="AB769" i="7"/>
  <c r="AD769" i="7"/>
  <c r="BE770" i="7"/>
  <c r="AK768" i="7"/>
  <c r="AM768" i="7" s="1"/>
  <c r="BL764" i="7"/>
  <c r="H507" i="7"/>
  <c r="H764" i="7"/>
  <c r="H632" i="7"/>
  <c r="AE512" i="7"/>
  <c r="AG512" i="7" s="1"/>
  <c r="AI512" i="7" s="1"/>
  <c r="AK512" i="7" s="1"/>
  <c r="AM512" i="7" s="1"/>
  <c r="AO512" i="7" s="1"/>
  <c r="AQ512" i="7" s="1"/>
  <c r="AS512" i="7" s="1"/>
  <c r="AU512" i="7" s="1"/>
  <c r="AW512" i="7" s="1"/>
  <c r="AY512" i="7" s="1"/>
  <c r="BA512" i="7" s="1"/>
  <c r="BC512" i="7" s="1"/>
  <c r="BE512" i="7" s="1"/>
  <c r="BG512" i="7" s="1"/>
  <c r="BI512" i="7" s="1"/>
  <c r="BK512" i="7" s="1"/>
  <c r="BM512" i="7" s="1"/>
  <c r="BO512" i="7" s="1"/>
  <c r="BQ512" i="7" s="1"/>
  <c r="J768" i="7"/>
  <c r="L768" i="7" s="1"/>
  <c r="F512" i="7"/>
  <c r="AE513" i="7"/>
  <c r="T768" i="7" l="1"/>
  <c r="R768" i="7"/>
  <c r="N768" i="7"/>
  <c r="P768" i="7"/>
  <c r="AK769" i="7"/>
  <c r="AM769" i="7" s="1"/>
  <c r="AD770" i="7"/>
  <c r="F770" i="7"/>
  <c r="AB770" i="7"/>
  <c r="BC770" i="7"/>
  <c r="AE638" i="7"/>
  <c r="AG638" i="7" s="1"/>
  <c r="AI638" i="7" s="1"/>
  <c r="AK638" i="7" s="1"/>
  <c r="AM638" i="7" s="1"/>
  <c r="AO638" i="7" s="1"/>
  <c r="AQ638" i="7" s="1"/>
  <c r="AS638" i="7" s="1"/>
  <c r="AU638" i="7" s="1"/>
  <c r="AW638" i="7" s="1"/>
  <c r="AY638" i="7" s="1"/>
  <c r="BA638" i="7" s="1"/>
  <c r="BC638" i="7" s="1"/>
  <c r="BE638" i="7" s="1"/>
  <c r="BG638" i="7" s="1"/>
  <c r="BI638" i="7" s="1"/>
  <c r="BK638" i="7" s="1"/>
  <c r="BM638" i="7" s="1"/>
  <c r="BO638" i="7" s="1"/>
  <c r="BQ638" i="7" s="1"/>
  <c r="F638" i="7"/>
  <c r="BL765" i="7"/>
  <c r="H633" i="7"/>
  <c r="H765" i="7"/>
  <c r="H508" i="7"/>
  <c r="J769" i="7"/>
  <c r="L769" i="7" s="1"/>
  <c r="AG513" i="7"/>
  <c r="AI513" i="7" s="1"/>
  <c r="AK513" i="7" s="1"/>
  <c r="AM513" i="7" s="1"/>
  <c r="AO513" i="7" s="1"/>
  <c r="AQ513" i="7" s="1"/>
  <c r="AS513" i="7" s="1"/>
  <c r="AU513" i="7" s="1"/>
  <c r="AW513" i="7" s="1"/>
  <c r="AY513" i="7" s="1"/>
  <c r="BA513" i="7" s="1"/>
  <c r="BC513" i="7" s="1"/>
  <c r="BE513" i="7" s="1"/>
  <c r="BG513" i="7" s="1"/>
  <c r="BI513" i="7" s="1"/>
  <c r="BK513" i="7" s="1"/>
  <c r="BM513" i="7" s="1"/>
  <c r="BO513" i="7" s="1"/>
  <c r="BQ513" i="7" s="1"/>
  <c r="F513" i="7"/>
  <c r="AE514" i="7" l="1"/>
  <c r="BE771" i="7"/>
  <c r="T769" i="7"/>
  <c r="R769" i="7"/>
  <c r="N769" i="7"/>
  <c r="P769" i="7"/>
  <c r="BL766" i="7"/>
  <c r="H766" i="7"/>
  <c r="H634" i="7"/>
  <c r="H509" i="7"/>
  <c r="BC771" i="7"/>
  <c r="AE639" i="7"/>
  <c r="AG639" i="7" s="1"/>
  <c r="AI639" i="7" s="1"/>
  <c r="AK639" i="7" s="1"/>
  <c r="AM639" i="7" s="1"/>
  <c r="AO639" i="7" s="1"/>
  <c r="AQ639" i="7" s="1"/>
  <c r="AS639" i="7" s="1"/>
  <c r="AU639" i="7" s="1"/>
  <c r="AW639" i="7" s="1"/>
  <c r="AY639" i="7" s="1"/>
  <c r="BA639" i="7" s="1"/>
  <c r="BC639" i="7" s="1"/>
  <c r="BE639" i="7" s="1"/>
  <c r="BG639" i="7" s="1"/>
  <c r="BI639" i="7" s="1"/>
  <c r="BK639" i="7" s="1"/>
  <c r="BM639" i="7" s="1"/>
  <c r="BO639" i="7" s="1"/>
  <c r="BQ639" i="7" s="1"/>
  <c r="F771" i="7"/>
  <c r="AD771" i="7"/>
  <c r="F639" i="7"/>
  <c r="AB771" i="7"/>
  <c r="BE772" i="7"/>
  <c r="AK770" i="7"/>
  <c r="AM770" i="7" s="1"/>
  <c r="J770" i="7"/>
  <c r="L770" i="7" s="1"/>
  <c r="F514" i="7"/>
  <c r="AG514" i="7" l="1"/>
  <c r="AI514" i="7" s="1"/>
  <c r="T770" i="7"/>
  <c r="R770" i="7"/>
  <c r="N770" i="7"/>
  <c r="P770" i="7"/>
  <c r="AE515" i="7"/>
  <c r="AG515" i="7" s="1"/>
  <c r="AI515" i="7" s="1"/>
  <c r="AK515" i="7" s="1"/>
  <c r="AM515" i="7" s="1"/>
  <c r="AO515" i="7" s="1"/>
  <c r="AQ515" i="7" s="1"/>
  <c r="AS515" i="7" s="1"/>
  <c r="AU515" i="7" s="1"/>
  <c r="AW515" i="7" s="1"/>
  <c r="AY515" i="7" s="1"/>
  <c r="BA515" i="7" s="1"/>
  <c r="BC515" i="7" s="1"/>
  <c r="BE515" i="7" s="1"/>
  <c r="BG515" i="7" s="1"/>
  <c r="BI515" i="7" s="1"/>
  <c r="BK515" i="7" s="1"/>
  <c r="BM515" i="7" s="1"/>
  <c r="BO515" i="7" s="1"/>
  <c r="BQ515" i="7" s="1"/>
  <c r="BL767" i="7"/>
  <c r="H635" i="7"/>
  <c r="H767" i="7"/>
  <c r="H510" i="7"/>
  <c r="BC772" i="7"/>
  <c r="AB772" i="7"/>
  <c r="AD772" i="7"/>
  <c r="F640" i="7"/>
  <c r="F772" i="7"/>
  <c r="AE640" i="7"/>
  <c r="AG640" i="7" s="1"/>
  <c r="AI640" i="7" s="1"/>
  <c r="AK640" i="7" s="1"/>
  <c r="AM640" i="7" s="1"/>
  <c r="AO640" i="7" s="1"/>
  <c r="AQ640" i="7" s="1"/>
  <c r="AS640" i="7" s="1"/>
  <c r="AU640" i="7" s="1"/>
  <c r="AW640" i="7" s="1"/>
  <c r="AY640" i="7" s="1"/>
  <c r="BA640" i="7" s="1"/>
  <c r="BC640" i="7" s="1"/>
  <c r="BE640" i="7" s="1"/>
  <c r="BG640" i="7" s="1"/>
  <c r="BI640" i="7" s="1"/>
  <c r="BK640" i="7" s="1"/>
  <c r="BM640" i="7" s="1"/>
  <c r="BO640" i="7" s="1"/>
  <c r="BQ640" i="7" s="1"/>
  <c r="BE773" i="7"/>
  <c r="AK771" i="7"/>
  <c r="AM771" i="7" s="1"/>
  <c r="F515" i="7"/>
  <c r="AK514" i="7" l="1"/>
  <c r="AM514" i="7" s="1"/>
  <c r="AO514" i="7" s="1"/>
  <c r="AQ514" i="7" s="1"/>
  <c r="AS514" i="7" s="1"/>
  <c r="AU514" i="7" s="1"/>
  <c r="AW514" i="7" s="1"/>
  <c r="AY514" i="7" s="1"/>
  <c r="BA514" i="7" s="1"/>
  <c r="BC514" i="7" s="1"/>
  <c r="BE514" i="7" s="1"/>
  <c r="BG514" i="7" s="1"/>
  <c r="BI514" i="7" s="1"/>
  <c r="BK514" i="7" s="1"/>
  <c r="BM514" i="7" s="1"/>
  <c r="BO514" i="7" s="1"/>
  <c r="BQ514" i="7" s="1"/>
  <c r="AE641" i="7"/>
  <c r="AG641" i="7" s="1"/>
  <c r="AI641" i="7" s="1"/>
  <c r="AK641" i="7" s="1"/>
  <c r="AM641" i="7" s="1"/>
  <c r="AO641" i="7" s="1"/>
  <c r="AQ641" i="7" s="1"/>
  <c r="AS641" i="7" s="1"/>
  <c r="AU641" i="7" s="1"/>
  <c r="AW641" i="7" s="1"/>
  <c r="AY641" i="7" s="1"/>
  <c r="BA641" i="7" s="1"/>
  <c r="BC641" i="7" s="1"/>
  <c r="BE641" i="7" s="1"/>
  <c r="BG641" i="7" s="1"/>
  <c r="BI641" i="7" s="1"/>
  <c r="BK641" i="7" s="1"/>
  <c r="BM641" i="7" s="1"/>
  <c r="BO641" i="7" s="1"/>
  <c r="BQ641" i="7" s="1"/>
  <c r="BC773" i="7"/>
  <c r="AB773" i="7"/>
  <c r="AD773" i="7"/>
  <c r="F641" i="7"/>
  <c r="F773" i="7"/>
  <c r="AK772" i="7"/>
  <c r="AM772" i="7" s="1"/>
  <c r="BL768" i="7"/>
  <c r="H768" i="7"/>
  <c r="H636" i="7"/>
  <c r="H511" i="7"/>
  <c r="J772" i="7"/>
  <c r="L772" i="7" s="1"/>
  <c r="AE516" i="7"/>
  <c r="AG516" i="7" s="1"/>
  <c r="F516" i="7"/>
  <c r="J771" i="7" l="1"/>
  <c r="L771" i="7" s="1"/>
  <c r="T772" i="7"/>
  <c r="R772" i="7"/>
  <c r="N772" i="7"/>
  <c r="P772" i="7"/>
  <c r="BL769" i="7"/>
  <c r="H769" i="7"/>
  <c r="H637" i="7"/>
  <c r="H512" i="7"/>
  <c r="AK773" i="7"/>
  <c r="AM773" i="7" s="1"/>
  <c r="AI516" i="7"/>
  <c r="AK516" i="7" s="1"/>
  <c r="AM516" i="7" s="1"/>
  <c r="AO516" i="7" s="1"/>
  <c r="AQ516" i="7" s="1"/>
  <c r="AS516" i="7" s="1"/>
  <c r="AU516" i="7" s="1"/>
  <c r="AW516" i="7" s="1"/>
  <c r="AY516" i="7" s="1"/>
  <c r="BA516" i="7" s="1"/>
  <c r="BC516" i="7" s="1"/>
  <c r="BE516" i="7" s="1"/>
  <c r="BG516" i="7" s="1"/>
  <c r="BI516" i="7" s="1"/>
  <c r="BK516" i="7" s="1"/>
  <c r="BM516" i="7" s="1"/>
  <c r="BO516" i="7" s="1"/>
  <c r="BQ516" i="7" s="1"/>
  <c r="T771" i="7" l="1"/>
  <c r="N771" i="7"/>
  <c r="P771" i="7"/>
  <c r="R771" i="7"/>
  <c r="BL770" i="7"/>
  <c r="H513" i="7"/>
  <c r="H770" i="7"/>
  <c r="H638" i="7"/>
  <c r="J773" i="7"/>
  <c r="L773" i="7" s="1"/>
  <c r="T773" i="7" l="1"/>
  <c r="R773" i="7"/>
  <c r="N773" i="7"/>
  <c r="P773" i="7"/>
  <c r="H771" i="7"/>
  <c r="H639" i="7"/>
  <c r="H514" i="7"/>
  <c r="BL772" i="7" l="1"/>
  <c r="H772" i="7"/>
  <c r="H640" i="7"/>
  <c r="H515" i="7"/>
  <c r="BL771" i="7"/>
  <c r="H641" i="7" l="1"/>
  <c r="H516" i="7"/>
  <c r="H773" i="7"/>
  <c r="W237" i="7" l="1"/>
  <c r="W240" i="7" s="1"/>
  <c r="W319" i="7"/>
  <c r="W318" i="7" s="1"/>
  <c r="BL773" i="7"/>
  <c r="W329" i="7" l="1"/>
  <c r="AW674" i="7" s="1"/>
  <c r="W322" i="7"/>
  <c r="W323" i="7"/>
  <c r="W330" i="7"/>
  <c r="W395" i="7" s="1"/>
  <c r="W331" i="7"/>
  <c r="W332" i="7"/>
  <c r="AY763" i="7" s="1"/>
  <c r="W336" i="7"/>
  <c r="W253" i="7"/>
  <c r="W247" i="7"/>
  <c r="W307" i="7" s="1"/>
  <c r="W236" i="7"/>
  <c r="W241" i="7"/>
  <c r="W246" i="7"/>
  <c r="W248" i="7"/>
  <c r="W249" i="7"/>
  <c r="W396" i="7" l="1"/>
  <c r="X771" i="7"/>
  <c r="X706" i="7"/>
  <c r="X688" i="7"/>
  <c r="X682" i="7"/>
  <c r="X694" i="7"/>
  <c r="X744" i="7"/>
  <c r="X772" i="7"/>
  <c r="X733" i="7"/>
  <c r="X755" i="7"/>
  <c r="X702" i="7"/>
  <c r="X698" i="7"/>
  <c r="X726" i="7"/>
  <c r="X752" i="7"/>
  <c r="X756" i="7"/>
  <c r="X747" i="7"/>
  <c r="X690" i="7"/>
  <c r="X715" i="7"/>
  <c r="X736" i="7"/>
  <c r="X760" i="7"/>
  <c r="X693" i="7"/>
  <c r="X717" i="7"/>
  <c r="X754" i="7"/>
  <c r="X685" i="7"/>
  <c r="X721" i="7"/>
  <c r="X741" i="7"/>
  <c r="X738" i="7"/>
  <c r="X697" i="7"/>
  <c r="X742" i="7"/>
  <c r="X674" i="7"/>
  <c r="X750" i="7"/>
  <c r="X748" i="7"/>
  <c r="X691" i="7"/>
  <c r="X699" i="7"/>
  <c r="X773" i="7"/>
  <c r="X701" i="7"/>
  <c r="X678" i="7"/>
  <c r="X710" i="7"/>
  <c r="X700" i="7"/>
  <c r="X764" i="7"/>
  <c r="X761" i="7"/>
  <c r="X740" i="7"/>
  <c r="X704" i="7"/>
  <c r="X689" i="7"/>
  <c r="X725" i="7"/>
  <c r="X765" i="7"/>
  <c r="X692" i="7"/>
  <c r="X762" i="7"/>
  <c r="X728" i="7"/>
  <c r="X705" i="7"/>
  <c r="X753" i="7"/>
  <c r="X727" i="7"/>
  <c r="X766" i="7"/>
  <c r="X763" i="7"/>
  <c r="X708" i="7"/>
  <c r="X707" i="7"/>
  <c r="X749" i="7"/>
  <c r="X712" i="7"/>
  <c r="X683" i="7"/>
  <c r="X716" i="7"/>
  <c r="X677" i="7"/>
  <c r="X724" i="7"/>
  <c r="X767" i="7"/>
  <c r="X732" i="7"/>
  <c r="X722" i="7"/>
  <c r="X720" i="7"/>
  <c r="X686" i="7"/>
  <c r="X759" i="7"/>
  <c r="X687" i="7"/>
  <c r="X731" i="7"/>
  <c r="X713" i="7"/>
  <c r="X695" i="7"/>
  <c r="X714" i="7"/>
  <c r="X745" i="7"/>
  <c r="X709" i="7"/>
  <c r="J276" i="7"/>
  <c r="X703" i="7"/>
  <c r="X746" i="7"/>
  <c r="X723" i="7"/>
  <c r="X719" i="7"/>
  <c r="X680" i="7"/>
  <c r="X768" i="7"/>
  <c r="X735" i="7"/>
  <c r="X734" i="7"/>
  <c r="X739" i="7"/>
  <c r="X729" i="7"/>
  <c r="X675" i="7"/>
  <c r="X730" i="7"/>
  <c r="X757" i="7"/>
  <c r="X769" i="7"/>
  <c r="X684" i="7"/>
  <c r="X679" i="7"/>
  <c r="X737" i="7"/>
  <c r="X676" i="7"/>
  <c r="X770" i="7"/>
  <c r="X711" i="7"/>
  <c r="X743" i="7"/>
  <c r="X681" i="7"/>
  <c r="X758" i="7"/>
  <c r="X718" i="7"/>
  <c r="X751" i="7"/>
  <c r="X696" i="7"/>
  <c r="AU676" i="7"/>
  <c r="AU693" i="7"/>
  <c r="AU726" i="7"/>
  <c r="AU706" i="7"/>
  <c r="AU764" i="7"/>
  <c r="AU716" i="7"/>
  <c r="AU684" i="7"/>
  <c r="AU758" i="7"/>
  <c r="AU753" i="7"/>
  <c r="AU720" i="7"/>
  <c r="AU703" i="7"/>
  <c r="AU723" i="7"/>
  <c r="AU770" i="7"/>
  <c r="AU722" i="7"/>
  <c r="AU741" i="7"/>
  <c r="AU719" i="7"/>
  <c r="AU686" i="7"/>
  <c r="AU690" i="7"/>
  <c r="AU707" i="7"/>
  <c r="AU769" i="7"/>
  <c r="AU766" i="7"/>
  <c r="AU680" i="7"/>
  <c r="AU734" i="7"/>
  <c r="AU699" i="7"/>
  <c r="AU725" i="7"/>
  <c r="AU767" i="7"/>
  <c r="AU708" i="7"/>
  <c r="AU695" i="7"/>
  <c r="AU727" i="7"/>
  <c r="AU771" i="7"/>
  <c r="AU759" i="7"/>
  <c r="AU735" i="7"/>
  <c r="AU772" i="7"/>
  <c r="AU768" i="7"/>
  <c r="AU712" i="7"/>
  <c r="AU683" i="7"/>
  <c r="AU700" i="7"/>
  <c r="AU705" i="7"/>
  <c r="AU744" i="7"/>
  <c r="AU721" i="7"/>
  <c r="AU675" i="7"/>
  <c r="AU709" i="7"/>
  <c r="AU674" i="7"/>
  <c r="AU687" i="7"/>
  <c r="AU710" i="7"/>
  <c r="AU748" i="7"/>
  <c r="AU682" i="7"/>
  <c r="AU756" i="7"/>
  <c r="AU730" i="7"/>
  <c r="AU692" i="7"/>
  <c r="AU750" i="7"/>
  <c r="AU677" i="7"/>
  <c r="AU717" i="7"/>
  <c r="AU697" i="7"/>
  <c r="AU754" i="7"/>
  <c r="AU736" i="7"/>
  <c r="AU763" i="7"/>
  <c r="AU701" i="7"/>
  <c r="AU679" i="7"/>
  <c r="AU746" i="7"/>
  <c r="AU711" i="7"/>
  <c r="AU743" i="7"/>
  <c r="AU751" i="7"/>
  <c r="AU747" i="7"/>
  <c r="AU739" i="7"/>
  <c r="AU740" i="7"/>
  <c r="AU696" i="7"/>
  <c r="AU742" i="7"/>
  <c r="AU732" i="7"/>
  <c r="AU685" i="7"/>
  <c r="AU729" i="7"/>
  <c r="AU762" i="7"/>
  <c r="AU761" i="7"/>
  <c r="AU688" i="7"/>
  <c r="AU757" i="7"/>
  <c r="AU760" i="7"/>
  <c r="AU737" i="7"/>
  <c r="AU681" i="7"/>
  <c r="AU702" i="7"/>
  <c r="AU713" i="7"/>
  <c r="AU738" i="7"/>
  <c r="AU745" i="7"/>
  <c r="AU715" i="7"/>
  <c r="AU724" i="7"/>
  <c r="AU728" i="7"/>
  <c r="AU694" i="7"/>
  <c r="AU698" i="7"/>
  <c r="AU691" i="7"/>
  <c r="AU752" i="7"/>
  <c r="AU749" i="7"/>
  <c r="AU704" i="7"/>
  <c r="AU678" i="7"/>
  <c r="AU718" i="7"/>
  <c r="AU755" i="7"/>
  <c r="AU765" i="7"/>
  <c r="AU733" i="7"/>
  <c r="AU773" i="7"/>
  <c r="AU689" i="7"/>
  <c r="AU714" i="7"/>
  <c r="AU731" i="7"/>
  <c r="AS695" i="7"/>
  <c r="AS736" i="7"/>
  <c r="AS744" i="7"/>
  <c r="AS769" i="7"/>
  <c r="AS705" i="7"/>
  <c r="AS735" i="7"/>
  <c r="AS709" i="7"/>
  <c r="AS690" i="7"/>
  <c r="AS738" i="7"/>
  <c r="AS770" i="7"/>
  <c r="AS678" i="7"/>
  <c r="AS731" i="7"/>
  <c r="AS748" i="7"/>
  <c r="AS704" i="7"/>
  <c r="AS677" i="7"/>
  <c r="AS741" i="7"/>
  <c r="AS737" i="7"/>
  <c r="AS707" i="7"/>
  <c r="AS725" i="7"/>
  <c r="AS679" i="7"/>
  <c r="AS680" i="7"/>
  <c r="AS757" i="7"/>
  <c r="AS722" i="7"/>
  <c r="AS694" i="7"/>
  <c r="AS689" i="7"/>
  <c r="AS755" i="7"/>
  <c r="AS701" i="7"/>
  <c r="AS714" i="7"/>
  <c r="AS682" i="7"/>
  <c r="AS739" i="7"/>
  <c r="AS765" i="7"/>
  <c r="AS751" i="7"/>
  <c r="AS696" i="7"/>
  <c r="AS726" i="7"/>
  <c r="AS733" i="7"/>
  <c r="AS730" i="7"/>
  <c r="AS702" i="7"/>
  <c r="AS699" i="7"/>
  <c r="AS723" i="7"/>
  <c r="AS764" i="7"/>
  <c r="AS745" i="7"/>
  <c r="AS766" i="7"/>
  <c r="AS762" i="7"/>
  <c r="AS710" i="7"/>
  <c r="AS681" i="7"/>
  <c r="AS771" i="7"/>
  <c r="AS697" i="7"/>
  <c r="AS675" i="7"/>
  <c r="AS772" i="7"/>
  <c r="AS773" i="7"/>
  <c r="AS684" i="7"/>
  <c r="AS692" i="7"/>
  <c r="AS716" i="7"/>
  <c r="AS743" i="7"/>
  <c r="AS753" i="7"/>
  <c r="AS724" i="7"/>
  <c r="AS759" i="7"/>
  <c r="AS703" i="7"/>
  <c r="AS756" i="7"/>
  <c r="AS686" i="7"/>
  <c r="AS754" i="7"/>
  <c r="AS715" i="7"/>
  <c r="AS752" i="7"/>
  <c r="AS720" i="7"/>
  <c r="AS768" i="7"/>
  <c r="AS717" i="7"/>
  <c r="AS721" i="7"/>
  <c r="AS718" i="7"/>
  <c r="AS688" i="7"/>
  <c r="AS729" i="7"/>
  <c r="AS761" i="7"/>
  <c r="AS763" i="7"/>
  <c r="AS760" i="7"/>
  <c r="AS732" i="7"/>
  <c r="AS698" i="7"/>
  <c r="AS758" i="7"/>
  <c r="AS711" i="7"/>
  <c r="AS712" i="7"/>
  <c r="AS767" i="7"/>
  <c r="AS674" i="7"/>
  <c r="AS713" i="7"/>
  <c r="AS693" i="7"/>
  <c r="AS685" i="7"/>
  <c r="AS706" i="7"/>
  <c r="AS719" i="7"/>
  <c r="AS727" i="7"/>
  <c r="AS676" i="7"/>
  <c r="AS687" i="7"/>
  <c r="AS708" i="7"/>
  <c r="AS683" i="7"/>
  <c r="AS700" i="7"/>
  <c r="AS740" i="7"/>
  <c r="AS742" i="7"/>
  <c r="AS734" i="7"/>
  <c r="AS728" i="7"/>
  <c r="AS747" i="7"/>
  <c r="AS691" i="7"/>
  <c r="AS749" i="7"/>
  <c r="AS750" i="7"/>
  <c r="AS746" i="7"/>
  <c r="V763" i="7"/>
  <c r="AF763" i="7" s="1"/>
  <c r="V727" i="7"/>
  <c r="AF727" i="7" s="1"/>
  <c r="V750" i="7"/>
  <c r="AF750" i="7" s="1"/>
  <c r="V761" i="7"/>
  <c r="AF761" i="7" s="1"/>
  <c r="V678" i="7"/>
  <c r="AF678" i="7" s="1"/>
  <c r="V688" i="7"/>
  <c r="AF688" i="7" s="1"/>
  <c r="V682" i="7"/>
  <c r="AF682" i="7" s="1"/>
  <c r="V760" i="7"/>
  <c r="AF760" i="7" s="1"/>
  <c r="V687" i="7"/>
  <c r="AF687" i="7" s="1"/>
  <c r="V752" i="7"/>
  <c r="AF752" i="7" s="1"/>
  <c r="V728" i="7"/>
  <c r="AF728" i="7" s="1"/>
  <c r="V680" i="7"/>
  <c r="AF680" i="7" s="1"/>
  <c r="V729" i="7"/>
  <c r="AF729" i="7" s="1"/>
  <c r="V771" i="7"/>
  <c r="AF771" i="7" s="1"/>
  <c r="V755" i="7"/>
  <c r="AF755" i="7" s="1"/>
  <c r="V758" i="7"/>
  <c r="AF758" i="7" s="1"/>
  <c r="V694" i="7"/>
  <c r="AF694" i="7" s="1"/>
  <c r="V772" i="7"/>
  <c r="AF772" i="7" s="1"/>
  <c r="V699" i="7"/>
  <c r="AF699" i="7" s="1"/>
  <c r="V709" i="7"/>
  <c r="AF709" i="7" s="1"/>
  <c r="V695" i="7"/>
  <c r="AF695" i="7" s="1"/>
  <c r="V768" i="7"/>
  <c r="AF768" i="7" s="1"/>
  <c r="V734" i="7"/>
  <c r="AF734" i="7" s="1"/>
  <c r="V747" i="7"/>
  <c r="AF747" i="7" s="1"/>
  <c r="V724" i="7"/>
  <c r="AF724" i="7" s="1"/>
  <c r="V722" i="7"/>
  <c r="AF722" i="7" s="1"/>
  <c r="V725" i="7"/>
  <c r="AF725" i="7" s="1"/>
  <c r="V732" i="7"/>
  <c r="AF732" i="7" s="1"/>
  <c r="V757" i="7"/>
  <c r="AF757" i="7" s="1"/>
  <c r="V710" i="7"/>
  <c r="AF710" i="7" s="1"/>
  <c r="V741" i="7"/>
  <c r="AF741" i="7" s="1"/>
  <c r="V697" i="7"/>
  <c r="AF697" i="7" s="1"/>
  <c r="V739" i="7"/>
  <c r="AF739" i="7" s="1"/>
  <c r="V743" i="7"/>
  <c r="AF743" i="7" s="1"/>
  <c r="V706" i="7"/>
  <c r="AF706" i="7" s="1"/>
  <c r="V738" i="7"/>
  <c r="AF738" i="7" s="1"/>
  <c r="V748" i="7"/>
  <c r="AF748" i="7" s="1"/>
  <c r="V696" i="7"/>
  <c r="AF696" i="7" s="1"/>
  <c r="V762" i="7"/>
  <c r="AF762" i="7" s="1"/>
  <c r="V753" i="7"/>
  <c r="AF753" i="7" s="1"/>
  <c r="V733" i="7"/>
  <c r="AF733" i="7" s="1"/>
  <c r="V675" i="7"/>
  <c r="AF675" i="7" s="1"/>
  <c r="V764" i="7"/>
  <c r="AF764" i="7" s="1"/>
  <c r="V707" i="7"/>
  <c r="AF707" i="7" s="1"/>
  <c r="V742" i="7"/>
  <c r="AF742" i="7" s="1"/>
  <c r="V765" i="7"/>
  <c r="AF765" i="7" s="1"/>
  <c r="V754" i="7"/>
  <c r="AF754" i="7" s="1"/>
  <c r="V674" i="7"/>
  <c r="AF674" i="7" s="1"/>
  <c r="V704" i="7"/>
  <c r="AF704" i="7" s="1"/>
  <c r="V737" i="7"/>
  <c r="AF737" i="7" s="1"/>
  <c r="V720" i="7"/>
  <c r="AF720" i="7" s="1"/>
  <c r="V700" i="7"/>
  <c r="AF700" i="7" s="1"/>
  <c r="V721" i="7"/>
  <c r="AF721" i="7" s="1"/>
  <c r="V735" i="7"/>
  <c r="AF735" i="7" s="1"/>
  <c r="V746" i="7"/>
  <c r="AF746" i="7" s="1"/>
  <c r="V702" i="7"/>
  <c r="AF702" i="7" s="1"/>
  <c r="V679" i="7"/>
  <c r="AF679" i="7" s="1"/>
  <c r="V701" i="7"/>
  <c r="AF701" i="7" s="1"/>
  <c r="V692" i="7"/>
  <c r="AF692" i="7" s="1"/>
  <c r="V698" i="7"/>
  <c r="AF698" i="7" s="1"/>
  <c r="V683" i="7"/>
  <c r="AF683" i="7" s="1"/>
  <c r="V684" i="7"/>
  <c r="AF684" i="7" s="1"/>
  <c r="V693" i="7"/>
  <c r="AF693" i="7" s="1"/>
  <c r="W308" i="7"/>
  <c r="V715" i="7"/>
  <c r="AF715" i="7" s="1"/>
  <c r="V773" i="7"/>
  <c r="AF773" i="7" s="1"/>
  <c r="V718" i="7"/>
  <c r="AF718" i="7" s="1"/>
  <c r="V676" i="7"/>
  <c r="AF676" i="7" s="1"/>
  <c r="V708" i="7"/>
  <c r="AF708" i="7" s="1"/>
  <c r="V686" i="7"/>
  <c r="AF686" i="7" s="1"/>
  <c r="V756" i="7"/>
  <c r="AF756" i="7" s="1"/>
  <c r="V749" i="7"/>
  <c r="AF749" i="7" s="1"/>
  <c r="V766" i="7"/>
  <c r="AF766" i="7" s="1"/>
  <c r="V677" i="7"/>
  <c r="AF677" i="7" s="1"/>
  <c r="V767" i="7"/>
  <c r="AF767" i="7" s="1"/>
  <c r="V713" i="7"/>
  <c r="AF713" i="7" s="1"/>
  <c r="V769" i="7"/>
  <c r="AF769" i="7" s="1"/>
  <c r="V714" i="7"/>
  <c r="AF714" i="7" s="1"/>
  <c r="V770" i="7"/>
  <c r="AF770" i="7" s="1"/>
  <c r="V717" i="7"/>
  <c r="AF717" i="7" s="1"/>
  <c r="V719" i="7"/>
  <c r="AF719" i="7" s="1"/>
  <c r="V712" i="7"/>
  <c r="AF712" i="7" s="1"/>
  <c r="V689" i="7"/>
  <c r="AF689" i="7" s="1"/>
  <c r="V731" i="7"/>
  <c r="AF731" i="7" s="1"/>
  <c r="V690" i="7"/>
  <c r="AF690" i="7" s="1"/>
  <c r="V703" i="7"/>
  <c r="AF703" i="7" s="1"/>
  <c r="V759" i="7"/>
  <c r="AF759" i="7" s="1"/>
  <c r="V711" i="7"/>
  <c r="AF711" i="7" s="1"/>
  <c r="V740" i="7"/>
  <c r="AF740" i="7" s="1"/>
  <c r="V744" i="7"/>
  <c r="AF744" i="7" s="1"/>
  <c r="V691" i="7"/>
  <c r="AF691" i="7" s="1"/>
  <c r="V745" i="7"/>
  <c r="AF745" i="7" s="1"/>
  <c r="V723" i="7"/>
  <c r="AF723" i="7" s="1"/>
  <c r="V736" i="7"/>
  <c r="AF736" i="7" s="1"/>
  <c r="V681" i="7"/>
  <c r="AF681" i="7" s="1"/>
  <c r="V716" i="7"/>
  <c r="AF716" i="7" s="1"/>
  <c r="V751" i="7"/>
  <c r="AF751" i="7" s="1"/>
  <c r="V685" i="7"/>
  <c r="AF685" i="7" s="1"/>
  <c r="V726" i="7"/>
  <c r="AF726" i="7" s="1"/>
  <c r="V730" i="7"/>
  <c r="AF730" i="7" s="1"/>
  <c r="V705" i="7"/>
  <c r="AF705" i="7" s="1"/>
  <c r="AQ767" i="7"/>
  <c r="BA767" i="7" s="1"/>
  <c r="Z760" i="7"/>
  <c r="AQ707" i="7"/>
  <c r="BA707" i="7" s="1"/>
  <c r="AQ708" i="7"/>
  <c r="BA708" i="7" s="1"/>
  <c r="Z678" i="7"/>
  <c r="AQ745" i="7"/>
  <c r="BA745" i="7" s="1"/>
  <c r="AQ717" i="7"/>
  <c r="BA717" i="7" s="1"/>
  <c r="Z681" i="7"/>
  <c r="Z716" i="7"/>
  <c r="Z770" i="7"/>
  <c r="AQ760" i="7"/>
  <c r="BA760" i="7" s="1"/>
  <c r="AQ703" i="7"/>
  <c r="BA703" i="7" s="1"/>
  <c r="Z744" i="7"/>
  <c r="Z695" i="7"/>
  <c r="AQ770" i="7"/>
  <c r="BA770" i="7" s="1"/>
  <c r="AQ709" i="7"/>
  <c r="BA709" i="7" s="1"/>
  <c r="AQ733" i="7"/>
  <c r="BA733" i="7" s="1"/>
  <c r="Z769" i="7"/>
  <c r="Z763" i="7"/>
  <c r="Z688" i="7"/>
  <c r="AQ749" i="7"/>
  <c r="BA749" i="7" s="1"/>
  <c r="AQ698" i="7"/>
  <c r="BA698" i="7" s="1"/>
  <c r="Z715" i="7"/>
  <c r="AQ718" i="7"/>
  <c r="BA718" i="7" s="1"/>
  <c r="AQ769" i="7"/>
  <c r="BA769" i="7" s="1"/>
  <c r="Z761" i="7"/>
  <c r="Z758" i="7"/>
  <c r="AQ699" i="7"/>
  <c r="BA699" i="7" s="1"/>
  <c r="Z694" i="7"/>
  <c r="Z726" i="7"/>
  <c r="AQ678" i="7"/>
  <c r="BA678" i="7" s="1"/>
  <c r="AQ762" i="7"/>
  <c r="BA762" i="7" s="1"/>
  <c r="AQ741" i="7"/>
  <c r="BA741" i="7" s="1"/>
  <c r="Z745" i="7"/>
  <c r="AQ728" i="7"/>
  <c r="BA728" i="7" s="1"/>
  <c r="Z699" i="7"/>
  <c r="AQ683" i="7"/>
  <c r="BA683" i="7" s="1"/>
  <c r="Z701" i="7"/>
  <c r="AQ726" i="7"/>
  <c r="BA726" i="7" s="1"/>
  <c r="AQ685" i="7"/>
  <c r="BA685" i="7" s="1"/>
  <c r="AQ679" i="7"/>
  <c r="BA679" i="7" s="1"/>
  <c r="Z731" i="7"/>
  <c r="AQ719" i="7"/>
  <c r="BA719" i="7" s="1"/>
  <c r="Z742" i="7"/>
  <c r="Z706" i="7"/>
  <c r="Z733" i="7"/>
  <c r="AQ682" i="7"/>
  <c r="BA682" i="7" s="1"/>
  <c r="Z685" i="7"/>
  <c r="Z727" i="7"/>
  <c r="Z759" i="7"/>
  <c r="Z749" i="7"/>
  <c r="AQ710" i="7"/>
  <c r="BA710" i="7" s="1"/>
  <c r="Z750" i="7"/>
  <c r="Z684" i="7"/>
  <c r="Z735" i="7"/>
  <c r="Z689" i="7"/>
  <c r="Z732" i="7"/>
  <c r="Z686" i="7"/>
  <c r="Z709" i="7"/>
  <c r="Z721" i="7"/>
  <c r="AQ746" i="7"/>
  <c r="BA746" i="7" s="1"/>
  <c r="Z753" i="7"/>
  <c r="Z756" i="7"/>
  <c r="AQ677" i="7"/>
  <c r="BA677" i="7" s="1"/>
  <c r="AQ725" i="7"/>
  <c r="BA725" i="7" s="1"/>
  <c r="AQ716" i="7"/>
  <c r="BA716" i="7" s="1"/>
  <c r="Z720" i="7"/>
  <c r="AQ674" i="7"/>
  <c r="BA674" i="7" s="1"/>
  <c r="AQ727" i="7"/>
  <c r="BA727" i="7" s="1"/>
  <c r="AQ692" i="7"/>
  <c r="BA692" i="7" s="1"/>
  <c r="Z755" i="7"/>
  <c r="Z707" i="7"/>
  <c r="Z687" i="7"/>
  <c r="AQ731" i="7"/>
  <c r="BA731" i="7" s="1"/>
  <c r="Z757" i="7"/>
  <c r="Z700" i="7"/>
  <c r="AQ680" i="7"/>
  <c r="BA680" i="7" s="1"/>
  <c r="Z751" i="7"/>
  <c r="AQ724" i="7"/>
  <c r="BA724" i="7" s="1"/>
  <c r="AQ681" i="7"/>
  <c r="BA681" i="7" s="1"/>
  <c r="AQ715" i="7"/>
  <c r="BA715" i="7" s="1"/>
  <c r="AQ743" i="7"/>
  <c r="BA743" i="7" s="1"/>
  <c r="Z717" i="7"/>
  <c r="AQ765" i="7"/>
  <c r="BA765" i="7" s="1"/>
  <c r="AQ757" i="7"/>
  <c r="BA757" i="7" s="1"/>
  <c r="Z736" i="7"/>
  <c r="AQ744" i="7"/>
  <c r="BA744" i="7" s="1"/>
  <c r="Z697" i="7"/>
  <c r="Z766" i="7"/>
  <c r="AQ705" i="7"/>
  <c r="BA705" i="7" s="1"/>
  <c r="Z702" i="7"/>
  <c r="Z690" i="7"/>
  <c r="Z712" i="7"/>
  <c r="AQ730" i="7"/>
  <c r="BA730" i="7" s="1"/>
  <c r="Z765" i="7"/>
  <c r="AQ737" i="7"/>
  <c r="BA737" i="7" s="1"/>
  <c r="Z737" i="7"/>
  <c r="AQ712" i="7"/>
  <c r="BA712" i="7" s="1"/>
  <c r="Z705" i="7"/>
  <c r="Z718" i="7"/>
  <c r="AQ766" i="7"/>
  <c r="BA766" i="7" s="1"/>
  <c r="Z698" i="7"/>
  <c r="AQ700" i="7"/>
  <c r="BA700" i="7" s="1"/>
  <c r="Z692" i="7"/>
  <c r="AQ734" i="7"/>
  <c r="BA734" i="7" s="1"/>
  <c r="Z719" i="7"/>
  <c r="Z768" i="7"/>
  <c r="Z730" i="7"/>
  <c r="AQ747" i="7"/>
  <c r="BA747" i="7" s="1"/>
  <c r="Z747" i="7"/>
  <c r="Z708" i="7"/>
  <c r="AQ684" i="7"/>
  <c r="BA684" i="7" s="1"/>
  <c r="AQ768" i="7"/>
  <c r="BA768" i="7" s="1"/>
  <c r="AQ706" i="7"/>
  <c r="BA706" i="7" s="1"/>
  <c r="Z679" i="7"/>
  <c r="AQ695" i="7"/>
  <c r="BA695" i="7" s="1"/>
  <c r="AQ736" i="7"/>
  <c r="BA736" i="7" s="1"/>
  <c r="AQ693" i="7"/>
  <c r="BA693" i="7" s="1"/>
  <c r="Z773" i="7"/>
  <c r="AQ754" i="7"/>
  <c r="BA754" i="7" s="1"/>
  <c r="Z740" i="7"/>
  <c r="Z691" i="7"/>
  <c r="Z693" i="7"/>
  <c r="AQ697" i="7"/>
  <c r="BA697" i="7" s="1"/>
  <c r="AQ732" i="7"/>
  <c r="BA732" i="7" s="1"/>
  <c r="AQ742" i="7"/>
  <c r="BA742" i="7" s="1"/>
  <c r="Z722" i="7"/>
  <c r="AQ761" i="7"/>
  <c r="BA761" i="7" s="1"/>
  <c r="Z724" i="7"/>
  <c r="AQ739" i="7"/>
  <c r="BA739" i="7" s="1"/>
  <c r="Z711" i="7"/>
  <c r="Z713" i="7"/>
  <c r="AQ701" i="7"/>
  <c r="BA701" i="7" s="1"/>
  <c r="AQ755" i="7"/>
  <c r="BA755" i="7" s="1"/>
  <c r="Z696" i="7"/>
  <c r="Z752" i="7"/>
  <c r="Z675" i="7"/>
  <c r="AQ721" i="7"/>
  <c r="BA721" i="7" s="1"/>
  <c r="Z676" i="7"/>
  <c r="Z738" i="7"/>
  <c r="AQ713" i="7"/>
  <c r="BA713" i="7" s="1"/>
  <c r="AQ696" i="7"/>
  <c r="BA696" i="7" s="1"/>
  <c r="Z677" i="7"/>
  <c r="AQ772" i="7"/>
  <c r="BA772" i="7" s="1"/>
  <c r="AQ702" i="7"/>
  <c r="BA702" i="7" s="1"/>
  <c r="Z741" i="7"/>
  <c r="AQ773" i="7"/>
  <c r="BA773" i="7" s="1"/>
  <c r="AQ740" i="7"/>
  <c r="BA740" i="7" s="1"/>
  <c r="Z723" i="7"/>
  <c r="Z674" i="7"/>
  <c r="AQ704" i="7"/>
  <c r="BA704" i="7" s="1"/>
  <c r="AQ763" i="7"/>
  <c r="BA763" i="7" s="1"/>
  <c r="Z704" i="7"/>
  <c r="Z762" i="7"/>
  <c r="AQ735" i="7"/>
  <c r="BA735" i="7" s="1"/>
  <c r="Z710" i="7"/>
  <c r="AQ751" i="7"/>
  <c r="BA751" i="7" s="1"/>
  <c r="AQ752" i="7"/>
  <c r="BA752" i="7" s="1"/>
  <c r="Z729" i="7"/>
  <c r="AQ676" i="7"/>
  <c r="BA676" i="7" s="1"/>
  <c r="AQ748" i="7"/>
  <c r="BA748" i="7" s="1"/>
  <c r="AQ694" i="7"/>
  <c r="BA694" i="7" s="1"/>
  <c r="AQ738" i="7"/>
  <c r="BA738" i="7" s="1"/>
  <c r="AQ689" i="7"/>
  <c r="BA689" i="7" s="1"/>
  <c r="AQ720" i="7"/>
  <c r="BA720" i="7" s="1"/>
  <c r="Z764" i="7"/>
  <c r="AQ714" i="7"/>
  <c r="BA714" i="7" s="1"/>
  <c r="Z767" i="7"/>
  <c r="AQ723" i="7"/>
  <c r="BA723" i="7" s="1"/>
  <c r="Z746" i="7"/>
  <c r="AQ690" i="7"/>
  <c r="BA690" i="7" s="1"/>
  <c r="AQ722" i="7"/>
  <c r="BA722" i="7" s="1"/>
  <c r="Z680" i="7"/>
  <c r="AQ756" i="7"/>
  <c r="BA756" i="7" s="1"/>
  <c r="Z725" i="7"/>
  <c r="AQ686" i="7"/>
  <c r="BA686" i="7" s="1"/>
  <c r="Z728" i="7"/>
  <c r="AQ675" i="7"/>
  <c r="BA675" i="7" s="1"/>
  <c r="AQ711" i="7"/>
  <c r="BA711" i="7" s="1"/>
  <c r="Z734" i="7"/>
  <c r="AQ750" i="7"/>
  <c r="BA750" i="7" s="1"/>
  <c r="AQ687" i="7"/>
  <c r="BA687" i="7" s="1"/>
  <c r="Z683" i="7"/>
  <c r="AQ688" i="7"/>
  <c r="BA688" i="7" s="1"/>
  <c r="Z703" i="7"/>
  <c r="Z748" i="7"/>
  <c r="Z743" i="7"/>
  <c r="AQ691" i="7"/>
  <c r="BA691" i="7" s="1"/>
  <c r="AQ758" i="7"/>
  <c r="BA758" i="7" s="1"/>
  <c r="Z754" i="7"/>
  <c r="AQ759" i="7"/>
  <c r="BA759" i="7" s="1"/>
  <c r="AQ753" i="7"/>
  <c r="BA753" i="7" s="1"/>
  <c r="AQ729" i="7"/>
  <c r="BA729" i="7" s="1"/>
  <c r="AQ764" i="7"/>
  <c r="BA764" i="7" s="1"/>
  <c r="Z682" i="7"/>
  <c r="Z714" i="7"/>
  <c r="Z772" i="7"/>
  <c r="Z771" i="7"/>
  <c r="AQ771" i="7"/>
  <c r="BA771" i="7" s="1"/>
  <c r="Z739" i="7"/>
  <c r="AW702" i="7"/>
  <c r="BG702" i="7" s="1"/>
  <c r="AW695" i="7"/>
  <c r="BG695" i="7" s="1"/>
  <c r="AW744" i="7"/>
  <c r="BG744" i="7" s="1"/>
  <c r="AW741" i="7"/>
  <c r="BG741" i="7" s="1"/>
  <c r="AW751" i="7"/>
  <c r="BG751" i="7" s="1"/>
  <c r="AW703" i="7"/>
  <c r="BG703" i="7" s="1"/>
  <c r="AW752" i="7"/>
  <c r="BG752" i="7" s="1"/>
  <c r="AW740" i="7"/>
  <c r="BG740" i="7" s="1"/>
  <c r="AW753" i="7"/>
  <c r="BG753" i="7" s="1"/>
  <c r="AW739" i="7"/>
  <c r="BG739" i="7" s="1"/>
  <c r="AW705" i="7"/>
  <c r="BG705" i="7" s="1"/>
  <c r="AW745" i="7"/>
  <c r="BG745" i="7" s="1"/>
  <c r="AW707" i="7"/>
  <c r="BG707" i="7" s="1"/>
  <c r="AW696" i="7"/>
  <c r="BG696" i="7" s="1"/>
  <c r="AW700" i="7"/>
  <c r="BG700" i="7" s="1"/>
  <c r="AW767" i="7"/>
  <c r="BG767" i="7" s="1"/>
  <c r="AW736" i="7"/>
  <c r="BG736" i="7" s="1"/>
  <c r="AW681" i="7"/>
  <c r="BG681" i="7" s="1"/>
  <c r="AW770" i="7"/>
  <c r="BG770" i="7" s="1"/>
  <c r="AW737" i="7"/>
  <c r="BG737" i="7" s="1"/>
  <c r="AW685" i="7"/>
  <c r="BG685" i="7" s="1"/>
  <c r="AW769" i="7"/>
  <c r="BG769" i="7" s="1"/>
  <c r="AW682" i="7"/>
  <c r="BG682" i="7" s="1"/>
  <c r="AW742" i="7"/>
  <c r="BG742" i="7" s="1"/>
  <c r="AW710" i="7"/>
  <c r="BG710" i="7" s="1"/>
  <c r="AW763" i="7"/>
  <c r="BG763" i="7" s="1"/>
  <c r="AW692" i="7"/>
  <c r="BG692" i="7" s="1"/>
  <c r="AW749" i="7"/>
  <c r="BG749" i="7" s="1"/>
  <c r="AW762" i="7"/>
  <c r="BG762" i="7" s="1"/>
  <c r="AW713" i="7"/>
  <c r="BG713" i="7" s="1"/>
  <c r="AW717" i="7"/>
  <c r="BG717" i="7" s="1"/>
  <c r="AW743" i="7"/>
  <c r="BG743" i="7" s="1"/>
  <c r="AW691" i="7"/>
  <c r="BG691" i="7" s="1"/>
  <c r="AW714" i="7"/>
  <c r="BG714" i="7" s="1"/>
  <c r="AW693" i="7"/>
  <c r="BG693" i="7" s="1"/>
  <c r="AW708" i="7"/>
  <c r="BG708" i="7" s="1"/>
  <c r="AW684" i="7"/>
  <c r="BG684" i="7" s="1"/>
  <c r="AW760" i="7"/>
  <c r="BG760" i="7" s="1"/>
  <c r="AW689" i="7"/>
  <c r="BG689" i="7" s="1"/>
  <c r="AW750" i="7"/>
  <c r="BG750" i="7" s="1"/>
  <c r="AW734" i="7"/>
  <c r="BG734" i="7" s="1"/>
  <c r="AW690" i="7"/>
  <c r="BG690" i="7" s="1"/>
  <c r="AW735" i="7"/>
  <c r="BG735" i="7" s="1"/>
  <c r="AW758" i="7"/>
  <c r="BG758" i="7" s="1"/>
  <c r="AW746" i="7"/>
  <c r="BG746" i="7" s="1"/>
  <c r="AW754" i="7"/>
  <c r="BG754" i="7" s="1"/>
  <c r="AW698" i="7"/>
  <c r="BG698" i="7" s="1"/>
  <c r="AW697" i="7"/>
  <c r="BG697" i="7" s="1"/>
  <c r="AW730" i="7"/>
  <c r="BG730" i="7" s="1"/>
  <c r="AW722" i="7"/>
  <c r="BG722" i="7" s="1"/>
  <c r="AW699" i="7"/>
  <c r="BG699" i="7" s="1"/>
  <c r="AW723" i="7"/>
  <c r="BG723" i="7" s="1"/>
  <c r="AW731" i="7"/>
  <c r="BG731" i="7" s="1"/>
  <c r="AW724" i="7"/>
  <c r="BG724" i="7" s="1"/>
  <c r="AW765" i="7"/>
  <c r="BG765" i="7" s="1"/>
  <c r="AW701" i="7"/>
  <c r="BG701" i="7" s="1"/>
  <c r="AW676" i="7"/>
  <c r="BG676" i="7" s="1"/>
  <c r="AW764" i="7"/>
  <c r="BG764" i="7" s="1"/>
  <c r="AW738" i="7"/>
  <c r="BG738" i="7" s="1"/>
  <c r="AW677" i="7"/>
  <c r="BG677" i="7" s="1"/>
  <c r="AW686" i="7"/>
  <c r="BG686" i="7" s="1"/>
  <c r="AW678" i="7"/>
  <c r="BG678" i="7" s="1"/>
  <c r="AW718" i="7"/>
  <c r="BG718" i="7" s="1"/>
  <c r="AW725" i="7"/>
  <c r="BG725" i="7" s="1"/>
  <c r="AW726" i="7"/>
  <c r="BG726" i="7" s="1"/>
  <c r="AW727" i="7"/>
  <c r="BG727" i="7" s="1"/>
  <c r="AW761" i="7"/>
  <c r="BG761" i="7" s="1"/>
  <c r="AW712" i="7"/>
  <c r="BG712" i="7" s="1"/>
  <c r="AW766" i="7"/>
  <c r="BG766" i="7" s="1"/>
  <c r="AW747" i="7"/>
  <c r="BG747" i="7" s="1"/>
  <c r="BG674" i="7"/>
  <c r="AW688" i="7"/>
  <c r="BG688" i="7" s="1"/>
  <c r="AW694" i="7"/>
  <c r="BG694" i="7" s="1"/>
  <c r="AW759" i="7"/>
  <c r="BG759" i="7" s="1"/>
  <c r="AW675" i="7"/>
  <c r="BG675" i="7" s="1"/>
  <c r="AW711" i="7"/>
  <c r="BG711" i="7" s="1"/>
  <c r="AW721" i="7"/>
  <c r="BG721" i="7" s="1"/>
  <c r="AW728" i="7"/>
  <c r="BG728" i="7" s="1"/>
  <c r="AW748" i="7"/>
  <c r="BG748" i="7" s="1"/>
  <c r="AW683" i="7"/>
  <c r="BG683" i="7" s="1"/>
  <c r="AW729" i="7"/>
  <c r="BG729" i="7" s="1"/>
  <c r="AW715" i="7"/>
  <c r="BG715" i="7" s="1"/>
  <c r="AW709" i="7"/>
  <c r="BG709" i="7" s="1"/>
  <c r="AW706" i="7"/>
  <c r="BG706" i="7" s="1"/>
  <c r="AW768" i="7"/>
  <c r="BG768" i="7" s="1"/>
  <c r="AW716" i="7"/>
  <c r="BG716" i="7" s="1"/>
  <c r="AW772" i="7"/>
  <c r="BG772" i="7" s="1"/>
  <c r="AW704" i="7"/>
  <c r="BG704" i="7" s="1"/>
  <c r="AW771" i="7"/>
  <c r="BG771" i="7" s="1"/>
  <c r="AW679" i="7"/>
  <c r="BG679" i="7" s="1"/>
  <c r="AW773" i="7"/>
  <c r="BG773" i="7" s="1"/>
  <c r="AW719" i="7"/>
  <c r="BG719" i="7" s="1"/>
  <c r="AW756" i="7"/>
  <c r="BG756" i="7" s="1"/>
  <c r="AW680" i="7"/>
  <c r="BG680" i="7" s="1"/>
  <c r="AW720" i="7"/>
  <c r="BG720" i="7" s="1"/>
  <c r="AW757" i="7"/>
  <c r="BG757" i="7" s="1"/>
  <c r="AW687" i="7"/>
  <c r="BG687" i="7" s="1"/>
  <c r="AW732" i="7"/>
  <c r="BG732" i="7" s="1"/>
  <c r="AW733" i="7"/>
  <c r="BG733" i="7" s="1"/>
  <c r="AW755" i="7"/>
  <c r="BG755" i="7" s="1"/>
  <c r="AY702" i="7"/>
  <c r="AY723" i="7"/>
  <c r="AY722" i="7"/>
  <c r="AY684" i="7"/>
  <c r="AY752" i="7"/>
  <c r="AY728" i="7"/>
  <c r="AY690" i="7"/>
  <c r="AY709" i="7"/>
  <c r="AY734" i="7"/>
  <c r="AY731" i="7"/>
  <c r="AY754" i="7"/>
  <c r="AY732" i="7"/>
  <c r="AY761" i="7"/>
  <c r="AY724" i="7"/>
  <c r="AY755" i="7"/>
  <c r="AY735" i="7"/>
  <c r="AY764" i="7"/>
  <c r="AY693" i="7"/>
  <c r="AY703" i="7"/>
  <c r="AY768" i="7"/>
  <c r="AY738" i="7"/>
  <c r="AY707" i="7"/>
  <c r="AY769" i="7"/>
  <c r="AY770" i="7"/>
  <c r="AY701" i="7"/>
  <c r="AY691" i="7"/>
  <c r="AY692" i="7"/>
  <c r="AY676" i="7"/>
  <c r="AY708" i="7"/>
  <c r="AY762" i="7"/>
  <c r="AY689" i="7"/>
  <c r="AY760" i="7"/>
  <c r="AY681" i="7"/>
  <c r="AY704" i="7"/>
  <c r="AY706" i="7"/>
  <c r="AY766" i="7"/>
  <c r="AY733" i="7"/>
  <c r="AY757" i="7"/>
  <c r="AY688" i="7"/>
  <c r="AY725" i="7"/>
  <c r="AY727" i="7"/>
  <c r="AY677" i="7"/>
  <c r="AY726" i="7"/>
  <c r="AY682" i="7"/>
  <c r="AY741" i="7"/>
  <c r="AY694" i="7"/>
  <c r="AY714" i="7"/>
  <c r="AY739" i="7"/>
  <c r="AY715" i="7"/>
  <c r="AY697" i="7"/>
  <c r="AY716" i="7"/>
  <c r="AY746" i="7"/>
  <c r="AY674" i="7"/>
  <c r="AY695" i="7"/>
  <c r="AY720" i="7"/>
  <c r="AY740" i="7"/>
  <c r="AY721" i="7"/>
  <c r="AY749" i="7"/>
  <c r="AY748" i="7"/>
  <c r="AY719" i="7"/>
  <c r="AY772" i="7"/>
  <c r="AY773" i="7"/>
  <c r="AY765" i="7"/>
  <c r="AY750" i="7"/>
  <c r="AY767" i="7"/>
  <c r="AY705" i="7"/>
  <c r="AY742" i="7"/>
  <c r="AY696" i="7"/>
  <c r="AY743" i="7"/>
  <c r="AY675" i="7"/>
  <c r="AY717" i="7"/>
  <c r="AY687" i="7"/>
  <c r="AY753" i="7"/>
  <c r="AY747" i="7"/>
  <c r="AY751" i="7"/>
  <c r="AY771" i="7"/>
  <c r="AY686" i="7"/>
  <c r="AY718" i="7"/>
  <c r="AY744" i="7"/>
  <c r="AY745" i="7"/>
  <c r="AY699" i="7"/>
  <c r="AY756" i="7"/>
  <c r="AY678" i="7"/>
  <c r="AY680" i="7"/>
  <c r="AY710" i="7"/>
  <c r="AY711" i="7"/>
  <c r="AY737" i="7"/>
  <c r="AY698" i="7"/>
  <c r="AY712" i="7"/>
  <c r="AY758" i="7"/>
  <c r="AY713" i="7"/>
  <c r="AY759" i="7"/>
  <c r="AY729" i="7"/>
  <c r="AY736" i="7"/>
  <c r="AY730" i="7"/>
  <c r="AY683" i="7"/>
  <c r="AY700" i="7"/>
  <c r="AY679" i="7"/>
  <c r="J364" i="7"/>
  <c r="AY685" i="7"/>
  <c r="AO694" i="7"/>
  <c r="AO730" i="7"/>
  <c r="AO736" i="7"/>
  <c r="AO695" i="7"/>
  <c r="AO738" i="7"/>
  <c r="AO755" i="7"/>
  <c r="AO702" i="7"/>
  <c r="AO756" i="7"/>
  <c r="AO734" i="7"/>
  <c r="AO676" i="7"/>
  <c r="AO761" i="7"/>
  <c r="AO713" i="7"/>
  <c r="AO721" i="7"/>
  <c r="AO701" i="7"/>
  <c r="AO748" i="7"/>
  <c r="AO722" i="7"/>
  <c r="AO704" i="7"/>
  <c r="AO773" i="7"/>
  <c r="AO731" i="7"/>
  <c r="AO726" i="7"/>
  <c r="AO691" i="7"/>
  <c r="AO757" i="7"/>
  <c r="AO763" i="7"/>
  <c r="AO681" i="7"/>
  <c r="AO762" i="7"/>
  <c r="AO737" i="7"/>
  <c r="AO684" i="7"/>
  <c r="AO759" i="7"/>
  <c r="AO685" i="7"/>
  <c r="AO700" i="7"/>
  <c r="AO772" i="7"/>
  <c r="AO729" i="7"/>
  <c r="AO771" i="7"/>
  <c r="AO732" i="7"/>
  <c r="AO675" i="7"/>
  <c r="AO758" i="7"/>
  <c r="AO760" i="7"/>
  <c r="AO696" i="7"/>
  <c r="AO692" i="7"/>
  <c r="AO733" i="7"/>
  <c r="AO708" i="7"/>
  <c r="AO703" i="7"/>
  <c r="AO716" i="7"/>
  <c r="AO697" i="7"/>
  <c r="AO735" i="7"/>
  <c r="AO723" i="7"/>
  <c r="AO705" i="7"/>
  <c r="AO686" i="7"/>
  <c r="AO717" i="7"/>
  <c r="AO688" i="7"/>
  <c r="AO718" i="7"/>
  <c r="AO674" i="7"/>
  <c r="AO706" i="7"/>
  <c r="AO750" i="7"/>
  <c r="AO719" i="7"/>
  <c r="AO745" i="7"/>
  <c r="AO680" i="7"/>
  <c r="AO687" i="7"/>
  <c r="AO678" i="7"/>
  <c r="AO752" i="7"/>
  <c r="AO715" i="7"/>
  <c r="AO751" i="7"/>
  <c r="AO728" i="7"/>
  <c r="AO711" i="7"/>
  <c r="AO767" i="7"/>
  <c r="AO770" i="7"/>
  <c r="AO743" i="7"/>
  <c r="AO724" i="7"/>
  <c r="AO689" i="7"/>
  <c r="AO698" i="7"/>
  <c r="AO699" i="7"/>
  <c r="AO747" i="7"/>
  <c r="AO679" i="7"/>
  <c r="AO714" i="7"/>
  <c r="AO749" i="7"/>
  <c r="AO693" i="7"/>
  <c r="AO690" i="7"/>
  <c r="AO753" i="7"/>
  <c r="AO709" i="7"/>
  <c r="AO754" i="7"/>
  <c r="AO769" i="7"/>
  <c r="AO727" i="7"/>
  <c r="AO677" i="7"/>
  <c r="AO746" i="7"/>
  <c r="AO720" i="7"/>
  <c r="AO682" i="7"/>
  <c r="AO740" i="7"/>
  <c r="AO683" i="7"/>
  <c r="AO765" i="7"/>
  <c r="AO741" i="7"/>
  <c r="AO764" i="7"/>
  <c r="AO707" i="7"/>
  <c r="AO766" i="7"/>
  <c r="AO739" i="7"/>
  <c r="AO768" i="7"/>
  <c r="AO744" i="7"/>
  <c r="AO710" i="7"/>
  <c r="AO725" i="7"/>
  <c r="AO742" i="7"/>
  <c r="AO712" i="7"/>
  <c r="BI773" i="7" l="1"/>
  <c r="BO773" i="7" s="1"/>
  <c r="M364" i="7"/>
  <c r="Q364" i="7" s="1"/>
  <c r="U364" i="7" s="1"/>
  <c r="AK364" i="7"/>
  <c r="AH693" i="7"/>
  <c r="BO693" i="7" s="1"/>
  <c r="BI711" i="7"/>
  <c r="AH690" i="7"/>
  <c r="BO690" i="7" s="1"/>
  <c r="AH763" i="7"/>
  <c r="BI720" i="7"/>
  <c r="BI679" i="7"/>
  <c r="BO679" i="7" s="1"/>
  <c r="BI675" i="7"/>
  <c r="BO675" i="7" s="1"/>
  <c r="BI687" i="7"/>
  <c r="BI760" i="7"/>
  <c r="BO760" i="7" s="1"/>
  <c r="BI763" i="7"/>
  <c r="BO763" i="7" s="1"/>
  <c r="BI678" i="7"/>
  <c r="BO678" i="7" s="1"/>
  <c r="BI704" i="7"/>
  <c r="BI767" i="7"/>
  <c r="BO767" i="7" s="1"/>
  <c r="BI753" i="7"/>
  <c r="BI725" i="7"/>
  <c r="BI703" i="7"/>
  <c r="BI746" i="7"/>
  <c r="BI701" i="7"/>
  <c r="BI710" i="7"/>
  <c r="BI708" i="7"/>
  <c r="BI674" i="7"/>
  <c r="AH688" i="7"/>
  <c r="AH683" i="7"/>
  <c r="AH696" i="7"/>
  <c r="BO696" i="7" s="1"/>
  <c r="AH737" i="7"/>
  <c r="BO737" i="7" s="1"/>
  <c r="AH759" i="7"/>
  <c r="AH745" i="7"/>
  <c r="BO745" i="7" s="1"/>
  <c r="AH711" i="7"/>
  <c r="BO711" i="7" s="1"/>
  <c r="AH762" i="7"/>
  <c r="BI719" i="7"/>
  <c r="AH728" i="7"/>
  <c r="BO728" i="7" s="1"/>
  <c r="BI740" i="7"/>
  <c r="AH748" i="7"/>
  <c r="BO748" i="7" s="1"/>
  <c r="BI737" i="7"/>
  <c r="AH732" i="7"/>
  <c r="BO732" i="7" s="1"/>
  <c r="BI757" i="7"/>
  <c r="AH705" i="7"/>
  <c r="BO705" i="7" s="1"/>
  <c r="AH697" i="7"/>
  <c r="BO697" i="7" s="1"/>
  <c r="AH686" i="7"/>
  <c r="BI752" i="7"/>
  <c r="BI762" i="7"/>
  <c r="BO762" i="7" s="1"/>
  <c r="AH767" i="7"/>
  <c r="AH724" i="7"/>
  <c r="BO724" i="7" s="1"/>
  <c r="BI691" i="7"/>
  <c r="AH715" i="7"/>
  <c r="BO715" i="7" s="1"/>
  <c r="AH761" i="7"/>
  <c r="AH713" i="7"/>
  <c r="BO713" i="7" s="1"/>
  <c r="AH685" i="7"/>
  <c r="BI684" i="7"/>
  <c r="BO684" i="7" s="1"/>
  <c r="AH708" i="7"/>
  <c r="BO708" i="7" s="1"/>
  <c r="BI729" i="7"/>
  <c r="BI754" i="7"/>
  <c r="BI721" i="7"/>
  <c r="BI699" i="7"/>
  <c r="BI716" i="7"/>
  <c r="AH760" i="7"/>
  <c r="BI685" i="7"/>
  <c r="BO685" i="7" s="1"/>
  <c r="AH689" i="7"/>
  <c r="BO689" i="7" s="1"/>
  <c r="BI744" i="7"/>
  <c r="BI734" i="7"/>
  <c r="AH755" i="7"/>
  <c r="BO755" i="7" s="1"/>
  <c r="AH679" i="7"/>
  <c r="AH678" i="7"/>
  <c r="BI697" i="7"/>
  <c r="AH768" i="7"/>
  <c r="AH758" i="7"/>
  <c r="BO758" i="7" s="1"/>
  <c r="BI764" i="7"/>
  <c r="BO764" i="7" s="1"/>
  <c r="BI698" i="7"/>
  <c r="BI732" i="7"/>
  <c r="AH757" i="7"/>
  <c r="BO757" i="7" s="1"/>
  <c r="BI705" i="7"/>
  <c r="BI680" i="7"/>
  <c r="BO680" i="7" s="1"/>
  <c r="BI706" i="7"/>
  <c r="AC364" i="7"/>
  <c r="AS364" i="7"/>
  <c r="AY364" i="7" s="1"/>
  <c r="AO364" i="7"/>
  <c r="Y364" i="7"/>
  <c r="BI731" i="7"/>
  <c r="AH746" i="7"/>
  <c r="BO746" i="7" s="1"/>
  <c r="AH687" i="7"/>
  <c r="BI717" i="7"/>
  <c r="BI700" i="7"/>
  <c r="BI766" i="7"/>
  <c r="AH706" i="7"/>
  <c r="BO706" i="7" s="1"/>
  <c r="BI714" i="7"/>
  <c r="AH771" i="7"/>
  <c r="AH739" i="7"/>
  <c r="BO739" i="7" s="1"/>
  <c r="AH727" i="7"/>
  <c r="BO727" i="7" s="1"/>
  <c r="AH722" i="7"/>
  <c r="BO722" i="7" s="1"/>
  <c r="BI769" i="7"/>
  <c r="BO769" i="7" s="1"/>
  <c r="AH707" i="7"/>
  <c r="BO707" i="7" s="1"/>
  <c r="AH749" i="7"/>
  <c r="BO749" i="7" s="1"/>
  <c r="BI694" i="7"/>
  <c r="AH753" i="7"/>
  <c r="BO753" i="7" s="1"/>
  <c r="AH740" i="7"/>
  <c r="BO740" i="7" s="1"/>
  <c r="BI683" i="7"/>
  <c r="BO683" i="7" s="1"/>
  <c r="AH702" i="7"/>
  <c r="BO702" i="7" s="1"/>
  <c r="AH681" i="7"/>
  <c r="AH747" i="7"/>
  <c r="BO747" i="7" s="1"/>
  <c r="AH766" i="7"/>
  <c r="AH734" i="7"/>
  <c r="BO734" i="7" s="1"/>
  <c r="AH716" i="7"/>
  <c r="BO716" i="7" s="1"/>
  <c r="BI712" i="7"/>
  <c r="BI707" i="7"/>
  <c r="BI726" i="7"/>
  <c r="M276" i="7"/>
  <c r="Q276" i="7" s="1"/>
  <c r="U276" i="7" s="1"/>
  <c r="AC276" i="7"/>
  <c r="Y276" i="7"/>
  <c r="AK276" i="7"/>
  <c r="AO276" i="7" s="1"/>
  <c r="AS276" i="7"/>
  <c r="AV276" i="7" s="1"/>
  <c r="AH714" i="7"/>
  <c r="BO714" i="7" s="1"/>
  <c r="AH764" i="7"/>
  <c r="BI749" i="7"/>
  <c r="AH712" i="7"/>
  <c r="BO712" i="7" s="1"/>
  <c r="AH743" i="7"/>
  <c r="BO743" i="7" s="1"/>
  <c r="BI736" i="7"/>
  <c r="AH680" i="7"/>
  <c r="AH725" i="7"/>
  <c r="BO725" i="7" s="1"/>
  <c r="BI677" i="7"/>
  <c r="BI768" i="7"/>
  <c r="BI690" i="7"/>
  <c r="AH772" i="7"/>
  <c r="AH701" i="7"/>
  <c r="BO701" i="7" s="1"/>
  <c r="AH695" i="7"/>
  <c r="BO695" i="7" s="1"/>
  <c r="BI693" i="7"/>
  <c r="AH682" i="7"/>
  <c r="AH733" i="7"/>
  <c r="BO733" i="7" s="1"/>
  <c r="AH677" i="7"/>
  <c r="AH703" i="7"/>
  <c r="BO703" i="7" s="1"/>
  <c r="BI772" i="7"/>
  <c r="BO772" i="7" s="1"/>
  <c r="AH736" i="7"/>
  <c r="BO736" i="7" s="1"/>
  <c r="BI733" i="7"/>
  <c r="AH752" i="7"/>
  <c r="BO752" i="7" s="1"/>
  <c r="BI735" i="7"/>
  <c r="BI676" i="7"/>
  <c r="BO676" i="7" s="1"/>
  <c r="BI715" i="7"/>
  <c r="BI739" i="7"/>
  <c r="BI759" i="7"/>
  <c r="BO759" i="7" s="1"/>
  <c r="AH731" i="7"/>
  <c r="BO731" i="7" s="1"/>
  <c r="BI692" i="7"/>
  <c r="AH751" i="7"/>
  <c r="BO751" i="7" s="1"/>
  <c r="AH699" i="7"/>
  <c r="BO699" i="7" s="1"/>
  <c r="BI730" i="7"/>
  <c r="BI722" i="7"/>
  <c r="AH738" i="7"/>
  <c r="BO738" i="7" s="1"/>
  <c r="BI747" i="7"/>
  <c r="AH718" i="7"/>
  <c r="BO718" i="7" s="1"/>
  <c r="BI738" i="7"/>
  <c r="AH729" i="7"/>
  <c r="BO729" i="7" s="1"/>
  <c r="AH674" i="7"/>
  <c r="BI713" i="7"/>
  <c r="AH735" i="7"/>
  <c r="BO735" i="7" s="1"/>
  <c r="AH704" i="7"/>
  <c r="BO704" i="7" s="1"/>
  <c r="BI702" i="7"/>
  <c r="AH756" i="7"/>
  <c r="BO756" i="7" s="1"/>
  <c r="BI770" i="7"/>
  <c r="BO770" i="7" s="1"/>
  <c r="BI718" i="7"/>
  <c r="BI681" i="7"/>
  <c r="BO681" i="7" s="1"/>
  <c r="BI682" i="7"/>
  <c r="BI695" i="7"/>
  <c r="BI723" i="7"/>
  <c r="AH754" i="7"/>
  <c r="BO754" i="7" s="1"/>
  <c r="AH710" i="7"/>
  <c r="BO710" i="7" s="1"/>
  <c r="BI709" i="7"/>
  <c r="BI688" i="7"/>
  <c r="BO688" i="7" s="1"/>
  <c r="BI761" i="7"/>
  <c r="BI758" i="7"/>
  <c r="AH692" i="7"/>
  <c r="BO692" i="7" s="1"/>
  <c r="AH723" i="7"/>
  <c r="BO723" i="7" s="1"/>
  <c r="BI742" i="7"/>
  <c r="AH744" i="7"/>
  <c r="BO744" i="7" s="1"/>
  <c r="AH726" i="7"/>
  <c r="BO726" i="7" s="1"/>
  <c r="BI686" i="7"/>
  <c r="BO686" i="7" s="1"/>
  <c r="BI689" i="7"/>
  <c r="BI696" i="7"/>
  <c r="BI728" i="7"/>
  <c r="AH676" i="7"/>
  <c r="AH717" i="7"/>
  <c r="BO717" i="7" s="1"/>
  <c r="BI724" i="7"/>
  <c r="AH675" i="7"/>
  <c r="AH770" i="7"/>
  <c r="AH741" i="7"/>
  <c r="BO741" i="7" s="1"/>
  <c r="BI750" i="7"/>
  <c r="BI741" i="7"/>
  <c r="AH709" i="7"/>
  <c r="BO709" i="7" s="1"/>
  <c r="AH720" i="7"/>
  <c r="BO720" i="7" s="1"/>
  <c r="BI771" i="7"/>
  <c r="BO771" i="7" s="1"/>
  <c r="BI765" i="7"/>
  <c r="AH691" i="7"/>
  <c r="BO691" i="7" s="1"/>
  <c r="AH694" i="7"/>
  <c r="BO694" i="7" s="1"/>
  <c r="BI745" i="7"/>
  <c r="BI756" i="7"/>
  <c r="AH721" i="7"/>
  <c r="BO721" i="7" s="1"/>
  <c r="BI755" i="7"/>
  <c r="BI751" i="7"/>
  <c r="BI727" i="7"/>
  <c r="AH765" i="7"/>
  <c r="AH700" i="7"/>
  <c r="BO700" i="7" s="1"/>
  <c r="AH773" i="7"/>
  <c r="AH684" i="7"/>
  <c r="BI743" i="7"/>
  <c r="AH719" i="7"/>
  <c r="BO719" i="7" s="1"/>
  <c r="AH750" i="7"/>
  <c r="BO750" i="7" s="1"/>
  <c r="AH730" i="7"/>
  <c r="BO730" i="7" s="1"/>
  <c r="AH698" i="7"/>
  <c r="BO698" i="7" s="1"/>
  <c r="BI748" i="7"/>
  <c r="AH769" i="7"/>
  <c r="AH742" i="7"/>
  <c r="BO742" i="7" s="1"/>
  <c r="AY276" i="7" l="1"/>
  <c r="BB276" i="7" s="1"/>
  <c r="G276" i="7" s="1"/>
  <c r="BO687" i="7"/>
  <c r="BO674" i="7"/>
  <c r="BO765" i="7"/>
  <c r="BF276" i="7"/>
  <c r="AG276" i="7"/>
  <c r="BF364" i="7"/>
  <c r="BO677" i="7"/>
  <c r="AV364" i="7"/>
  <c r="BB364" i="7" s="1"/>
  <c r="AG364" i="7"/>
  <c r="BO761" i="7"/>
  <c r="BO766" i="7"/>
  <c r="BO682" i="7"/>
  <c r="BO768" i="7"/>
  <c r="BJ276" i="7" l="1"/>
  <c r="BN276" i="7" s="1"/>
  <c r="J277" i="7" s="1"/>
  <c r="AC277" i="7" s="1"/>
  <c r="G364" i="7"/>
  <c r="BJ364" i="7"/>
  <c r="BN364" i="7" s="1"/>
  <c r="J365" i="7" s="1"/>
  <c r="M365" i="7" l="1"/>
  <c r="Q365" i="7" s="1"/>
  <c r="U365" i="7" s="1"/>
  <c r="M277" i="7"/>
  <c r="Q277" i="7" s="1"/>
  <c r="U277" i="7" s="1"/>
  <c r="Y277" i="7"/>
  <c r="AS277" i="7"/>
  <c r="AY277" i="7" s="1"/>
  <c r="AK277" i="7"/>
  <c r="AO277" i="7" s="1"/>
  <c r="AG277" i="7"/>
  <c r="AS365" i="7"/>
  <c r="AY365" i="7" s="1"/>
  <c r="AC365" i="7"/>
  <c r="Y365" i="7"/>
  <c r="AK365" i="7"/>
  <c r="AO365" i="7" s="1"/>
  <c r="AV277" i="7" l="1"/>
  <c r="BB277" i="7" s="1"/>
  <c r="AG365" i="7"/>
  <c r="BF277" i="7"/>
  <c r="AV365" i="7"/>
  <c r="BB365" i="7" s="1"/>
  <c r="BF365" i="7"/>
  <c r="BJ277" i="7" l="1"/>
  <c r="BN277" i="7" s="1"/>
  <c r="J278" i="7" s="1"/>
  <c r="AC278" i="7" s="1"/>
  <c r="BJ365" i="7"/>
  <c r="BN365" i="7" s="1"/>
  <c r="J366" i="7" s="1"/>
  <c r="M278" i="7" l="1"/>
  <c r="Q278" i="7" s="1"/>
  <c r="U278" i="7" s="1"/>
  <c r="Y278" i="7"/>
  <c r="AG278" i="7" s="1"/>
  <c r="AS278" i="7"/>
  <c r="AK278" i="7"/>
  <c r="AO278" i="7" s="1"/>
  <c r="M366" i="7"/>
  <c r="Q366" i="7" s="1"/>
  <c r="U366" i="7" s="1"/>
  <c r="Y366" i="7"/>
  <c r="AK366" i="7"/>
  <c r="AO366" i="7" s="1"/>
  <c r="AC366" i="7"/>
  <c r="AS366" i="7"/>
  <c r="AY366" i="7" s="1"/>
  <c r="BF278" i="7" l="1"/>
  <c r="AY278" i="7"/>
  <c r="AV278" i="7"/>
  <c r="AG366" i="7"/>
  <c r="BF366" i="7"/>
  <c r="AV366" i="7"/>
  <c r="BB278" i="7" l="1"/>
  <c r="BJ278" i="7" s="1"/>
  <c r="BN278" i="7" s="1"/>
  <c r="J279" i="7" s="1"/>
  <c r="BB366" i="7"/>
  <c r="BJ366" i="7" s="1"/>
  <c r="BN366" i="7" s="1"/>
  <c r="J367" i="7" s="1"/>
  <c r="Y279" i="7" l="1"/>
  <c r="AS279" i="7"/>
  <c r="AK279" i="7"/>
  <c r="AO279" i="7" s="1"/>
  <c r="AC279" i="7"/>
  <c r="M279" i="7"/>
  <c r="Q279" i="7" s="1"/>
  <c r="U279" i="7" s="1"/>
  <c r="BF279" i="7" s="1"/>
  <c r="M367" i="7"/>
  <c r="Q367" i="7" s="1"/>
  <c r="U367" i="7" s="1"/>
  <c r="AK367" i="7"/>
  <c r="AO367" i="7" s="1"/>
  <c r="AS367" i="7"/>
  <c r="AY367" i="7" s="1"/>
  <c r="Y367" i="7"/>
  <c r="AC367" i="7"/>
  <c r="AV279" i="7" l="1"/>
  <c r="AY279" i="7"/>
  <c r="AG279" i="7"/>
  <c r="BF367" i="7"/>
  <c r="AV367" i="7"/>
  <c r="BB367" i="7" s="1"/>
  <c r="BJ367" i="7" s="1"/>
  <c r="BN367" i="7" s="1"/>
  <c r="J368" i="7" s="1"/>
  <c r="AG367" i="7"/>
  <c r="BB279" i="7" l="1"/>
  <c r="BJ279" i="7" s="1"/>
  <c r="BN279" i="7" s="1"/>
  <c r="J280" i="7" s="1"/>
  <c r="M368" i="7"/>
  <c r="Q368" i="7" s="1"/>
  <c r="U368" i="7" s="1"/>
  <c r="Y368" i="7"/>
  <c r="AS368" i="7"/>
  <c r="AV368" i="7" s="1"/>
  <c r="AC368" i="7"/>
  <c r="AK368" i="7"/>
  <c r="AO368" i="7" s="1"/>
  <c r="M280" i="7" l="1"/>
  <c r="Q280" i="7" s="1"/>
  <c r="U280" i="7" s="1"/>
  <c r="AK280" i="7"/>
  <c r="AO280" i="7" s="1"/>
  <c r="Y280" i="7"/>
  <c r="AC280" i="7"/>
  <c r="AS280" i="7"/>
  <c r="AY280" i="7" s="1"/>
  <c r="BF280" i="7"/>
  <c r="AY368" i="7"/>
  <c r="BB368" i="7" s="1"/>
  <c r="BF368" i="7"/>
  <c r="AG368" i="7"/>
  <c r="AV280" i="7" l="1"/>
  <c r="BB280" i="7" s="1"/>
  <c r="BJ280" i="7" s="1"/>
  <c r="BN280" i="7" s="1"/>
  <c r="J281" i="7" s="1"/>
  <c r="AG280" i="7"/>
  <c r="BJ368" i="7"/>
  <c r="BN368" i="7" s="1"/>
  <c r="J369" i="7" s="1"/>
  <c r="M281" i="7" l="1"/>
  <c r="Q281" i="7" s="1"/>
  <c r="U281" i="7" s="1"/>
  <c r="AS281" i="7"/>
  <c r="AV281" i="7" s="1"/>
  <c r="Y281" i="7"/>
  <c r="AC281" i="7"/>
  <c r="AK281" i="7"/>
  <c r="AO281" i="7" s="1"/>
  <c r="BF281" i="7" s="1"/>
  <c r="AY281" i="7"/>
  <c r="BB281" i="7" s="1"/>
  <c r="M369" i="7"/>
  <c r="Q369" i="7" s="1"/>
  <c r="AK369" i="7"/>
  <c r="AO369" i="7" s="1"/>
  <c r="AS369" i="7"/>
  <c r="AY369" i="7" s="1"/>
  <c r="AC369" i="7"/>
  <c r="Y369" i="7"/>
  <c r="BJ281" i="7" l="1"/>
  <c r="BN281" i="7" s="1"/>
  <c r="J282" i="7" s="1"/>
  <c r="M282" i="7" s="1"/>
  <c r="Q282" i="7" s="1"/>
  <c r="U282" i="7" s="1"/>
  <c r="BF282" i="7" s="1"/>
  <c r="BJ282" i="7" s="1"/>
  <c r="BN282" i="7" s="1"/>
  <c r="J283" i="7" s="1"/>
  <c r="AG281" i="7"/>
  <c r="AC282" i="7"/>
  <c r="AK282" i="7"/>
  <c r="AO282" i="7" s="1"/>
  <c r="AY282" i="7"/>
  <c r="BB282" i="7" s="1"/>
  <c r="AG369" i="7"/>
  <c r="AV369" i="7"/>
  <c r="BB369" i="7" s="1"/>
  <c r="U369" i="7"/>
  <c r="Y282" i="7" l="1"/>
  <c r="AS282" i="7"/>
  <c r="AV282" i="7" s="1"/>
  <c r="AG282" i="7"/>
  <c r="AS283" i="7"/>
  <c r="AK283" i="7"/>
  <c r="AO283" i="7" s="1"/>
  <c r="M283" i="7"/>
  <c r="Q283" i="7" s="1"/>
  <c r="U283" i="7" s="1"/>
  <c r="AY283" i="7"/>
  <c r="AC283" i="7"/>
  <c r="AG283" i="7"/>
  <c r="BB283" i="7"/>
  <c r="BJ283" i="7"/>
  <c r="BN283" i="7" s="1"/>
  <c r="J284" i="7" s="1"/>
  <c r="BF283" i="7"/>
  <c r="AV283" i="7"/>
  <c r="Y283" i="7"/>
  <c r="BF369" i="7"/>
  <c r="BJ369" i="7" s="1"/>
  <c r="BN369" i="7" s="1"/>
  <c r="J370" i="7" s="1"/>
  <c r="AG284" i="7" l="1"/>
  <c r="AS284" i="7"/>
  <c r="M284" i="7"/>
  <c r="Q284" i="7" s="1"/>
  <c r="U284" i="7" s="1"/>
  <c r="BF284" i="7" s="1"/>
  <c r="AV284" i="7"/>
  <c r="AY284" i="7"/>
  <c r="BB284" i="7"/>
  <c r="Y284" i="7"/>
  <c r="AK284" i="7"/>
  <c r="AO284" i="7" s="1"/>
  <c r="AC284" i="7"/>
  <c r="BJ284" i="7"/>
  <c r="BN284" i="7" s="1"/>
  <c r="J285" i="7" s="1"/>
  <c r="M370" i="7"/>
  <c r="Q370" i="7" s="1"/>
  <c r="U370" i="7" s="1"/>
  <c r="Y370" i="7"/>
  <c r="AS370" i="7"/>
  <c r="AV370" i="7" s="1"/>
  <c r="AK370" i="7"/>
  <c r="AO370" i="7" s="1"/>
  <c r="AC370" i="7"/>
  <c r="BF285" i="7" l="1"/>
  <c r="W289" i="7" a="1"/>
  <c r="W289" i="7" s="1"/>
  <c r="AG285" i="7"/>
  <c r="Y285" i="7"/>
  <c r="BJ285" i="7"/>
  <c r="BN285" i="7" s="1"/>
  <c r="BB285" i="7"/>
  <c r="AV285" i="7"/>
  <c r="AS285" i="7"/>
  <c r="AC285" i="7"/>
  <c r="AY285" i="7"/>
  <c r="M285" i="7"/>
  <c r="Q285" i="7" s="1"/>
  <c r="U285" i="7" s="1"/>
  <c r="AK285" i="7"/>
  <c r="AO285" i="7" s="1"/>
  <c r="AY370" i="7"/>
  <c r="BB370" i="7" s="1"/>
  <c r="AG370" i="7"/>
  <c r="BF370" i="7"/>
  <c r="W291" i="7" l="1" a="1"/>
  <c r="W291" i="7" s="1"/>
  <c r="W296" i="7" a="1"/>
  <c r="W296" i="7" s="1"/>
  <c r="W380" i="7" a="1"/>
  <c r="W380" i="7" s="1"/>
  <c r="W389" i="7" s="1"/>
  <c r="W390" i="7" s="1"/>
  <c r="B15" i="10" s="1"/>
  <c r="W293" i="7" a="1"/>
  <c r="W293" i="7" s="1"/>
  <c r="W384" i="7" a="1"/>
  <c r="W384" i="7" s="1"/>
  <c r="W382" i="7" a="1"/>
  <c r="W382" i="7" s="1"/>
  <c r="W379" i="7" a="1"/>
  <c r="W379" i="7" s="1"/>
  <c r="W292" i="7" a="1"/>
  <c r="W292" i="7" s="1"/>
  <c r="W301" i="7" s="1"/>
  <c r="W302" i="7" s="1"/>
  <c r="B9" i="10" s="1"/>
  <c r="W294" i="7" a="1"/>
  <c r="W294" i="7" s="1"/>
  <c r="W306" i="7" s="1"/>
  <c r="W378" i="7" a="1"/>
  <c r="W378" i="7" s="1"/>
  <c r="B13" i="10" s="1"/>
  <c r="W383" i="7" a="1"/>
  <c r="W383" i="7" s="1"/>
  <c r="W381" i="7" a="1"/>
  <c r="W381" i="7" s="1"/>
  <c r="W290" i="7" a="1"/>
  <c r="W290" i="7" s="1"/>
  <c r="B5" i="10" s="1"/>
  <c r="W295" i="7" a="1"/>
  <c r="W295" i="7" s="1"/>
  <c r="BJ370" i="7"/>
  <c r="BN370" i="7" s="1"/>
  <c r="J371" i="7" s="1"/>
  <c r="U371" i="7" s="1"/>
  <c r="W393" i="7" l="1"/>
  <c r="B14" i="10"/>
  <c r="W305" i="7"/>
  <c r="B6" i="10"/>
  <c r="W309" i="7"/>
  <c r="W312" i="7" s="1"/>
  <c r="W394" i="7"/>
  <c r="W397" i="7" s="1"/>
  <c r="W400" i="7" s="1"/>
  <c r="Y371" i="7"/>
  <c r="BF371" i="7"/>
  <c r="AK371" i="7"/>
  <c r="AV371" i="7"/>
  <c r="AC371" i="7"/>
  <c r="AG371" i="7"/>
  <c r="BJ371" i="7"/>
  <c r="BN371" i="7" s="1"/>
  <c r="J372" i="7" s="1"/>
  <c r="M372" i="7" s="1"/>
  <c r="BB371" i="7"/>
  <c r="AO371" i="7"/>
  <c r="AS371" i="7"/>
  <c r="M371" i="7"/>
  <c r="Q371" i="7"/>
  <c r="AY371" i="7"/>
  <c r="W401" i="7" l="1"/>
  <c r="B17" i="10" s="1"/>
  <c r="B16" i="10"/>
  <c r="W313" i="7"/>
  <c r="B11" i="10" s="1"/>
  <c r="B10" i="10"/>
  <c r="AG372" i="7"/>
  <c r="AS372" i="7"/>
  <c r="AO372" i="7"/>
  <c r="BB372" i="7"/>
  <c r="BJ372" i="7"/>
  <c r="BN372" i="7" s="1"/>
  <c r="J373" i="7" s="1"/>
  <c r="M373" i="7" s="1"/>
  <c r="AC372" i="7"/>
  <c r="BF372" i="7"/>
  <c r="AK372" i="7"/>
  <c r="Y372" i="7"/>
  <c r="AV372" i="7"/>
  <c r="U372" i="7"/>
  <c r="Q372" i="7"/>
  <c r="AY372" i="7"/>
  <c r="U373" i="7"/>
  <c r="Y373" i="7"/>
  <c r="Q373" i="7" l="1"/>
  <c r="AY373" i="7"/>
  <c r="W377" i="7" a="1"/>
  <c r="W377" i="7" s="1"/>
  <c r="AV373" i="7"/>
  <c r="BF373" i="7"/>
  <c r="AC373" i="7"/>
  <c r="BB373" i="7"/>
  <c r="AG373" i="7"/>
  <c r="BJ373" i="7"/>
  <c r="BN373" i="7" s="1"/>
  <c r="AO373" i="7"/>
  <c r="AS373" i="7"/>
  <c r="AK373"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<sst xmlns="http://schemas.openxmlformats.org/spreadsheetml/2006/main" count="566" uniqueCount="367">
  <si>
    <t>Specified Tensile Strength of Prestressing Steel, fpu =</t>
  </si>
  <si>
    <t>ksi</t>
  </si>
  <si>
    <t>Post-Tensioning Yield Strength, fpy =</t>
  </si>
  <si>
    <t>Concrete Compressive Strength, f'c =</t>
  </si>
  <si>
    <t>in</t>
  </si>
  <si>
    <t>Project Name</t>
  </si>
  <si>
    <t>North Connector Bridge</t>
  </si>
  <si>
    <t>Jacobs Project Number</t>
  </si>
  <si>
    <t>Section Letter</t>
  </si>
  <si>
    <t>Originator Initials</t>
  </si>
  <si>
    <t>NCB</t>
  </si>
  <si>
    <t>Origination Date</t>
  </si>
  <si>
    <t>Checker Initials</t>
  </si>
  <si>
    <t>DA</t>
  </si>
  <si>
    <t>Checked Date</t>
  </si>
  <si>
    <t>Revision Number</t>
  </si>
  <si>
    <t>NODE</t>
  </si>
  <si>
    <t>FACTORED STRENGTH 1 FLEXURE, Mu</t>
  </si>
  <si>
    <t>-</t>
  </si>
  <si>
    <t>ft</t>
  </si>
  <si>
    <t>kips ft</t>
  </si>
  <si>
    <t>COMPUTATION SHEET</t>
  </si>
  <si>
    <t>Page:</t>
  </si>
  <si>
    <t>Originator:</t>
  </si>
  <si>
    <t>Date:</t>
  </si>
  <si>
    <t>Project Name:</t>
  </si>
  <si>
    <t>Checker:</t>
  </si>
  <si>
    <t>Project No.:</t>
  </si>
  <si>
    <t>Section:</t>
  </si>
  <si>
    <t>Revision No.:</t>
  </si>
  <si>
    <t>Equation or Reference</t>
  </si>
  <si>
    <t>Positive Flexural Resistance</t>
  </si>
  <si>
    <t>AASHTO 5.6.3.2.1-1</t>
  </si>
  <si>
    <t>AASHTO 5.5.4.2-1</t>
  </si>
  <si>
    <t>AASHTO 5.6.3.1.1-4</t>
  </si>
  <si>
    <t>AASHTO 5.6.3.1.1-1</t>
  </si>
  <si>
    <t>AASHTO 5.6.3.1.1-2</t>
  </si>
  <si>
    <t>AASHTO 5.4.4.1</t>
  </si>
  <si>
    <t>AASHTO 4.6.2.6</t>
  </si>
  <si>
    <t>Prestressing Stress Limit Coefficient, k =</t>
  </si>
  <si>
    <t>Stress Block Factor, ϐ1 =</t>
  </si>
  <si>
    <t>AASHTO 5.6.2.2</t>
  </si>
  <si>
    <t>Stress Block Factor, α1 =</t>
  </si>
  <si>
    <t>Resistance Reduction Factor, ϕ =</t>
  </si>
  <si>
    <t>AASHTO 5.5.4.2</t>
  </si>
  <si>
    <t xml:space="preserve">Factored Strength 1 Flexural Resistance, ϕMn = </t>
  </si>
  <si>
    <t>Factored Strength 1  Demand to Capacity Ratio, D/C =</t>
  </si>
  <si>
    <t>Negative Flexural Resistance</t>
  </si>
  <si>
    <t>AASHTO 5.6.2.1</t>
  </si>
  <si>
    <t xml:space="preserve">Factored Strength 1 Flexural Resistance, ϕMn (-) = </t>
  </si>
  <si>
    <t>Node</t>
  </si>
  <si>
    <t>Template Formatting Notes</t>
  </si>
  <si>
    <t>Rows and Columns always 20 pixels</t>
  </si>
  <si>
    <t>Use font 9 and type 'Jacobs Chronos' for calcs</t>
  </si>
  <si>
    <t>Keep Scale always set to 100% (Page Layout Tab &gt; Scale to Fit &gt; Scale:)</t>
  </si>
  <si>
    <t>Top and Bottom Margins set to 0.30"; left and right margins set to 0.25"; Header set to 0.30"; Footer set to 0.00" (Page Layout Tab &gt; Page Setup &gt; Margins Tab)</t>
  </si>
  <si>
    <t>Select 'Horiontally' under 'Center on Page' section (Page Layout Tab &gt; Page Setup &gt; Margins Tab)</t>
  </si>
  <si>
    <t>Set "$1:$7" in 'Rows to Repeat' (Page Layout &gt; Page Setup &gt; Sheet Tab)</t>
  </si>
  <si>
    <t>References</t>
  </si>
  <si>
    <t>Design Assumptions</t>
  </si>
  <si>
    <t>AASHTO, 10th</t>
  </si>
  <si>
    <t>Flexural Analysis Methodology - The flexural behavior of post-tensioned concrete box girders is evaluated using classical flexural theory, assuming that plane sections remain plane after bending.</t>
  </si>
  <si>
    <t>Strain Distribution - A linear strain distribution is assumed across the depth of the post-tensioned box section for the calculation of flexural resistance.</t>
  </si>
  <si>
    <t>Torsional Effects - Torsional effects are considered negligible and are therefore excluded from both flexural resistance and demand calculations.</t>
  </si>
  <si>
    <t>Abbreviations</t>
  </si>
  <si>
    <t>Abbreviation</t>
  </si>
  <si>
    <t>Definition</t>
  </si>
  <si>
    <t>Dist.</t>
  </si>
  <si>
    <t>Distance</t>
  </si>
  <si>
    <t>Ext.</t>
  </si>
  <si>
    <t>Extreme</t>
  </si>
  <si>
    <t>PT</t>
  </si>
  <si>
    <t>Post-Tensioning</t>
  </si>
  <si>
    <t>N.A.</t>
  </si>
  <si>
    <t>Neutral Axis</t>
  </si>
  <si>
    <t>Equiv.</t>
  </si>
  <si>
    <t>Equivalent</t>
  </si>
  <si>
    <t>Btw</t>
  </si>
  <si>
    <t>Between</t>
  </si>
  <si>
    <t>NPT</t>
  </si>
  <si>
    <t>Non-Post-Tensioned</t>
  </si>
  <si>
    <t>Reinf.</t>
  </si>
  <si>
    <t>Reinforcing</t>
  </si>
  <si>
    <r>
      <t xml:space="preserve">Post-Tensioning Yield Strength, </t>
    </r>
    <r>
      <rPr>
        <i/>
        <sz val="9"/>
        <color theme="1"/>
        <rFont val="Jacobs Chronos"/>
        <family val="2"/>
      </rPr>
      <t>f</t>
    </r>
    <r>
      <rPr>
        <i/>
        <vertAlign val="subscript"/>
        <sz val="9"/>
        <color theme="1"/>
        <rFont val="Jacobs Chronos"/>
        <family val="2"/>
      </rPr>
      <t>py</t>
    </r>
    <r>
      <rPr>
        <sz val="9"/>
        <color theme="1"/>
        <rFont val="Jacobs Chronos"/>
        <family val="2"/>
      </rPr>
      <t xml:space="preserve"> =</t>
    </r>
  </si>
  <si>
    <r>
      <t xml:space="preserve">Web Width, </t>
    </r>
    <r>
      <rPr>
        <i/>
        <sz val="9"/>
        <color theme="1"/>
        <rFont val="Jacobs Chronos"/>
        <family val="2"/>
      </rPr>
      <t>b</t>
    </r>
    <r>
      <rPr>
        <i/>
        <vertAlign val="subscript"/>
        <sz val="9"/>
        <color theme="1"/>
        <rFont val="Jacobs Chronos"/>
        <family val="2"/>
      </rPr>
      <t>w</t>
    </r>
    <r>
      <rPr>
        <sz val="9"/>
        <color theme="1"/>
        <rFont val="Jacobs Chronos"/>
        <family val="2"/>
      </rPr>
      <t xml:space="preserve"> =</t>
    </r>
  </si>
  <si>
    <r>
      <t xml:space="preserve">Compression Flange Depth, </t>
    </r>
    <r>
      <rPr>
        <i/>
        <sz val="9"/>
        <color theme="1"/>
        <rFont val="Jacobs Chronos"/>
        <family val="2"/>
      </rPr>
      <t>h</t>
    </r>
    <r>
      <rPr>
        <i/>
        <vertAlign val="subscript"/>
        <sz val="9"/>
        <color theme="1"/>
        <rFont val="Jacobs Chronos"/>
        <family val="2"/>
      </rPr>
      <t>f</t>
    </r>
    <r>
      <rPr>
        <sz val="9"/>
        <color theme="1"/>
        <rFont val="Jacobs Chronos"/>
        <family val="2"/>
      </rPr>
      <t xml:space="preserve"> =</t>
    </r>
  </si>
  <si>
    <t>Maximum nodes is 100</t>
  </si>
  <si>
    <t>Design Equations</t>
  </si>
  <si>
    <t>Description of Variables</t>
  </si>
  <si>
    <r>
      <t>M</t>
    </r>
    <r>
      <rPr>
        <i/>
        <vertAlign val="subscript"/>
        <sz val="9"/>
        <color theme="1"/>
        <rFont val="Jacobs Chronos"/>
        <family val="2"/>
      </rPr>
      <t>r</t>
    </r>
    <r>
      <rPr>
        <sz val="9"/>
        <color theme="1"/>
        <rFont val="Jacobs Chronos"/>
        <family val="2"/>
      </rPr>
      <t xml:space="preserve"> =</t>
    </r>
  </si>
  <si>
    <r>
      <t>area of prestressing steel (in.</t>
    </r>
    <r>
      <rPr>
        <vertAlign val="superscript"/>
        <sz val="9"/>
        <color theme="1"/>
        <rFont val="Jacobs Chronos"/>
        <family val="2"/>
      </rPr>
      <t>2</t>
    </r>
    <r>
      <rPr>
        <sz val="9"/>
        <color theme="1"/>
        <rFont val="Jacobs Chronos"/>
        <family val="2"/>
      </rPr>
      <t>)</t>
    </r>
  </si>
  <si>
    <t>width of compression face of the member; for a flange section in compression, the effective width of the flange, as specified in AASHTO 4.6.2.6 (in.)</t>
  </si>
  <si>
    <t>web width or diameter of a circular section (in.)</t>
  </si>
  <si>
    <t>specified tensile strength of prestressing steel (ksi)</t>
  </si>
  <si>
    <t>yield strength of prestressing steel (ksi)</t>
  </si>
  <si>
    <t>compression flange depth (in.)</t>
  </si>
  <si>
    <t>distance from the extreme compression fiber to the neutral axis (in.)</t>
  </si>
  <si>
    <t>stress block factor, specified in AASHTO 5.6.2.2</t>
  </si>
  <si>
    <t>nominal flexural resistance (kip-in.)</t>
  </si>
  <si>
    <t>factored flexural resistance (kip-in.)</t>
  </si>
  <si>
    <t>resistance factor as specified in AASHTO 5.5.4.2</t>
  </si>
  <si>
    <t>design concrete compressive strength (ksi)</t>
  </si>
  <si>
    <t>depth of the equivalent stress block (in.)</t>
  </si>
  <si>
    <t>dimensionless strain‑compatibility parameter that accounts for the influence of prestressing steel on the depth and shape of the equivalent concrete compression block</t>
  </si>
  <si>
    <t>C.1</t>
  </si>
  <si>
    <r>
      <rPr>
        <i/>
        <sz val="9"/>
        <color theme="1"/>
        <rFont val="Jacobs Chronos"/>
        <family val="2"/>
      </rPr>
      <t>b</t>
    </r>
    <r>
      <rPr>
        <sz val="9"/>
        <color theme="1"/>
        <rFont val="Jacobs Chronos"/>
        <family val="2"/>
      </rPr>
      <t xml:space="preserve"> =</t>
    </r>
  </si>
  <si>
    <r>
      <t>b</t>
    </r>
    <r>
      <rPr>
        <i/>
        <vertAlign val="subscript"/>
        <sz val="9"/>
        <color theme="1"/>
        <rFont val="Jacobs Chronos"/>
        <family val="2"/>
      </rPr>
      <t>w</t>
    </r>
    <r>
      <rPr>
        <sz val="9"/>
        <color theme="1"/>
        <rFont val="Jacobs Chronos"/>
        <family val="2"/>
      </rPr>
      <t xml:space="preserve"> =</t>
    </r>
  </si>
  <si>
    <r>
      <rPr>
        <i/>
        <sz val="9"/>
        <color theme="1"/>
        <rFont val="Jacobs Chronos"/>
        <family val="2"/>
      </rPr>
      <t>c</t>
    </r>
    <r>
      <rPr>
        <sz val="9"/>
        <color theme="1"/>
        <rFont val="Jacobs Chronos"/>
        <family val="2"/>
      </rPr>
      <t xml:space="preserve"> =</t>
    </r>
  </si>
  <si>
    <r>
      <t>d</t>
    </r>
    <r>
      <rPr>
        <i/>
        <vertAlign val="subscript"/>
        <sz val="9"/>
        <color theme="1"/>
        <rFont val="Jacobs Chronos"/>
        <family val="2"/>
      </rPr>
      <t>p</t>
    </r>
    <r>
      <rPr>
        <sz val="9"/>
        <color theme="1"/>
        <rFont val="Jacobs Chronos"/>
        <family val="2"/>
      </rPr>
      <t xml:space="preserve"> =</t>
    </r>
  </si>
  <si>
    <r>
      <t>f'</t>
    </r>
    <r>
      <rPr>
        <i/>
        <vertAlign val="subscript"/>
        <sz val="9"/>
        <color theme="1"/>
        <rFont val="Jacobs Chronos"/>
        <family val="2"/>
      </rPr>
      <t>c</t>
    </r>
    <r>
      <rPr>
        <sz val="9"/>
        <color theme="1"/>
        <rFont val="Jacobs Chronos"/>
        <family val="2"/>
      </rPr>
      <t xml:space="preserve"> =</t>
    </r>
  </si>
  <si>
    <r>
      <t>f</t>
    </r>
    <r>
      <rPr>
        <i/>
        <vertAlign val="subscript"/>
        <sz val="9"/>
        <color theme="1"/>
        <rFont val="Jacobs Chronos"/>
        <family val="2"/>
      </rPr>
      <t>ps</t>
    </r>
    <r>
      <rPr>
        <sz val="9"/>
        <color theme="1"/>
        <rFont val="Jacobs Chronos"/>
        <family val="2"/>
      </rPr>
      <t xml:space="preserve"> =</t>
    </r>
  </si>
  <si>
    <r>
      <t>f</t>
    </r>
    <r>
      <rPr>
        <i/>
        <vertAlign val="subscript"/>
        <sz val="9"/>
        <color theme="1"/>
        <rFont val="Jacobs Chronos"/>
        <family val="2"/>
      </rPr>
      <t>pu</t>
    </r>
    <r>
      <rPr>
        <sz val="9"/>
        <color theme="1"/>
        <rFont val="Jacobs Chronos"/>
        <family val="2"/>
      </rPr>
      <t xml:space="preserve"> =</t>
    </r>
  </si>
  <si>
    <r>
      <t>f</t>
    </r>
    <r>
      <rPr>
        <i/>
        <vertAlign val="subscript"/>
        <sz val="9"/>
        <color theme="1"/>
        <rFont val="Jacobs Chronos"/>
        <family val="2"/>
      </rPr>
      <t>py</t>
    </r>
    <r>
      <rPr>
        <sz val="9"/>
        <color theme="1"/>
        <rFont val="Jacobs Chronos"/>
        <family val="2"/>
      </rPr>
      <t xml:space="preserve"> =</t>
    </r>
  </si>
  <si>
    <r>
      <t>h</t>
    </r>
    <r>
      <rPr>
        <i/>
        <vertAlign val="subscript"/>
        <sz val="9"/>
        <color theme="1"/>
        <rFont val="Jacobs Chronos"/>
        <family val="2"/>
      </rPr>
      <t>f</t>
    </r>
    <r>
      <rPr>
        <sz val="9"/>
        <color theme="1"/>
        <rFont val="Jacobs Chronos"/>
        <family val="2"/>
      </rPr>
      <t xml:space="preserve"> =</t>
    </r>
  </si>
  <si>
    <r>
      <rPr>
        <i/>
        <sz val="9"/>
        <color theme="1"/>
        <rFont val="Jacobs Chronos"/>
        <family val="2"/>
      </rPr>
      <t>k</t>
    </r>
    <r>
      <rPr>
        <sz val="9"/>
        <color theme="1"/>
        <rFont val="Jacobs Chronos"/>
        <family val="2"/>
      </rPr>
      <t xml:space="preserve"> =</t>
    </r>
  </si>
  <si>
    <r>
      <t>M</t>
    </r>
    <r>
      <rPr>
        <i/>
        <vertAlign val="subscript"/>
        <sz val="9"/>
        <color theme="1"/>
        <rFont val="Jacobs Chronos"/>
        <family val="2"/>
      </rPr>
      <t>n</t>
    </r>
    <r>
      <rPr>
        <sz val="9"/>
        <color theme="1"/>
        <rFont val="Jacobs Chronos"/>
        <family val="2"/>
      </rPr>
      <t xml:space="preserve"> =</t>
    </r>
  </si>
  <si>
    <t>φ =</t>
  </si>
  <si>
    <r>
      <rPr>
        <i/>
        <sz val="9"/>
        <color theme="1"/>
        <rFont val="Jacobs Chronos"/>
        <family val="2"/>
      </rPr>
      <t>a</t>
    </r>
    <r>
      <rPr>
        <sz val="9"/>
        <color theme="1"/>
        <rFont val="Jacobs Chronos"/>
        <family val="2"/>
      </rPr>
      <t xml:space="preserve"> =</t>
    </r>
  </si>
  <si>
    <r>
      <t>A</t>
    </r>
    <r>
      <rPr>
        <i/>
        <vertAlign val="subscript"/>
        <sz val="9"/>
        <color theme="1"/>
        <rFont val="Jacobs Chronos"/>
        <family val="2"/>
      </rPr>
      <t>ps</t>
    </r>
    <r>
      <rPr>
        <sz val="9"/>
        <color theme="1"/>
        <rFont val="Jacobs Chronos"/>
        <family val="2"/>
      </rPr>
      <t xml:space="preserve"> =</t>
    </r>
  </si>
  <si>
    <r>
      <rPr>
        <sz val="9"/>
        <color theme="1"/>
        <rFont val="Jacobs Chronos"/>
        <family val="2"/>
      </rPr>
      <t>β</t>
    </r>
    <r>
      <rPr>
        <i/>
        <vertAlign val="subscript"/>
        <sz val="9"/>
        <color theme="1"/>
        <rFont val="Jacobs Chronos"/>
        <family val="2"/>
      </rPr>
      <t>1</t>
    </r>
    <r>
      <rPr>
        <sz val="9"/>
        <color theme="1"/>
        <rFont val="Jacobs Chronos"/>
        <family val="2"/>
      </rPr>
      <t xml:space="preserve"> =</t>
    </r>
  </si>
  <si>
    <r>
      <rPr>
        <b/>
        <sz val="7"/>
        <color theme="1"/>
        <rFont val="Jacobs Chronos"/>
        <family val="2"/>
      </rPr>
      <t>Design Note:</t>
    </r>
    <r>
      <rPr>
        <sz val="7"/>
        <color theme="1"/>
        <rFont val="Jacobs Chronos"/>
        <family val="2"/>
      </rPr>
      <t xml:space="preserve">  Factored Flexural Demand, </t>
    </r>
    <r>
      <rPr>
        <i/>
        <sz val="7"/>
        <color theme="1"/>
        <rFont val="Jacobs Chronos"/>
        <family val="2"/>
      </rPr>
      <t>M</t>
    </r>
    <r>
      <rPr>
        <i/>
        <vertAlign val="subscript"/>
        <sz val="7"/>
        <color theme="1"/>
        <rFont val="Jacobs Chronos"/>
        <family val="2"/>
      </rPr>
      <t>U</t>
    </r>
    <r>
      <rPr>
        <sz val="7"/>
        <color theme="1"/>
        <rFont val="Jacobs Chronos"/>
        <family val="2"/>
      </rPr>
      <t>, is per foot of beam length.</t>
    </r>
  </si>
  <si>
    <r>
      <t xml:space="preserve">Concrete Compressive Strength, </t>
    </r>
    <r>
      <rPr>
        <i/>
        <sz val="9"/>
        <color theme="1"/>
        <rFont val="Jacobs Chronos"/>
        <family val="2"/>
      </rPr>
      <t>f'</t>
    </r>
    <r>
      <rPr>
        <i/>
        <vertAlign val="subscript"/>
        <sz val="9"/>
        <color theme="1"/>
        <rFont val="Jacobs Chronos"/>
        <family val="2"/>
      </rPr>
      <t>c</t>
    </r>
    <r>
      <rPr>
        <sz val="9"/>
        <color theme="1"/>
        <rFont val="Jacobs Chronos"/>
        <family val="2"/>
      </rPr>
      <t xml:space="preserve"> =</t>
    </r>
  </si>
  <si>
    <r>
      <t xml:space="preserve">Prestressing Stress Limit Coefficient, </t>
    </r>
    <r>
      <rPr>
        <i/>
        <sz val="9"/>
        <color theme="1"/>
        <rFont val="Jacobs Chronos"/>
        <family val="2"/>
      </rPr>
      <t>k</t>
    </r>
    <r>
      <rPr>
        <sz val="9"/>
        <color theme="1"/>
        <rFont val="Jacobs Chronos"/>
        <family val="2"/>
      </rPr>
      <t xml:space="preserve"> =</t>
    </r>
  </si>
  <si>
    <r>
      <t xml:space="preserve">Factored Strength 1  Demand to Capacity Ratio, </t>
    </r>
    <r>
      <rPr>
        <i/>
        <sz val="9"/>
        <color theme="1"/>
        <rFont val="Jacobs Chronos"/>
        <family val="2"/>
      </rPr>
      <t>D/C</t>
    </r>
    <r>
      <rPr>
        <sz val="9"/>
        <color theme="1"/>
        <rFont val="Jacobs Chronos"/>
        <family val="2"/>
      </rPr>
      <t xml:space="preserve"> =</t>
    </r>
  </si>
  <si>
    <r>
      <rPr>
        <sz val="9"/>
        <color theme="1"/>
        <rFont val="Jacobs Chronos"/>
        <family val="2"/>
      </rPr>
      <t>Stress Block Factor</t>
    </r>
    <r>
      <rPr>
        <i/>
        <sz val="9"/>
        <color theme="1"/>
        <rFont val="Jacobs Chronos"/>
        <family val="2"/>
      </rPr>
      <t xml:space="preserve">, </t>
    </r>
    <r>
      <rPr>
        <sz val="9"/>
        <color theme="1"/>
        <rFont val="Jacobs Chronos"/>
        <family val="2"/>
      </rPr>
      <t>ϐ</t>
    </r>
    <r>
      <rPr>
        <i/>
        <vertAlign val="subscript"/>
        <sz val="9"/>
        <color theme="1"/>
        <rFont val="Jacobs Chronos"/>
        <family val="2"/>
      </rPr>
      <t>1</t>
    </r>
    <r>
      <rPr>
        <sz val="9"/>
        <color theme="1"/>
        <rFont val="Jacobs Chronos"/>
        <family val="2"/>
      </rPr>
      <t xml:space="preserve"> =</t>
    </r>
  </si>
  <si>
    <r>
      <rPr>
        <sz val="9"/>
        <color theme="1"/>
        <rFont val="Jacobs Chronos"/>
        <family val="2"/>
      </rPr>
      <t>Stress Block Factor</t>
    </r>
    <r>
      <rPr>
        <i/>
        <sz val="9"/>
        <color theme="1"/>
        <rFont val="Jacobs Chronos"/>
        <family val="2"/>
      </rPr>
      <t xml:space="preserve">, </t>
    </r>
    <r>
      <rPr>
        <sz val="9"/>
        <color theme="1"/>
        <rFont val="Jacobs Chronos"/>
        <family val="2"/>
      </rPr>
      <t>α</t>
    </r>
    <r>
      <rPr>
        <i/>
        <vertAlign val="subscript"/>
        <sz val="9"/>
        <color theme="1"/>
        <rFont val="Jacobs Chronos"/>
        <family val="2"/>
      </rPr>
      <t>1</t>
    </r>
    <r>
      <rPr>
        <sz val="9"/>
        <color theme="1"/>
        <rFont val="Jacobs Chronos"/>
        <family val="2"/>
      </rPr>
      <t xml:space="preserve"> =</t>
    </r>
  </si>
  <si>
    <t>Resistance Factor, ϕ =</t>
  </si>
  <si>
    <r>
      <rPr>
        <b/>
        <sz val="7"/>
        <color theme="1"/>
        <rFont val="Jacobs Chronos"/>
        <family val="2"/>
      </rPr>
      <t>Design Note:</t>
    </r>
    <r>
      <rPr>
        <sz val="7"/>
        <color theme="1"/>
        <rFont val="Jacobs Chronos"/>
        <family val="2"/>
      </rPr>
      <t xml:space="preserve">  This is a geometric relationship derived from the assumption that strain varies linearly across the section.  </t>
    </r>
  </si>
  <si>
    <t>compression-controlled strain limit in the extreme tension steel (in./in.)</t>
  </si>
  <si>
    <t>net tensile strain in extreme tension steel at nominal resistance (in./in.)</t>
  </si>
  <si>
    <t>tension-controlled strain limit in the extreme tension steel (in./in.)</t>
  </si>
  <si>
    <t>failure strain of concrete in compression (in./in.)</t>
  </si>
  <si>
    <r>
      <rPr>
        <sz val="9"/>
        <color theme="1"/>
        <rFont val="Jacobs Chronos"/>
        <family val="2"/>
      </rPr>
      <t xml:space="preserve">Tension-Controlled Strain Limit in Steel, </t>
    </r>
    <r>
      <rPr>
        <i/>
        <sz val="9"/>
        <color theme="1"/>
        <rFont val="Jacobs Chronos"/>
        <family val="2"/>
      </rPr>
      <t>ε</t>
    </r>
    <r>
      <rPr>
        <i/>
        <vertAlign val="subscript"/>
        <sz val="9"/>
        <color theme="1"/>
        <rFont val="Jacobs Chronos"/>
        <family val="2"/>
      </rPr>
      <t>tl</t>
    </r>
    <r>
      <rPr>
        <sz val="9"/>
        <color theme="1"/>
        <rFont val="Jacobs Chronos"/>
        <family val="2"/>
      </rPr>
      <t xml:space="preserve"> =</t>
    </r>
  </si>
  <si>
    <r>
      <rPr>
        <b/>
        <sz val="7"/>
        <color theme="1"/>
        <rFont val="Jacobs Chronos"/>
        <family val="2"/>
      </rPr>
      <t>Design Note:</t>
    </r>
    <r>
      <rPr>
        <sz val="7"/>
        <color theme="1"/>
        <rFont val="Jacobs Chronos"/>
        <family val="2"/>
      </rPr>
      <t xml:space="preserve">  Factored Flexural Resistance, φ</t>
    </r>
    <r>
      <rPr>
        <i/>
        <sz val="7"/>
        <color theme="1"/>
        <rFont val="Jacobs Chronos"/>
        <family val="2"/>
      </rPr>
      <t>M</t>
    </r>
    <r>
      <rPr>
        <i/>
        <vertAlign val="subscript"/>
        <sz val="7"/>
        <color theme="1"/>
        <rFont val="Jacobs Chronos"/>
        <family val="2"/>
      </rPr>
      <t>n</t>
    </r>
    <r>
      <rPr>
        <sz val="7"/>
        <color theme="1"/>
        <rFont val="Jacobs Chronos"/>
        <family val="2"/>
      </rPr>
      <t>, is per foot of beam length.</t>
    </r>
  </si>
  <si>
    <r>
      <t xml:space="preserve">Location of Controlling Positive Flexure from Start of Span, </t>
    </r>
    <r>
      <rPr>
        <i/>
        <sz val="9"/>
        <color theme="1"/>
        <rFont val="Jacobs Chronos"/>
        <family val="2"/>
      </rPr>
      <t>x</t>
    </r>
    <r>
      <rPr>
        <i/>
        <vertAlign val="subscript"/>
        <sz val="9"/>
        <color theme="1"/>
        <rFont val="Jacobs Chronos"/>
        <family val="2"/>
      </rPr>
      <t>U</t>
    </r>
    <r>
      <rPr>
        <sz val="9"/>
        <color theme="1"/>
        <rFont val="Jacobs Chronos"/>
        <family val="2"/>
      </rPr>
      <t xml:space="preserve"> =</t>
    </r>
  </si>
  <si>
    <r>
      <t xml:space="preserve">Maximum Factored Strength 1 Positive Flexural Demand, </t>
    </r>
    <r>
      <rPr>
        <i/>
        <sz val="9"/>
        <color theme="1"/>
        <rFont val="Jacobs Chronos"/>
        <family val="2"/>
      </rPr>
      <t>M</t>
    </r>
    <r>
      <rPr>
        <i/>
        <vertAlign val="subscript"/>
        <sz val="9"/>
        <color theme="1"/>
        <rFont val="Jacobs Chronos"/>
        <family val="2"/>
      </rPr>
      <t>U</t>
    </r>
    <r>
      <rPr>
        <sz val="9"/>
        <color theme="1"/>
        <rFont val="Jacobs Chronos"/>
        <family val="2"/>
      </rPr>
      <t xml:space="preserve"> =</t>
    </r>
  </si>
  <si>
    <r>
      <t xml:space="preserve">Specified Tensile Strength of Post-Tensioning, </t>
    </r>
    <r>
      <rPr>
        <i/>
        <sz val="9"/>
        <color theme="1"/>
        <rFont val="Jacobs Chronos"/>
        <family val="2"/>
      </rPr>
      <t>f</t>
    </r>
    <r>
      <rPr>
        <i/>
        <vertAlign val="subscript"/>
        <sz val="9"/>
        <color theme="1"/>
        <rFont val="Jacobs Chronos"/>
        <family val="2"/>
      </rPr>
      <t>pu</t>
    </r>
    <r>
      <rPr>
        <sz val="9"/>
        <color theme="1"/>
        <rFont val="Jacobs Chronos"/>
        <family val="2"/>
      </rPr>
      <t xml:space="preserve"> =</t>
    </r>
  </si>
  <si>
    <r>
      <t xml:space="preserve">Effective Width of Compression Flange, </t>
    </r>
    <r>
      <rPr>
        <i/>
        <sz val="9"/>
        <color theme="1"/>
        <rFont val="Jacobs Chronos"/>
        <family val="2"/>
      </rPr>
      <t>b</t>
    </r>
    <r>
      <rPr>
        <sz val="9"/>
        <color theme="1"/>
        <rFont val="Jacobs Chronos"/>
        <family val="2"/>
      </rPr>
      <t xml:space="preserve"> =</t>
    </r>
  </si>
  <si>
    <r>
      <t xml:space="preserve">Reinforcing Yield Strength, </t>
    </r>
    <r>
      <rPr>
        <i/>
        <sz val="9"/>
        <color theme="1"/>
        <rFont val="Jacobs Chronos"/>
        <family val="2"/>
      </rPr>
      <t>f</t>
    </r>
    <r>
      <rPr>
        <i/>
        <vertAlign val="subscript"/>
        <sz val="9"/>
        <color theme="1"/>
        <rFont val="Jacobs Chronos"/>
        <family val="2"/>
      </rPr>
      <t>y</t>
    </r>
    <r>
      <rPr>
        <sz val="9"/>
        <color theme="1"/>
        <rFont val="Jacobs Chronos"/>
        <family val="2"/>
      </rPr>
      <t xml:space="preserve"> =</t>
    </r>
  </si>
  <si>
    <t>Introduction</t>
  </si>
  <si>
    <t>Treatment of Mild Reinforcing Steel</t>
  </si>
  <si>
    <t>Design Equations and Nomenclature</t>
  </si>
  <si>
    <r>
      <t>f</t>
    </r>
    <r>
      <rPr>
        <i/>
        <vertAlign val="subscript"/>
        <sz val="9"/>
        <color theme="1"/>
        <rFont val="Jacobs Chronos"/>
        <family val="2"/>
      </rPr>
      <t>s</t>
    </r>
    <r>
      <rPr>
        <sz val="9"/>
        <color theme="1"/>
        <rFont val="Jacobs Chronos"/>
        <family val="2"/>
      </rPr>
      <t xml:space="preserve"> =</t>
    </r>
  </si>
  <si>
    <r>
      <t>f</t>
    </r>
    <r>
      <rPr>
        <i/>
        <vertAlign val="subscript"/>
        <sz val="9"/>
        <color theme="1"/>
        <rFont val="Jacobs Chronos"/>
        <family val="2"/>
      </rPr>
      <t>y</t>
    </r>
    <r>
      <rPr>
        <sz val="9"/>
        <color theme="1"/>
        <rFont val="Jacobs Chronos"/>
        <family val="2"/>
      </rPr>
      <t xml:space="preserve"> =</t>
    </r>
  </si>
  <si>
    <t>specified minimum yield strength of reinforcement (ksi)</t>
  </si>
  <si>
    <t>stress in tensile reinforcing (ksi)</t>
  </si>
  <si>
    <t>1.1.</t>
  </si>
  <si>
    <t>1.2.</t>
  </si>
  <si>
    <r>
      <t xml:space="preserve">An initial assumption (commonly </t>
    </r>
    <r>
      <rPr>
        <i/>
        <sz val="9"/>
        <color theme="1"/>
        <rFont val="Jacobs Chronos"/>
        <family val="2"/>
      </rPr>
      <t>f</t>
    </r>
    <r>
      <rPr>
        <i/>
        <vertAlign val="subscript"/>
        <sz val="9"/>
        <color theme="1"/>
        <rFont val="Jacobs Chronos"/>
        <family val="2"/>
      </rPr>
      <t>s</t>
    </r>
    <r>
      <rPr>
        <sz val="9"/>
        <color theme="1"/>
        <rFont val="Jacobs Chronos"/>
        <family val="2"/>
      </rPr>
      <t xml:space="preserve"> = </t>
    </r>
    <r>
      <rPr>
        <i/>
        <sz val="9"/>
        <color theme="1"/>
        <rFont val="Jacobs Chronos"/>
        <family val="2"/>
      </rPr>
      <t>f</t>
    </r>
    <r>
      <rPr>
        <i/>
        <vertAlign val="subscript"/>
        <sz val="9"/>
        <color theme="1"/>
        <rFont val="Jacobs Chronos"/>
        <family val="2"/>
      </rPr>
      <t>y</t>
    </r>
    <r>
      <rPr>
        <sz val="9"/>
        <color theme="1"/>
        <rFont val="Jacobs Chronos"/>
        <family val="2"/>
      </rPr>
      <t>),</t>
    </r>
  </si>
  <si>
    <t>2.1.</t>
  </si>
  <si>
    <t>2.2.</t>
  </si>
  <si>
    <t>Flexural Resistance</t>
  </si>
  <si>
    <t>3.1.</t>
  </si>
  <si>
    <t>3.2.</t>
  </si>
  <si>
    <t>Results</t>
  </si>
  <si>
    <t xml:space="preserve">
Section 4.1 presents the calculation of flexural resistance at each node along the beam and its comparison to the corresponding flexural demand. Section 4.2 provides plots of the factored flexural resistance and demand along the post‑tensioned concrete beam, as well as the resulting demand‑to‑capacity ratio along the beam.</t>
  </si>
  <si>
    <t>4.1.</t>
  </si>
  <si>
    <t>Flexural Resistance and Demand Table</t>
  </si>
  <si>
    <t>4.2.</t>
  </si>
  <si>
    <t>Location</t>
  </si>
  <si>
    <t>1.3.</t>
  </si>
  <si>
    <t>Effective Flange Width</t>
  </si>
  <si>
    <r>
      <rPr>
        <b/>
        <sz val="7"/>
        <color theme="1"/>
        <rFont val="Jacobs Chronos"/>
        <family val="2"/>
      </rPr>
      <t>Design Note:</t>
    </r>
    <r>
      <rPr>
        <sz val="7"/>
        <color theme="1"/>
        <rFont val="Jacobs Chronos"/>
        <family val="2"/>
      </rPr>
      <t xml:space="preserve">  Per AASHTO 4.6.2.6.1, the effective flange width may be taken as the tributary width perpendicular to the axis of the member for determining flexural resistance. See Section 1.3 for limitations.</t>
    </r>
  </si>
  <si>
    <t>Maximum skew angle of 75°, where skew angle is the angle between the bearing line and a line normal to the centerline girder.  For skew angles larger than this, a refined analysis is required to determine the effective flange width; see AASHTO 4.6.2.6 for more details.</t>
  </si>
  <si>
    <r>
      <t xml:space="preserve">Maximum </t>
    </r>
    <r>
      <rPr>
        <i/>
        <sz val="11"/>
        <color theme="1"/>
        <rFont val="Calibri"/>
        <family val="2"/>
        <scheme val="minor"/>
      </rPr>
      <t>L</t>
    </r>
    <r>
      <rPr>
        <sz val="11"/>
        <color theme="1"/>
        <rFont val="Calibri"/>
        <family val="2"/>
        <scheme val="minor"/>
      </rPr>
      <t>/</t>
    </r>
    <r>
      <rPr>
        <i/>
        <sz val="11"/>
        <color theme="1"/>
        <rFont val="Calibri"/>
        <family val="2"/>
        <scheme val="minor"/>
      </rPr>
      <t>S</t>
    </r>
    <r>
      <rPr>
        <sz val="11"/>
        <color theme="1"/>
        <rFont val="Calibri"/>
        <family val="2"/>
        <scheme val="minor"/>
      </rPr>
      <t xml:space="preserve"> of 2.0, where </t>
    </r>
    <r>
      <rPr>
        <i/>
        <sz val="11"/>
        <color theme="1"/>
        <rFont val="Calibri"/>
        <family val="2"/>
        <scheme val="minor"/>
      </rPr>
      <t>L</t>
    </r>
    <r>
      <rPr>
        <sz val="11"/>
        <color theme="1"/>
        <rFont val="Calibri"/>
        <family val="2"/>
        <scheme val="minor"/>
      </rPr>
      <t xml:space="preserve"> is the span length and </t>
    </r>
    <r>
      <rPr>
        <i/>
        <sz val="11"/>
        <color theme="1"/>
        <rFont val="Calibri"/>
        <family val="2"/>
        <scheme val="minor"/>
      </rPr>
      <t>S</t>
    </r>
    <r>
      <rPr>
        <sz val="11"/>
        <color theme="1"/>
        <rFont val="Calibri"/>
        <family val="2"/>
        <scheme val="minor"/>
      </rPr>
      <t xml:space="preserve"> is the girder spacing.  For </t>
    </r>
    <r>
      <rPr>
        <i/>
        <sz val="11"/>
        <color theme="1"/>
        <rFont val="Calibri"/>
        <family val="2"/>
        <scheme val="minor"/>
      </rPr>
      <t>L</t>
    </r>
    <r>
      <rPr>
        <sz val="11"/>
        <color theme="1"/>
        <rFont val="Calibri"/>
        <family val="2"/>
        <scheme val="minor"/>
      </rPr>
      <t>/</t>
    </r>
    <r>
      <rPr>
        <i/>
        <sz val="11"/>
        <color theme="1"/>
        <rFont val="Calibri"/>
        <family val="2"/>
        <scheme val="minor"/>
      </rPr>
      <t>S</t>
    </r>
    <r>
      <rPr>
        <sz val="11"/>
        <color theme="1"/>
        <rFont val="Calibri"/>
        <family val="2"/>
        <scheme val="minor"/>
      </rPr>
      <t xml:space="preserve"> greater than this, a refined analysis is required to determine the effective flange width; see AASHTO 4.6.2.6 for more details.</t>
    </r>
  </si>
  <si>
    <r>
      <t xml:space="preserve">Maximum </t>
    </r>
    <r>
      <rPr>
        <i/>
        <sz val="11"/>
        <color theme="1"/>
        <rFont val="Calibri"/>
        <family val="2"/>
        <scheme val="minor"/>
      </rPr>
      <t>overhang widths of 0.5</t>
    </r>
    <r>
      <rPr>
        <sz val="11"/>
        <color theme="1"/>
        <rFont val="Calibri"/>
        <family val="2"/>
        <scheme val="minor"/>
      </rPr>
      <t xml:space="preserve">S, where </t>
    </r>
    <r>
      <rPr>
        <i/>
        <sz val="11"/>
        <color theme="1"/>
        <rFont val="Calibri"/>
        <family val="2"/>
        <scheme val="minor"/>
      </rPr>
      <t>S</t>
    </r>
    <r>
      <rPr>
        <sz val="11"/>
        <color theme="1"/>
        <rFont val="Calibri"/>
        <family val="2"/>
        <scheme val="minor"/>
      </rPr>
      <t xml:space="preserve"> is the girder spacing.  For </t>
    </r>
    <r>
      <rPr>
        <i/>
        <sz val="11"/>
        <color theme="1"/>
        <rFont val="Calibri"/>
        <family val="2"/>
        <scheme val="minor"/>
      </rPr>
      <t xml:space="preserve">overhang widths </t>
    </r>
    <r>
      <rPr>
        <sz val="11"/>
        <color theme="1"/>
        <rFont val="Calibri"/>
        <family val="2"/>
        <scheme val="minor"/>
      </rPr>
      <t>greater than this, a refined analysis is required to determine the effective flange width; see AASHTO 4.6.2.6 for more details.</t>
    </r>
  </si>
  <si>
    <t>Scope</t>
  </si>
  <si>
    <r>
      <rPr>
        <i/>
        <sz val="9"/>
        <color theme="1"/>
        <rFont val="Jacobs Chronos"/>
        <family val="2"/>
      </rPr>
      <t>S</t>
    </r>
    <r>
      <rPr>
        <sz val="9"/>
        <color theme="1"/>
        <rFont val="Jacobs Chronos"/>
        <family val="2"/>
      </rPr>
      <t xml:space="preserve"> =</t>
    </r>
  </si>
  <si>
    <r>
      <t>L</t>
    </r>
    <r>
      <rPr>
        <sz val="9"/>
        <color theme="1"/>
        <rFont val="Jacobs Chronos"/>
        <family val="2"/>
      </rPr>
      <t xml:space="preserve"> =</t>
    </r>
  </si>
  <si>
    <t>span length of bridge, measured from centerline of bearing to centerline of bearing (ft.)</t>
  </si>
  <si>
    <t>center-to-center girder spacing (ft.)</t>
  </si>
  <si>
    <r>
      <t xml:space="preserve">Girder Spacing, </t>
    </r>
    <r>
      <rPr>
        <i/>
        <sz val="9"/>
        <color theme="1"/>
        <rFont val="Jacobs Chronos"/>
        <family val="2"/>
      </rPr>
      <t>S</t>
    </r>
    <r>
      <rPr>
        <sz val="9"/>
        <color theme="1"/>
        <rFont val="Jacobs Chronos"/>
        <family val="2"/>
      </rPr>
      <t xml:space="preserve"> =</t>
    </r>
  </si>
  <si>
    <r>
      <t xml:space="preserve">Overhang Width, </t>
    </r>
    <r>
      <rPr>
        <i/>
        <sz val="9"/>
        <color theme="1"/>
        <rFont val="Jacobs Chronos"/>
        <family val="2"/>
      </rPr>
      <t>S</t>
    </r>
    <r>
      <rPr>
        <i/>
        <vertAlign val="subscript"/>
        <sz val="9"/>
        <color theme="1"/>
        <rFont val="Jacobs Chronos"/>
        <family val="2"/>
      </rPr>
      <t>OH</t>
    </r>
    <r>
      <rPr>
        <sz val="9"/>
        <color theme="1"/>
        <rFont val="Jacobs Chronos"/>
        <family val="2"/>
      </rPr>
      <t xml:space="preserve"> =</t>
    </r>
  </si>
  <si>
    <t>Girder Location =</t>
  </si>
  <si>
    <r>
      <t>S</t>
    </r>
    <r>
      <rPr>
        <i/>
        <vertAlign val="subscript"/>
        <sz val="9"/>
        <color theme="1"/>
        <rFont val="Jacobs Chronos"/>
        <family val="2"/>
      </rPr>
      <t>OH</t>
    </r>
    <r>
      <rPr>
        <sz val="9"/>
        <color theme="1"/>
        <rFont val="Jacobs Chronos"/>
        <family val="2"/>
      </rPr>
      <t xml:space="preserve"> =</t>
    </r>
  </si>
  <si>
    <r>
      <t>x</t>
    </r>
    <r>
      <rPr>
        <i/>
        <vertAlign val="subscript"/>
        <sz val="9"/>
        <color theme="1"/>
        <rFont val="Jacobs Chronos"/>
        <family val="2"/>
      </rPr>
      <t>u</t>
    </r>
    <r>
      <rPr>
        <sz val="9"/>
        <color theme="1"/>
        <rFont val="Jacobs Chronos"/>
        <family val="2"/>
      </rPr>
      <t xml:space="preserve"> =</t>
    </r>
  </si>
  <si>
    <t>location along girder measured from centerline of bearing (ft.)</t>
  </si>
  <si>
    <t>overhang width, measured from centerline of exterior girder (ft.)</t>
  </si>
  <si>
    <t>Girder Spacing, S =</t>
  </si>
  <si>
    <t>Overhang Width, SOH =</t>
  </si>
  <si>
    <r>
      <t>A</t>
    </r>
    <r>
      <rPr>
        <i/>
        <vertAlign val="subscript"/>
        <sz val="9"/>
        <color theme="1"/>
        <rFont val="Jacobs Chronos"/>
        <family val="2"/>
      </rPr>
      <t>s</t>
    </r>
    <r>
      <rPr>
        <sz val="9"/>
        <color theme="1"/>
        <rFont val="Jacobs Chronos"/>
        <family val="2"/>
      </rPr>
      <t xml:space="preserve"> =</t>
    </r>
  </si>
  <si>
    <r>
      <t>area of tensile reinforcing (in.</t>
    </r>
    <r>
      <rPr>
        <vertAlign val="superscript"/>
        <sz val="9"/>
        <color theme="1"/>
        <rFont val="Jacobs Chronos"/>
        <family val="2"/>
      </rPr>
      <t>2</t>
    </r>
    <r>
      <rPr>
        <sz val="9"/>
        <color theme="1"/>
        <rFont val="Jacobs Chronos"/>
        <family val="2"/>
      </rPr>
      <t>)</t>
    </r>
  </si>
  <si>
    <r>
      <t xml:space="preserve">Design Note:  </t>
    </r>
    <r>
      <rPr>
        <sz val="7"/>
        <color theme="1"/>
        <rFont val="Jacobs Chronos"/>
        <family val="2"/>
      </rPr>
      <t>The strain limit values are taken from AASHTO Table C5.6.2.1-1 and interpolated based on the minimum Yield Strength.</t>
    </r>
  </si>
  <si>
    <t>1.4.</t>
  </si>
  <si>
    <t>Interpretation of Tensile Strain Limits for Prestressed Concrete Members</t>
  </si>
  <si>
    <t>Essentially linear at low strains,</t>
  </si>
  <si>
    <t>Gradually nonlinear at higher stresses, and</t>
  </si>
  <si>
    <t>Characterized by a smooth transition toward ultimate strength, followed by rupture.</t>
  </si>
  <si>
    <t>Reflect the relative rotation capacity of the section,</t>
  </si>
  <si>
    <t>Penalize sections with limited warning prior to failure (e.g., concrete crushing or strand rupture), and</t>
  </si>
  <si>
    <t>Provide a calibrated reduction in resistance factor consistent with observed structural performance.</t>
  </si>
  <si>
    <t>•</t>
  </si>
  <si>
    <t>average stress in post-tensioning steel at nominal bending resistance specified in AASHTO Equation 5.6.3.1.1-1 (ksi)</t>
  </si>
  <si>
    <t xml:space="preserve"> initial post-tensioning strain do to effective post-tensioning force (in./in.) </t>
  </si>
  <si>
    <t>1.5.</t>
  </si>
  <si>
    <t>Bonded and Unbonded Tendons</t>
  </si>
  <si>
    <r>
      <rPr>
        <b/>
        <sz val="7"/>
        <color theme="1"/>
        <rFont val="Jacobs Chronos"/>
        <family val="2"/>
      </rPr>
      <t>Design Note:</t>
    </r>
    <r>
      <rPr>
        <sz val="7"/>
        <color theme="1"/>
        <rFont val="Jacobs Chronos"/>
        <family val="2"/>
      </rPr>
      <t xml:space="preserve">  Per AASHTO 5.6.2.2, </t>
    </r>
    <r>
      <rPr>
        <i/>
        <sz val="7"/>
        <color theme="1"/>
        <rFont val="Jacobs Chronos"/>
        <family val="2"/>
      </rPr>
      <t>f</t>
    </r>
    <r>
      <rPr>
        <i/>
        <vertAlign val="subscript"/>
        <sz val="7"/>
        <color theme="1"/>
        <rFont val="Jacobs Chronos"/>
        <family val="2"/>
      </rPr>
      <t>pe</t>
    </r>
    <r>
      <rPr>
        <sz val="7"/>
        <color theme="1"/>
        <rFont val="Jacobs Chronos"/>
        <family val="2"/>
      </rPr>
      <t xml:space="preserve"> must be greater than 0.5 </t>
    </r>
    <r>
      <rPr>
        <i/>
        <sz val="7"/>
        <color theme="1"/>
        <rFont val="Jacobs Chronos"/>
        <family val="2"/>
      </rPr>
      <t>f</t>
    </r>
    <r>
      <rPr>
        <i/>
        <vertAlign val="subscript"/>
        <sz val="7"/>
        <color theme="1"/>
        <rFont val="Jacobs Chronos"/>
        <family val="2"/>
      </rPr>
      <t>pu</t>
    </r>
    <r>
      <rPr>
        <sz val="7"/>
        <color theme="1"/>
        <rFont val="Jacobs Chronos"/>
        <family val="2"/>
      </rPr>
      <t>.</t>
    </r>
  </si>
  <si>
    <t>Trial No.</t>
  </si>
  <si>
    <t>Effective stress in Prestressing Steel, fpe =</t>
  </si>
  <si>
    <r>
      <t xml:space="preserve">Area of Prestressing Steel, </t>
    </r>
    <r>
      <rPr>
        <i/>
        <sz val="9"/>
        <color theme="1"/>
        <rFont val="Jacobs Chronos"/>
        <family val="2"/>
      </rPr>
      <t>A</t>
    </r>
    <r>
      <rPr>
        <i/>
        <vertAlign val="subscript"/>
        <sz val="9"/>
        <color theme="1"/>
        <rFont val="Jacobs Chronos"/>
        <family val="2"/>
      </rPr>
      <t>ps</t>
    </r>
    <r>
      <rPr>
        <sz val="9"/>
        <color theme="1"/>
        <rFont val="Jacobs Chronos"/>
        <family val="2"/>
      </rPr>
      <t xml:space="preserve"> =</t>
    </r>
  </si>
  <si>
    <r>
      <t xml:space="preserve">Area of Nonprestressed Tension Reinforcement, </t>
    </r>
    <r>
      <rPr>
        <i/>
        <sz val="9"/>
        <color theme="1"/>
        <rFont val="Jacobs Chronos"/>
        <family val="2"/>
      </rPr>
      <t>A</t>
    </r>
    <r>
      <rPr>
        <i/>
        <vertAlign val="subscript"/>
        <sz val="9"/>
        <color theme="1"/>
        <rFont val="Jacobs Chronos"/>
        <family val="2"/>
      </rPr>
      <t>s</t>
    </r>
    <r>
      <rPr>
        <sz val="9"/>
        <color theme="1"/>
        <rFont val="Jacobs Chronos"/>
        <family val="2"/>
      </rPr>
      <t xml:space="preserve"> =</t>
    </r>
  </si>
  <si>
    <r>
      <rPr>
        <sz val="9"/>
        <color theme="1"/>
        <rFont val="Jacobs Chronos"/>
        <family val="2"/>
      </rPr>
      <t>Compression-Controlled Strain Limit in Steel,</t>
    </r>
    <r>
      <rPr>
        <i/>
        <sz val="9"/>
        <color theme="1"/>
        <rFont val="Jacobs Chronos"/>
        <family val="2"/>
      </rPr>
      <t xml:space="preserve"> ε</t>
    </r>
    <r>
      <rPr>
        <i/>
        <vertAlign val="subscript"/>
        <sz val="9"/>
        <color theme="1"/>
        <rFont val="Jacobs Chronos"/>
        <family val="2"/>
      </rPr>
      <t>cl</t>
    </r>
    <r>
      <rPr>
        <sz val="9"/>
        <color theme="1"/>
        <rFont val="Jacobs Chronos"/>
        <family val="2"/>
      </rPr>
      <t xml:space="preserve"> =</t>
    </r>
  </si>
  <si>
    <t>Interior</t>
  </si>
  <si>
    <r>
      <t xml:space="preserve">Reinforcing Steel Modulus of Elasticity, </t>
    </r>
    <r>
      <rPr>
        <i/>
        <sz val="9"/>
        <color theme="1"/>
        <rFont val="Jacobs Chronos"/>
        <family val="2"/>
      </rPr>
      <t>E</t>
    </r>
    <r>
      <rPr>
        <i/>
        <vertAlign val="subscript"/>
        <sz val="9"/>
        <color theme="1"/>
        <rFont val="Jacobs Chronos"/>
        <family val="2"/>
      </rPr>
      <t>s</t>
    </r>
    <r>
      <rPr>
        <sz val="9"/>
        <color theme="1"/>
        <rFont val="Jacobs Chronos"/>
        <family val="2"/>
      </rPr>
      <t xml:space="preserve"> =</t>
    </r>
  </si>
  <si>
    <r>
      <t xml:space="preserve">Reinforcing Steel Modulus of Elasticity, </t>
    </r>
    <r>
      <rPr>
        <i/>
        <sz val="11"/>
        <color theme="1"/>
        <rFont val="Calibri"/>
        <family val="2"/>
        <scheme val="minor"/>
      </rPr>
      <t>E</t>
    </r>
    <r>
      <rPr>
        <i/>
        <vertAlign val="subscript"/>
        <sz val="11"/>
        <color theme="1"/>
        <rFont val="Calibri"/>
        <family val="2"/>
        <scheme val="minor"/>
      </rPr>
      <t>s</t>
    </r>
    <r>
      <rPr>
        <sz val="11"/>
        <color theme="1"/>
        <rFont val="Calibri"/>
        <family val="2"/>
        <scheme val="minor"/>
      </rPr>
      <t xml:space="preserve"> =</t>
    </r>
  </si>
  <si>
    <r>
      <t xml:space="preserve">Effective Stress in Post-Tensioning Steel, </t>
    </r>
    <r>
      <rPr>
        <i/>
        <sz val="9"/>
        <color theme="1"/>
        <rFont val="Jacobs Chronos"/>
        <family val="2"/>
      </rPr>
      <t>f</t>
    </r>
    <r>
      <rPr>
        <i/>
        <vertAlign val="subscript"/>
        <sz val="9"/>
        <color theme="1"/>
        <rFont val="Jacobs Chronos"/>
        <family val="2"/>
      </rPr>
      <t>pe</t>
    </r>
    <r>
      <rPr>
        <sz val="9"/>
        <color theme="1"/>
        <rFont val="Jacobs Chronos"/>
        <family val="2"/>
      </rPr>
      <t xml:space="preserve"> =</t>
    </r>
  </si>
  <si>
    <t>Reinforcing Force</t>
  </si>
  <si>
    <t>Post-Tensioning Force</t>
  </si>
  <si>
    <t>Compression Force</t>
  </si>
  <si>
    <t>Sum of Forces</t>
  </si>
  <si>
    <t>Iteration Results</t>
  </si>
  <si>
    <t>Iteration Number with Solution =</t>
  </si>
  <si>
    <r>
      <rPr>
        <i/>
        <sz val="9"/>
        <color theme="1"/>
        <rFont val="Jacobs Chronos"/>
        <family val="2"/>
      </rPr>
      <t>c</t>
    </r>
    <r>
      <rPr>
        <sz val="9"/>
        <color theme="1"/>
        <rFont val="Jacobs Chronos"/>
        <family val="2"/>
      </rPr>
      <t xml:space="preserve"> (in.)</t>
    </r>
  </si>
  <si>
    <r>
      <t>ε</t>
    </r>
    <r>
      <rPr>
        <i/>
        <vertAlign val="subscript"/>
        <sz val="9"/>
        <color theme="1"/>
        <rFont val="Jacobs Chronos"/>
        <family val="2"/>
      </rPr>
      <t>s</t>
    </r>
    <r>
      <rPr>
        <sz val="9"/>
        <color theme="1"/>
        <rFont val="Jacobs Chronos"/>
        <family val="2"/>
      </rPr>
      <t xml:space="preserve"> (in/in)</t>
    </r>
  </si>
  <si>
    <r>
      <rPr>
        <i/>
        <sz val="9"/>
        <color theme="1"/>
        <rFont val="Jacobs Chronos"/>
        <family val="2"/>
      </rPr>
      <t>f</t>
    </r>
    <r>
      <rPr>
        <i/>
        <vertAlign val="subscript"/>
        <sz val="9"/>
        <color theme="1"/>
        <rFont val="Jacobs Chronos"/>
        <family val="2"/>
      </rPr>
      <t>s</t>
    </r>
    <r>
      <rPr>
        <sz val="9"/>
        <color theme="1"/>
        <rFont val="Jacobs Chronos"/>
        <family val="2"/>
      </rPr>
      <t xml:space="preserve"> (ksi)</t>
    </r>
  </si>
  <si>
    <r>
      <rPr>
        <i/>
        <sz val="9"/>
        <color theme="1"/>
        <rFont val="Jacobs Chronos"/>
        <family val="2"/>
      </rPr>
      <t>T</t>
    </r>
    <r>
      <rPr>
        <i/>
        <vertAlign val="subscript"/>
        <sz val="9"/>
        <color theme="1"/>
        <rFont val="Jacobs Chronos"/>
        <family val="2"/>
      </rPr>
      <t>s</t>
    </r>
    <r>
      <rPr>
        <sz val="9"/>
        <color theme="1"/>
        <rFont val="Jacobs Chronos"/>
        <family val="2"/>
      </rPr>
      <t xml:space="preserve"> (kips)</t>
    </r>
  </si>
  <si>
    <r>
      <t>ε</t>
    </r>
    <r>
      <rPr>
        <i/>
        <vertAlign val="subscript"/>
        <sz val="9"/>
        <color theme="1"/>
        <rFont val="Jacobs Chronos"/>
        <family val="2"/>
      </rPr>
      <t>t1</t>
    </r>
    <r>
      <rPr>
        <sz val="9"/>
        <color theme="1"/>
        <rFont val="Jacobs Chronos"/>
        <family val="2"/>
      </rPr>
      <t xml:space="preserve"> (in/in)</t>
    </r>
  </si>
  <si>
    <r>
      <t>ε</t>
    </r>
    <r>
      <rPr>
        <i/>
        <vertAlign val="subscript"/>
        <sz val="9"/>
        <color theme="1"/>
        <rFont val="Jacobs Chronos"/>
        <family val="2"/>
      </rPr>
      <t>t2</t>
    </r>
    <r>
      <rPr>
        <sz val="9"/>
        <color theme="1"/>
        <rFont val="Jacobs Chronos"/>
        <family val="2"/>
      </rPr>
      <t xml:space="preserve"> (in/in)</t>
    </r>
  </si>
  <si>
    <r>
      <t>ε</t>
    </r>
    <r>
      <rPr>
        <i/>
        <vertAlign val="subscript"/>
        <sz val="9"/>
        <color theme="1"/>
        <rFont val="Jacobs Chronos"/>
        <family val="2"/>
      </rPr>
      <t>t</t>
    </r>
    <r>
      <rPr>
        <sz val="9"/>
        <color theme="1"/>
        <rFont val="Jacobs Chronos"/>
        <family val="2"/>
      </rPr>
      <t xml:space="preserve"> (in/in)</t>
    </r>
  </si>
  <si>
    <r>
      <rPr>
        <i/>
        <sz val="9"/>
        <rFont val="Jacobs Chronos"/>
        <family val="2"/>
      </rPr>
      <t>f</t>
    </r>
    <r>
      <rPr>
        <i/>
        <vertAlign val="subscript"/>
        <sz val="9"/>
        <rFont val="Jacobs Chronos"/>
        <family val="2"/>
      </rPr>
      <t>ps</t>
    </r>
    <r>
      <rPr>
        <sz val="9"/>
        <rFont val="Jacobs Chronos"/>
        <family val="2"/>
      </rPr>
      <t xml:space="preserve"> (ksi)</t>
    </r>
  </si>
  <si>
    <r>
      <rPr>
        <i/>
        <sz val="9"/>
        <color theme="1"/>
        <rFont val="Jacobs Chronos"/>
        <family val="2"/>
      </rPr>
      <t>T</t>
    </r>
    <r>
      <rPr>
        <i/>
        <vertAlign val="subscript"/>
        <sz val="9"/>
        <color theme="1"/>
        <rFont val="Jacobs Chronos"/>
        <family val="2"/>
      </rPr>
      <t>ps</t>
    </r>
    <r>
      <rPr>
        <sz val="9"/>
        <color theme="1"/>
        <rFont val="Jacobs Chronos"/>
        <family val="2"/>
      </rPr>
      <t xml:space="preserve"> (kips)</t>
    </r>
  </si>
  <si>
    <r>
      <rPr>
        <i/>
        <sz val="9"/>
        <color theme="1"/>
        <rFont val="Jacobs Chronos"/>
        <family val="2"/>
      </rPr>
      <t>a</t>
    </r>
    <r>
      <rPr>
        <sz val="9"/>
        <color theme="1"/>
        <rFont val="Jacobs Chronos"/>
        <family val="2"/>
      </rPr>
      <t xml:space="preserve"> (in.)</t>
    </r>
  </si>
  <si>
    <r>
      <rPr>
        <i/>
        <sz val="9"/>
        <color theme="1"/>
        <rFont val="Jacobs Chronos"/>
        <family val="2"/>
      </rPr>
      <t>C</t>
    </r>
    <r>
      <rPr>
        <i/>
        <vertAlign val="subscript"/>
        <sz val="9"/>
        <color theme="1"/>
        <rFont val="Jacobs Chronos"/>
        <family val="2"/>
      </rPr>
      <t>f</t>
    </r>
    <r>
      <rPr>
        <sz val="9"/>
        <color theme="1"/>
        <rFont val="Jacobs Chronos"/>
        <family val="2"/>
      </rPr>
      <t xml:space="preserve"> (kips)</t>
    </r>
  </si>
  <si>
    <r>
      <rPr>
        <i/>
        <sz val="9"/>
        <color theme="1"/>
        <rFont val="Jacobs Chronos"/>
        <family val="2"/>
      </rPr>
      <t>C</t>
    </r>
    <r>
      <rPr>
        <i/>
        <vertAlign val="subscript"/>
        <sz val="9"/>
        <color theme="1"/>
        <rFont val="Jacobs Chronos"/>
        <family val="2"/>
      </rPr>
      <t>w</t>
    </r>
    <r>
      <rPr>
        <sz val="9"/>
        <color theme="1"/>
        <rFont val="Jacobs Chronos"/>
        <family val="2"/>
      </rPr>
      <t xml:space="preserve"> (kips)</t>
    </r>
  </si>
  <si>
    <r>
      <rPr>
        <i/>
        <sz val="9"/>
        <color theme="1"/>
        <rFont val="Jacobs Chronos"/>
        <family val="2"/>
      </rPr>
      <t>C</t>
    </r>
    <r>
      <rPr>
        <sz val="9"/>
        <color theme="1"/>
        <rFont val="Jacobs Chronos"/>
        <family val="2"/>
      </rPr>
      <t xml:space="preserve"> = </t>
    </r>
    <r>
      <rPr>
        <i/>
        <sz val="9"/>
        <color theme="1"/>
        <rFont val="Jacobs Chronos"/>
        <family val="2"/>
      </rPr>
      <t>C</t>
    </r>
    <r>
      <rPr>
        <i/>
        <vertAlign val="subscript"/>
        <sz val="9"/>
        <color theme="1"/>
        <rFont val="Jacobs Chronos"/>
        <family val="2"/>
      </rPr>
      <t>f</t>
    </r>
    <r>
      <rPr>
        <sz val="9"/>
        <color theme="1"/>
        <rFont val="Jacobs Chronos"/>
        <family val="2"/>
      </rPr>
      <t xml:space="preserve"> + </t>
    </r>
    <r>
      <rPr>
        <i/>
        <sz val="9"/>
        <color theme="1"/>
        <rFont val="Jacobs Chronos"/>
        <family val="2"/>
      </rPr>
      <t>C</t>
    </r>
    <r>
      <rPr>
        <i/>
        <vertAlign val="subscript"/>
        <sz val="9"/>
        <color theme="1"/>
        <rFont val="Jacobs Chronos"/>
        <family val="2"/>
      </rPr>
      <t>w</t>
    </r>
    <r>
      <rPr>
        <sz val="9"/>
        <color theme="1"/>
        <rFont val="Jacobs Chronos"/>
        <family val="2"/>
      </rPr>
      <t xml:space="preserve">
(kips)</t>
    </r>
  </si>
  <si>
    <r>
      <rPr>
        <i/>
        <sz val="9"/>
        <color theme="1"/>
        <rFont val="Jacobs Chronos"/>
        <family val="2"/>
      </rPr>
      <t>T</t>
    </r>
    <r>
      <rPr>
        <sz val="9"/>
        <color theme="1"/>
        <rFont val="Jacobs Chronos"/>
        <family val="2"/>
      </rPr>
      <t xml:space="preserve"> = </t>
    </r>
    <r>
      <rPr>
        <i/>
        <sz val="9"/>
        <color theme="1"/>
        <rFont val="Jacobs Chronos"/>
        <family val="2"/>
      </rPr>
      <t>T</t>
    </r>
    <r>
      <rPr>
        <i/>
        <vertAlign val="subscript"/>
        <sz val="9"/>
        <color theme="1"/>
        <rFont val="Jacobs Chronos"/>
        <family val="2"/>
      </rPr>
      <t>s</t>
    </r>
    <r>
      <rPr>
        <sz val="9"/>
        <color theme="1"/>
        <rFont val="Jacobs Chronos"/>
        <family val="2"/>
      </rPr>
      <t xml:space="preserve"> + </t>
    </r>
    <r>
      <rPr>
        <i/>
        <sz val="9"/>
        <color theme="1"/>
        <rFont val="Jacobs Chronos"/>
        <family val="2"/>
      </rPr>
      <t>T</t>
    </r>
    <r>
      <rPr>
        <i/>
        <vertAlign val="subscript"/>
        <sz val="9"/>
        <color theme="1"/>
        <rFont val="Jacobs Chronos"/>
        <family val="2"/>
      </rPr>
      <t>ps</t>
    </r>
    <r>
      <rPr>
        <sz val="9"/>
        <color theme="1"/>
        <rFont val="Jacobs Chronos"/>
        <family val="2"/>
      </rPr>
      <t xml:space="preserve"> (kips)</t>
    </r>
  </si>
  <si>
    <r>
      <t xml:space="preserve">Revised
</t>
    </r>
    <r>
      <rPr>
        <i/>
        <sz val="9"/>
        <color theme="1"/>
        <rFont val="Jacobs Chronos"/>
        <family val="2"/>
      </rPr>
      <t xml:space="preserve">c
</t>
    </r>
    <r>
      <rPr>
        <sz val="9"/>
        <color theme="1"/>
        <rFont val="Jacobs Chronos"/>
        <family val="2"/>
      </rPr>
      <t>(in)</t>
    </r>
  </si>
  <si>
    <r>
      <rPr>
        <i/>
        <sz val="9"/>
        <color theme="1"/>
        <rFont val="Jacobs Chronos"/>
        <family val="2"/>
      </rPr>
      <t>C</t>
    </r>
    <r>
      <rPr>
        <sz val="9"/>
        <color theme="1"/>
        <rFont val="Jacobs Chronos"/>
        <family val="2"/>
      </rPr>
      <t xml:space="preserve"> - </t>
    </r>
    <r>
      <rPr>
        <i/>
        <sz val="9"/>
        <color theme="1"/>
        <rFont val="Jacobs Chronos"/>
        <family val="2"/>
      </rPr>
      <t>T</t>
    </r>
    <r>
      <rPr>
        <sz val="9"/>
        <color theme="1"/>
        <rFont val="Jacobs Chronos"/>
        <family val="2"/>
      </rPr>
      <t xml:space="preserve">
(kips)</t>
    </r>
  </si>
  <si>
    <t>Resistance Factor</t>
  </si>
  <si>
    <r>
      <t xml:space="preserve">Neutral Axis of Section, </t>
    </r>
    <r>
      <rPr>
        <i/>
        <sz val="9"/>
        <color theme="1"/>
        <rFont val="Jacobs Chronos"/>
        <family val="2"/>
      </rPr>
      <t>c</t>
    </r>
    <r>
      <rPr>
        <sz val="9"/>
        <color theme="1"/>
        <rFont val="Jacobs Chronos"/>
        <family val="2"/>
      </rPr>
      <t xml:space="preserve"> =</t>
    </r>
  </si>
  <si>
    <r>
      <t>Net Tensile Strain in Extreme Steel, ε</t>
    </r>
    <r>
      <rPr>
        <i/>
        <vertAlign val="subscript"/>
        <sz val="9"/>
        <color theme="1"/>
        <rFont val="Jacobs Chronos"/>
        <family val="2"/>
      </rPr>
      <t>t</t>
    </r>
    <r>
      <rPr>
        <sz val="9"/>
        <color theme="1"/>
        <rFont val="Jacobs Chronos"/>
        <family val="2"/>
      </rPr>
      <t xml:space="preserve"> =</t>
    </r>
  </si>
  <si>
    <r>
      <t xml:space="preserve">Force in Reinforcing Steel, </t>
    </r>
    <r>
      <rPr>
        <i/>
        <sz val="9"/>
        <color theme="1"/>
        <rFont val="Jacobs Chronos"/>
        <family val="2"/>
      </rPr>
      <t>T</t>
    </r>
    <r>
      <rPr>
        <i/>
        <vertAlign val="subscript"/>
        <sz val="9"/>
        <color theme="1"/>
        <rFont val="Jacobs Chronos"/>
        <family val="2"/>
      </rPr>
      <t>s</t>
    </r>
    <r>
      <rPr>
        <sz val="9"/>
        <color theme="1"/>
        <rFont val="Jacobs Chronos"/>
        <family val="2"/>
      </rPr>
      <t xml:space="preserve"> =</t>
    </r>
  </si>
  <si>
    <r>
      <t xml:space="preserve">Force in Post-Tensioning Steel, </t>
    </r>
    <r>
      <rPr>
        <i/>
        <sz val="9"/>
        <color theme="1"/>
        <rFont val="Jacobs Chronos"/>
        <family val="2"/>
      </rPr>
      <t>T</t>
    </r>
    <r>
      <rPr>
        <i/>
        <vertAlign val="subscript"/>
        <sz val="9"/>
        <color theme="1"/>
        <rFont val="Jacobs Chronos"/>
        <family val="2"/>
      </rPr>
      <t>ps</t>
    </r>
    <r>
      <rPr>
        <sz val="9"/>
        <color theme="1"/>
        <rFont val="Jacobs Chronos"/>
        <family val="2"/>
      </rPr>
      <t xml:space="preserve"> =</t>
    </r>
  </si>
  <si>
    <r>
      <t xml:space="preserve">Force in Compression Flange, </t>
    </r>
    <r>
      <rPr>
        <i/>
        <sz val="9"/>
        <color theme="1"/>
        <rFont val="Jacobs Chronos"/>
        <family val="2"/>
      </rPr>
      <t>C</t>
    </r>
    <r>
      <rPr>
        <i/>
        <vertAlign val="subscript"/>
        <sz val="9"/>
        <color theme="1"/>
        <rFont val="Jacobs Chronos"/>
        <family val="2"/>
      </rPr>
      <t>f</t>
    </r>
    <r>
      <rPr>
        <sz val="9"/>
        <color theme="1"/>
        <rFont val="Jacobs Chronos"/>
        <family val="2"/>
      </rPr>
      <t xml:space="preserve"> =</t>
    </r>
  </si>
  <si>
    <r>
      <t xml:space="preserve">Force in Compression Web, </t>
    </r>
    <r>
      <rPr>
        <i/>
        <sz val="9"/>
        <color theme="1"/>
        <rFont val="Jacobs Chronos"/>
        <family val="2"/>
      </rPr>
      <t>C</t>
    </r>
    <r>
      <rPr>
        <i/>
        <vertAlign val="subscript"/>
        <sz val="9"/>
        <color theme="1"/>
        <rFont val="Jacobs Chronos"/>
        <family val="2"/>
      </rPr>
      <t>w</t>
    </r>
    <r>
      <rPr>
        <sz val="9"/>
        <color theme="1"/>
        <rFont val="Jacobs Chronos"/>
        <family val="2"/>
      </rPr>
      <t xml:space="preserve"> =</t>
    </r>
  </si>
  <si>
    <t>Nominal Flexural Resistance</t>
  </si>
  <si>
    <r>
      <t xml:space="preserve">Compression Depth, </t>
    </r>
    <r>
      <rPr>
        <i/>
        <sz val="9"/>
        <color theme="1"/>
        <rFont val="Jacobs Chronos"/>
        <family val="2"/>
      </rPr>
      <t>a</t>
    </r>
    <r>
      <rPr>
        <sz val="9"/>
        <color theme="1"/>
        <rFont val="Jacobs Chronos"/>
        <family val="2"/>
      </rPr>
      <t xml:space="preserve"> =</t>
    </r>
  </si>
  <si>
    <t>Factored Flexural Resistance</t>
  </si>
  <si>
    <r>
      <t xml:space="preserve">Nominal Positive Flexural Resistance, </t>
    </r>
    <r>
      <rPr>
        <i/>
        <sz val="9"/>
        <color theme="1"/>
        <rFont val="Jacobs Chronos"/>
        <family val="2"/>
      </rPr>
      <t>M</t>
    </r>
    <r>
      <rPr>
        <i/>
        <vertAlign val="subscript"/>
        <sz val="9"/>
        <color theme="1"/>
        <rFont val="Jacobs Chronos"/>
        <family val="2"/>
      </rPr>
      <t>n</t>
    </r>
    <r>
      <rPr>
        <sz val="9"/>
        <color theme="1"/>
        <rFont val="Jacobs Chronos"/>
        <family val="2"/>
      </rPr>
      <t xml:space="preserve"> = </t>
    </r>
  </si>
  <si>
    <r>
      <t>Factored Strength 1 Positive Flexural Resistance, ϕ</t>
    </r>
    <r>
      <rPr>
        <i/>
        <sz val="9"/>
        <color theme="1"/>
        <rFont val="Jacobs Chronos"/>
        <family val="2"/>
      </rPr>
      <t>M</t>
    </r>
    <r>
      <rPr>
        <i/>
        <vertAlign val="subscript"/>
        <sz val="9"/>
        <color theme="1"/>
        <rFont val="Jacobs Chronos"/>
        <family val="2"/>
      </rPr>
      <t>n</t>
    </r>
    <r>
      <rPr>
        <sz val="9"/>
        <color theme="1"/>
        <rFont val="Jacobs Chronos"/>
        <family val="2"/>
      </rPr>
      <t xml:space="preserve"> = </t>
    </r>
  </si>
  <si>
    <t>c</t>
  </si>
  <si>
    <t>C-T</t>
  </si>
  <si>
    <t>Iteration 1</t>
  </si>
  <si>
    <t>Iteration 2</t>
  </si>
  <si>
    <t>Iteration 3</t>
  </si>
  <si>
    <t>Iteration 4</t>
  </si>
  <si>
    <t>Iteration 5</t>
  </si>
  <si>
    <t>Iteration 6</t>
  </si>
  <si>
    <t>Iteration 7</t>
  </si>
  <si>
    <t>Iteration 8</t>
  </si>
  <si>
    <t>Iteration 9</t>
  </si>
  <si>
    <t>Iteration 10</t>
  </si>
  <si>
    <t>b</t>
  </si>
  <si>
    <t>Input Parameters</t>
  </si>
  <si>
    <r>
      <t>A</t>
    </r>
    <r>
      <rPr>
        <i/>
        <vertAlign val="subscript"/>
        <sz val="8"/>
        <color theme="1"/>
        <rFont val="Jacobs Chronos"/>
        <family val="2"/>
      </rPr>
      <t>s</t>
    </r>
  </si>
  <si>
    <r>
      <t>A</t>
    </r>
    <r>
      <rPr>
        <i/>
        <vertAlign val="subscript"/>
        <sz val="8"/>
        <color theme="1"/>
        <rFont val="Jacobs Chronos"/>
        <family val="2"/>
      </rPr>
      <t>ps</t>
    </r>
  </si>
  <si>
    <r>
      <t>d</t>
    </r>
    <r>
      <rPr>
        <i/>
        <vertAlign val="subscript"/>
        <sz val="8"/>
        <color theme="1"/>
        <rFont val="Jacobs Chronos"/>
        <family val="2"/>
      </rPr>
      <t>p</t>
    </r>
  </si>
  <si>
    <r>
      <t>d</t>
    </r>
    <r>
      <rPr>
        <i/>
        <vertAlign val="subscript"/>
        <sz val="8"/>
        <color theme="1"/>
        <rFont val="Jacobs Chronos"/>
        <family val="2"/>
      </rPr>
      <t>s</t>
    </r>
  </si>
  <si>
    <r>
      <t>b</t>
    </r>
    <r>
      <rPr>
        <i/>
        <vertAlign val="subscript"/>
        <sz val="8"/>
        <color theme="1"/>
        <rFont val="Jacobs Chronos"/>
        <family val="2"/>
      </rPr>
      <t>w</t>
    </r>
  </si>
  <si>
    <r>
      <t>h</t>
    </r>
    <r>
      <rPr>
        <i/>
        <vertAlign val="subscript"/>
        <sz val="8"/>
        <color theme="1"/>
        <rFont val="Jacobs Chronos"/>
        <family val="2"/>
      </rPr>
      <t>f</t>
    </r>
  </si>
  <si>
    <t>φ</t>
  </si>
  <si>
    <r>
      <rPr>
        <i/>
        <sz val="8"/>
        <color theme="1"/>
        <rFont val="Jacobs Chronos"/>
        <family val="2"/>
      </rPr>
      <t>c</t>
    </r>
    <r>
      <rPr>
        <sz val="8"/>
        <color theme="1"/>
        <rFont val="Jacobs Chronos"/>
        <family val="2"/>
      </rPr>
      <t xml:space="preserve">
(in)</t>
    </r>
  </si>
  <si>
    <t>Iter.</t>
  </si>
  <si>
    <t>Nominal Positive Flexure</t>
  </si>
  <si>
    <t>Nominal Negative Flexure</t>
  </si>
  <si>
    <t>D/C</t>
  </si>
  <si>
    <r>
      <t>Calculation of the steel strain, ε</t>
    </r>
    <r>
      <rPr>
        <i/>
        <vertAlign val="subscript"/>
        <sz val="9"/>
        <color theme="1"/>
        <rFont val="Jacobs Chronos"/>
        <family val="2"/>
      </rPr>
      <t>t</t>
    </r>
    <r>
      <rPr>
        <sz val="9"/>
        <color theme="1"/>
        <rFont val="Jacobs Chronos"/>
        <family val="2"/>
      </rPr>
      <t>, based on strain compatibility,</t>
    </r>
  </si>
  <si>
    <r>
      <rPr>
        <sz val="9"/>
        <color theme="1"/>
        <rFont val="Jacobs Chronos"/>
        <family val="2"/>
      </rPr>
      <t>α</t>
    </r>
    <r>
      <rPr>
        <i/>
        <vertAlign val="subscript"/>
        <sz val="9"/>
        <color theme="1"/>
        <rFont val="Jacobs Chronos"/>
        <family val="2"/>
      </rPr>
      <t>1</t>
    </r>
    <r>
      <rPr>
        <sz val="9"/>
        <color theme="1"/>
        <rFont val="Jacobs Chronos"/>
        <family val="2"/>
      </rPr>
      <t xml:space="preserve"> =</t>
    </r>
  </si>
  <si>
    <r>
      <rPr>
        <sz val="9"/>
        <color theme="1"/>
        <rFont val="Jacobs Chronos"/>
        <family val="2"/>
      </rPr>
      <t>ε</t>
    </r>
    <r>
      <rPr>
        <i/>
        <vertAlign val="subscript"/>
        <sz val="9"/>
        <color theme="1"/>
        <rFont val="Jacobs Chronos"/>
        <family val="2"/>
      </rPr>
      <t>cl</t>
    </r>
    <r>
      <rPr>
        <sz val="9"/>
        <color theme="1"/>
        <rFont val="Jacobs Chronos"/>
        <family val="2"/>
      </rPr>
      <t xml:space="preserve"> =</t>
    </r>
  </si>
  <si>
    <r>
      <rPr>
        <sz val="9"/>
        <color theme="1"/>
        <rFont val="Jacobs Chronos"/>
        <family val="2"/>
      </rPr>
      <t>ε</t>
    </r>
    <r>
      <rPr>
        <i/>
        <vertAlign val="subscript"/>
        <sz val="9"/>
        <color theme="1"/>
        <rFont val="Jacobs Chronos"/>
        <family val="2"/>
      </rPr>
      <t>cu</t>
    </r>
    <r>
      <rPr>
        <sz val="9"/>
        <color theme="1"/>
        <rFont val="Jacobs Chronos"/>
        <family val="2"/>
      </rPr>
      <t xml:space="preserve"> =</t>
    </r>
  </si>
  <si>
    <r>
      <rPr>
        <sz val="9"/>
        <color theme="1"/>
        <rFont val="Jacobs Chronos"/>
        <family val="2"/>
      </rPr>
      <t>ε</t>
    </r>
    <r>
      <rPr>
        <i/>
        <vertAlign val="subscript"/>
        <sz val="9"/>
        <color theme="1"/>
        <rFont val="Jacobs Chronos"/>
        <family val="2"/>
      </rPr>
      <t>t</t>
    </r>
    <r>
      <rPr>
        <sz val="9"/>
        <color theme="1"/>
        <rFont val="Jacobs Chronos"/>
        <family val="2"/>
      </rPr>
      <t xml:space="preserve"> =</t>
    </r>
  </si>
  <si>
    <r>
      <rPr>
        <sz val="9"/>
        <color theme="1"/>
        <rFont val="Jacobs Chronos"/>
        <family val="2"/>
      </rPr>
      <t>ε</t>
    </r>
    <r>
      <rPr>
        <i/>
        <vertAlign val="subscript"/>
        <sz val="9"/>
        <color theme="1"/>
        <rFont val="Jacobs Chronos"/>
        <family val="2"/>
      </rPr>
      <t>t1</t>
    </r>
    <r>
      <rPr>
        <sz val="9"/>
        <color theme="1"/>
        <rFont val="Jacobs Chronos"/>
        <family val="2"/>
      </rPr>
      <t xml:space="preserve"> =</t>
    </r>
  </si>
  <si>
    <r>
      <rPr>
        <sz val="9"/>
        <color theme="1"/>
        <rFont val="Jacobs Chronos"/>
        <family val="2"/>
      </rPr>
      <t>ε</t>
    </r>
    <r>
      <rPr>
        <i/>
        <vertAlign val="subscript"/>
        <sz val="9"/>
        <color theme="1"/>
        <rFont val="Jacobs Chronos"/>
        <family val="2"/>
      </rPr>
      <t>t2</t>
    </r>
    <r>
      <rPr>
        <sz val="9"/>
        <color theme="1"/>
        <rFont val="Jacobs Chronos"/>
        <family val="2"/>
      </rPr>
      <t xml:space="preserve"> =</t>
    </r>
  </si>
  <si>
    <r>
      <rPr>
        <sz val="9"/>
        <color theme="1"/>
        <rFont val="Jacobs Chronos"/>
        <family val="2"/>
      </rPr>
      <t>ε</t>
    </r>
    <r>
      <rPr>
        <i/>
        <vertAlign val="subscript"/>
        <sz val="9"/>
        <color theme="1"/>
        <rFont val="Jacobs Chronos"/>
        <family val="2"/>
      </rPr>
      <t>tl</t>
    </r>
    <r>
      <rPr>
        <sz val="9"/>
        <color theme="1"/>
        <rFont val="Jacobs Chronos"/>
        <family val="2"/>
      </rPr>
      <t xml:space="preserve"> =</t>
    </r>
  </si>
  <si>
    <r>
      <rPr>
        <b/>
        <sz val="7"/>
        <color theme="1"/>
        <rFont val="Jacobs Chronos"/>
        <family val="2"/>
      </rPr>
      <t>Design Note:</t>
    </r>
    <r>
      <rPr>
        <sz val="7"/>
        <color theme="1"/>
        <rFont val="Jacobs Chronos"/>
        <family val="2"/>
      </rPr>
      <t xml:space="preserve">  Per AASHTO 5.6.2.2 β</t>
    </r>
    <r>
      <rPr>
        <i/>
        <vertAlign val="subscript"/>
        <sz val="7"/>
        <color theme="1"/>
        <rFont val="Jacobs Chronos"/>
        <family val="2"/>
      </rPr>
      <t>1</t>
    </r>
    <r>
      <rPr>
        <sz val="7"/>
        <color theme="1"/>
        <rFont val="Jacobs Chronos"/>
        <family val="2"/>
      </rPr>
      <t xml:space="preserve"> shall taken as 0.85 for concrete strengths equal to or less than 4.0 ksi; it shall be reduced at a rate of 0.05 for each 1.0 ksi of strength in excess of 4.0 ksi, except it shall not be taken to be less than 0.65.</t>
    </r>
  </si>
  <si>
    <r>
      <rPr>
        <b/>
        <sz val="7"/>
        <color theme="1"/>
        <rFont val="Jacobs Chronos"/>
        <family val="2"/>
      </rPr>
      <t>Design Note:</t>
    </r>
    <r>
      <rPr>
        <sz val="7"/>
        <color theme="1"/>
        <rFont val="Jacobs Chronos"/>
        <family val="2"/>
      </rPr>
      <t xml:space="preserve">  Per AASHTO 5.6.2.2 α</t>
    </r>
    <r>
      <rPr>
        <i/>
        <vertAlign val="subscript"/>
        <sz val="7"/>
        <color theme="1"/>
        <rFont val="Jacobs Chronos"/>
        <family val="2"/>
      </rPr>
      <t>1</t>
    </r>
    <r>
      <rPr>
        <sz val="7"/>
        <color theme="1"/>
        <rFont val="Jacobs Chronos"/>
        <family val="2"/>
      </rPr>
      <t xml:space="preserve"> shall be taken as 0.85 for concrete strengths equal to or less than 10.0 ksi; it shall be reduced at a rate of 0.02 for each 1.0 ksi of strength in excess of 10.0 ksi, except it shall not be taken to be less than 0.75.</t>
    </r>
  </si>
  <si>
    <r>
      <t xml:space="preserve">Centroid of Flange Comp. Force from Ext. Comp. Fiber, </t>
    </r>
    <r>
      <rPr>
        <i/>
        <sz val="9"/>
        <color theme="1"/>
        <rFont val="Jacobs Chronos"/>
        <family val="2"/>
      </rPr>
      <t>d</t>
    </r>
    <r>
      <rPr>
        <i/>
        <vertAlign val="subscript"/>
        <sz val="9"/>
        <color theme="1"/>
        <rFont val="Jacobs Chronos"/>
        <family val="2"/>
      </rPr>
      <t>f</t>
    </r>
    <r>
      <rPr>
        <sz val="9"/>
        <color theme="1"/>
        <rFont val="Jacobs Chronos"/>
        <family val="2"/>
      </rPr>
      <t xml:space="preserve"> =</t>
    </r>
  </si>
  <si>
    <r>
      <t xml:space="preserve">Centroid of Web Comp. Force from Ext. Comp. Fiber, </t>
    </r>
    <r>
      <rPr>
        <i/>
        <sz val="9"/>
        <color theme="1"/>
        <rFont val="Jacobs Chronos"/>
        <family val="2"/>
      </rPr>
      <t>d</t>
    </r>
    <r>
      <rPr>
        <i/>
        <vertAlign val="subscript"/>
        <sz val="9"/>
        <color theme="1"/>
        <rFont val="Jacobs Chronos"/>
        <family val="2"/>
      </rPr>
      <t>w</t>
    </r>
    <r>
      <rPr>
        <sz val="9"/>
        <color theme="1"/>
        <rFont val="Jacobs Chronos"/>
        <family val="2"/>
      </rPr>
      <t xml:space="preserve"> =</t>
    </r>
  </si>
  <si>
    <r>
      <t xml:space="preserve">Centroid of Reinforcing Steel Force from Ext. Comp. Fiber, </t>
    </r>
    <r>
      <rPr>
        <i/>
        <sz val="9"/>
        <color theme="1"/>
        <rFont val="Jacobs Chronos"/>
        <family val="2"/>
      </rPr>
      <t>d</t>
    </r>
    <r>
      <rPr>
        <i/>
        <vertAlign val="subscript"/>
        <sz val="9"/>
        <color theme="1"/>
        <rFont val="Jacobs Chronos"/>
        <family val="2"/>
      </rPr>
      <t>s</t>
    </r>
    <r>
      <rPr>
        <sz val="9"/>
        <color theme="1"/>
        <rFont val="Jacobs Chronos"/>
        <family val="2"/>
      </rPr>
      <t xml:space="preserve"> =</t>
    </r>
  </si>
  <si>
    <r>
      <t xml:space="preserve">Centroid of Post-Tensioning Force from Ext. Comp. Fiber, </t>
    </r>
    <r>
      <rPr>
        <i/>
        <sz val="9"/>
        <color theme="1"/>
        <rFont val="Jacobs Chronos"/>
        <family val="2"/>
      </rPr>
      <t>d</t>
    </r>
    <r>
      <rPr>
        <i/>
        <vertAlign val="subscript"/>
        <sz val="9"/>
        <color theme="1"/>
        <rFont val="Jacobs Chronos"/>
        <family val="2"/>
      </rPr>
      <t>p</t>
    </r>
    <r>
      <rPr>
        <sz val="9"/>
        <color theme="1"/>
        <rFont val="Jacobs Chronos"/>
        <family val="2"/>
      </rPr>
      <t xml:space="preserve"> =</t>
    </r>
  </si>
  <si>
    <t>Reinforcing Yield Strength, fy =</t>
  </si>
  <si>
    <r>
      <t>A</t>
    </r>
    <r>
      <rPr>
        <i/>
        <vertAlign val="subscript"/>
        <sz val="11"/>
        <color theme="1"/>
        <rFont val="Calibri"/>
        <family val="2"/>
        <scheme val="minor"/>
      </rPr>
      <t>s</t>
    </r>
  </si>
  <si>
    <r>
      <t>A</t>
    </r>
    <r>
      <rPr>
        <i/>
        <vertAlign val="subscript"/>
        <sz val="11"/>
        <color theme="1"/>
        <rFont val="Calibri"/>
        <family val="2"/>
        <scheme val="minor"/>
      </rPr>
      <t>ps</t>
    </r>
  </si>
  <si>
    <r>
      <t>d</t>
    </r>
    <r>
      <rPr>
        <i/>
        <vertAlign val="subscript"/>
        <sz val="11"/>
        <color theme="1"/>
        <rFont val="Calibri"/>
        <family val="2"/>
        <scheme val="minor"/>
      </rPr>
      <t>p</t>
    </r>
  </si>
  <si>
    <r>
      <t>d</t>
    </r>
    <r>
      <rPr>
        <i/>
        <vertAlign val="subscript"/>
        <sz val="11"/>
        <color theme="1"/>
        <rFont val="Calibri"/>
        <family val="2"/>
        <scheme val="minor"/>
      </rPr>
      <t>s</t>
    </r>
  </si>
  <si>
    <r>
      <t>b</t>
    </r>
    <r>
      <rPr>
        <i/>
        <vertAlign val="subscript"/>
        <sz val="11"/>
        <color theme="1"/>
        <rFont val="Calibri"/>
        <family val="2"/>
        <scheme val="minor"/>
      </rPr>
      <t>w</t>
    </r>
  </si>
  <si>
    <r>
      <t>h</t>
    </r>
    <r>
      <rPr>
        <i/>
        <vertAlign val="subscript"/>
        <sz val="11"/>
        <color theme="1"/>
        <rFont val="Calibri"/>
        <family val="2"/>
        <scheme val="minor"/>
      </rPr>
      <t>f</t>
    </r>
  </si>
  <si>
    <r>
      <t>in</t>
    </r>
    <r>
      <rPr>
        <vertAlign val="superscript"/>
        <sz val="11"/>
        <color theme="1"/>
        <rFont val="Calibri"/>
        <family val="2"/>
        <scheme val="minor"/>
      </rPr>
      <t>2</t>
    </r>
  </si>
  <si>
    <r>
      <t>C</t>
    </r>
    <r>
      <rPr>
        <i/>
        <vertAlign val="subscript"/>
        <sz val="8"/>
        <color theme="1"/>
        <rFont val="Jacobs Chronos"/>
        <family val="2"/>
      </rPr>
      <t>f</t>
    </r>
    <r>
      <rPr>
        <i/>
        <sz val="8"/>
        <color theme="1"/>
        <rFont val="Jacobs Chronos"/>
        <family val="2"/>
      </rPr>
      <t xml:space="preserve"> </t>
    </r>
    <r>
      <rPr>
        <sz val="8"/>
        <color theme="1"/>
        <rFont val="Jacobs Chronos"/>
        <family val="2"/>
      </rPr>
      <t>(kips)</t>
    </r>
  </si>
  <si>
    <r>
      <t>C</t>
    </r>
    <r>
      <rPr>
        <i/>
        <vertAlign val="subscript"/>
        <sz val="8"/>
        <color theme="1"/>
        <rFont val="Jacobs Chronos"/>
        <family val="2"/>
      </rPr>
      <t>w</t>
    </r>
    <r>
      <rPr>
        <i/>
        <sz val="8"/>
        <color theme="1"/>
        <rFont val="Jacobs Chronos"/>
        <family val="2"/>
      </rPr>
      <t xml:space="preserve"> </t>
    </r>
    <r>
      <rPr>
        <sz val="8"/>
        <color theme="1"/>
        <rFont val="Jacobs Chronos"/>
        <family val="2"/>
      </rPr>
      <t>(kips)</t>
    </r>
  </si>
  <si>
    <r>
      <t>T</t>
    </r>
    <r>
      <rPr>
        <i/>
        <vertAlign val="subscript"/>
        <sz val="8"/>
        <color theme="1"/>
        <rFont val="Jacobs Chronos"/>
        <family val="2"/>
      </rPr>
      <t>s</t>
    </r>
    <r>
      <rPr>
        <sz val="8"/>
        <color theme="1"/>
        <rFont val="Jacobs Chronos"/>
        <family val="2"/>
      </rPr>
      <t xml:space="preserve"> (kips)</t>
    </r>
  </si>
  <si>
    <r>
      <t>T</t>
    </r>
    <r>
      <rPr>
        <i/>
        <vertAlign val="subscript"/>
        <sz val="8"/>
        <color theme="1"/>
        <rFont val="Jacobs Chronos"/>
        <family val="2"/>
      </rPr>
      <t>ps</t>
    </r>
    <r>
      <rPr>
        <sz val="8"/>
        <color theme="1"/>
        <rFont val="Jacobs Chronos"/>
        <family val="2"/>
      </rPr>
      <t xml:space="preserve"> (kips)</t>
    </r>
  </si>
  <si>
    <r>
      <rPr>
        <sz val="8"/>
        <color theme="1"/>
        <rFont val="Jacobs Chronos"/>
        <family val="2"/>
      </rPr>
      <t>ε</t>
    </r>
    <r>
      <rPr>
        <i/>
        <vertAlign val="subscript"/>
        <sz val="8"/>
        <color theme="1"/>
        <rFont val="Jacobs Chronos"/>
        <family val="2"/>
      </rPr>
      <t>t</t>
    </r>
    <r>
      <rPr>
        <sz val="8"/>
        <color theme="1"/>
        <rFont val="Jacobs Chronos"/>
        <family val="2"/>
      </rPr>
      <t xml:space="preserve"> (in/in)</t>
    </r>
  </si>
  <si>
    <r>
      <t>d</t>
    </r>
    <r>
      <rPr>
        <i/>
        <vertAlign val="subscript"/>
        <sz val="8"/>
        <color theme="1"/>
        <rFont val="Jacobs Chronos"/>
        <family val="2"/>
      </rPr>
      <t>f</t>
    </r>
    <r>
      <rPr>
        <i/>
        <sz val="8"/>
        <color theme="1"/>
        <rFont val="Jacobs Chronos"/>
        <family val="2"/>
      </rPr>
      <t xml:space="preserve"> </t>
    </r>
    <r>
      <rPr>
        <sz val="8"/>
        <color theme="1"/>
        <rFont val="Jacobs Chronos"/>
        <family val="2"/>
      </rPr>
      <t xml:space="preserve"> (in)</t>
    </r>
  </si>
  <si>
    <r>
      <t>d</t>
    </r>
    <r>
      <rPr>
        <i/>
        <vertAlign val="subscript"/>
        <sz val="8"/>
        <color theme="1"/>
        <rFont val="Jacobs Chronos"/>
        <family val="2"/>
      </rPr>
      <t>w</t>
    </r>
    <r>
      <rPr>
        <i/>
        <sz val="8"/>
        <color theme="1"/>
        <rFont val="Jacobs Chronos"/>
        <family val="2"/>
      </rPr>
      <t xml:space="preserve"> </t>
    </r>
    <r>
      <rPr>
        <sz val="8"/>
        <color theme="1"/>
        <rFont val="Jacobs Chronos"/>
        <family val="2"/>
      </rPr>
      <t xml:space="preserve"> (in)</t>
    </r>
  </si>
  <si>
    <r>
      <t>d</t>
    </r>
    <r>
      <rPr>
        <i/>
        <vertAlign val="subscript"/>
        <sz val="8"/>
        <color theme="1"/>
        <rFont val="Jacobs Chronos"/>
        <family val="2"/>
      </rPr>
      <t>s</t>
    </r>
    <r>
      <rPr>
        <i/>
        <sz val="8"/>
        <color theme="1"/>
        <rFont val="Jacobs Chronos"/>
        <family val="2"/>
      </rPr>
      <t xml:space="preserve">  </t>
    </r>
    <r>
      <rPr>
        <sz val="8"/>
        <color theme="1"/>
        <rFont val="Jacobs Chronos"/>
        <family val="2"/>
      </rPr>
      <t>(in)</t>
    </r>
  </si>
  <si>
    <r>
      <t>d</t>
    </r>
    <r>
      <rPr>
        <i/>
        <vertAlign val="subscript"/>
        <sz val="8"/>
        <color theme="1"/>
        <rFont val="Jacobs Chronos"/>
        <family val="2"/>
      </rPr>
      <t>p</t>
    </r>
    <r>
      <rPr>
        <i/>
        <sz val="8"/>
        <color theme="1"/>
        <rFont val="Jacobs Chronos"/>
        <family val="2"/>
      </rPr>
      <t xml:space="preserve">  </t>
    </r>
    <r>
      <rPr>
        <sz val="8"/>
        <color theme="1"/>
        <rFont val="Jacobs Chronos"/>
        <family val="2"/>
      </rPr>
      <t>(in)</t>
    </r>
  </si>
  <si>
    <r>
      <t>M</t>
    </r>
    <r>
      <rPr>
        <i/>
        <vertAlign val="subscript"/>
        <sz val="8"/>
        <color theme="1"/>
        <rFont val="Jacobs Chronos"/>
        <family val="2"/>
      </rPr>
      <t>n</t>
    </r>
    <r>
      <rPr>
        <sz val="8"/>
        <color theme="1"/>
        <rFont val="Jacobs Chronos"/>
        <family val="2"/>
      </rPr>
      <t xml:space="preserve"> * φ</t>
    </r>
    <r>
      <rPr>
        <vertAlign val="subscript"/>
        <sz val="8"/>
        <color theme="1"/>
        <rFont val="Jacobs Chronos"/>
        <family val="2"/>
      </rPr>
      <t xml:space="preserve">     </t>
    </r>
    <r>
      <rPr>
        <i/>
        <vertAlign val="subscript"/>
        <sz val="8"/>
        <color theme="1"/>
        <rFont val="Jacobs Chronos"/>
        <family val="2"/>
      </rPr>
      <t xml:space="preserve">    </t>
    </r>
    <r>
      <rPr>
        <vertAlign val="subscript"/>
        <sz val="8"/>
        <color theme="1"/>
        <rFont val="Jacobs Chronos"/>
        <family val="2"/>
      </rPr>
      <t xml:space="preserve"> </t>
    </r>
    <r>
      <rPr>
        <sz val="7"/>
        <color theme="1"/>
        <rFont val="Jacobs Chronos"/>
        <family val="2"/>
      </rPr>
      <t xml:space="preserve">   (k-ft per ft)</t>
    </r>
  </si>
  <si>
    <r>
      <t>M</t>
    </r>
    <r>
      <rPr>
        <i/>
        <vertAlign val="subscript"/>
        <sz val="8"/>
        <color theme="1"/>
        <rFont val="Jacobs Chronos"/>
        <family val="2"/>
      </rPr>
      <t>n</t>
    </r>
    <r>
      <rPr>
        <sz val="8"/>
        <color theme="1"/>
        <rFont val="Jacobs Chronos"/>
        <family val="2"/>
      </rPr>
      <t xml:space="preserve"> * φ    </t>
    </r>
    <r>
      <rPr>
        <i/>
        <sz val="8"/>
        <color theme="1"/>
        <rFont val="Jacobs Chronos"/>
        <family val="2"/>
      </rPr>
      <t xml:space="preserve"> </t>
    </r>
    <r>
      <rPr>
        <sz val="8"/>
        <color theme="1"/>
        <rFont val="Jacobs Chronos"/>
        <family val="2"/>
      </rPr>
      <t xml:space="preserve">       </t>
    </r>
    <r>
      <rPr>
        <sz val="7"/>
        <color theme="1"/>
        <rFont val="Jacobs Chronos"/>
        <family val="2"/>
      </rPr>
      <t xml:space="preserve"> (k-ft per ft)</t>
    </r>
  </si>
  <si>
    <r>
      <t xml:space="preserve">Mu           </t>
    </r>
    <r>
      <rPr>
        <sz val="8"/>
        <color theme="1"/>
        <rFont val="Jacobs Chronos"/>
        <family val="2"/>
      </rPr>
      <t xml:space="preserve">   </t>
    </r>
    <r>
      <rPr>
        <sz val="7"/>
        <color theme="1"/>
        <rFont val="Jacobs Chronos"/>
        <family val="2"/>
      </rPr>
      <t xml:space="preserve"> (k-ft per ft)</t>
    </r>
  </si>
  <si>
    <t xml:space="preserve">
This calculation determines the factored flexural resistance of a post‑tensioned concrete beam in accordance with AASHTO LRFD Bridge Design Specifications, Article 5.6.3.2. The intent of this calculation is to establish a clear, transparent, and consistent evaluation of the nominal and factored flexural resistance based primarily on the contribution of the post‑tensioning steel, mild (non-prestressed) reinforcing tensile steel, and concrete compression block.
For the purposes of this calculation, the contribution from mild (non‑prestressed) reinforcing compression steel is intentionally neglected in both positive and negative flexure., since compression reinforcing typically offers minimal increase to the resistance of the member.  This simplification is made for consistency, clarity, and to avoid unnecessary analytical complexity.</t>
  </si>
  <si>
    <r>
      <t xml:space="preserve">
Including mild reinforcing steel in flexural resistance calculations introduces additional complexity because the stress in the reinforcing steel is not known beforehand. Unlike prestressing steel, which is typically assumed to reach a known effective stress at ultimate, mild reinforcing steel may or may not yield at the nominal strength condition.
AASHTO LRFD recognizes this explicitly by using the reinforcing steel stress, </t>
    </r>
    <r>
      <rPr>
        <i/>
        <sz val="9"/>
        <color theme="1"/>
        <rFont val="Jacobs Chronos"/>
        <family val="2"/>
      </rPr>
      <t>f</t>
    </r>
    <r>
      <rPr>
        <i/>
        <vertAlign val="subscript"/>
        <sz val="9"/>
        <color theme="1"/>
        <rFont val="Jacobs Chronos"/>
        <family val="2"/>
      </rPr>
      <t>s</t>
    </r>
    <r>
      <rPr>
        <sz val="9"/>
        <color theme="1"/>
        <rFont val="Jacobs Chronos"/>
        <family val="2"/>
      </rPr>
      <t xml:space="preserve">, instead of the reinforcing yield strength, </t>
    </r>
    <r>
      <rPr>
        <i/>
        <sz val="9"/>
        <color theme="1"/>
        <rFont val="Jacobs Chronos"/>
        <family val="2"/>
      </rPr>
      <t>f</t>
    </r>
    <r>
      <rPr>
        <i/>
        <vertAlign val="subscript"/>
        <sz val="9"/>
        <color theme="1"/>
        <rFont val="Jacobs Chronos"/>
        <family val="2"/>
      </rPr>
      <t>y</t>
    </r>
    <r>
      <rPr>
        <sz val="9"/>
        <color theme="1"/>
        <rFont val="Jacobs Chronos"/>
        <family val="2"/>
      </rPr>
      <t xml:space="preserve">, in its flexural resistance equation (AASHTO 5.6.3.2.2-1).  Determining </t>
    </r>
    <r>
      <rPr>
        <i/>
        <sz val="9"/>
        <color theme="1"/>
        <rFont val="Jacobs Chronos"/>
        <family val="2"/>
      </rPr>
      <t>f</t>
    </r>
    <r>
      <rPr>
        <i/>
        <vertAlign val="subscript"/>
        <sz val="9"/>
        <color theme="1"/>
        <rFont val="Jacobs Chronos"/>
        <family val="2"/>
      </rPr>
      <t>s</t>
    </r>
    <r>
      <rPr>
        <sz val="9"/>
        <color theme="1"/>
        <rFont val="Jacobs Chronos"/>
        <family val="2"/>
      </rPr>
      <t>​ requires:</t>
    </r>
  </si>
  <si>
    <r>
      <t>Verification of yielding by comparing ε</t>
    </r>
    <r>
      <rPr>
        <i/>
        <vertAlign val="subscript"/>
        <sz val="9"/>
        <color theme="1"/>
        <rFont val="Jacobs Chronos"/>
        <family val="2"/>
      </rPr>
      <t>t</t>
    </r>
    <r>
      <rPr>
        <sz val="9"/>
        <color theme="1"/>
        <rFont val="Jacobs Chronos"/>
        <family val="2"/>
      </rPr>
      <t xml:space="preserve"> to the limiting steel tensile strain, ε</t>
    </r>
    <r>
      <rPr>
        <i/>
        <vertAlign val="subscript"/>
        <sz val="9"/>
        <color theme="1"/>
        <rFont val="Jacobs Chronos"/>
        <family val="2"/>
      </rPr>
      <t>tl</t>
    </r>
    <r>
      <rPr>
        <sz val="9"/>
        <color theme="1"/>
        <rFont val="Jacobs Chronos"/>
        <family val="2"/>
      </rPr>
      <t xml:space="preserve"> (typically 0.005 for mild reinforcing with a yield strength of 60 ksi), and</t>
    </r>
  </si>
  <si>
    <r>
      <t>Because of this behavior, post-tensioning steel does not have a unique yield strain analogous to mild reinforcing steel. Consequently, strain limits such as ε</t>
    </r>
    <r>
      <rPr>
        <i/>
        <vertAlign val="subscript"/>
        <sz val="9"/>
        <color theme="1"/>
        <rFont val="Jacobs Chronos"/>
        <family val="2"/>
      </rPr>
      <t>t</t>
    </r>
    <r>
      <rPr>
        <sz val="9"/>
        <color theme="1"/>
        <rFont val="Jacobs Chronos"/>
        <family val="2"/>
      </rPr>
      <t xml:space="preserve"> = 0.005 should not be interpreted as indicating yielding of post-tensioned steel.  In addition, post-tensioning steel possesses a significant initial tensile strain due to effective prestress prior to application of external loads.  The net tensile strain used in calculating the AASHTO resistance‑factor for post-tensioning includes both the initial prestress strain, </t>
    </r>
    <r>
      <rPr>
        <sz val="9"/>
        <color theme="1"/>
        <rFont val="Calibri"/>
        <family val="2"/>
      </rPr>
      <t>ε</t>
    </r>
    <r>
      <rPr>
        <i/>
        <vertAlign val="subscript"/>
        <sz val="9"/>
        <color theme="1"/>
        <rFont val="Jacobs Chronos"/>
        <family val="2"/>
      </rPr>
      <t>t1</t>
    </r>
    <r>
      <rPr>
        <sz val="9"/>
        <color theme="1"/>
        <rFont val="Jacobs Chronos"/>
        <family val="2"/>
      </rPr>
      <t xml:space="preserve"> (calculated as the effective post-tensioning stress divided by the modulus of elasticity of the post-tensioning material), and additional strain induced by flexural curvature under factored loads, </t>
    </r>
    <r>
      <rPr>
        <sz val="9"/>
        <color theme="1"/>
        <rFont val="Calibri"/>
        <family val="2"/>
      </rPr>
      <t>ε</t>
    </r>
    <r>
      <rPr>
        <i/>
        <vertAlign val="subscript"/>
        <sz val="9"/>
        <color theme="1"/>
        <rFont val="Calibri"/>
        <family val="2"/>
      </rPr>
      <t>t2</t>
    </r>
    <r>
      <rPr>
        <sz val="9"/>
        <color theme="1"/>
        <rFont val="Jacobs Chronos"/>
        <family val="2"/>
      </rPr>
      <t>.
As a result, post-tensioning steel often exceeds the numerical tensile strain limits used in Article 5.5.4.2 even when the section behavior remains relatively brittle compared to reinforced concrete members with yielding reinforcing steel.  For post-tensioned concrete members, the tensile strain limits in Article 5.5.4.2 should therefore be understood as ductility classification thresholds, not material yield limits. Their purpose is to:</t>
    </r>
  </si>
  <si>
    <t>Accordingly, when applying Equation 5.5.4.2‑2 to post-tensioned concrete beams, the calculated resistance factor reflects member‑level ductility, not yielding of post-tensioned steel. Care should be taken to avoid equating numerical strain thresholds with physical yielding behavior when interpreting results for post-tensioned members.</t>
  </si>
  <si>
    <r>
      <t xml:space="preserve">
Per AASHTO 4.6.2.6.1, the effective flange width may be taken as the tributary width perpendicular to the axis of the member for determining flexural resistance.  In these calculations the effective flange width is taken as one-half the distance to the adjacent girder on each side of the component, or one-half the distance to the adjacent girder plus the full overhang width.  The commentary of AASHTO 4.6.2.6.1 notes that these provisions are considered applicable for skew angles less than or equal to 75° (where skew angle is the angle between the bearing line and a line normal to the centerline girder), </t>
    </r>
    <r>
      <rPr>
        <i/>
        <sz val="9"/>
        <color theme="1"/>
        <rFont val="Jacobs Chronos"/>
        <family val="2"/>
      </rPr>
      <t>L</t>
    </r>
    <r>
      <rPr>
        <sz val="9"/>
        <color theme="1"/>
        <rFont val="Jacobs Chronos"/>
        <family val="2"/>
      </rPr>
      <t>/</t>
    </r>
    <r>
      <rPr>
        <i/>
        <sz val="9"/>
        <color theme="1"/>
        <rFont val="Jacobs Chronos"/>
        <family val="2"/>
      </rPr>
      <t>S</t>
    </r>
    <r>
      <rPr>
        <sz val="9"/>
        <color theme="1"/>
        <rFont val="Jacobs Chronos"/>
        <family val="2"/>
      </rPr>
      <t xml:space="preserve"> greater than or equal to 2.0 (where </t>
    </r>
    <r>
      <rPr>
        <i/>
        <sz val="9"/>
        <color theme="1"/>
        <rFont val="Jacobs Chronos"/>
        <family val="2"/>
      </rPr>
      <t>L</t>
    </r>
    <r>
      <rPr>
        <sz val="9"/>
        <color theme="1"/>
        <rFont val="Jacobs Chronos"/>
        <family val="2"/>
      </rPr>
      <t xml:space="preserve"> is the span length and </t>
    </r>
    <r>
      <rPr>
        <i/>
        <sz val="9"/>
        <color theme="1"/>
        <rFont val="Jacobs Chronos"/>
        <family val="2"/>
      </rPr>
      <t>S</t>
    </r>
    <r>
      <rPr>
        <sz val="9"/>
        <color theme="1"/>
        <rFont val="Jacobs Chronos"/>
        <family val="2"/>
      </rPr>
      <t xml:space="preserve"> is the center to center spacing of girders, and overhang widths less than or equal to 0.5</t>
    </r>
    <r>
      <rPr>
        <i/>
        <sz val="9"/>
        <color theme="1"/>
        <rFont val="Jacobs Chronos"/>
        <family val="2"/>
      </rPr>
      <t>S</t>
    </r>
    <r>
      <rPr>
        <sz val="9"/>
        <color theme="1"/>
        <rFont val="Jacobs Chronos"/>
        <family val="2"/>
      </rPr>
      <t>.  The provisions are considered applicable for slab-beam bridges with unequal skew angles of the bearing lines, splayed girders, horizontally curved girders, cantilever spans, and various unequal span lengths of continuous spans.  The use of one-half the distance to the adjacent girder in calculating the effective width of the main girders in composite girder systems is a conservative assumption for the main structural components, since typically a larger width of the slab can be expected to participate with the main girders.  To utilize a larger effective slab width for the main girders, a more refined analysis is needed and falls outside the scope of this calculation tool.</t>
    </r>
  </si>
  <si>
    <t xml:space="preserve">
This calculation tool does not consider the effects of unbonded tendons; all post-tensioning is assumed to be bonded.</t>
  </si>
  <si>
    <t xml:space="preserve">
The nomenclature and equations used throughout this calculation tool is described in this section.</t>
  </si>
  <si>
    <r>
      <t xml:space="preserve">
Note:  For Positive Flexure, </t>
    </r>
    <r>
      <rPr>
        <i/>
        <sz val="9"/>
        <color theme="1"/>
        <rFont val="Jacobs Chronos"/>
        <family val="2"/>
      </rPr>
      <t>h</t>
    </r>
    <r>
      <rPr>
        <i/>
        <vertAlign val="subscript"/>
        <sz val="9"/>
        <color theme="1"/>
        <rFont val="Jacobs Chronos"/>
        <family val="2"/>
      </rPr>
      <t>f</t>
    </r>
    <r>
      <rPr>
        <sz val="9"/>
        <color theme="1"/>
        <rFont val="Jacobs Chronos"/>
        <family val="2"/>
      </rPr>
      <t xml:space="preserve"> and </t>
    </r>
    <r>
      <rPr>
        <i/>
        <sz val="9"/>
        <color theme="1"/>
        <rFont val="Jacobs Chronos"/>
        <family val="2"/>
      </rPr>
      <t>b</t>
    </r>
    <r>
      <rPr>
        <sz val="9"/>
        <color theme="1"/>
        <rFont val="Jacobs Chronos"/>
        <family val="2"/>
      </rPr>
      <t xml:space="preserve"> are the height and width of bottom flange, </t>
    </r>
    <r>
      <rPr>
        <i/>
        <sz val="9"/>
        <color theme="1"/>
        <rFont val="Jacobs Chronos"/>
        <family val="2"/>
      </rPr>
      <t>d</t>
    </r>
    <r>
      <rPr>
        <i/>
        <vertAlign val="subscript"/>
        <sz val="9"/>
        <color theme="1"/>
        <rFont val="Jacobs Chronos"/>
        <family val="2"/>
      </rPr>
      <t>p</t>
    </r>
    <r>
      <rPr>
        <sz val="9"/>
        <color theme="1"/>
        <rFont val="Jacobs Chronos"/>
        <family val="2"/>
      </rPr>
      <t xml:space="preserve"> is the depth of prestressing measured from the top of section.  For Negative Flexure,  </t>
    </r>
    <r>
      <rPr>
        <i/>
        <sz val="9"/>
        <color theme="1"/>
        <rFont val="Jacobs Chronos"/>
        <family val="2"/>
      </rPr>
      <t>h</t>
    </r>
    <r>
      <rPr>
        <i/>
        <vertAlign val="subscript"/>
        <sz val="9"/>
        <color theme="1"/>
        <rFont val="Jacobs Chronos"/>
        <family val="2"/>
      </rPr>
      <t>f</t>
    </r>
    <r>
      <rPr>
        <sz val="9"/>
        <color theme="1"/>
        <rFont val="Jacobs Chronos"/>
        <family val="2"/>
      </rPr>
      <t xml:space="preserve"> and </t>
    </r>
    <r>
      <rPr>
        <i/>
        <sz val="9"/>
        <color theme="1"/>
        <rFont val="Jacobs Chronos"/>
        <family val="2"/>
      </rPr>
      <t>b</t>
    </r>
    <r>
      <rPr>
        <sz val="9"/>
        <color theme="1"/>
        <rFont val="Jacobs Chronos"/>
        <family val="2"/>
      </rPr>
      <t xml:space="preserve"> are the height and width of top flange, </t>
    </r>
    <r>
      <rPr>
        <i/>
        <sz val="9"/>
        <color theme="1"/>
        <rFont val="Jacobs Chronos"/>
        <family val="2"/>
      </rPr>
      <t>d</t>
    </r>
    <r>
      <rPr>
        <i/>
        <vertAlign val="subscript"/>
        <sz val="9"/>
        <color theme="1"/>
        <rFont val="Jacobs Chronos"/>
        <family val="2"/>
      </rPr>
      <t>p</t>
    </r>
    <r>
      <rPr>
        <sz val="9"/>
        <color theme="1"/>
        <rFont val="Jacobs Chronos"/>
        <family val="2"/>
      </rPr>
      <t xml:space="preserve"> is the depth of prestressing measured from the bottom of section.  </t>
    </r>
  </si>
  <si>
    <t>AASHTO Table C5.6.2.1-1</t>
  </si>
  <si>
    <r>
      <rPr>
        <b/>
        <sz val="7"/>
        <color theme="1"/>
        <rFont val="Jacobs Chronos"/>
        <family val="2"/>
      </rPr>
      <t>Design Note:</t>
    </r>
    <r>
      <rPr>
        <sz val="7"/>
        <color theme="1"/>
        <rFont val="Jacobs Chronos"/>
        <family val="2"/>
      </rPr>
      <t xml:space="preserve">  Derived from summing moments about extreme compression fiber.</t>
    </r>
  </si>
  <si>
    <r>
      <rPr>
        <b/>
        <sz val="7"/>
        <color theme="1"/>
        <rFont val="Jacobs Chronos"/>
        <family val="2"/>
      </rPr>
      <t>Design Note:</t>
    </r>
    <r>
      <rPr>
        <sz val="7"/>
        <color theme="1"/>
        <rFont val="Jacobs Chronos"/>
        <family val="2"/>
      </rPr>
      <t xml:space="preserve">  Derived from summing tension and compression forces in the section.</t>
    </r>
  </si>
  <si>
    <t>Bottom Flange</t>
  </si>
  <si>
    <t>Top Flange</t>
  </si>
  <si>
    <r>
      <t xml:space="preserve">Bottom Flange Depth, </t>
    </r>
    <r>
      <rPr>
        <i/>
        <sz val="9"/>
        <color theme="1"/>
        <rFont val="Jacobs Chronos"/>
        <family val="2"/>
      </rPr>
      <t>h</t>
    </r>
    <r>
      <rPr>
        <i/>
        <vertAlign val="subscript"/>
        <sz val="9"/>
        <color theme="1"/>
        <rFont val="Jacobs Chronos"/>
        <family val="2"/>
      </rPr>
      <t>f</t>
    </r>
    <r>
      <rPr>
        <sz val="9"/>
        <color theme="1"/>
        <rFont val="Jacobs Chronos"/>
        <family val="2"/>
      </rPr>
      <t xml:space="preserve"> =</t>
    </r>
  </si>
  <si>
    <r>
      <t xml:space="preserve">Effective  Width of Bottom Flange, </t>
    </r>
    <r>
      <rPr>
        <i/>
        <sz val="9"/>
        <color theme="1"/>
        <rFont val="Jacobs Chronos"/>
        <family val="2"/>
      </rPr>
      <t>b</t>
    </r>
    <r>
      <rPr>
        <sz val="9"/>
        <color theme="1"/>
        <rFont val="Jacobs Chronos"/>
        <family val="2"/>
      </rPr>
      <t xml:space="preserve"> =</t>
    </r>
  </si>
  <si>
    <r>
      <t xml:space="preserve">Overall Depth of Beam, </t>
    </r>
    <r>
      <rPr>
        <i/>
        <sz val="11"/>
        <color theme="1"/>
        <rFont val="Calibri"/>
        <family val="2"/>
        <scheme val="minor"/>
      </rPr>
      <t>h</t>
    </r>
    <r>
      <rPr>
        <sz val="11"/>
        <color theme="1"/>
        <rFont val="Calibri"/>
        <family val="2"/>
        <scheme val="minor"/>
      </rPr>
      <t xml:space="preserve"> =</t>
    </r>
  </si>
  <si>
    <r>
      <t xml:space="preserve">Overall Depth of Beam, </t>
    </r>
    <r>
      <rPr>
        <i/>
        <sz val="9"/>
        <color theme="1"/>
        <rFont val="Jacobs Chronos"/>
        <family val="2"/>
      </rPr>
      <t>h</t>
    </r>
    <r>
      <rPr>
        <sz val="9"/>
        <color theme="1"/>
        <rFont val="Jacobs Chronos"/>
        <family val="2"/>
      </rPr>
      <t xml:space="preserve"> =</t>
    </r>
  </si>
  <si>
    <r>
      <t xml:space="preserve">Distance from Ext. Comp. Fiber to the Centroid of PT, </t>
    </r>
    <r>
      <rPr>
        <i/>
        <sz val="9"/>
        <color theme="1"/>
        <rFont val="Jacobs Chronos"/>
        <family val="2"/>
      </rPr>
      <t>d</t>
    </r>
    <r>
      <rPr>
        <i/>
        <vertAlign val="subscript"/>
        <sz val="9"/>
        <color theme="1"/>
        <rFont val="Jacobs Chronos"/>
        <family val="2"/>
      </rPr>
      <t>p</t>
    </r>
    <r>
      <rPr>
        <sz val="9"/>
        <color theme="1"/>
        <rFont val="Jacobs Chronos"/>
        <family val="2"/>
      </rPr>
      <t xml:space="preserve"> =</t>
    </r>
  </si>
  <si>
    <r>
      <t xml:space="preserve">Distance from Ext. Comp. Fiber to Centroid of PT, </t>
    </r>
    <r>
      <rPr>
        <i/>
        <sz val="9"/>
        <color theme="1"/>
        <rFont val="Jacobs Chronos"/>
        <family val="2"/>
      </rPr>
      <t>d</t>
    </r>
    <r>
      <rPr>
        <i/>
        <vertAlign val="subscript"/>
        <sz val="9"/>
        <color theme="1"/>
        <rFont val="Jacobs Chronos"/>
        <family val="2"/>
      </rPr>
      <t>p</t>
    </r>
    <r>
      <rPr>
        <sz val="9"/>
        <color theme="1"/>
        <rFont val="Jacobs Chronos"/>
        <family val="2"/>
      </rPr>
      <t xml:space="preserve"> =</t>
    </r>
  </si>
  <si>
    <r>
      <t>Effective Depth, Ext. Comp. Fiber to Cent. of Tensile Reinf.</t>
    </r>
    <r>
      <rPr>
        <i/>
        <vertAlign val="subscript"/>
        <sz val="9"/>
        <color theme="1"/>
        <rFont val="Jacobs Chronos"/>
        <family val="2"/>
      </rPr>
      <t>,</t>
    </r>
    <r>
      <rPr>
        <i/>
        <sz val="9"/>
        <color theme="1"/>
        <rFont val="Jacobs Chronos"/>
        <family val="2"/>
      </rPr>
      <t>d</t>
    </r>
    <r>
      <rPr>
        <i/>
        <vertAlign val="subscript"/>
        <sz val="9"/>
        <color theme="1"/>
        <rFont val="Jacobs Chronos"/>
        <family val="2"/>
      </rPr>
      <t>s</t>
    </r>
    <r>
      <rPr>
        <sz val="9"/>
        <color theme="1"/>
        <rFont val="Jacobs Chronos"/>
        <family val="2"/>
      </rPr>
      <t xml:space="preserve"> =</t>
    </r>
  </si>
  <si>
    <r>
      <t>d</t>
    </r>
    <r>
      <rPr>
        <i/>
        <vertAlign val="subscript"/>
        <sz val="8"/>
        <color theme="1"/>
        <rFont val="Jacobs Chronos"/>
        <family val="2"/>
      </rPr>
      <t>s</t>
    </r>
    <r>
      <rPr>
        <i/>
        <sz val="8"/>
        <color theme="1"/>
        <rFont val="Jacobs Chronos"/>
        <family val="2"/>
      </rPr>
      <t xml:space="preserve"> </t>
    </r>
    <r>
      <rPr>
        <sz val="8"/>
        <color theme="1"/>
        <rFont val="Jacobs Chronos"/>
        <family val="2"/>
      </rPr>
      <t>(in)</t>
    </r>
  </si>
  <si>
    <r>
      <t>d</t>
    </r>
    <r>
      <rPr>
        <i/>
        <vertAlign val="subscript"/>
        <sz val="8"/>
        <color theme="1"/>
        <rFont val="Jacobs Chronos"/>
        <family val="2"/>
      </rPr>
      <t>p</t>
    </r>
    <r>
      <rPr>
        <i/>
        <sz val="8"/>
        <color theme="1"/>
        <rFont val="Jacobs Chronos"/>
        <family val="2"/>
      </rPr>
      <t xml:space="preserve"> </t>
    </r>
    <r>
      <rPr>
        <sz val="8"/>
        <color theme="1"/>
        <rFont val="Jacobs Chronos"/>
        <family val="2"/>
      </rPr>
      <t xml:space="preserve"> (in)</t>
    </r>
  </si>
  <si>
    <t>Limitations and Future Enhancements</t>
  </si>
  <si>
    <t xml:space="preserve">
The current version of this spreadsheet is intended to provide a rational strain-compatibility–based estimate of the flexural resistance of a multicell post-tensioned concrete box girder. While suitable for many practical applications, several simplifying assumptions have been made. The following limitations have been identified, along with planned enhancements for future versions:</t>
  </si>
  <si>
    <r>
      <rPr>
        <b/>
        <sz val="9"/>
        <color theme="1"/>
        <rFont val="Jacobs Chronos"/>
        <family val="2"/>
      </rPr>
      <t>Graphical Representation of Section Properties</t>
    </r>
    <r>
      <rPr>
        <sz val="9"/>
        <color theme="1"/>
        <rFont val="Jacobs Chronos"/>
        <family val="2"/>
      </rPr>
      <t xml:space="preserve"> - At present, the spreadsheet does not include a graphical depiction of the girder cross section or reinforcement layout. A future version may add plots of the girder section at the end region and at midspan as well as an elevation view of the girder to illustrate the geometry, prestressing centroid, and mild reinforcement centroid variations along the girder length.</t>
    </r>
  </si>
  <si>
    <r>
      <rPr>
        <b/>
        <sz val="9"/>
        <color theme="1"/>
        <rFont val="Jacobs Chronos"/>
        <family val="2"/>
      </rPr>
      <t xml:space="preserve">Compression Reinforcement Contribution </t>
    </r>
    <r>
      <rPr>
        <sz val="9"/>
        <color theme="1"/>
        <rFont val="Jacobs Chronos"/>
        <family val="2"/>
      </rPr>
      <t>- The contribution of compression reinforcement to flexural resistance is currently neglected.  Although often small for typical box girder sections, inclusion of compression steel would improve completeness and accuracy in sections where meaningful compression reinforcement is present. This capability may be added in future versions of the spreadsheet.</t>
    </r>
  </si>
  <si>
    <r>
      <rPr>
        <b/>
        <sz val="9"/>
        <color theme="1"/>
        <rFont val="Jacobs Chronos"/>
        <family val="2"/>
      </rPr>
      <t>Material Stress–Strain Models</t>
    </r>
    <r>
      <rPr>
        <sz val="9"/>
        <color theme="1"/>
        <rFont val="Jacobs Chronos"/>
        <family val="2"/>
      </rPr>
      <t xml:space="preserve"> - Concrete and prestressing steel behavior are currently represented using stress–strain relationships consistent with AASHTO provisions.  While appropriate for most design applications, these models are idealized. Future enhancements could include user selectable alternative material models—such as refined nonlinear models for unconfined concrete and prestressing steel —to improve accuracy for advanced analyses.</t>
    </r>
  </si>
  <si>
    <r>
      <rPr>
        <b/>
        <sz val="9"/>
        <color theme="1"/>
        <rFont val="Jacobs Chronos"/>
        <family val="2"/>
      </rPr>
      <t xml:space="preserve">Steel Development Assumptions </t>
    </r>
    <r>
      <rPr>
        <sz val="9"/>
        <color theme="1"/>
        <rFont val="Jacobs Chronos"/>
        <family val="2"/>
      </rPr>
      <t>- All mild reinforcing steel and prestressing steel are assumed to be fully developed at each section considered.  Effects associated with insufficient development length, debonding, or incomplete anchorage are not currently considered.  Future enhancements will incorporate checks for developed length and apply appropriate reductions to section capacity where reinforcement or prestressing steel is not fully developed.</t>
    </r>
  </si>
  <si>
    <r>
      <t>E</t>
    </r>
    <r>
      <rPr>
        <i/>
        <vertAlign val="subscript"/>
        <sz val="9"/>
        <color theme="1"/>
        <rFont val="Jacobs Chronos"/>
        <family val="2"/>
      </rPr>
      <t>s</t>
    </r>
    <r>
      <rPr>
        <i/>
        <sz val="9"/>
        <color theme="1"/>
        <rFont val="Jacobs Chronos"/>
        <family val="2"/>
      </rPr>
      <t xml:space="preserve"> </t>
    </r>
    <r>
      <rPr>
        <sz val="9"/>
        <color theme="1"/>
        <rFont val="Jacobs Chronos"/>
        <family val="2"/>
      </rPr>
      <t>=</t>
    </r>
  </si>
  <si>
    <r>
      <t>d</t>
    </r>
    <r>
      <rPr>
        <i/>
        <vertAlign val="subscript"/>
        <sz val="9"/>
        <color theme="1"/>
        <rFont val="Jacobs Chronos"/>
        <family val="2"/>
      </rPr>
      <t>s</t>
    </r>
    <r>
      <rPr>
        <sz val="9"/>
        <color theme="1"/>
        <rFont val="Jacobs Chronos"/>
        <family val="2"/>
      </rPr>
      <t xml:space="preserve"> =</t>
    </r>
  </si>
  <si>
    <r>
      <t>T</t>
    </r>
    <r>
      <rPr>
        <i/>
        <vertAlign val="subscript"/>
        <sz val="9"/>
        <color theme="1"/>
        <rFont val="Jacobs Chronos"/>
        <family val="2"/>
      </rPr>
      <t>ps</t>
    </r>
    <r>
      <rPr>
        <sz val="9"/>
        <color theme="1"/>
        <rFont val="Jacobs Chronos"/>
        <family val="2"/>
      </rPr>
      <t xml:space="preserve"> =</t>
    </r>
  </si>
  <si>
    <r>
      <t>T</t>
    </r>
    <r>
      <rPr>
        <i/>
        <vertAlign val="subscript"/>
        <sz val="9"/>
        <color theme="1"/>
        <rFont val="Jacobs Chronos"/>
        <family val="2"/>
      </rPr>
      <t>s</t>
    </r>
    <r>
      <rPr>
        <sz val="9"/>
        <color theme="1"/>
        <rFont val="Jacobs Chronos"/>
        <family val="2"/>
      </rPr>
      <t xml:space="preserve"> =</t>
    </r>
  </si>
  <si>
    <r>
      <t>C</t>
    </r>
    <r>
      <rPr>
        <i/>
        <vertAlign val="subscript"/>
        <sz val="9"/>
        <color theme="1"/>
        <rFont val="Jacobs Chronos"/>
        <family val="2"/>
      </rPr>
      <t>f</t>
    </r>
    <r>
      <rPr>
        <sz val="9"/>
        <color theme="1"/>
        <rFont val="Jacobs Chronos"/>
        <family val="2"/>
      </rPr>
      <t xml:space="preserve"> =</t>
    </r>
  </si>
  <si>
    <r>
      <t>C</t>
    </r>
    <r>
      <rPr>
        <i/>
        <vertAlign val="subscript"/>
        <sz val="9"/>
        <color theme="1"/>
        <rFont val="Jacobs Chronos"/>
        <family val="2"/>
      </rPr>
      <t>w</t>
    </r>
    <r>
      <rPr>
        <sz val="9"/>
        <color theme="1"/>
        <rFont val="Jacobs Chronos"/>
        <family val="2"/>
      </rPr>
      <t xml:space="preserve"> =</t>
    </r>
  </si>
  <si>
    <r>
      <t>d</t>
    </r>
    <r>
      <rPr>
        <i/>
        <vertAlign val="subscript"/>
        <sz val="9"/>
        <color theme="1"/>
        <rFont val="Jacobs Chronos"/>
        <family val="2"/>
      </rPr>
      <t>w</t>
    </r>
    <r>
      <rPr>
        <sz val="9"/>
        <color theme="1"/>
        <rFont val="Jacobs Chronos"/>
        <family val="2"/>
      </rPr>
      <t xml:space="preserve"> =</t>
    </r>
  </si>
  <si>
    <r>
      <t>d</t>
    </r>
    <r>
      <rPr>
        <i/>
        <vertAlign val="subscript"/>
        <sz val="9"/>
        <color theme="1"/>
        <rFont val="Jacobs Chronos"/>
        <family val="2"/>
      </rPr>
      <t>f</t>
    </r>
    <r>
      <rPr>
        <sz val="9"/>
        <color theme="1"/>
        <rFont val="Jacobs Chronos"/>
        <family val="2"/>
      </rPr>
      <t xml:space="preserve"> =</t>
    </r>
  </si>
  <si>
    <r>
      <t xml:space="preserve">h </t>
    </r>
    <r>
      <rPr>
        <sz val="9"/>
        <color theme="1"/>
        <rFont val="Jacobs Chronos"/>
        <family val="2"/>
      </rPr>
      <t>=</t>
    </r>
  </si>
  <si>
    <r>
      <t xml:space="preserve">C </t>
    </r>
    <r>
      <rPr>
        <sz val="9"/>
        <color theme="1"/>
        <rFont val="Jacobs Chronos"/>
        <family val="2"/>
      </rPr>
      <t>=</t>
    </r>
  </si>
  <si>
    <r>
      <t>T</t>
    </r>
    <r>
      <rPr>
        <sz val="9"/>
        <color theme="1"/>
        <rFont val="Jacobs Chronos"/>
        <family val="2"/>
      </rPr>
      <t xml:space="preserve"> =</t>
    </r>
  </si>
  <si>
    <t>total compression force in section (kip)</t>
  </si>
  <si>
    <t>total compression force in section flange (kip)</t>
  </si>
  <si>
    <t>total compression force in section web (kip)</t>
  </si>
  <si>
    <t>distance from extreme compression fiber to the centroid of the compression force in the flange (in.)</t>
  </si>
  <si>
    <t>distance from extreme compression fiber to the centroid of the compression force in the web (in.)</t>
  </si>
  <si>
    <t>distance from extreme compression fiber to the centroid of the tensile force in the mild reinforcing steel (in.)</t>
  </si>
  <si>
    <t>modulus of elasticity of post-tensioning steel (ksi)</t>
  </si>
  <si>
    <t>distance from extreme compression fiber to the centroid of the tensile force in the post-tensioning steel (in.)</t>
  </si>
  <si>
    <t>modulus of elasticity of mild reinforcing steel (ksi)</t>
  </si>
  <si>
    <t>height of girder section from top of top flange to bottom of bottom flange (in.)</t>
  </si>
  <si>
    <t>total tensile force in the section (kip)</t>
  </si>
  <si>
    <t>total tensile force in post-tensioning steel (kip)</t>
  </si>
  <si>
    <t>total tensile force in mild reinforcing steel (kip)</t>
  </si>
  <si>
    <t>Excel sets column and row size based on screen pixels.  Windows has a setting to scale screen pixels (Display Settings &gt; Scale &amp; Layout &gt; Scale).  The amount of space a column or row takes up on the page is directly affected by the windows scale for screen pixels; thus a spreadsheet will print differently if users have different windows pixel scales.  Tools have been develped to print with a windows pixel scale of 100%, and the windows pixel scale should be set to this before printing to achieve proper formating.</t>
  </si>
  <si>
    <r>
      <t>The resistance factor for post-tensioned members is calculated using AASHTO Equation 5.5.4.2-1, with the net tensile strain (total strain from post-tensioning and applied external loads), ε</t>
    </r>
    <r>
      <rPr>
        <i/>
        <vertAlign val="subscript"/>
        <sz val="9"/>
        <color theme="1"/>
        <rFont val="Jacobs Chronos"/>
        <family val="2"/>
      </rPr>
      <t>t</t>
    </r>
    <r>
      <rPr>
        <sz val="9"/>
        <color theme="1"/>
        <rFont val="Jacobs Chronos"/>
        <family val="2"/>
      </rPr>
      <t>, determined as the net tensile strain in the post-tensioned reinforcing at nominal flexural resistance.  The tensile strain limits referenced in AASHTO Equation 5.5.4.2-1 are determined from AASHTO Table C5.6.2.1-1 for reinforcing with a specified minimum yield strength of 60-ksi (e.g.,  0.0020 for compression‑controlled behavior and 0.0050 for tension‑controlled behavior) ; the tensile strain limits are used to classify sectional ductility and to determine the appropriate flexural resistance factor, φ.  However, it is important to recognize that these limits do not correspond to yielding behavior of prestressing steel and should not be interpreted as material strain limits.  The strain thresholds commonly cited in AASHTO were originally developed for Grade 60 mild reinforcing steel. Grade 60 reinforcing steel exhibits a well‑defined yield point, with a yield strain on the order of 0.002, followed by a relatively flat yield plateau that allows for significant inelastic deformation prior to fracture. For reinforced concrete members, these strain limits therefore have a direct physical meaning, as they indicate whether reinforcing steel has yielded and whether the member can undergo large rotations in a ductile manner.  Post-tensioning steel behaves fundamentally differently. Seven‑wire prestressing strand (ASTM A416) does not exhibit a distinct yield point or yield plateau. Instead, its stress–strain relationship is:</t>
    </r>
  </si>
  <si>
    <t>Compression Depth, a =</t>
  </si>
  <si>
    <t>Neutral Axis of section, c =</t>
  </si>
  <si>
    <t>Recalculation of steel stress and moment capacity if the reinforcing has not yielded.</t>
  </si>
  <si>
    <r>
      <rPr>
        <b/>
        <sz val="9"/>
        <color theme="1"/>
        <rFont val="Jacobs Chronos"/>
        <family val="2"/>
      </rPr>
      <t xml:space="preserve">Steel Rupture Limits </t>
    </r>
    <r>
      <rPr>
        <sz val="9"/>
        <color theme="1"/>
        <rFont val="Jacobs Chronos"/>
        <family val="2"/>
      </rPr>
      <t>- The spreadsheet assumes that neither prestressing steel nor mild reinforcing steel ruptures prior to reaching the calculated flexural resistance.  While it is uncommon for steel rupture to govern the flexural capacity of post-tensioned box girders, ASTM specifications define ultimate strain limits for both mild steel reinforcing and prestressing steel.  Future versions should incorporate rupture strain limits to prevent unconservative predictions in cases where steel fracture may control.</t>
    </r>
  </si>
  <si>
    <t>strain in post-tensioning induced by flexural curvature under factored loads (in./in.)</t>
  </si>
  <si>
    <r>
      <t xml:space="preserve">Post-Tensioning Steel Modulus of Elasticity, </t>
    </r>
    <r>
      <rPr>
        <i/>
        <sz val="11"/>
        <color theme="1"/>
        <rFont val="Calibri"/>
        <family val="2"/>
        <scheme val="minor"/>
      </rPr>
      <t>E</t>
    </r>
    <r>
      <rPr>
        <i/>
        <vertAlign val="subscript"/>
        <sz val="11"/>
        <color theme="1"/>
        <rFont val="Calibri"/>
        <family val="2"/>
        <scheme val="minor"/>
      </rPr>
      <t>p</t>
    </r>
    <r>
      <rPr>
        <sz val="11"/>
        <color theme="1"/>
        <rFont val="Calibri"/>
        <family val="2"/>
        <scheme val="minor"/>
      </rPr>
      <t xml:space="preserve"> =</t>
    </r>
  </si>
  <si>
    <r>
      <t>E</t>
    </r>
    <r>
      <rPr>
        <i/>
        <vertAlign val="subscript"/>
        <sz val="9"/>
        <color theme="1"/>
        <rFont val="Jacobs Chronos"/>
        <family val="2"/>
      </rPr>
      <t>p</t>
    </r>
    <r>
      <rPr>
        <i/>
        <sz val="9"/>
        <color theme="1"/>
        <rFont val="Jacobs Chronos"/>
        <family val="2"/>
      </rPr>
      <t xml:space="preserve"> </t>
    </r>
    <r>
      <rPr>
        <sz val="9"/>
        <color theme="1"/>
        <rFont val="Jacobs Chronos"/>
        <family val="2"/>
      </rPr>
      <t>=</t>
    </r>
  </si>
  <si>
    <r>
      <t xml:space="preserve">Post-Tensioning Steel Modulus of Elasticity, </t>
    </r>
    <r>
      <rPr>
        <i/>
        <sz val="9"/>
        <color theme="1"/>
        <rFont val="Jacobs Chronos"/>
        <family val="2"/>
      </rPr>
      <t>E</t>
    </r>
    <r>
      <rPr>
        <i/>
        <vertAlign val="subscript"/>
        <sz val="9"/>
        <color theme="1"/>
        <rFont val="Jacobs Chronos"/>
        <family val="2"/>
      </rPr>
      <t>p</t>
    </r>
    <r>
      <rPr>
        <sz val="9"/>
        <color theme="1"/>
        <rFont val="Jacobs Chronos"/>
        <family val="2"/>
      </rPr>
      <t xml:space="preserve"> =</t>
    </r>
  </si>
  <si>
    <r>
      <t xml:space="preserve">Loc. Along Span, </t>
    </r>
    <r>
      <rPr>
        <i/>
        <sz val="8"/>
        <color theme="1"/>
        <rFont val="Jacobs Chronos"/>
        <family val="2"/>
      </rPr>
      <t>L</t>
    </r>
    <r>
      <rPr>
        <i/>
        <vertAlign val="subscript"/>
        <sz val="8"/>
        <color theme="1"/>
        <rFont val="Jacobs Chronos"/>
        <family val="2"/>
      </rPr>
      <t>i</t>
    </r>
    <r>
      <rPr>
        <sz val="8"/>
        <color theme="1"/>
        <rFont val="Jacobs Chronos"/>
        <family val="2"/>
      </rPr>
      <t xml:space="preserve"> (ft)</t>
    </r>
  </si>
  <si>
    <r>
      <t xml:space="preserve">DISTANCE ALONG SPAN, </t>
    </r>
    <r>
      <rPr>
        <i/>
        <sz val="11"/>
        <color theme="1"/>
        <rFont val="Calibri"/>
        <family val="2"/>
        <scheme val="minor"/>
      </rPr>
      <t>L</t>
    </r>
    <r>
      <rPr>
        <i/>
        <vertAlign val="subscript"/>
        <sz val="11"/>
        <color theme="1"/>
        <rFont val="Calibri"/>
        <family val="2"/>
        <scheme val="minor"/>
      </rPr>
      <t>i</t>
    </r>
  </si>
  <si>
    <t>TEMPLATE_VERSION</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</si>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</sst>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164" formatCode="0.00&quot; in&quot;"/>
    <numFmt numFmtId="165" formatCode="#."/>
    <numFmt numFmtId="166" formatCode="0\ &quot;ksi&quot;"/>
    <numFmt numFmtId="167" formatCode="[$-409]d\-mmm\-yyyy;@"/>
    <numFmt numFmtId="168" formatCode="0.00\ &quot;ft&quot;"/>
    <numFmt numFmtId="169" formatCode="0&quot; ft&quot;"/>
    <numFmt numFmtId="170" formatCode="0.00&quot; k-ft&quot;"/>
    <numFmt numFmtId="171" formatCode="0."/>
    <numFmt numFmtId="172" formatCode="0.0&quot; in²&quot;"/>
    <numFmt numFmtId="173" formatCode="0.0\ &quot;ksi&quot;"/>
    <numFmt numFmtId="174" formatCode="0.0&quot; in&quot;"/>
    <numFmt numFmtId="175" formatCode="0.0000"/>
    <numFmt numFmtId="176" formatCode="0.0"/>
    <numFmt numFmtId="177" formatCode="0&quot; k-ft per ft&quot;"/>
    <numFmt numFmtId="178" formatCode="0.00&quot; ft&quot;"/>
    <numFmt numFmtId="179" formatCode="0.0&quot; kips&quot;"/>
    <numFmt numFmtId="180" formatCode="0.0000&quot; in/in&quot;"/>
    <numFmt numFmtId="181" formatCode="0.00&quot; in²&quot;"/>
  </numFmts>
  <fonts count="41" x14ac:knownFonts="1">
    <font>
      <sz val="11"/>
      <color theme="1"/>
      <name val="Calibri"/>
      <family val="2"/>
      <scheme val="minor"/>
    </font>
    <font>
      <sz val="9"/>
      <color theme="1"/>
      <name val="Calibri"/>
      <family val="2"/>
      <scheme val="minor"/>
    </font>
    <font>
      <sz val="10"/>
      <name val="Arial"/>
      <family val="2"/>
    </font>
    <font>
      <sz val="10"/>
      <color rgb="FF000000"/>
      <name val="Times New Roman"/>
      <family val="1"/>
    </font>
    <font>
      <sz val="11"/>
      <color theme="1"/>
      <name val="Calibri"/>
      <family val="2"/>
      <scheme val="minor"/>
    </font>
    <font>
      <b/>
      <sz val="9"/>
      <color theme="1"/>
      <name val="Jacobs Chronos"/>
      <family val="2"/>
    </font>
    <font>
      <sz val="9"/>
      <color theme="1"/>
      <name val="Jacobs Chronos"/>
      <family val="2"/>
    </font>
    <font>
      <i/>
      <sz val="9"/>
      <color theme="1"/>
      <name val="Jacobs Chronos"/>
      <family val="2"/>
    </font>
    <font>
      <sz val="7"/>
      <color theme="1"/>
      <name val="Jacobs Chronos"/>
      <family val="2"/>
    </font>
    <font>
      <b/>
      <i/>
      <sz val="7"/>
      <color theme="1"/>
      <name val="Jacobs Chronos"/>
      <family val="2"/>
    </font>
    <font>
      <b/>
      <i/>
      <sz val="9"/>
      <color theme="1"/>
      <name val="Jacobs Chronos"/>
      <family val="2"/>
    </font>
    <font>
      <sz val="7"/>
      <name val="Jacobs Chronos"/>
      <family val="2"/>
    </font>
    <font>
      <b/>
      <sz val="9"/>
      <color rgb="FF000000"/>
      <name val="Jacobs Chronos"/>
      <family val="2"/>
    </font>
    <font>
      <sz val="8"/>
      <name val="Calibri"/>
      <family val="2"/>
      <scheme val="minor"/>
    </font>
    <font>
      <i/>
      <vertAlign val="subscript"/>
      <sz val="9"/>
      <color theme="1"/>
      <name val="Jacobs Chronos"/>
      <family val="2"/>
    </font>
    <font>
      <i/>
      <sz val="7"/>
      <color theme="1"/>
      <name val="Jacobs Chronos"/>
      <family val="2"/>
    </font>
    <font>
      <b/>
      <sz val="7"/>
      <color theme="1"/>
      <name val="Jacobs Chronos"/>
      <family val="2"/>
    </font>
    <font>
      <i/>
      <vertAlign val="subscript"/>
      <sz val="7"/>
      <color theme="1"/>
      <name val="Jacobs Chronos"/>
      <family val="2"/>
    </font>
    <font>
      <vertAlign val="superscript"/>
      <sz val="9"/>
      <color theme="1"/>
      <name val="Jacobs Chronos"/>
      <family val="2"/>
    </font>
    <font>
      <b/>
      <sz val="13"/>
      <color theme="1"/>
      <name val="Jacobs Chronos"/>
      <family val="2"/>
    </font>
    <font>
      <b/>
      <sz val="15"/>
      <color theme="1"/>
      <name val="Jacobs Chronos"/>
      <family val="2"/>
    </font>
    <font>
      <i/>
      <sz val="9"/>
      <name val="Jacobs Chronos"/>
      <family val="2"/>
    </font>
    <font>
      <i/>
      <vertAlign val="subscript"/>
      <sz val="9"/>
      <name val="Jacobs Chronos"/>
      <family val="2"/>
    </font>
    <font>
      <sz val="9"/>
      <name val="Jacobs Chronos"/>
      <family val="2"/>
    </font>
    <font>
      <i/>
      <sz val="11"/>
      <color theme="1"/>
      <name val="Calibri"/>
      <family val="2"/>
      <scheme val="minor"/>
    </font>
    <font>
      <i/>
      <vertAlign val="subscript"/>
      <sz val="11"/>
      <color theme="1"/>
      <name val="Calibri"/>
      <family val="2"/>
      <scheme val="minor"/>
    </font>
    <font>
      <sz val="9"/>
      <color rgb="FFFF0000"/>
      <name val="Jacobs Chronos"/>
      <family val="2"/>
    </font>
    <font>
      <sz val="8"/>
      <color theme="1"/>
      <name val="Jacobs Chronos"/>
      <family val="2"/>
    </font>
    <font>
      <i/>
      <sz val="8"/>
      <color theme="1"/>
      <name val="Jacobs Chronos"/>
      <family val="2"/>
    </font>
    <font>
      <i/>
      <vertAlign val="subscript"/>
      <sz val="8"/>
      <color theme="1"/>
      <name val="Jacobs Chronos"/>
      <family val="2"/>
    </font>
    <font>
      <sz val="11"/>
      <color theme="1"/>
      <name val="Jacobs Chronos"/>
      <family val="2"/>
    </font>
    <font>
      <b/>
      <i/>
      <sz val="16"/>
      <name val="Jacobs Chronos"/>
      <family val="2"/>
    </font>
    <font>
      <vertAlign val="superscript"/>
      <sz val="11"/>
      <color theme="1"/>
      <name val="Calibri"/>
      <family val="2"/>
      <scheme val="minor"/>
    </font>
    <font>
      <vertAlign val="subscript"/>
      <sz val="8"/>
      <color theme="1"/>
      <name val="Jacobs Chronos"/>
      <family val="2"/>
    </font>
    <font>
      <sz val="9"/>
      <color theme="1"/>
      <name val="Calibri"/>
      <family val="2"/>
    </font>
    <font>
      <i/>
      <vertAlign val="subscript"/>
      <sz val="9"/>
      <color theme="1"/>
      <name val="Calibri"/>
      <family val="2"/>
    </font>
    <font>
      <sz val="9"/>
      <color theme="1"/>
      <name val="Jacobs Chronos"/>
      <family val="2"/>
    </font>
    <font>
      <sz val="7"/>
      <color theme="1"/>
      <name val="Jacobs Chronos"/>
      <family val="2"/>
    </font>
    <font>
      <b/>
      <sz val="7"/>
      <color theme="1"/>
      <name val="Jacobs Chronos"/>
      <family val="2"/>
    </font>
    <font>
      <i/>
      <sz val="9"/>
      <color theme="1"/>
      <name val="Jacobs Chronos"/>
      <family val="2"/>
    </font>
    <font>
      <b/>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s>
  <borders count="80">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
      <left style="thin">
        <color indexed="64"/>
      </left>
      <right/>
      <top style="thin">
        <color auto="1"/>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right/>
      <top style="thin">
        <color indexed="64"/>
      </top>
      <bottom style="thin">
        <color indexed="64"/>
      </bottom>
      <diagonal/>
    </border>
    <border>
      <left style="thin">
        <color rgb="FF000000"/>
      </left>
      <right/>
      <top style="thin">
        <color rgb="FF000000"/>
      </top>
      <bottom/>
      <diagonal/>
    </border>
    <border>
      <left style="thin">
        <color indexed="64"/>
      </left>
      <right/>
      <top/>
      <bottom/>
      <diagonal/>
    </border>
    <border>
      <left/>
      <right/>
      <top style="thin">
        <color theme="0" tint="-0.14996795556505021"/>
      </top>
      <bottom/>
      <diagonal/>
    </border>
    <border diagonalUp="1">
      <left/>
      <right/>
      <top/>
      <bottom/>
      <diagonal style="thin">
        <color theme="0" tint="-0.14996795556505021"/>
      </diagonal>
    </border>
    <border>
      <left style="thin">
        <color theme="0" tint="-0.14993743705557422"/>
      </left>
      <right/>
      <top style="thin">
        <color theme="0" tint="-0.14993743705557422"/>
      </top>
      <bottom/>
      <diagonal/>
    </border>
    <border>
      <left/>
      <right/>
      <top style="thin">
        <color theme="0" tint="-0.14993743705557422"/>
      </top>
      <bottom/>
      <diagonal/>
    </border>
    <border>
      <left/>
      <right/>
      <top style="thin">
        <color theme="0" tint="-0.14990691854609822"/>
      </top>
      <bottom style="thin">
        <color theme="0" tint="-0.14990691854609822"/>
      </bottom>
      <diagonal/>
    </border>
    <border>
      <left/>
      <right style="thin">
        <color theme="0" tint="-0.14993743705557422"/>
      </right>
      <top style="thin">
        <color theme="0" tint="-0.14993743705557422"/>
      </top>
      <bottom/>
      <diagonal/>
    </border>
    <border>
      <left style="thin">
        <color theme="0" tint="-0.14993743705557422"/>
      </left>
      <right/>
      <top style="thin">
        <color theme="0" tint="-0.14990691854609822"/>
      </top>
      <bottom style="thin">
        <color theme="0" tint="-0.14990691854609822"/>
      </bottom>
      <diagonal/>
    </border>
    <border diagonalDown="1">
      <left/>
      <right/>
      <top/>
      <bottom/>
      <diagonal style="thin">
        <color theme="0" tint="-0.14996795556505021"/>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rgb="FF000000"/>
      </left>
      <right/>
      <top/>
      <bottom/>
      <diagonal/>
    </border>
    <border>
      <left/>
      <right/>
      <top/>
      <bottom style="thin">
        <color rgb="FF000000"/>
      </bottom>
      <diagonal/>
    </border>
    <border>
      <left/>
      <right style="thin">
        <color rgb="FF000000"/>
      </right>
      <top/>
      <bottom/>
      <diagonal/>
    </border>
    <border>
      <left/>
      <right/>
      <top style="thin">
        <color rgb="FF000000"/>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diagonalUp="1">
      <left/>
      <right/>
      <top/>
      <bottom/>
      <diagonal style="thin">
        <color theme="0" tint="-0.14993743705557422"/>
      </diagonal>
    </border>
    <border>
      <left/>
      <right/>
      <top style="thin">
        <color theme="0" tint="-0.14990691854609822"/>
      </top>
      <bottom/>
      <diagonal/>
    </border>
    <border>
      <left/>
      <right style="thin">
        <color indexed="64"/>
      </right>
      <top style="thin">
        <color indexed="64"/>
      </top>
      <bottom style="thin">
        <color indexed="64"/>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diagonal/>
    </border>
    <border>
      <left/>
      <right style="double">
        <color indexed="64"/>
      </right>
      <top/>
      <bottom style="double">
        <color indexed="64"/>
      </bottom>
      <diagonal/>
    </border>
    <border>
      <left style="double">
        <color indexed="64"/>
      </left>
      <right/>
      <top style="thin">
        <color indexed="64"/>
      </top>
      <bottom/>
      <diagonal/>
    </border>
    <border>
      <left style="double">
        <color indexed="64"/>
      </left>
      <right/>
      <top/>
      <bottom style="double">
        <color indexed="64"/>
      </bottom>
      <diagonal/>
    </border>
    <border>
      <left style="double">
        <color indexed="64"/>
      </left>
      <right style="thin">
        <color indexed="64"/>
      </right>
      <top style="thin">
        <color indexed="64"/>
      </top>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theme="0" tint="-0.14996795556505021"/>
      </left>
      <right/>
      <top/>
      <bottom/>
      <diagonal/>
    </border>
    <border>
      <left/>
      <right/>
      <top/>
      <bottom style="thin">
        <color theme="0" tint="-0.14993743705557422"/>
      </bottom>
      <diagonal/>
    </border>
    <border diagonalUp="1">
      <left style="thin">
        <color theme="0" tint="-0.14993743705557422"/>
      </left>
      <right/>
      <top/>
      <bottom/>
      <diagonal style="thin">
        <color theme="0" tint="-0.14990691854609822"/>
      </diagonal>
    </border>
    <border>
      <left style="thin">
        <color indexed="64"/>
      </left>
      <right style="thin">
        <color indexed="64"/>
      </right>
      <top/>
      <bottom/>
      <diagonal/>
    </border>
    <border>
      <left style="thin">
        <color indexed="64"/>
      </left>
      <right/>
      <top/>
      <bottom/>
      <diagonal/>
    </border>
    <border>
      <left/>
      <right/>
      <top/>
      <bottom style="thin">
        <color theme="0" tint="-0.14996795556505021"/>
      </bottom>
      <diagonal/>
    </border>
    <border>
      <left/>
      <right/>
      <top style="thin">
        <color rgb="FF000000"/>
      </top>
      <bottom style="thin">
        <color theme="0" tint="-0.14996795556505021"/>
      </bottom>
      <diagonal/>
    </border>
    <border>
      <left style="thin">
        <color indexed="8"/>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style="double">
        <color indexed="64"/>
      </top>
      <bottom/>
      <diagonal/>
    </border>
    <border>
      <left/>
      <right style="thin">
        <color indexed="64"/>
      </right>
      <top style="double">
        <color indexed="64"/>
      </top>
      <bottom/>
      <diagonal/>
    </border>
  </borders>
  <cellStyleXfs count="7">
    <xf numFmtId="0" fontId="0" fillId="0" borderId="0"/>
    <xf numFmtId="0" fontId="2" fillId="0" borderId="0"/>
    <xf numFmtId="0" fontId="2" fillId="0" borderId="0"/>
    <xf numFmtId="0" fontId="2" fillId="3" borderId="8" applyNumberFormat="0" applyFont="0" applyAlignment="0" applyProtection="0"/>
    <xf numFmtId="0" fontId="2" fillId="0" borderId="0"/>
    <xf numFmtId="0" fontId="3" fillId="0" borderId="0"/>
    <xf numFmtId="0" fontId="4" fillId="0" borderId="0"/>
  </cellStyleXfs>
  <cellXfs count="379">
    <xf numFmtId="0" fontId="0" fillId="0" borderId="0" xfId="0"/>
    <xf numFmtId="0" fontId="6" fillId="0" borderId="0" xfId="6" applyFont="1" applyAlignment="1">
      <alignment vertical="center"/>
    </xf>
    <xf numFmtId="0" fontId="6" fillId="0" borderId="0" xfId="6" applyFont="1" applyAlignment="1">
      <alignment horizontal="right" vertical="center"/>
    </xf>
    <xf numFmtId="0" fontId="8" fillId="4" borderId="0" xfId="6" applyFont="1" applyFill="1" applyAlignment="1">
      <alignment horizontal="right"/>
    </xf>
    <xf numFmtId="0" fontId="6" fillId="0" borderId="0" xfId="0" applyFont="1"/>
    <xf numFmtId="0" fontId="6" fillId="0" borderId="1" xfId="0" applyFont="1" applyBorder="1"/>
    <xf numFmtId="0" fontId="8" fillId="4" borderId="0" xfId="6" applyFont="1" applyFill="1" applyAlignment="1">
      <alignment vertical="center"/>
    </xf>
    <xf numFmtId="0" fontId="8" fillId="4" borderId="0" xfId="6" applyFont="1" applyFill="1"/>
    <xf numFmtId="0" fontId="8" fillId="4" borderId="0" xfId="0" applyFont="1" applyFill="1"/>
    <xf numFmtId="165" fontId="6" fillId="0" borderId="0" xfId="0" applyNumberFormat="1" applyFont="1"/>
    <xf numFmtId="0" fontId="8" fillId="4" borderId="0" xfId="0" applyFont="1" applyFill="1" applyAlignment="1">
      <alignment horizontal="right"/>
    </xf>
    <xf numFmtId="0" fontId="0" fillId="0" borderId="13" xfId="0" applyBorder="1"/>
    <xf numFmtId="0" fontId="0" fillId="0" borderId="12" xfId="0" applyBorder="1"/>
    <xf numFmtId="0" fontId="0" fillId="0" borderId="11" xfId="0" applyBorder="1" applyAlignment="1">
      <alignment horizontal="center"/>
    </xf>
    <xf numFmtId="0" fontId="0" fillId="0" borderId="12" xfId="0" applyBorder="1" applyAlignment="1">
      <alignment horizontal="center"/>
    </xf>
    <xf numFmtId="0" fontId="0" fillId="2" borderId="13" xfId="0" applyFill="1" applyBorder="1" applyAlignment="1">
      <alignment horizontal="center"/>
    </xf>
    <xf numFmtId="0" fontId="6" fillId="4" borderId="0" xfId="0" applyFont="1" applyFill="1"/>
    <xf numFmtId="0" fontId="7" fillId="0" borderId="0" xfId="6" applyFont="1" applyAlignment="1">
      <alignment horizontal="right" vertical="center"/>
    </xf>
    <xf numFmtId="0" fontId="6" fillId="0" borderId="0" xfId="0" applyFont="1" applyAlignment="1">
      <alignment horizontal="right" vertical="center"/>
    </xf>
    <xf numFmtId="0" fontId="11" fillId="4" borderId="0" xfId="0" applyFont="1" applyFill="1" applyAlignment="1">
      <alignment horizontal="right"/>
    </xf>
    <xf numFmtId="0" fontId="8" fillId="4" borderId="0" xfId="0" applyFont="1" applyFill="1" applyAlignment="1">
      <alignment horizontal="right" vertical="center"/>
    </xf>
    <xf numFmtId="0" fontId="6" fillId="0" borderId="0" xfId="0" applyFont="1" applyAlignment="1">
      <alignment horizontal="right"/>
    </xf>
    <xf numFmtId="0" fontId="7" fillId="0" borderId="0" xfId="0" applyFont="1" applyAlignment="1">
      <alignment horizontal="right"/>
    </xf>
    <xf numFmtId="164" fontId="6" fillId="0" borderId="0" xfId="0" applyNumberFormat="1" applyFont="1"/>
    <xf numFmtId="166" fontId="6" fillId="0" borderId="0" xfId="0" applyNumberFormat="1" applyFont="1"/>
    <xf numFmtId="2" fontId="6" fillId="0" borderId="0" xfId="0" applyNumberFormat="1" applyFont="1"/>
    <xf numFmtId="0" fontId="5" fillId="0" borderId="12" xfId="0" applyFont="1" applyBorder="1" applyAlignment="1">
      <alignment horizontal="center"/>
    </xf>
    <xf numFmtId="0" fontId="5" fillId="0" borderId="0" xfId="0" applyFont="1"/>
    <xf numFmtId="0" fontId="5" fillId="0" borderId="12" xfId="0" applyFont="1" applyBorder="1"/>
    <xf numFmtId="0" fontId="6" fillId="0" borderId="12" xfId="0" applyFont="1" applyBorder="1" applyAlignment="1">
      <alignment horizontal="center"/>
    </xf>
    <xf numFmtId="0" fontId="6" fillId="0" borderId="12" xfId="0" applyFont="1" applyBorder="1" applyAlignment="1">
      <alignment wrapText="1"/>
    </xf>
    <xf numFmtId="0" fontId="6" fillId="0" borderId="12" xfId="0" applyFont="1" applyBorder="1"/>
    <xf numFmtId="170" fontId="6" fillId="0" borderId="0" xfId="0" applyNumberFormat="1" applyFont="1"/>
    <xf numFmtId="166" fontId="0" fillId="2" borderId="15" xfId="0" applyNumberFormat="1" applyFill="1" applyBorder="1" applyAlignment="1">
      <alignment horizontal="center"/>
    </xf>
    <xf numFmtId="1" fontId="0" fillId="0" borderId="11" xfId="0" applyNumberFormat="1" applyBorder="1" applyAlignment="1">
      <alignment horizontal="center"/>
    </xf>
    <xf numFmtId="167" fontId="0" fillId="0" borderId="11" xfId="0" applyNumberFormat="1" applyBorder="1" applyAlignment="1">
      <alignment horizontal="center"/>
    </xf>
    <xf numFmtId="0" fontId="6" fillId="0" borderId="1" xfId="6" applyFont="1" applyBorder="1" applyAlignment="1">
      <alignment horizontal="left"/>
    </xf>
    <xf numFmtId="0" fontId="6" fillId="0" borderId="20" xfId="0" applyFont="1" applyBorder="1"/>
    <xf numFmtId="0" fontId="8" fillId="4" borderId="0" xfId="0" applyFont="1" applyFill="1" applyAlignment="1">
      <alignment horizontal="left" vertical="center" wrapText="1"/>
    </xf>
    <xf numFmtId="0" fontId="6" fillId="0" borderId="21" xfId="0" applyFont="1" applyBorder="1"/>
    <xf numFmtId="171" fontId="5" fillId="0" borderId="20" xfId="0" applyNumberFormat="1" applyFont="1" applyBorder="1" applyAlignment="1">
      <alignment horizontal="right"/>
    </xf>
    <xf numFmtId="0" fontId="5" fillId="0" borderId="0" xfId="6" applyFont="1" applyAlignment="1">
      <alignment horizontal="left"/>
    </xf>
    <xf numFmtId="0" fontId="10" fillId="0" borderId="0" xfId="0" applyFont="1" applyAlignment="1">
      <alignment horizontal="left"/>
    </xf>
    <xf numFmtId="0" fontId="6" fillId="0" borderId="0" xfId="6" applyFont="1" applyAlignment="1">
      <alignment horizontal="left" vertical="top" wrapText="1"/>
    </xf>
    <xf numFmtId="0" fontId="8" fillId="0" borderId="0" xfId="0" applyFont="1" applyAlignment="1">
      <alignment horizontal="left" vertical="center" wrapText="1"/>
    </xf>
    <xf numFmtId="0" fontId="6" fillId="0" borderId="22" xfId="0" applyFont="1" applyBorder="1"/>
    <xf numFmtId="0" fontId="6" fillId="0" borderId="28" xfId="0" applyFont="1" applyBorder="1"/>
    <xf numFmtId="0" fontId="5" fillId="0" borderId="0" xfId="6" applyFont="1"/>
    <xf numFmtId="0" fontId="9" fillId="4" borderId="0" xfId="6" applyFont="1" applyFill="1" applyAlignment="1">
      <alignment horizontal="center"/>
    </xf>
    <xf numFmtId="0" fontId="8" fillId="4" borderId="0" xfId="6" applyFont="1" applyFill="1" applyAlignment="1">
      <alignment horizontal="left"/>
    </xf>
    <xf numFmtId="0" fontId="6" fillId="0" borderId="31" xfId="6" applyFont="1" applyBorder="1" applyAlignment="1">
      <alignment vertical="top"/>
    </xf>
    <xf numFmtId="0" fontId="6" fillId="0" borderId="0" xfId="6" applyFont="1" applyAlignment="1">
      <alignment vertical="top"/>
    </xf>
    <xf numFmtId="0" fontId="6" fillId="0" borderId="0" xfId="0" applyFont="1" applyAlignment="1">
      <alignment horizontal="left" vertical="top" wrapText="1"/>
    </xf>
    <xf numFmtId="0" fontId="20" fillId="0" borderId="0" xfId="6" applyFont="1"/>
    <xf numFmtId="0" fontId="20" fillId="0" borderId="34" xfId="6" applyFont="1" applyBorder="1"/>
    <xf numFmtId="0" fontId="19" fillId="0" borderId="31" xfId="6" applyFont="1" applyBorder="1" applyAlignment="1">
      <alignment horizontal="left" indent="2"/>
    </xf>
    <xf numFmtId="0" fontId="19" fillId="0" borderId="0" xfId="6" applyFont="1" applyAlignment="1">
      <alignment horizontal="left" indent="2"/>
    </xf>
    <xf numFmtId="0" fontId="19" fillId="0" borderId="31" xfId="6" applyFont="1" applyBorder="1" applyAlignment="1">
      <alignment horizontal="right"/>
    </xf>
    <xf numFmtId="0" fontId="19" fillId="0" borderId="0" xfId="6" applyFont="1" applyAlignment="1">
      <alignment horizontal="right"/>
    </xf>
    <xf numFmtId="0" fontId="19" fillId="0" borderId="0" xfId="6" applyFont="1" applyAlignment="1">
      <alignment horizontal="left"/>
    </xf>
    <xf numFmtId="0" fontId="6" fillId="0" borderId="31" xfId="6" applyFont="1" applyBorder="1" applyAlignment="1">
      <alignment horizontal="left" vertical="top" wrapText="1" indent="6"/>
    </xf>
    <xf numFmtId="0" fontId="6" fillId="0" borderId="0" xfId="6" applyFont="1" applyAlignment="1">
      <alignment horizontal="left" vertical="top" wrapText="1" indent="6"/>
    </xf>
    <xf numFmtId="0" fontId="6" fillId="0" borderId="31" xfId="6" applyFont="1" applyBorder="1" applyAlignment="1">
      <alignment horizontal="left" vertical="top" wrapText="1"/>
    </xf>
    <xf numFmtId="0" fontId="6" fillId="0" borderId="0" xfId="6" applyFont="1" applyAlignment="1">
      <alignment horizontal="justify" vertical="top" wrapText="1"/>
    </xf>
    <xf numFmtId="0" fontId="6" fillId="0" borderId="0" xfId="6" applyFont="1" applyAlignment="1">
      <alignment horizontal="justify" vertical="center" wrapText="1"/>
    </xf>
    <xf numFmtId="171" fontId="19" fillId="0" borderId="31" xfId="0" applyNumberFormat="1" applyFont="1" applyBorder="1" applyAlignment="1">
      <alignment horizontal="right"/>
    </xf>
    <xf numFmtId="171" fontId="19" fillId="0" borderId="0" xfId="0" applyNumberFormat="1" applyFont="1" applyAlignment="1">
      <alignment horizontal="right"/>
    </xf>
    <xf numFmtId="0" fontId="6" fillId="0" borderId="0" xfId="6" applyFont="1" applyAlignment="1">
      <alignment horizontal="left" vertical="top"/>
    </xf>
    <xf numFmtId="0" fontId="6" fillId="0" borderId="20" xfId="6" applyFont="1" applyBorder="1" applyAlignment="1">
      <alignment horizontal="left"/>
    </xf>
    <xf numFmtId="0" fontId="6" fillId="0" borderId="31" xfId="0" applyFont="1" applyBorder="1"/>
    <xf numFmtId="0" fontId="19" fillId="4" borderId="0" xfId="6" applyFont="1" applyFill="1" applyAlignment="1">
      <alignment horizontal="left"/>
    </xf>
    <xf numFmtId="0" fontId="5" fillId="4" borderId="0" xfId="6" applyFont="1" applyFill="1" applyAlignment="1">
      <alignment horizontal="center" vertical="center"/>
    </xf>
    <xf numFmtId="0" fontId="6" fillId="0" borderId="33" xfId="0" applyFont="1" applyBorder="1"/>
    <xf numFmtId="0" fontId="6" fillId="0" borderId="0" xfId="0" applyFont="1" applyAlignment="1">
      <alignment horizontal="justify" vertical="top" wrapText="1"/>
    </xf>
    <xf numFmtId="171" fontId="0" fillId="0" borderId="0" xfId="0" applyNumberFormat="1"/>
    <xf numFmtId="0" fontId="0" fillId="0" borderId="36" xfId="0" applyBorder="1"/>
    <xf numFmtId="0" fontId="0" fillId="0" borderId="14" xfId="0" applyBorder="1"/>
    <xf numFmtId="0" fontId="8" fillId="4" borderId="0" xfId="0" applyFont="1" applyFill="1" applyAlignment="1">
      <alignment horizontal="justify" vertical="center" wrapText="1"/>
    </xf>
    <xf numFmtId="0" fontId="6" fillId="0" borderId="37" xfId="0" applyFont="1" applyBorder="1"/>
    <xf numFmtId="0" fontId="6" fillId="0" borderId="0" xfId="0" applyFont="1" applyAlignment="1">
      <alignment horizontal="center"/>
    </xf>
    <xf numFmtId="2" fontId="6" fillId="0" borderId="0" xfId="0" applyNumberFormat="1" applyFont="1" applyAlignment="1">
      <alignment horizontal="left" vertical="center"/>
    </xf>
    <xf numFmtId="173" fontId="0" fillId="2" borderId="15" xfId="0" applyNumberFormat="1" applyFill="1" applyBorder="1" applyAlignment="1">
      <alignment horizontal="center"/>
    </xf>
    <xf numFmtId="166" fontId="6" fillId="0" borderId="0" xfId="6" applyNumberFormat="1" applyFont="1" applyAlignment="1">
      <alignment horizontal="left" vertical="center"/>
    </xf>
    <xf numFmtId="2" fontId="0" fillId="2" borderId="18" xfId="0" applyNumberFormat="1" applyFill="1" applyBorder="1" applyAlignment="1">
      <alignment horizontal="center"/>
    </xf>
    <xf numFmtId="1" fontId="0" fillId="0" borderId="12" xfId="6" applyNumberFormat="1" applyFont="1" applyBorder="1" applyAlignment="1">
      <alignment horizontal="center" vertical="center"/>
    </xf>
    <xf numFmtId="166" fontId="0" fillId="0" borderId="12" xfId="6" applyNumberFormat="1" applyFont="1" applyBorder="1" applyAlignment="1">
      <alignment horizontal="center" vertical="center"/>
    </xf>
    <xf numFmtId="0" fontId="26" fillId="4" borderId="0" xfId="0" applyFont="1" applyFill="1" applyAlignment="1">
      <alignment horizontal="center" wrapText="1"/>
    </xf>
    <xf numFmtId="0" fontId="6" fillId="0" borderId="68" xfId="0" applyFont="1" applyBorder="1"/>
    <xf numFmtId="2" fontId="6" fillId="0" borderId="38" xfId="6" applyNumberFormat="1" applyFont="1" applyBorder="1" applyAlignment="1">
      <alignment horizontal="left" vertical="center"/>
    </xf>
    <xf numFmtId="2" fontId="6" fillId="0" borderId="0" xfId="6" applyNumberFormat="1" applyFont="1" applyAlignment="1">
      <alignment horizontal="left" vertical="center"/>
    </xf>
    <xf numFmtId="0" fontId="6" fillId="0" borderId="69" xfId="0" applyFont="1" applyBorder="1"/>
    <xf numFmtId="0" fontId="6" fillId="0" borderId="70" xfId="0" applyFont="1" applyBorder="1"/>
    <xf numFmtId="0" fontId="7" fillId="0" borderId="0" xfId="0" applyFont="1" applyAlignment="1">
      <alignment horizontal="left"/>
    </xf>
    <xf numFmtId="0" fontId="6" fillId="0" borderId="24" xfId="0" applyFont="1" applyBorder="1"/>
    <xf numFmtId="0" fontId="6" fillId="0" borderId="0" xfId="0" applyFont="1" applyAlignment="1">
      <alignment vertical="center"/>
    </xf>
    <xf numFmtId="0" fontId="5" fillId="0" borderId="0" xfId="6" applyFont="1" applyAlignment="1">
      <alignment horizontal="center" vertical="center"/>
    </xf>
    <xf numFmtId="0" fontId="6" fillId="4" borderId="0" xfId="6" applyFont="1" applyFill="1" applyAlignment="1">
      <alignment vertical="center"/>
    </xf>
    <xf numFmtId="0" fontId="27" fillId="4" borderId="0" xfId="6" applyFont="1" applyFill="1" applyAlignment="1">
      <alignment wrapText="1"/>
    </xf>
    <xf numFmtId="1" fontId="27" fillId="4" borderId="0" xfId="0" applyNumberFormat="1" applyFont="1" applyFill="1" applyAlignment="1">
      <alignment shrinkToFit="1"/>
    </xf>
    <xf numFmtId="0" fontId="30" fillId="0" borderId="0" xfId="0" applyFont="1"/>
    <xf numFmtId="0" fontId="6" fillId="0" borderId="0" xfId="6" applyFont="1" applyAlignment="1">
      <alignment horizontal="left" vertical="top" wrapText="1" indent="3"/>
    </xf>
    <xf numFmtId="0" fontId="6" fillId="0" borderId="31" xfId="6" applyFont="1" applyBorder="1" applyAlignment="1">
      <alignment horizontal="left" vertical="top" wrapText="1" indent="3"/>
    </xf>
    <xf numFmtId="0" fontId="6" fillId="0" borderId="0" xfId="0" applyFont="1" applyAlignment="1">
      <alignment horizontal="right" vertical="top" wrapText="1"/>
    </xf>
    <xf numFmtId="0" fontId="16" fillId="4" borderId="0" xfId="6" applyFont="1" applyFill="1" applyAlignment="1">
      <alignment horizontal="center" vertical="center"/>
    </xf>
    <xf numFmtId="0" fontId="6" fillId="0" borderId="38" xfId="0" applyFont="1" applyBorder="1" applyAlignment="1">
      <alignment vertical="center"/>
    </xf>
    <xf numFmtId="0" fontId="6" fillId="0" borderId="72" xfId="0" applyFont="1" applyBorder="1"/>
    <xf numFmtId="0" fontId="5" fillId="0" borderId="20" xfId="6" applyFont="1" applyBorder="1" applyAlignment="1">
      <alignment vertical="center"/>
    </xf>
    <xf numFmtId="0" fontId="5" fillId="0" borderId="0" xfId="6" applyFont="1" applyAlignment="1">
      <alignment vertical="center"/>
    </xf>
    <xf numFmtId="0" fontId="0" fillId="0" borderId="11" xfId="0" applyBorder="1"/>
    <xf numFmtId="1" fontId="0" fillId="0" borderId="36" xfId="6" applyNumberFormat="1" applyFont="1" applyBorder="1" applyAlignment="1">
      <alignment horizontal="center" vertical="center"/>
    </xf>
    <xf numFmtId="166" fontId="0" fillId="0" borderId="36" xfId="6" applyNumberFormat="1" applyFont="1" applyBorder="1" applyAlignment="1">
      <alignment horizontal="center" vertical="center"/>
    </xf>
    <xf numFmtId="0" fontId="0" fillId="0" borderId="11" xfId="6" applyFont="1" applyBorder="1" applyAlignment="1">
      <alignment horizontal="left" vertical="center"/>
    </xf>
    <xf numFmtId="166" fontId="0" fillId="2" borderId="12" xfId="0" applyNumberFormat="1" applyFill="1" applyBorder="1" applyAlignment="1">
      <alignment horizontal="center"/>
    </xf>
    <xf numFmtId="0" fontId="0" fillId="0" borderId="11" xfId="0" applyBorder="1" applyAlignment="1">
      <alignment horizontal="center" wrapText="1"/>
    </xf>
    <xf numFmtId="0" fontId="24" fillId="0" borderId="12" xfId="0" applyFont="1" applyBorder="1" applyAlignment="1">
      <alignment horizontal="center" vertical="center"/>
    </xf>
    <xf numFmtId="0" fontId="6" fillId="0" borderId="4" xfId="0" applyFont="1" applyBorder="1"/>
    <xf numFmtId="168" fontId="0" fillId="5" borderId="14" xfId="0" applyNumberFormat="1" applyFill="1" applyBorder="1" applyAlignment="1">
      <alignment horizontal="center"/>
    </xf>
    <xf numFmtId="2" fontId="27" fillId="0" borderId="0" xfId="0" applyNumberFormat="1" applyFont="1" applyAlignment="1">
      <alignment horizontal="center"/>
    </xf>
    <xf numFmtId="0" fontId="27" fillId="0" borderId="0" xfId="0" applyFont="1" applyAlignment="1">
      <alignment horizontal="center"/>
    </xf>
    <xf numFmtId="175" fontId="27" fillId="0" borderId="0" xfId="0" applyNumberFormat="1" applyFont="1" applyAlignment="1">
      <alignment horizontal="center"/>
    </xf>
    <xf numFmtId="176" fontId="27" fillId="0" borderId="0" xfId="0" applyNumberFormat="1" applyFont="1" applyAlignment="1">
      <alignment horizontal="center"/>
    </xf>
    <xf numFmtId="1" fontId="27" fillId="0" borderId="0" xfId="0" applyNumberFormat="1" applyFont="1" applyAlignment="1">
      <alignment horizontal="center"/>
    </xf>
    <xf numFmtId="0" fontId="6" fillId="0" borderId="73" xfId="0" applyFont="1" applyBorder="1"/>
    <xf numFmtId="0" fontId="8" fillId="0" borderId="0" xfId="0" applyFont="1" applyAlignment="1">
      <alignment horizontal="justify" vertical="center" wrapText="1"/>
    </xf>
    <xf numFmtId="0" fontId="6" fillId="0" borderId="74" xfId="0" applyFont="1" applyBorder="1"/>
    <xf numFmtId="1" fontId="0" fillId="5" borderId="15" xfId="0" applyNumberFormat="1" applyFill="1" applyBorder="1" applyAlignment="1">
      <alignment horizontal="center"/>
    </xf>
    <xf numFmtId="1" fontId="1" fillId="0" borderId="75" xfId="0" applyNumberFormat="1" applyFont="1" applyBorder="1" applyAlignment="1">
      <alignment horizontal="center"/>
    </xf>
    <xf numFmtId="0" fontId="0" fillId="0" borderId="76" xfId="0" applyBorder="1" applyAlignment="1">
      <alignment horizontal="center"/>
    </xf>
    <xf numFmtId="0" fontId="0" fillId="0" borderId="77" xfId="0" applyBorder="1" applyAlignment="1">
      <alignment horizontal="center"/>
    </xf>
    <xf numFmtId="0" fontId="0" fillId="0" borderId="36" xfId="0" applyBorder="1" applyAlignment="1">
      <alignment horizontal="center"/>
    </xf>
    <xf numFmtId="0" fontId="0" fillId="0" borderId="12" xfId="0" applyBorder="1" applyAlignment="1">
      <alignment horizontal="center" vertical="center"/>
    </xf>
    <xf numFmtId="0" fontId="0" fillId="0" borderId="0" xfId="0" applyAlignment="1">
      <alignment horizontal="center"/>
    </xf>
    <xf numFmtId="0" fontId="0" fillId="0" borderId="71" xfId="0" applyBorder="1" applyAlignment="1">
      <alignment horizontal="center"/>
    </xf>
    <xf numFmtId="0" fontId="0" fillId="5" borderId="12" xfId="0" applyFill="1" applyBorder="1" applyAlignment="1">
      <alignment horizontal="center"/>
    </xf>
    <xf numFmtId="2" fontId="0" fillId="5" borderId="12" xfId="0" applyNumberFormat="1" applyFill="1" applyBorder="1" applyAlignment="1">
      <alignment horizontal="center"/>
    </xf>
    <xf numFmtId="0" fontId="0" fillId="5" borderId="14" xfId="0" applyFill="1" applyBorder="1" applyAlignment="1">
      <alignment horizontal="center"/>
    </xf>
    <xf numFmtId="0" fontId="0" fillId="5" borderId="39" xfId="0" applyFill="1" applyBorder="1" applyAlignment="1">
      <alignment horizontal="center"/>
    </xf>
    <xf numFmtId="2" fontId="0" fillId="5" borderId="11" xfId="0" applyNumberFormat="1" applyFill="1" applyBorder="1" applyAlignment="1">
      <alignment horizontal="center"/>
    </xf>
    <xf numFmtId="1" fontId="6" fillId="0" borderId="0" xfId="0" applyNumberFormat="1" applyFont="1"/>
    <xf numFmtId="0" fontId="6" fillId="0" borderId="0" xfId="6" applyFont="1" applyAlignment="1">
      <alignment vertical="top" wrapText="1"/>
    </xf>
    <xf numFmtId="0" fontId="14" fillId="0" borderId="0" xfId="0" applyFont="1" applyAlignment="1">
      <alignment horizontal="right"/>
    </xf>
    <xf numFmtId="0" fontId="36" fillId="0" borderId="0" xfId="0" applyFont="1"/>
    <xf numFmtId="0" fontId="37" fillId="4" borderId="0" xfId="6" applyFont="1" applyFill="1" applyAlignment="1">
      <alignment horizontal="right"/>
    </xf>
    <xf numFmtId="0" fontId="37" fillId="4" borderId="0" xfId="0" applyFont="1" applyFill="1"/>
    <xf numFmtId="0" fontId="38" fillId="4" borderId="0" xfId="6" applyFont="1" applyFill="1" applyAlignment="1">
      <alignment horizontal="center" vertical="center"/>
    </xf>
    <xf numFmtId="0" fontId="36" fillId="0" borderId="0" xfId="0" applyFont="1" applyAlignment="1">
      <alignment vertical="center"/>
    </xf>
    <xf numFmtId="2" fontId="36" fillId="0" borderId="0" xfId="6" applyNumberFormat="1" applyFont="1" applyAlignment="1">
      <alignment horizontal="left" vertical="center"/>
    </xf>
    <xf numFmtId="0" fontId="39" fillId="0" borderId="0" xfId="6" applyFont="1" applyAlignment="1">
      <alignment horizontal="right" vertical="center"/>
    </xf>
    <xf numFmtId="0" fontId="36" fillId="0" borderId="72" xfId="0" applyFont="1" applyBorder="1"/>
    <xf numFmtId="0" fontId="40" fillId="6" borderId="12" xfId="0" applyFont="1" applyFill="1" applyBorder="1"/>
    <xf numFmtId="1" fontId="1" fillId="0" borderId="16" xfId="0" applyNumberFormat="1" applyFont="1" applyBorder="1" applyAlignment="1">
      <alignment horizontal="center"/>
    </xf>
    <xf numFmtId="1" fontId="1" fillId="0" borderId="36" xfId="0" applyNumberFormat="1" applyFont="1" applyBorder="1" applyAlignment="1">
      <alignment horizontal="center"/>
    </xf>
    <xf numFmtId="0" fontId="0" fillId="0" borderId="16" xfId="0" applyBorder="1" applyAlignment="1">
      <alignment horizontal="center" wrapText="1"/>
    </xf>
    <xf numFmtId="0" fontId="0" fillId="0" borderId="36" xfId="0" applyBorder="1" applyAlignment="1">
      <alignment horizontal="center" wrapText="1"/>
    </xf>
    <xf numFmtId="0" fontId="24" fillId="0" borderId="16" xfId="0" applyFont="1" applyBorder="1" applyAlignment="1">
      <alignment horizontal="center" vertical="center"/>
    </xf>
    <xf numFmtId="0" fontId="24" fillId="0" borderId="36" xfId="0" applyFont="1" applyBorder="1" applyAlignment="1">
      <alignment horizontal="center" vertical="center"/>
    </xf>
    <xf numFmtId="0" fontId="40" fillId="6" borderId="12" xfId="0" applyFont="1" applyFill="1" applyBorder="1" applyAlignment="1">
      <alignment horizontal="center"/>
    </xf>
    <xf numFmtId="0" fontId="0" fillId="0" borderId="11" xfId="0" applyBorder="1" applyAlignment="1">
      <alignment horizontal="center"/>
    </xf>
    <xf numFmtId="0" fontId="0" fillId="0" borderId="18" xfId="0" applyBorder="1" applyAlignment="1">
      <alignment horizontal="center"/>
    </xf>
    <xf numFmtId="0" fontId="0" fillId="0" borderId="39" xfId="0" applyBorder="1" applyAlignment="1">
      <alignment horizontal="center"/>
    </xf>
    <xf numFmtId="0" fontId="24" fillId="0" borderId="10" xfId="0" applyFont="1" applyBorder="1" applyAlignment="1">
      <alignment horizontal="center" vertical="center"/>
    </xf>
    <xf numFmtId="0" fontId="24" fillId="0" borderId="45" xfId="0" applyFont="1" applyBorder="1" applyAlignment="1">
      <alignment horizontal="center" vertical="center"/>
    </xf>
    <xf numFmtId="0" fontId="6" fillId="0" borderId="0" xfId="6" applyFont="1" applyAlignment="1">
      <alignment vertical="top" wrapText="1"/>
    </xf>
    <xf numFmtId="0" fontId="8" fillId="4" borderId="0" xfId="0" applyFont="1" applyFill="1" applyAlignment="1">
      <alignment horizontal="right" vertical="center"/>
    </xf>
    <xf numFmtId="0" fontId="8" fillId="4" borderId="0" xfId="0" applyFont="1" applyFill="1" applyAlignment="1">
      <alignment horizontal="justify" vertical="center" wrapText="1"/>
    </xf>
    <xf numFmtId="0" fontId="16" fillId="4" borderId="0" xfId="0" applyFont="1" applyFill="1" applyAlignment="1">
      <alignment horizontal="justify" vertical="center" wrapText="1"/>
    </xf>
    <xf numFmtId="0" fontId="8" fillId="4" borderId="0" xfId="0" applyFont="1" applyFill="1" applyAlignment="1">
      <alignment horizontal="left" vertical="center" wrapText="1"/>
    </xf>
    <xf numFmtId="2" fontId="27" fillId="0" borderId="0" xfId="0" applyNumberFormat="1" applyFont="1" applyAlignment="1">
      <alignment horizontal="center" shrinkToFit="1"/>
    </xf>
    <xf numFmtId="2" fontId="27" fillId="0" borderId="0" xfId="0" applyNumberFormat="1" applyFont="1" applyAlignment="1">
      <alignment horizontal="center"/>
    </xf>
    <xf numFmtId="164" fontId="6" fillId="0" borderId="0" xfId="0" applyNumberFormat="1" applyFont="1" applyAlignment="1">
      <alignment horizontal="left" vertical="center"/>
    </xf>
    <xf numFmtId="174" fontId="6" fillId="0" borderId="0" xfId="0" applyNumberFormat="1" applyFont="1" applyAlignment="1">
      <alignment horizontal="left" vertical="center"/>
    </xf>
    <xf numFmtId="177" fontId="6" fillId="0" borderId="40" xfId="0" applyNumberFormat="1" applyFont="1" applyBorder="1" applyAlignment="1">
      <alignment horizontal="left" vertical="center"/>
    </xf>
    <xf numFmtId="177" fontId="6" fillId="0" borderId="41" xfId="0" applyNumberFormat="1" applyFont="1" applyBorder="1" applyAlignment="1">
      <alignment horizontal="left" vertical="center"/>
    </xf>
    <xf numFmtId="177" fontId="6" fillId="0" borderId="42" xfId="0" applyNumberFormat="1" applyFont="1" applyBorder="1" applyAlignment="1">
      <alignment horizontal="left" vertical="center"/>
    </xf>
    <xf numFmtId="0" fontId="7" fillId="0" borderId="9" xfId="0" applyFont="1" applyBorder="1" applyAlignment="1">
      <alignment horizontal="left"/>
    </xf>
    <xf numFmtId="0" fontId="7" fillId="0" borderId="0" xfId="0" applyFont="1" applyAlignment="1">
      <alignment horizontal="left"/>
    </xf>
    <xf numFmtId="2" fontId="6" fillId="0" borderId="0" xfId="0" applyNumberFormat="1" applyFont="1" applyAlignment="1">
      <alignment horizontal="left" vertical="center"/>
    </xf>
    <xf numFmtId="1" fontId="6" fillId="0" borderId="43" xfId="0" applyNumberFormat="1" applyFont="1" applyBorder="1" applyAlignment="1">
      <alignment horizontal="left" vertical="center"/>
    </xf>
    <xf numFmtId="180" fontId="6" fillId="0" borderId="0" xfId="0" applyNumberFormat="1" applyFont="1" applyAlignment="1">
      <alignment horizontal="left" vertical="center"/>
    </xf>
    <xf numFmtId="179" fontId="6" fillId="0" borderId="0" xfId="0" applyNumberFormat="1" applyFont="1" applyAlignment="1">
      <alignment horizontal="left" vertical="center"/>
    </xf>
    <xf numFmtId="164" fontId="6" fillId="0" borderId="43" xfId="0" applyNumberFormat="1" applyFont="1" applyBorder="1" applyAlignment="1">
      <alignment horizontal="left" vertical="center"/>
    </xf>
    <xf numFmtId="174" fontId="6" fillId="5" borderId="0" xfId="6" applyNumberFormat="1" applyFont="1" applyFill="1" applyAlignment="1">
      <alignment horizontal="left" vertical="center"/>
    </xf>
    <xf numFmtId="0" fontId="27" fillId="0" borderId="12" xfId="0" applyFont="1" applyBorder="1" applyAlignment="1">
      <alignment horizontal="center"/>
    </xf>
    <xf numFmtId="2" fontId="27" fillId="0" borderId="11" xfId="0" applyNumberFormat="1" applyFont="1" applyBorder="1" applyAlignment="1">
      <alignment horizontal="center"/>
    </xf>
    <xf numFmtId="2" fontId="27" fillId="0" borderId="18" xfId="0" applyNumberFormat="1" applyFont="1" applyBorder="1" applyAlignment="1">
      <alignment horizontal="center"/>
    </xf>
    <xf numFmtId="2" fontId="27" fillId="0" borderId="39" xfId="0" applyNumberFormat="1" applyFont="1" applyBorder="1" applyAlignment="1">
      <alignment horizontal="center"/>
    </xf>
    <xf numFmtId="175" fontId="27" fillId="0" borderId="49" xfId="0" applyNumberFormat="1" applyFont="1" applyBorder="1" applyAlignment="1">
      <alignment horizontal="center"/>
    </xf>
    <xf numFmtId="175" fontId="27" fillId="0" borderId="36" xfId="0" applyNumberFormat="1" applyFont="1" applyBorder="1" applyAlignment="1">
      <alignment horizontal="center"/>
    </xf>
    <xf numFmtId="176" fontId="27" fillId="0" borderId="12" xfId="0" applyNumberFormat="1" applyFont="1" applyBorder="1" applyAlignment="1">
      <alignment horizontal="center"/>
    </xf>
    <xf numFmtId="1" fontId="27" fillId="0" borderId="11" xfId="0" applyNumberFormat="1" applyFont="1" applyBorder="1" applyAlignment="1">
      <alignment horizontal="center"/>
    </xf>
    <xf numFmtId="1" fontId="27" fillId="0" borderId="18" xfId="0" applyNumberFormat="1" applyFont="1" applyBorder="1" applyAlignment="1">
      <alignment horizontal="center"/>
    </xf>
    <xf numFmtId="1" fontId="27" fillId="0" borderId="39" xfId="0" applyNumberFormat="1" applyFont="1" applyBorder="1" applyAlignment="1">
      <alignment horizontal="center"/>
    </xf>
    <xf numFmtId="176" fontId="27" fillId="0" borderId="48" xfId="0" applyNumberFormat="1" applyFont="1" applyBorder="1" applyAlignment="1">
      <alignment horizontal="center"/>
    </xf>
    <xf numFmtId="176" fontId="27" fillId="0" borderId="47" xfId="0" applyNumberFormat="1" applyFont="1" applyBorder="1" applyAlignment="1">
      <alignment horizontal="center"/>
    </xf>
    <xf numFmtId="2" fontId="27" fillId="0" borderId="12" xfId="0" applyNumberFormat="1" applyFont="1" applyBorder="1" applyAlignment="1">
      <alignment horizontal="center"/>
    </xf>
    <xf numFmtId="176" fontId="27" fillId="0" borderId="39" xfId="0" applyNumberFormat="1" applyFont="1" applyBorder="1" applyAlignment="1">
      <alignment horizontal="center"/>
    </xf>
    <xf numFmtId="176" fontId="27" fillId="0" borderId="11" xfId="0" applyNumberFormat="1" applyFont="1" applyBorder="1" applyAlignment="1">
      <alignment horizontal="center"/>
    </xf>
    <xf numFmtId="2" fontId="27" fillId="0" borderId="58" xfId="0" applyNumberFormat="1" applyFont="1" applyBorder="1" applyAlignment="1">
      <alignment horizontal="center"/>
    </xf>
    <xf numFmtId="169" fontId="6" fillId="5" borderId="0" xfId="6" applyNumberFormat="1" applyFont="1" applyFill="1" applyAlignment="1">
      <alignment horizontal="left" vertical="center"/>
    </xf>
    <xf numFmtId="0" fontId="6" fillId="5" borderId="0" xfId="0" applyFont="1" applyFill="1" applyAlignment="1">
      <alignment vertical="center"/>
    </xf>
    <xf numFmtId="177" fontId="6" fillId="5" borderId="0" xfId="6" applyNumberFormat="1" applyFont="1" applyFill="1" applyAlignment="1">
      <alignment horizontal="left" vertical="center"/>
    </xf>
    <xf numFmtId="177" fontId="6" fillId="5" borderId="0" xfId="0" applyNumberFormat="1" applyFont="1" applyFill="1" applyAlignment="1">
      <alignment vertical="center"/>
    </xf>
    <xf numFmtId="166" fontId="6" fillId="5" borderId="0" xfId="6" applyNumberFormat="1" applyFont="1" applyFill="1" applyAlignment="1">
      <alignment horizontal="left" vertical="center"/>
    </xf>
    <xf numFmtId="172" fontId="6" fillId="5" borderId="0" xfId="6" applyNumberFormat="1" applyFont="1" applyFill="1" applyAlignment="1">
      <alignment horizontal="left" vertical="center"/>
    </xf>
    <xf numFmtId="172" fontId="6" fillId="5" borderId="0" xfId="0" applyNumberFormat="1" applyFont="1" applyFill="1" applyAlignment="1">
      <alignment vertical="center"/>
    </xf>
    <xf numFmtId="166" fontId="6" fillId="5" borderId="0" xfId="0" applyNumberFormat="1" applyFont="1" applyFill="1" applyAlignment="1">
      <alignment vertical="center"/>
    </xf>
    <xf numFmtId="166" fontId="6" fillId="0" borderId="0" xfId="0" applyNumberFormat="1" applyFont="1" applyAlignment="1">
      <alignment vertical="center"/>
    </xf>
    <xf numFmtId="173" fontId="6" fillId="5" borderId="0" xfId="6" applyNumberFormat="1" applyFont="1" applyFill="1" applyAlignment="1">
      <alignment horizontal="left" vertical="center"/>
    </xf>
    <xf numFmtId="173" fontId="6" fillId="5" borderId="0" xfId="0" applyNumberFormat="1" applyFont="1" applyFill="1" applyAlignment="1">
      <alignment vertical="center"/>
    </xf>
    <xf numFmtId="164" fontId="6" fillId="5" borderId="0" xfId="6" applyNumberFormat="1" applyFont="1" applyFill="1" applyAlignment="1">
      <alignment horizontal="left" vertical="center"/>
    </xf>
    <xf numFmtId="164" fontId="6" fillId="5" borderId="0" xfId="0" applyNumberFormat="1" applyFont="1" applyFill="1" applyAlignment="1">
      <alignment vertical="center"/>
    </xf>
    <xf numFmtId="174" fontId="6" fillId="5" borderId="0" xfId="0" applyNumberFormat="1" applyFont="1" applyFill="1" applyAlignment="1">
      <alignment vertical="center"/>
    </xf>
    <xf numFmtId="166" fontId="6" fillId="5" borderId="0" xfId="0" applyNumberFormat="1" applyFont="1" applyFill="1" applyAlignment="1">
      <alignment horizontal="left" vertical="center"/>
    </xf>
    <xf numFmtId="178" fontId="6" fillId="5" borderId="0" xfId="6" applyNumberFormat="1" applyFont="1" applyFill="1" applyAlignment="1">
      <alignment horizontal="left" vertical="center"/>
    </xf>
    <xf numFmtId="178" fontId="6" fillId="5" borderId="0" xfId="0" applyNumberFormat="1" applyFont="1" applyFill="1" applyAlignment="1">
      <alignment vertical="center"/>
    </xf>
    <xf numFmtId="174" fontId="6" fillId="0" borderId="29" xfId="6" applyNumberFormat="1" applyFont="1" applyBorder="1" applyAlignment="1">
      <alignment horizontal="left" vertical="center"/>
    </xf>
    <xf numFmtId="174" fontId="6" fillId="0" borderId="30" xfId="0" applyNumberFormat="1" applyFont="1" applyBorder="1" applyAlignment="1">
      <alignment vertical="center"/>
    </xf>
    <xf numFmtId="175" fontId="6" fillId="0" borderId="0" xfId="0" applyNumberFormat="1" applyFont="1" applyAlignment="1">
      <alignment horizontal="left" vertical="center"/>
    </xf>
    <xf numFmtId="164" fontId="6" fillId="5" borderId="0" xfId="0" applyNumberFormat="1" applyFont="1" applyFill="1" applyAlignment="1">
      <alignment horizontal="left" vertical="center"/>
    </xf>
    <xf numFmtId="2" fontId="6" fillId="0" borderId="23" xfId="0" applyNumberFormat="1" applyFont="1" applyBorder="1" applyAlignment="1">
      <alignment horizontal="left" vertical="center"/>
    </xf>
    <xf numFmtId="2" fontId="6" fillId="0" borderId="24" xfId="0" applyNumberFormat="1" applyFont="1" applyBorder="1" applyAlignment="1">
      <alignment horizontal="left" vertical="center"/>
    </xf>
    <xf numFmtId="2" fontId="6" fillId="0" borderId="26" xfId="0" applyNumberFormat="1" applyFont="1" applyBorder="1" applyAlignment="1">
      <alignment horizontal="left" vertical="center"/>
    </xf>
    <xf numFmtId="2" fontId="6" fillId="0" borderId="27" xfId="6" applyNumberFormat="1" applyFont="1" applyBorder="1" applyAlignment="1">
      <alignment horizontal="left" vertical="center"/>
    </xf>
    <xf numFmtId="0" fontId="6" fillId="0" borderId="25" xfId="0" applyFont="1" applyBorder="1" applyAlignment="1">
      <alignment vertical="center"/>
    </xf>
    <xf numFmtId="175" fontId="27" fillId="0" borderId="12" xfId="0" applyNumberFormat="1" applyFont="1" applyBorder="1" applyAlignment="1">
      <alignment horizontal="center"/>
    </xf>
    <xf numFmtId="0" fontId="6" fillId="0" borderId="16" xfId="0" applyFont="1" applyBorder="1" applyAlignment="1">
      <alignment horizontal="center" wrapText="1"/>
    </xf>
    <xf numFmtId="0" fontId="6" fillId="0" borderId="67" xfId="0" applyFont="1" applyBorder="1" applyAlignment="1">
      <alignment horizontal="center" wrapText="1"/>
    </xf>
    <xf numFmtId="0" fontId="23" fillId="0" borderId="39" xfId="0" applyFont="1" applyBorder="1" applyAlignment="1">
      <alignment horizontal="center" wrapText="1"/>
    </xf>
    <xf numFmtId="0" fontId="23" fillId="0" borderId="12" xfId="0" applyFont="1" applyBorder="1" applyAlignment="1">
      <alignment horizontal="center" wrapText="1"/>
    </xf>
    <xf numFmtId="0" fontId="23" fillId="0" borderId="54" xfId="0" applyFont="1" applyBorder="1" applyAlignment="1">
      <alignment horizontal="center" wrapText="1"/>
    </xf>
    <xf numFmtId="0" fontId="23" fillId="0" borderId="35" xfId="0" applyFont="1" applyBorder="1" applyAlignment="1">
      <alignment horizontal="center" wrapText="1"/>
    </xf>
    <xf numFmtId="0" fontId="6" fillId="0" borderId="12" xfId="0" applyFont="1" applyBorder="1" applyAlignment="1">
      <alignment horizontal="center" wrapText="1"/>
    </xf>
    <xf numFmtId="0" fontId="6" fillId="0" borderId="11" xfId="0" applyFont="1" applyBorder="1" applyAlignment="1">
      <alignment horizontal="center" wrapText="1"/>
    </xf>
    <xf numFmtId="0" fontId="6" fillId="0" borderId="35" xfId="0" applyFont="1" applyBorder="1" applyAlignment="1">
      <alignment horizontal="center" wrapText="1"/>
    </xf>
    <xf numFmtId="0" fontId="6" fillId="0" borderId="51" xfId="0" applyFont="1" applyBorder="1" applyAlignment="1">
      <alignment horizontal="center" wrapText="1"/>
    </xf>
    <xf numFmtId="0" fontId="6" fillId="0" borderId="63" xfId="0" applyFont="1" applyBorder="1" applyAlignment="1">
      <alignment horizontal="center" wrapText="1"/>
    </xf>
    <xf numFmtId="0" fontId="6" fillId="0" borderId="43" xfId="0" applyFont="1" applyBorder="1" applyAlignment="1">
      <alignment horizontal="center" wrapText="1"/>
    </xf>
    <xf numFmtId="0" fontId="6" fillId="0" borderId="44" xfId="0" applyFont="1" applyBorder="1" applyAlignment="1">
      <alignment horizontal="center" wrapText="1"/>
    </xf>
    <xf numFmtId="0" fontId="6" fillId="0" borderId="64" xfId="0" applyFont="1" applyBorder="1" applyAlignment="1">
      <alignment horizontal="center" wrapText="1"/>
    </xf>
    <xf numFmtId="0" fontId="6" fillId="0" borderId="3" xfId="0" applyFont="1" applyBorder="1" applyAlignment="1">
      <alignment horizontal="center" wrapText="1"/>
    </xf>
    <xf numFmtId="0" fontId="6" fillId="0" borderId="17" xfId="0" applyFont="1" applyBorder="1" applyAlignment="1">
      <alignment horizontal="center" wrapText="1"/>
    </xf>
    <xf numFmtId="0" fontId="6" fillId="0" borderId="10" xfId="0" applyFont="1" applyBorder="1" applyAlignment="1">
      <alignment horizontal="center" wrapText="1"/>
    </xf>
    <xf numFmtId="0" fontId="6" fillId="0" borderId="2" xfId="0" applyFont="1" applyBorder="1" applyAlignment="1">
      <alignment horizontal="center" wrapText="1"/>
    </xf>
    <xf numFmtId="0" fontId="6" fillId="0" borderId="61" xfId="0" applyFont="1" applyBorder="1" applyAlignment="1">
      <alignment horizontal="center" wrapText="1"/>
    </xf>
    <xf numFmtId="0" fontId="6" fillId="0" borderId="62" xfId="0" applyFont="1" applyBorder="1" applyAlignment="1">
      <alignment horizontal="center" wrapText="1"/>
    </xf>
    <xf numFmtId="0" fontId="6" fillId="0" borderId="48" xfId="0" applyFont="1" applyBorder="1" applyAlignment="1">
      <alignment horizontal="center" wrapText="1"/>
    </xf>
    <xf numFmtId="0" fontId="6" fillId="0" borderId="52" xfId="0" applyFont="1" applyBorder="1" applyAlignment="1">
      <alignment horizontal="center" wrapText="1"/>
    </xf>
    <xf numFmtId="0" fontId="6" fillId="0" borderId="47" xfId="0" applyFont="1" applyBorder="1" applyAlignment="1">
      <alignment horizontal="center" wrapText="1"/>
    </xf>
    <xf numFmtId="0" fontId="6" fillId="0" borderId="53" xfId="0" applyFont="1" applyBorder="1" applyAlignment="1">
      <alignment horizontal="center" wrapText="1"/>
    </xf>
    <xf numFmtId="176" fontId="27" fillId="0" borderId="36" xfId="0" applyNumberFormat="1" applyFont="1" applyBorder="1" applyAlignment="1">
      <alignment horizontal="center"/>
    </xf>
    <xf numFmtId="176" fontId="27" fillId="0" borderId="50" xfId="0" applyNumberFormat="1" applyFont="1" applyBorder="1" applyAlignment="1">
      <alignment horizontal="center"/>
    </xf>
    <xf numFmtId="2" fontId="28" fillId="0" borderId="46" xfId="0" applyNumberFormat="1" applyFont="1" applyBorder="1" applyAlignment="1">
      <alignment horizontal="center"/>
    </xf>
    <xf numFmtId="2" fontId="28" fillId="0" borderId="36" xfId="0" applyNumberFormat="1" applyFont="1" applyBorder="1" applyAlignment="1">
      <alignment horizontal="center"/>
    </xf>
    <xf numFmtId="1" fontId="27" fillId="0" borderId="55" xfId="0" applyNumberFormat="1" applyFont="1" applyBorder="1" applyAlignment="1">
      <alignment horizontal="center"/>
    </xf>
    <xf numFmtId="1" fontId="27" fillId="0" borderId="56" xfId="0" applyNumberFormat="1" applyFont="1" applyBorder="1" applyAlignment="1">
      <alignment horizontal="center"/>
    </xf>
    <xf numFmtId="1" fontId="27" fillId="0" borderId="57" xfId="0" applyNumberFormat="1" applyFont="1" applyBorder="1" applyAlignment="1">
      <alignment horizontal="center"/>
    </xf>
    <xf numFmtId="176" fontId="27" fillId="0" borderId="49" xfId="0" applyNumberFormat="1" applyFont="1" applyBorder="1" applyAlignment="1">
      <alignment horizontal="center"/>
    </xf>
    <xf numFmtId="0" fontId="27" fillId="0" borderId="36" xfId="0" applyFont="1" applyBorder="1" applyAlignment="1">
      <alignment horizontal="center"/>
    </xf>
    <xf numFmtId="2" fontId="28" fillId="0" borderId="55" xfId="0" applyNumberFormat="1" applyFont="1" applyBorder="1" applyAlignment="1">
      <alignment horizontal="center"/>
    </xf>
    <xf numFmtId="2" fontId="28" fillId="0" borderId="56" xfId="0" applyNumberFormat="1" applyFont="1" applyBorder="1" applyAlignment="1">
      <alignment horizontal="center"/>
    </xf>
    <xf numFmtId="2" fontId="28" fillId="0" borderId="57" xfId="0" applyNumberFormat="1" applyFont="1" applyBorder="1" applyAlignment="1">
      <alignment horizontal="center"/>
    </xf>
    <xf numFmtId="176" fontId="27" fillId="0" borderId="46" xfId="0" applyNumberFormat="1" applyFont="1" applyBorder="1" applyAlignment="1">
      <alignment horizontal="center"/>
    </xf>
    <xf numFmtId="176" fontId="27" fillId="0" borderId="45" xfId="0" applyNumberFormat="1" applyFont="1" applyBorder="1" applyAlignment="1">
      <alignment horizontal="center"/>
    </xf>
    <xf numFmtId="2" fontId="27" fillId="0" borderId="59" xfId="0" applyNumberFormat="1" applyFont="1" applyBorder="1" applyAlignment="1">
      <alignment horizontal="center"/>
    </xf>
    <xf numFmtId="2" fontId="27" fillId="0" borderId="56" xfId="0" applyNumberFormat="1" applyFont="1" applyBorder="1" applyAlignment="1">
      <alignment horizontal="center"/>
    </xf>
    <xf numFmtId="2" fontId="27" fillId="0" borderId="57" xfId="0" applyNumberFormat="1" applyFont="1" applyBorder="1" applyAlignment="1">
      <alignment horizontal="center"/>
    </xf>
    <xf numFmtId="0" fontId="5" fillId="0" borderId="12" xfId="0" applyFont="1" applyBorder="1" applyAlignment="1">
      <alignment horizontal="center"/>
    </xf>
    <xf numFmtId="0" fontId="6" fillId="0" borderId="0" xfId="0" applyFont="1" applyAlignment="1">
      <alignment horizontal="justify" vertical="top" wrapText="1"/>
    </xf>
    <xf numFmtId="0" fontId="6" fillId="0" borderId="0" xfId="6" applyFont="1" applyAlignment="1">
      <alignment horizontal="justify" vertical="top" wrapText="1"/>
    </xf>
    <xf numFmtId="0" fontId="6" fillId="0" borderId="20" xfId="0" applyFont="1" applyBorder="1" applyAlignment="1">
      <alignment horizontal="center" wrapText="1"/>
    </xf>
    <xf numFmtId="0" fontId="6" fillId="0" borderId="0" xfId="0" applyFont="1" applyAlignment="1">
      <alignment horizontal="center" wrapText="1"/>
    </xf>
    <xf numFmtId="0" fontId="6" fillId="0" borderId="4" xfId="0" applyFont="1" applyBorder="1" applyAlignment="1">
      <alignment horizontal="center" wrapText="1"/>
    </xf>
    <xf numFmtId="0" fontId="6" fillId="0" borderId="58" xfId="0" applyFont="1" applyBorder="1" applyAlignment="1">
      <alignment horizontal="center"/>
    </xf>
    <xf numFmtId="0" fontId="6" fillId="0" borderId="18" xfId="0" applyFont="1" applyBorder="1" applyAlignment="1">
      <alignment horizontal="center"/>
    </xf>
    <xf numFmtId="0" fontId="6" fillId="0" borderId="60" xfId="0" applyFont="1" applyBorder="1" applyAlignment="1">
      <alignment horizontal="center"/>
    </xf>
    <xf numFmtId="0" fontId="6" fillId="0" borderId="39" xfId="0" applyFont="1" applyBorder="1" applyAlignment="1">
      <alignment horizontal="center" wrapText="1"/>
    </xf>
    <xf numFmtId="0" fontId="6" fillId="0" borderId="54" xfId="0" applyFont="1" applyBorder="1" applyAlignment="1">
      <alignment horizontal="center" wrapText="1"/>
    </xf>
    <xf numFmtId="175" fontId="27" fillId="0" borderId="48" xfId="0" applyNumberFormat="1" applyFont="1" applyBorder="1" applyAlignment="1">
      <alignment horizontal="center"/>
    </xf>
    <xf numFmtId="0" fontId="6" fillId="0" borderId="48" xfId="0" applyFont="1" applyBorder="1" applyAlignment="1">
      <alignment horizontal="center"/>
    </xf>
    <xf numFmtId="0" fontId="6" fillId="0" borderId="12" xfId="0" applyFont="1" applyBorder="1" applyAlignment="1">
      <alignment horizontal="center"/>
    </xf>
    <xf numFmtId="0" fontId="6" fillId="0" borderId="47" xfId="0" applyFont="1" applyBorder="1" applyAlignment="1">
      <alignment horizontal="center"/>
    </xf>
    <xf numFmtId="0" fontId="31" fillId="2" borderId="0" xfId="0" applyFont="1" applyFill="1" applyAlignment="1">
      <alignment horizontal="right" vertical="center"/>
    </xf>
    <xf numFmtId="0" fontId="31" fillId="2" borderId="4" xfId="0" applyFont="1" applyFill="1" applyBorder="1" applyAlignment="1">
      <alignment horizontal="right" vertical="center"/>
    </xf>
    <xf numFmtId="0" fontId="23" fillId="2" borderId="1" xfId="0" applyFont="1" applyFill="1" applyBorder="1" applyAlignment="1">
      <alignment horizontal="left" vertical="center"/>
    </xf>
    <xf numFmtId="0" fontId="23" fillId="2" borderId="0" xfId="0" applyFont="1" applyFill="1" applyAlignment="1">
      <alignment horizontal="left" vertical="center"/>
    </xf>
    <xf numFmtId="0" fontId="23" fillId="0" borderId="0" xfId="0" applyFont="1" applyAlignment="1">
      <alignment horizontal="left" vertical="center" shrinkToFit="1"/>
    </xf>
    <xf numFmtId="0" fontId="9" fillId="4" borderId="9" xfId="6" applyFont="1" applyFill="1" applyBorder="1" applyAlignment="1">
      <alignment horizontal="center"/>
    </xf>
    <xf numFmtId="167" fontId="23" fillId="0" borderId="0" xfId="0" applyNumberFormat="1" applyFont="1" applyAlignment="1">
      <alignment horizontal="left" vertical="center" shrinkToFit="1"/>
    </xf>
    <xf numFmtId="173" fontId="6" fillId="0" borderId="0" xfId="0" applyNumberFormat="1" applyFont="1" applyAlignment="1">
      <alignment vertical="center"/>
    </xf>
    <xf numFmtId="0" fontId="19" fillId="0" borderId="0" xfId="6" applyFont="1" applyAlignment="1">
      <alignment horizontal="left"/>
    </xf>
    <xf numFmtId="172" fontId="6" fillId="0" borderId="0" xfId="0" applyNumberFormat="1" applyFont="1" applyAlignment="1">
      <alignment vertical="center"/>
    </xf>
    <xf numFmtId="0" fontId="6" fillId="0" borderId="0" xfId="0" applyFont="1" applyAlignment="1">
      <alignment vertical="center"/>
    </xf>
    <xf numFmtId="0" fontId="6" fillId="0" borderId="65" xfId="0" applyFont="1" applyBorder="1" applyAlignment="1">
      <alignment horizontal="center" wrapText="1"/>
    </xf>
    <xf numFmtId="0" fontId="6" fillId="0" borderId="66" xfId="0" applyFont="1" applyBorder="1" applyAlignment="1">
      <alignment horizontal="center" wrapText="1"/>
    </xf>
    <xf numFmtId="0" fontId="19" fillId="0" borderId="31" xfId="6" applyFont="1" applyBorder="1" applyAlignment="1">
      <alignment horizontal="right"/>
    </xf>
    <xf numFmtId="0" fontId="19" fillId="0" borderId="0" xfId="6" applyFont="1" applyAlignment="1">
      <alignment horizontal="right"/>
    </xf>
    <xf numFmtId="0" fontId="21" fillId="2" borderId="2" xfId="0" applyFont="1" applyFill="1" applyBorder="1" applyAlignment="1">
      <alignment vertical="center"/>
    </xf>
    <xf numFmtId="0" fontId="21" fillId="2" borderId="3" xfId="0" applyFont="1" applyFill="1" applyBorder="1" applyAlignment="1">
      <alignment vertical="center"/>
    </xf>
    <xf numFmtId="0" fontId="6" fillId="0" borderId="3" xfId="0" applyFont="1" applyBorder="1" applyAlignment="1">
      <alignment horizontal="left"/>
    </xf>
    <xf numFmtId="0" fontId="6" fillId="0" borderId="17" xfId="0" applyFont="1" applyBorder="1" applyAlignment="1">
      <alignment horizontal="left"/>
    </xf>
    <xf numFmtId="0" fontId="23" fillId="2" borderId="2" xfId="0" applyFont="1" applyFill="1" applyBorder="1" applyAlignment="1">
      <alignment horizontal="left" vertical="center"/>
    </xf>
    <xf numFmtId="0" fontId="23" fillId="2" borderId="3" xfId="0" applyFont="1" applyFill="1" applyBorder="1" applyAlignment="1">
      <alignment horizontal="left" vertical="center"/>
    </xf>
    <xf numFmtId="0" fontId="23" fillId="0" borderId="3" xfId="0" applyFont="1" applyBorder="1" applyAlignment="1">
      <alignment horizontal="left" vertical="center" shrinkToFit="1"/>
    </xf>
    <xf numFmtId="0" fontId="21" fillId="2" borderId="5" xfId="0" applyFont="1" applyFill="1" applyBorder="1" applyAlignment="1">
      <alignment vertical="center"/>
    </xf>
    <xf numFmtId="0" fontId="21" fillId="2" borderId="6" xfId="0" applyFont="1" applyFill="1" applyBorder="1" applyAlignment="1">
      <alignment vertical="center"/>
    </xf>
    <xf numFmtId="0" fontId="6" fillId="0" borderId="6" xfId="0" applyFont="1" applyBorder="1" applyAlignment="1">
      <alignment horizontal="left"/>
    </xf>
    <xf numFmtId="0" fontId="6" fillId="0" borderId="7" xfId="0" applyFont="1" applyBorder="1" applyAlignment="1">
      <alignment horizontal="left"/>
    </xf>
    <xf numFmtId="14" fontId="23" fillId="0" borderId="0" xfId="0" applyNumberFormat="1" applyFont="1" applyAlignment="1">
      <alignment horizontal="left" vertical="center" shrinkToFit="1"/>
    </xf>
    <xf numFmtId="0" fontId="20" fillId="0" borderId="0" xfId="6" applyFont="1"/>
    <xf numFmtId="0" fontId="20" fillId="0" borderId="32" xfId="6" applyFont="1" applyBorder="1"/>
    <xf numFmtId="0" fontId="20" fillId="0" borderId="34" xfId="6" applyFont="1" applyBorder="1"/>
    <xf numFmtId="171" fontId="20" fillId="0" borderId="19" xfId="6" applyNumberFormat="1" applyFont="1" applyBorder="1"/>
    <xf numFmtId="171" fontId="20" fillId="0" borderId="34" xfId="6" applyNumberFormat="1" applyFont="1" applyBorder="1"/>
    <xf numFmtId="171" fontId="20" fillId="0" borderId="31" xfId="6" applyNumberFormat="1" applyFont="1" applyBorder="1"/>
    <xf numFmtId="171" fontId="20" fillId="0" borderId="0" xfId="6" applyNumberFormat="1" applyFont="1"/>
    <xf numFmtId="0" fontId="6" fillId="0" borderId="0" xfId="6" applyFont="1" applyAlignment="1">
      <alignment horizontal="justify" vertical="center" wrapText="1"/>
    </xf>
    <xf numFmtId="0" fontId="12" fillId="0" borderId="31" xfId="0" applyFont="1" applyBorder="1" applyAlignment="1">
      <alignment horizontal="center"/>
    </xf>
    <xf numFmtId="0" fontId="12" fillId="0" borderId="0" xfId="0" applyFont="1" applyAlignment="1">
      <alignment horizontal="center"/>
    </xf>
    <xf numFmtId="171" fontId="19" fillId="0" borderId="31" xfId="0" applyNumberFormat="1" applyFont="1" applyBorder="1" applyAlignment="1">
      <alignment horizontal="right"/>
    </xf>
    <xf numFmtId="171" fontId="19" fillId="0" borderId="0" xfId="0" applyNumberFormat="1" applyFont="1" applyAlignment="1">
      <alignment horizontal="right"/>
    </xf>
    <xf numFmtId="171" fontId="6" fillId="0" borderId="0" xfId="0" applyNumberFormat="1" applyFont="1" applyAlignment="1">
      <alignment vertical="center"/>
    </xf>
    <xf numFmtId="0" fontId="6" fillId="0" borderId="0" xfId="6" applyFont="1" applyAlignment="1">
      <alignment horizontal="left" vertical="top" wrapText="1"/>
    </xf>
    <xf numFmtId="181" fontId="6" fillId="5" borderId="0" xfId="0" applyNumberFormat="1" applyFont="1" applyFill="1" applyAlignment="1">
      <alignment horizontal="left" vertical="center"/>
    </xf>
    <xf numFmtId="174" fontId="6" fillId="0" borderId="0" xfId="0" applyNumberFormat="1" applyFont="1" applyAlignment="1">
      <alignment vertical="center"/>
    </xf>
    <xf numFmtId="178" fontId="6" fillId="0" borderId="0" xfId="0" applyNumberFormat="1" applyFont="1" applyAlignment="1">
      <alignment vertical="center"/>
    </xf>
    <xf numFmtId="177" fontId="6" fillId="0" borderId="0" xfId="0" applyNumberFormat="1" applyFont="1" applyAlignment="1">
      <alignment vertical="center"/>
    </xf>
    <xf numFmtId="0" fontId="27" fillId="0" borderId="12" xfId="6" applyFont="1" applyBorder="1" applyAlignment="1">
      <alignment horizontal="center" wrapText="1"/>
    </xf>
    <xf numFmtId="0" fontId="27" fillId="0" borderId="35" xfId="6" applyFont="1" applyBorder="1" applyAlignment="1">
      <alignment horizontal="center" wrapText="1"/>
    </xf>
    <xf numFmtId="2" fontId="27" fillId="0" borderId="36" xfId="0" applyNumberFormat="1" applyFont="1" applyBorder="1" applyAlignment="1">
      <alignment horizontal="center" shrinkToFit="1"/>
    </xf>
    <xf numFmtId="1" fontId="27" fillId="0" borderId="0" xfId="0" applyNumberFormat="1" applyFont="1" applyAlignment="1">
      <alignment horizontal="center" shrinkToFit="1"/>
    </xf>
    <xf numFmtId="2" fontId="27" fillId="0" borderId="71" xfId="0" applyNumberFormat="1" applyFont="1" applyBorder="1" applyAlignment="1">
      <alignment horizontal="center" shrinkToFit="1"/>
    </xf>
    <xf numFmtId="2" fontId="27" fillId="0" borderId="71" xfId="0" applyNumberFormat="1" applyFont="1" applyBorder="1" applyAlignment="1">
      <alignment horizontal="center"/>
    </xf>
    <xf numFmtId="1" fontId="27" fillId="0" borderId="36" xfId="0" applyNumberFormat="1" applyFont="1" applyBorder="1" applyAlignment="1">
      <alignment horizontal="center" shrinkToFit="1"/>
    </xf>
    <xf numFmtId="2" fontId="27" fillId="0" borderId="36" xfId="0" applyNumberFormat="1" applyFont="1" applyBorder="1" applyAlignment="1">
      <alignment horizontal="center"/>
    </xf>
    <xf numFmtId="0" fontId="27" fillId="0" borderId="12" xfId="6" applyFont="1" applyBorder="1" applyAlignment="1">
      <alignment horizontal="center" vertical="center"/>
    </xf>
    <xf numFmtId="0" fontId="28" fillId="0" borderId="12" xfId="0" applyFont="1" applyBorder="1" applyAlignment="1">
      <alignment horizontal="center"/>
    </xf>
    <xf numFmtId="0" fontId="27" fillId="0" borderId="35" xfId="0" applyFont="1" applyBorder="1" applyAlignment="1">
      <alignment horizontal="center"/>
    </xf>
    <xf numFmtId="0" fontId="28" fillId="0" borderId="35" xfId="0" applyFont="1" applyBorder="1" applyAlignment="1">
      <alignment horizontal="center"/>
    </xf>
    <xf numFmtId="0" fontId="5" fillId="0" borderId="12" xfId="6" applyFont="1" applyBorder="1" applyAlignment="1">
      <alignment horizontal="center" vertical="center"/>
    </xf>
    <xf numFmtId="0" fontId="5" fillId="0" borderId="11" xfId="6" applyFont="1" applyBorder="1" applyAlignment="1">
      <alignment horizontal="center" vertical="center"/>
    </xf>
    <xf numFmtId="0" fontId="5" fillId="0" borderId="18" xfId="6" applyFont="1" applyBorder="1" applyAlignment="1">
      <alignment horizontal="center" vertical="center"/>
    </xf>
    <xf numFmtId="0" fontId="5" fillId="0" borderId="39" xfId="6" applyFont="1" applyBorder="1" applyAlignment="1">
      <alignment horizontal="center" vertical="center"/>
    </xf>
    <xf numFmtId="2" fontId="28" fillId="0" borderId="71" xfId="0" applyNumberFormat="1" applyFont="1" applyBorder="1" applyAlignment="1">
      <alignment horizontal="center" shrinkToFit="1"/>
    </xf>
    <xf numFmtId="1" fontId="27" fillId="0" borderId="78" xfId="0" applyNumberFormat="1" applyFont="1" applyBorder="1" applyAlignment="1">
      <alignment horizontal="center" shrinkToFit="1"/>
    </xf>
    <xf numFmtId="1" fontId="27" fillId="0" borderId="79" xfId="0" applyNumberFormat="1" applyFont="1" applyBorder="1" applyAlignment="1">
      <alignment horizontal="center" shrinkToFit="1"/>
    </xf>
    <xf numFmtId="1" fontId="27" fillId="0" borderId="71" xfId="0" applyNumberFormat="1" applyFont="1" applyBorder="1" applyAlignment="1">
      <alignment horizontal="center" shrinkToFit="1"/>
    </xf>
    <xf numFmtId="0" fontId="27" fillId="0" borderId="12" xfId="6" applyFont="1" applyBorder="1" applyAlignment="1">
      <alignment horizontal="center"/>
    </xf>
    <xf numFmtId="0" fontId="27" fillId="0" borderId="11" xfId="6" applyFont="1" applyBorder="1" applyAlignment="1">
      <alignment horizontal="center"/>
    </xf>
    <xf numFmtId="0" fontId="27" fillId="0" borderId="11" xfId="6" applyFont="1" applyBorder="1" applyAlignment="1">
      <alignment horizontal="center" wrapText="1"/>
    </xf>
    <xf numFmtId="0" fontId="27" fillId="0" borderId="51" xfId="6" applyFont="1" applyBorder="1" applyAlignment="1">
      <alignment horizontal="center" wrapText="1"/>
    </xf>
    <xf numFmtId="0" fontId="27" fillId="0" borderId="48" xfId="6" applyFont="1" applyBorder="1" applyAlignment="1">
      <alignment horizontal="center" wrapText="1"/>
    </xf>
    <xf numFmtId="0" fontId="27" fillId="0" borderId="52" xfId="6" applyFont="1" applyBorder="1" applyAlignment="1">
      <alignment horizontal="center" wrapText="1"/>
    </xf>
    <xf numFmtId="0" fontId="28" fillId="0" borderId="12" xfId="6" applyFont="1" applyBorder="1" applyAlignment="1">
      <alignment horizontal="center" wrapText="1"/>
    </xf>
    <xf numFmtId="0" fontId="27" fillId="0" borderId="47" xfId="6" applyFont="1" applyBorder="1" applyAlignment="1">
      <alignment horizontal="center" wrapText="1"/>
    </xf>
    <xf numFmtId="0" fontId="27" fillId="0" borderId="53" xfId="6" applyFont="1" applyBorder="1" applyAlignment="1">
      <alignment horizontal="center" wrapText="1"/>
    </xf>
    <xf numFmtId="0" fontId="6" fillId="0" borderId="71" xfId="0" applyFont="1" applyBorder="1" applyAlignment="1">
      <alignment horizontal="center" vertical="center"/>
    </xf>
    <xf numFmtId="0" fontId="6" fillId="0" borderId="71" xfId="0" applyFont="1" applyBorder="1" applyAlignment="1">
      <alignment horizontal="center" vertical="center" wrapText="1"/>
    </xf>
    <xf numFmtId="1" fontId="6" fillId="0" borderId="71" xfId="0" applyNumberFormat="1" applyFont="1" applyBorder="1" applyAlignment="1">
      <alignment horizontal="center" vertical="center"/>
    </xf>
    <xf numFmtId="0" fontId="27" fillId="0" borderId="48" xfId="0" applyFont="1" applyBorder="1" applyAlignment="1">
      <alignment horizontal="center"/>
    </xf>
    <xf numFmtId="0" fontId="27" fillId="0" borderId="47" xfId="0" applyFont="1" applyBorder="1" applyAlignment="1">
      <alignment horizontal="center"/>
    </xf>
    <xf numFmtId="0" fontId="28" fillId="0" borderId="43" xfId="6" applyFont="1" applyBorder="1" applyAlignment="1">
      <alignment horizontal="center" wrapText="1"/>
    </xf>
    <xf numFmtId="0" fontId="28" fillId="0" borderId="44" xfId="6" applyFont="1" applyBorder="1" applyAlignment="1">
      <alignment horizontal="center" wrapText="1"/>
    </xf>
    <xf numFmtId="0" fontId="28" fillId="0" borderId="0" xfId="6" applyFont="1" applyAlignment="1">
      <alignment horizontal="center" wrapText="1"/>
    </xf>
    <xf numFmtId="0" fontId="28" fillId="0" borderId="4" xfId="6" applyFont="1" applyBorder="1" applyAlignment="1">
      <alignment horizontal="center" wrapText="1"/>
    </xf>
    <xf numFmtId="0" fontId="28" fillId="0" borderId="3" xfId="6" applyFont="1" applyBorder="1" applyAlignment="1">
      <alignment horizontal="center" wrapText="1"/>
    </xf>
    <xf numFmtId="0" fontId="28" fillId="0" borderId="17" xfId="6" applyFont="1" applyBorder="1" applyAlignment="1">
      <alignment horizontal="center" wrapText="1"/>
    </xf>
    <xf numFmtId="0" fontId="28" fillId="0" borderId="10" xfId="6" applyFont="1" applyBorder="1" applyAlignment="1">
      <alignment horizontal="center" wrapText="1"/>
    </xf>
    <xf numFmtId="0" fontId="28" fillId="0" borderId="72" xfId="6" applyFont="1" applyBorder="1" applyAlignment="1">
      <alignment horizontal="center" wrapText="1"/>
    </xf>
    <xf numFmtId="0" fontId="28" fillId="0" borderId="2" xfId="6" applyFont="1" applyBorder="1" applyAlignment="1">
      <alignment horizontal="center" wrapText="1"/>
    </xf>
    <xf numFmtId="0" fontId="6" fillId="0" borderId="0" xfId="0" applyFont="1" applyAlignment="1">
      <alignment horizontal="center" vertical="center"/>
    </xf>
    <xf numFmtId="1" fontId="6" fillId="0" borderId="0" xfId="0" applyNumberFormat="1" applyFont="1" applyAlignment="1">
      <alignment horizontal="center" vertical="center"/>
    </xf>
    <xf numFmtId="2" fontId="28" fillId="0" borderId="0" xfId="0" applyNumberFormat="1" applyFont="1" applyAlignment="1">
      <alignment horizontal="center" shrinkToFit="1"/>
    </xf>
    <xf numFmtId="0" fontId="6" fillId="0" borderId="0" xfId="0" applyFont="1" applyAlignment="1">
      <alignment horizontal="center" vertical="center" wrapText="1"/>
    </xf>
    <xf numFmtId="2" fontId="6" fillId="0" borderId="71" xfId="0" applyNumberFormat="1" applyFont="1" applyBorder="1" applyAlignment="1">
      <alignment horizontal="center" vertical="center"/>
    </xf>
    <xf numFmtId="2" fontId="6" fillId="0" borderId="0" xfId="0" applyNumberFormat="1" applyFont="1" applyAlignment="1">
      <alignment horizontal="center" vertical="center"/>
    </xf>
    <xf numFmtId="0" fontId="6" fillId="0" borderId="0" xfId="0" applyFont="1" applyAlignment="1">
      <alignment horizontal="justify" vertical="center" wrapText="1"/>
    </xf>
    <xf numFmtId="0" fontId="5" fillId="0" borderId="0" xfId="0" applyFont="1" applyAlignment="1">
      <alignment horizontal="center"/>
    </xf>
    <xf numFmtId="0" fontId="10" fillId="0" borderId="1" xfId="6" applyFont="1" applyBorder="1" applyAlignment="1">
      <alignment horizontal="left"/>
    </xf>
    <xf numFmtId="0" fontId="6" fillId="0" borderId="0" xfId="0" applyFont="1"/>
  </cellXfs>
  <cellStyles count="7">
    <cellStyle name="Normal" xfId="0" builtinId="0"/>
    <cellStyle name="Normal 10" xfId="6" xr:uid="{80EAB61E-E5CB-4A96-A308-986742F821E4}"/>
    <cellStyle name="Normal 2" xfId="5" xr:uid="{0196D08B-1984-46E5-B9F4-AC4C689CC318}"/>
    <cellStyle name="Normal 2 2" xfId="4" xr:uid="{A451589C-7D14-483E-B24E-4817A5BF4D5C}"/>
    <cellStyle name="Normal 6" xfId="1" xr:uid="{EF632817-5421-4626-AAEC-899E951DDBCC}"/>
    <cellStyle name="Normal 7" xfId="2" xr:uid="{BDEDF4B4-1F9E-4D36-9466-B0E02D212D58}"/>
    <cellStyle name="Note 3 2" xfId="3" xr:uid="{A47B2274-705E-4374-80E0-5B09D41530C7}"/>
  </cellStyles>
  <dxfs count="14">
    <dxf>
      <font>
        <color rgb="FF960000"/>
      </font>
      <fill>
        <patternFill>
          <bgColor rgb="FFFFC7CE"/>
        </patternFill>
      </fill>
    </dxf>
    <dxf>
      <font>
        <color theme="9" tint="-0.499984740745262"/>
      </font>
      <fill>
        <patternFill>
          <bgColor rgb="FFC6EF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dxf>
    <dxf>
      <fill>
        <patternFill>
          <bgColor theme="0" tint="-0.14996795556505021"/>
        </patternFill>
      </fill>
    </dxf>
    <dxf>
      <fill>
        <patternFill>
          <bgColor theme="0" tint="-0.14996795556505021"/>
        </patternFill>
      </fill>
    </dxf>
  </dxfs>
  <tableStyles count="5" defaultTableStyle="Table Style 2" defaultPivotStyle="PivotStyleLight16">
    <tableStyle name="DC" pivot="0" count="0" xr9:uid="{7CEE81B3-07D0-4996-B929-BEA67292F73C}"/>
    <tableStyle name="Location_on_Span" pivot="0" count="0" xr9:uid="{3D87BB1F-DEC8-4E2C-A388-C1AD3F65F2B8}"/>
    <tableStyle name="Mu" pivot="0" count="0" xr9:uid="{D39FB530-013F-451D-BE3A-E9D7C5493725}"/>
    <tableStyle name="Table Style 1" pivot="0" count="0" xr9:uid="{9C162ACF-344D-421B-A26D-03CF92E5AC8A}"/>
    <tableStyle name="Table Style 2" pivot="0" count="0" xr9:uid="{BAAEB3B6-9F43-4DF2-8388-E11992A0B671}"/>
  </tableStyles>
  <colors>
    <mruColors>
      <color rgb="FFC6EFCE"/>
      <color rgb="FF960000"/>
      <color rgb="FFFFC7CE"/>
      <color rgb="FFF795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Mu</c:v>
          </c:tx>
          <c:spPr>
            <a:ln w="28575" cap="rnd">
              <a:solidFill>
                <a:srgbClr val="C00000"/>
              </a:solidFill>
              <a:round/>
            </a:ln>
            <a:effectLst/>
          </c:spPr>
          <c:marker>
            <c:symbol val="none"/>
          </c:marker>
          <c:cat>
            <c:numRef>
              <c:f>[0]!Table_Location</c:f>
            </c:numRef>
          </c:cat>
          <c:val>
            <c:numRef>
              <c:f>[0]!Table_Mu</c:f>
              <c:numCache>
                <c:formatCode>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0-BDB8-473E-9A55-559AC4D758D3}"/>
            </c:ext>
          </c:extLst>
        </c:ser>
        <c:ser>
          <c:idx val="1"/>
          <c:order val="1"/>
          <c:tx>
            <c:v>Positive Mn</c:v>
          </c:tx>
          <c:spPr>
            <a:ln w="28575" cap="rnd">
              <a:solidFill>
                <a:srgbClr val="0070C0"/>
              </a:solidFill>
              <a:round/>
            </a:ln>
            <a:effectLst/>
          </c:spPr>
          <c:marker>
            <c:symbol val="none"/>
          </c:marker>
          <c:cat>
            <c:numRef>
              <c:f>[0]!Table_Location</c:f>
            </c:numRef>
          </c:cat>
          <c:val>
            <c:numRef>
              <c:f>[0]!Table_Mr_pos</c:f>
              <c:numCache>
                <c:formatCode>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1-BDB8-473E-9A55-559AC4D758D3}"/>
            </c:ext>
          </c:extLst>
        </c:ser>
        <c:ser>
          <c:idx val="2"/>
          <c:order val="2"/>
          <c:tx>
            <c:v>Negative Mn</c:v>
          </c:tx>
          <c:spPr>
            <a:ln w="28575" cap="rnd">
              <a:solidFill>
                <a:srgbClr val="00B0F0"/>
              </a:solidFill>
              <a:round/>
            </a:ln>
            <a:effectLst/>
          </c:spPr>
          <c:marker>
            <c:symbol val="none"/>
          </c:marker>
          <c:cat>
            <c:numRef>
              <c:f>[0]!Table_Location</c:f>
            </c:numRef>
          </c:cat>
          <c:val>
            <c:numRef>
              <c:f>[0]!Table_Mr_neg</c:f>
              <c:numCache>
                <c:formatCode>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2-BDB8-473E-9A55-559AC4D758D3}"/>
            </c:ext>
          </c:extLst>
        </c:ser>
        <c:dLbls>
          <c:showLegendKey val="0"/>
          <c:showVal val="0"/>
          <c:showCatName val="0"/>
          <c:showSerName val="0"/>
          <c:showPercent val="0"/>
          <c:showBubbleSize val="0"/>
        </c:dLbls>
        <c:smooth val="0"/>
        <c:axId val="1134519104"/>
        <c:axId val="1134520184"/>
      </c:lineChart>
      <c:catAx>
        <c:axId val="1134519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sz="1000" b="0" i="0" u="none" strike="noStrike" kern="1200" baseline="0">
                    <a:solidFill>
                      <a:sysClr val="windowText" lastClr="000000">
                        <a:lumMod val="65000"/>
                        <a:lumOff val="35000"/>
                      </a:sysClr>
                    </a:solidFill>
                  </a:rPr>
                  <a:t>Location on Span (ft)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34520184"/>
        <c:crosses val="autoZero"/>
        <c:auto val="1"/>
        <c:lblAlgn val="ctr"/>
        <c:lblOffset val="100"/>
        <c:tickMarkSkip val="3"/>
        <c:noMultiLvlLbl val="0"/>
      </c:catAx>
      <c:valAx>
        <c:axId val="1134520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Moment (kip-ft)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in"/>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19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DC</c:v>
          </c:tx>
          <c:spPr>
            <a:ln w="28575" cap="rnd">
              <a:solidFill>
                <a:srgbClr val="C00000"/>
              </a:solidFill>
              <a:round/>
            </a:ln>
            <a:effectLst/>
          </c:spPr>
          <c:marker>
            <c:symbol val="none"/>
          </c:marker>
          <c:cat>
            <c:numRef>
              <c:f>[0]!Table_Location</c:f>
            </c:numRef>
          </c:cat>
          <c:val>
            <c:numRef>
              <c:f>[0]!Table_DC</c:f>
              <c:numCache>
                <c:formatCode>0.00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0-91E8-4A07-985E-2DC3A2C8CF76}"/>
            </c:ext>
          </c:extLst>
        </c:ser>
        <c:dLbls>
          <c:showLegendKey val="0"/>
          <c:showVal val="0"/>
          <c:showCatName val="0"/>
          <c:showSerName val="0"/>
          <c:showPercent val="0"/>
          <c:showBubbleSize val="0"/>
        </c:dLbls>
        <c:smooth val="0"/>
        <c:axId val="1134519104"/>
        <c:axId val="1134520184"/>
      </c:lineChart>
      <c:catAx>
        <c:axId val="1134519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Location on Span</a:t>
                </a:r>
                <a:r>
                  <a:rPr lang="pl-PL" baseline="0"/>
                  <a:t> (</a:t>
                </a:r>
                <a:r>
                  <a:rPr lang="pl-PL"/>
                  <a:t>ft)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20184"/>
        <c:crosses val="autoZero"/>
        <c:auto val="1"/>
        <c:lblAlgn val="ctr"/>
        <c:lblOffset val="100"/>
        <c:tickMarkSkip val="3"/>
        <c:noMultiLvlLbl val="0"/>
      </c:catAx>
      <c:valAx>
        <c:axId val="1134520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Capacity Ratio</a:t>
                </a:r>
                <a:r>
                  <a:rPr lang="pl-PL"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19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136124</xdr:colOff>
      <xdr:row>2</xdr:row>
      <xdr:rowOff>152269</xdr:rowOff>
    </xdr:to>
    <xdr:pic>
      <xdr:nvPicPr>
        <xdr:cNvPr id="2" name="Picture 1">
          <a:extLst>
            <a:ext uri="{FF2B5EF4-FFF2-40B4-BE49-F238E27FC236}">
              <a16:creationId xmlns:a16="http://schemas.microsoft.com/office/drawing/2014/main" id="{5B261C99-62EC-4FFA-BE31-153D99FCC7DF}"/>
            </a:ext>
          </a:extLst>
        </xdr:cNvPr>
        <xdr:cNvPicPr>
          <a:picLocks noChangeAspect="1"/>
        </xdr:cNvPicPr>
      </xdr:nvPicPr>
      <xdr:blipFill>
        <a:blip xmlns:r="http://schemas.openxmlformats.org/officeDocument/2006/relationships" r:embed="rId1"/>
        <a:stretch>
          <a:fillRect/>
        </a:stretch>
      </xdr:blipFill>
      <xdr:spPr>
        <a:xfrm>
          <a:off x="0" y="0"/>
          <a:ext cx="2011680" cy="543449"/>
        </a:xfrm>
        <a:prstGeom prst="rect">
          <a:avLst/>
        </a:prstGeom>
      </xdr:spPr>
    </xdr:pic>
    <xdr:clientData/>
  </xdr:twoCellAnchor>
  <xdr:twoCellAnchor>
    <xdr:from>
      <xdr:col>3</xdr:col>
      <xdr:colOff>0</xdr:colOff>
      <xdr:row>800</xdr:row>
      <xdr:rowOff>190499</xdr:rowOff>
    </xdr:from>
    <xdr:to>
      <xdr:col>68</xdr:col>
      <xdr:colOff>168088</xdr:colOff>
      <xdr:row>818</xdr:row>
      <xdr:rowOff>190499</xdr:rowOff>
    </xdr:to>
    <xdr:graphicFrame macro="">
      <xdr:nvGraphicFramePr>
        <xdr:cNvPr id="20" name="Chart 19">
          <a:extLst>
            <a:ext uri="{FF2B5EF4-FFF2-40B4-BE49-F238E27FC236}">
              <a16:creationId xmlns:a16="http://schemas.microsoft.com/office/drawing/2014/main" id="{072E8A63-F3C7-4B8C-9035-13C1EB648628}"/>
            </a:ext>
            <a:ext uri="{147F2762-F138-4A5C-976F-8EAC2B608ADB}">
              <a16:predDERef xmlns:a16="http://schemas.microsoft.com/office/drawing/2014/main" pred="{912E8E65-9FCB-ED13-374C-B06925A3A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0</xdr:colOff>
      <xdr:row>203</xdr:row>
      <xdr:rowOff>127489</xdr:rowOff>
    </xdr:from>
    <xdr:ext cx="321627" cy="1408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B824F2-8715-4A5C-94FE-8B536B1AD227}"/>
                </a:ext>
              </a:extLst>
            </xdr:cNvPr>
            <xdr:cNvSpPr txBox="1"/>
          </xdr:nvSpPr>
          <xdr:spPr>
            <a:xfrm>
              <a:off x="1905000" y="30626539"/>
              <a:ext cx="321627"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3" name="TextBox 2">
              <a:extLst>
                <a:ext uri="{FF2B5EF4-FFF2-40B4-BE49-F238E27FC236}">
                  <a16:creationId xmlns:a16="http://schemas.microsoft.com/office/drawing/2014/main" id="{72B824F2-8715-4A5C-94FE-8B536B1AD227}"/>
                </a:ext>
              </a:extLst>
            </xdr:cNvPr>
            <xdr:cNvSpPr txBox="1"/>
          </xdr:nvSpPr>
          <xdr:spPr>
            <a:xfrm>
              <a:off x="1905000" y="30626539"/>
              <a:ext cx="321627"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𝐶=𝑇</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8</xdr:col>
      <xdr:colOff>0</xdr:colOff>
      <xdr:row>187</xdr:row>
      <xdr:rowOff>0</xdr:rowOff>
    </xdr:from>
    <xdr:ext cx="553805" cy="1408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E71504-084D-4545-BA10-3B4767FCA22C}"/>
                </a:ext>
              </a:extLst>
            </xdr:cNvPr>
            <xdr:cNvSpPr txBox="1"/>
          </xdr:nvSpPr>
          <xdr:spPr>
            <a:xfrm>
              <a:off x="1524000" y="35134826"/>
              <a:ext cx="553805"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𝑟</m:t>
                        </m:r>
                      </m:sub>
                    </m:sSub>
                    <m:r>
                      <a:rPr lang="en-US" sz="900" b="0" i="1">
                        <a:latin typeface="Cambria Math" panose="02040503050406030204" pitchFamily="18" charset="0"/>
                      </a:rPr>
                      <m:t>=</m:t>
                    </m:r>
                    <m:r>
                      <a:rPr lang="en-US" sz="900" b="0" i="1">
                        <a:latin typeface="Cambria Math" panose="02040503050406030204" pitchFamily="18" charset="0"/>
                      </a:rPr>
                      <m:t>𝜙</m:t>
                    </m:r>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𝑛</m:t>
                        </m:r>
                      </m:sub>
                    </m:sSub>
                  </m:oMath>
                </m:oMathPara>
              </a14:m>
              <a:endParaRPr lang="en-US" sz="900"/>
            </a:p>
          </xdr:txBody>
        </xdr:sp>
      </mc:Choice>
      <mc:Fallback xmlns="">
        <xdr:sp macro="" textlink="">
          <xdr:nvSpPr>
            <xdr:cNvPr id="5" name="TextBox 4">
              <a:extLst>
                <a:ext uri="{FF2B5EF4-FFF2-40B4-BE49-F238E27FC236}">
                  <a16:creationId xmlns:a16="http://schemas.microsoft.com/office/drawing/2014/main" id="{B2E71504-084D-4545-BA10-3B4767FCA22C}"/>
                </a:ext>
              </a:extLst>
            </xdr:cNvPr>
            <xdr:cNvSpPr txBox="1"/>
          </xdr:nvSpPr>
          <xdr:spPr>
            <a:xfrm>
              <a:off x="1524000" y="35134826"/>
              <a:ext cx="553805"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r>
                <a:rPr lang="en-US" sz="900" b="0" i="0">
                  <a:latin typeface="Cambria Math" panose="02040503050406030204" pitchFamily="18" charset="0"/>
                </a:rPr>
                <a:t>𝑀_𝑟=𝜙𝑀_𝑛</a:t>
              </a:r>
              <a:endParaRPr lang="en-US" sz="900"/>
            </a:p>
          </xdr:txBody>
        </xdr:sp>
      </mc:Fallback>
    </mc:AlternateContent>
    <xdr:clientData/>
  </xdr:oneCellAnchor>
  <xdr:oneCellAnchor>
    <xdr:from>
      <xdr:col>9</xdr:col>
      <xdr:colOff>0</xdr:colOff>
      <xdr:row>188</xdr:row>
      <xdr:rowOff>36633</xdr:rowOff>
    </xdr:from>
    <xdr:ext cx="1952650" cy="29213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3CFCE7-4430-4462-ABDC-429EC40ACFA4}"/>
                </a:ext>
              </a:extLst>
            </xdr:cNvPr>
            <xdr:cNvSpPr txBox="1"/>
          </xdr:nvSpPr>
          <xdr:spPr>
            <a:xfrm>
              <a:off x="1714500" y="35381710"/>
              <a:ext cx="1952650" cy="292131"/>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0.75</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𝜙</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=0.75+</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0.25</m:t>
                        </m:r>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dPr>
                          <m:e>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𝑡</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𝑐𝑙</m:t>
                                </m:r>
                              </m:sub>
                            </m:sSub>
                          </m:e>
                        </m:d>
                      </m:num>
                      <m:den>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dPr>
                          <m:e>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𝑡𝑙</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𝑐𝑙</m:t>
                                </m:r>
                              </m:sub>
                            </m:sSub>
                          </m:e>
                        </m:d>
                      </m:den>
                    </m:f>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≤1.0</m:t>
                    </m:r>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6" name="TextBox 5">
              <a:extLst>
                <a:ext uri="{FF2B5EF4-FFF2-40B4-BE49-F238E27FC236}">
                  <a16:creationId xmlns:a16="http://schemas.microsoft.com/office/drawing/2014/main" id="{B23CFCE7-4430-4462-ABDC-429EC40ACFA4}"/>
                </a:ext>
              </a:extLst>
            </xdr:cNvPr>
            <xdr:cNvSpPr txBox="1"/>
          </xdr:nvSpPr>
          <xdr:spPr>
            <a:xfrm>
              <a:off x="1714500" y="35381710"/>
              <a:ext cx="1952650" cy="292131"/>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0.75</a:t>
              </a: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a:t>≤𝜙=0.75+0.25(𝜀_𝑡−𝜀_𝑐𝑙 )/((𝜀_𝑡𝑙−𝜀_𝑐𝑙 ) )≤1.0</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10</xdr:col>
      <xdr:colOff>0</xdr:colOff>
      <xdr:row>190</xdr:row>
      <xdr:rowOff>109903</xdr:rowOff>
    </xdr:from>
    <xdr:ext cx="690895" cy="140872"/>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F6B4158-CDEA-4871-8A5C-895B3C7629F4}"/>
                </a:ext>
              </a:extLst>
            </xdr:cNvPr>
            <xdr:cNvSpPr txBox="1"/>
          </xdr:nvSpPr>
          <xdr:spPr>
            <a:xfrm>
              <a:off x="1905000" y="35835980"/>
              <a:ext cx="69089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7" name="TextBox 6">
              <a:extLst>
                <a:ext uri="{FF2B5EF4-FFF2-40B4-BE49-F238E27FC236}">
                  <a16:creationId xmlns:a16="http://schemas.microsoft.com/office/drawing/2014/main" id="{3F6B4158-CDEA-4871-8A5C-895B3C7629F4}"/>
                </a:ext>
              </a:extLst>
            </xdr:cNvPr>
            <xdr:cNvSpPr txBox="1"/>
          </xdr:nvSpPr>
          <xdr:spPr>
            <a:xfrm>
              <a:off x="1905000" y="35835980"/>
              <a:ext cx="69089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𝜀_𝑡=𝜀_𝑡1+𝜀_𝑡2</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194</xdr:row>
      <xdr:rowOff>38537</xdr:rowOff>
    </xdr:from>
    <xdr:ext cx="919675" cy="3112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5D40BAF-0785-40D4-949E-3CA654B3D0D1}"/>
                </a:ext>
              </a:extLst>
            </xdr:cNvPr>
            <xdr:cNvSpPr txBox="1"/>
          </xdr:nvSpPr>
          <xdr:spPr>
            <a:xfrm>
              <a:off x="2095500" y="28820602"/>
              <a:ext cx="919675"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𝑐𝑙</m:t>
                        </m:r>
                      </m:sub>
                    </m:sSub>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8" name="TextBox 7">
              <a:extLst>
                <a:ext uri="{FF2B5EF4-FFF2-40B4-BE49-F238E27FC236}">
                  <a16:creationId xmlns:a16="http://schemas.microsoft.com/office/drawing/2014/main" id="{85D40BAF-0785-40D4-949E-3CA654B3D0D1}"/>
                </a:ext>
              </a:extLst>
            </xdr:cNvPr>
            <xdr:cNvSpPr txBox="1"/>
          </xdr:nvSpPr>
          <xdr:spPr>
            <a:xfrm>
              <a:off x="2095500" y="28820602"/>
              <a:ext cx="919675"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𝜀_𝑡2=𝜀_𝑐𝑙 ((𝑑_𝑝−𝑐)/𝑐)</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192</xdr:row>
      <xdr:rowOff>9872</xdr:rowOff>
    </xdr:from>
    <xdr:ext cx="483787" cy="305405"/>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7ED379C-9100-4D0A-B322-AD55A17B36C5}"/>
                </a:ext>
              </a:extLst>
            </xdr:cNvPr>
            <xdr:cNvSpPr txBox="1"/>
          </xdr:nvSpPr>
          <xdr:spPr>
            <a:xfrm>
              <a:off x="2095500" y="28410937"/>
              <a:ext cx="483787" cy="30540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𝑝𝑒</m:t>
                            </m:r>
                          </m:sub>
                        </m:sSub>
                      </m:num>
                      <m:den>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𝐸</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den>
                    </m:f>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0" name="TextBox 9">
              <a:extLst>
                <a:ext uri="{FF2B5EF4-FFF2-40B4-BE49-F238E27FC236}">
                  <a16:creationId xmlns:a16="http://schemas.microsoft.com/office/drawing/2014/main" id="{E7ED379C-9100-4D0A-B322-AD55A17B36C5}"/>
                </a:ext>
              </a:extLst>
            </xdr:cNvPr>
            <xdr:cNvSpPr txBox="1"/>
          </xdr:nvSpPr>
          <xdr:spPr>
            <a:xfrm>
              <a:off x="2095500" y="28410937"/>
              <a:ext cx="483787" cy="30540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𝜀_𝑡1=𝑓_𝑝𝑒/𝐸_𝑝𝑠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9</xdr:col>
      <xdr:colOff>0</xdr:colOff>
      <xdr:row>196</xdr:row>
      <xdr:rowOff>131886</xdr:rowOff>
    </xdr:from>
    <xdr:ext cx="1805174" cy="149785"/>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3D78926-588D-4A4A-AB00-65492DB6AF18}"/>
                </a:ext>
              </a:extLst>
            </xdr:cNvPr>
            <xdr:cNvSpPr txBox="1"/>
          </xdr:nvSpPr>
          <xdr:spPr>
            <a:xfrm>
              <a:off x="1714500" y="37191463"/>
              <a:ext cx="1805174" cy="149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𝑛</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𝑇</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𝑠</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𝑇</m:t>
                        </m:r>
                      </m:e>
                      <m:sub>
                        <m:r>
                          <a:rPr lang="en-US" sz="900" b="0" i="1">
                            <a:latin typeface="Cambria Math" panose="02040503050406030204" pitchFamily="18" charset="0"/>
                          </a:rPr>
                          <m:t>𝑝𝑠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𝑝</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𝐶</m:t>
                        </m:r>
                      </m:e>
                      <m:sub>
                        <m:r>
                          <a:rPr lang="en-US" sz="900" b="0" i="1">
                            <a:latin typeface="Cambria Math" panose="02040503050406030204" pitchFamily="18" charset="0"/>
                          </a:rPr>
                          <m:t>𝑓</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𝑓</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𝐶</m:t>
                        </m:r>
                      </m:e>
                      <m:sub>
                        <m:r>
                          <a:rPr lang="en-US" sz="900" b="0" i="1">
                            <a:latin typeface="Cambria Math" panose="02040503050406030204" pitchFamily="18" charset="0"/>
                          </a:rPr>
                          <m:t>𝑤</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𝑤</m:t>
                        </m:r>
                      </m:sub>
                    </m:sSub>
                  </m:oMath>
                </m:oMathPara>
              </a14:m>
              <a:endParaRPr lang="en-US" sz="900"/>
            </a:p>
          </xdr:txBody>
        </xdr:sp>
      </mc:Choice>
      <mc:Fallback xmlns="">
        <xdr:sp macro="" textlink="">
          <xdr:nvSpPr>
            <xdr:cNvPr id="11" name="TextBox 10">
              <a:extLst>
                <a:ext uri="{FF2B5EF4-FFF2-40B4-BE49-F238E27FC236}">
                  <a16:creationId xmlns:a16="http://schemas.microsoft.com/office/drawing/2014/main" id="{A3D78926-588D-4A4A-AB00-65492DB6AF18}"/>
                </a:ext>
              </a:extLst>
            </xdr:cNvPr>
            <xdr:cNvSpPr txBox="1"/>
          </xdr:nvSpPr>
          <xdr:spPr>
            <a:xfrm>
              <a:off x="1714500" y="37191463"/>
              <a:ext cx="1805174" cy="149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r>
                <a:rPr lang="en-US" sz="900" b="0" i="0">
                  <a:latin typeface="Cambria Math" panose="02040503050406030204" pitchFamily="18" charset="0"/>
                </a:rPr>
                <a:t>𝑀_𝑛=𝑇_𝑠 𝑑_𝑠+𝑇_𝑝𝑠 𝑑_𝑝−𝐶_𝑓 𝑑_𝑓−𝐶_𝑤 𝑑_𝑤</a:t>
              </a:r>
              <a:endParaRPr lang="en-US" sz="900"/>
            </a:p>
          </xdr:txBody>
        </xdr:sp>
      </mc:Fallback>
    </mc:AlternateContent>
    <xdr:clientData/>
  </xdr:oneCellAnchor>
  <xdr:oneCellAnchor>
    <xdr:from>
      <xdr:col>10</xdr:col>
      <xdr:colOff>0</xdr:colOff>
      <xdr:row>198</xdr:row>
      <xdr:rowOff>95251</xdr:rowOff>
    </xdr:from>
    <xdr:ext cx="835933" cy="264175"/>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846A84DE-8001-46B5-AAF5-711BA72F8D2D}"/>
                </a:ext>
              </a:extLst>
            </xdr:cNvPr>
            <xdr:cNvSpPr txBox="1"/>
          </xdr:nvSpPr>
          <xdr:spPr>
            <a:xfrm>
              <a:off x="1905000" y="37535828"/>
              <a:ext cx="835933" cy="26417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den>
                    </m:f>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MIN</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m>
                          <m:mPr>
                            <m:mcs>
                              <m:mc>
                                <m:mcPr>
                                  <m:count m:val="1"/>
                                  <m:mcJc m:val="center"/>
                                </m:mcPr>
                              </m:mc>
                            </m:mcs>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mPr>
                          <m:mr>
                            <m:e>
                              <m:r>
                                <m:rPr>
                                  <m:brk m:alnAt="7"/>
                                </m:r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𝑎</m:t>
                              </m:r>
                            </m:e>
                          </m:mr>
                          <m:mr>
                            <m:e>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h</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e>
                          </m:mr>
                        </m:m>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2" name="TextBox 11">
              <a:extLst>
                <a:ext uri="{FF2B5EF4-FFF2-40B4-BE49-F238E27FC236}">
                  <a16:creationId xmlns:a16="http://schemas.microsoft.com/office/drawing/2014/main" id="{846A84DE-8001-46B5-AAF5-711BA72F8D2D}"/>
                </a:ext>
              </a:extLst>
            </xdr:cNvPr>
            <xdr:cNvSpPr txBox="1"/>
          </xdr:nvSpPr>
          <xdr:spPr>
            <a:xfrm>
              <a:off x="1905000" y="37535828"/>
              <a:ext cx="835933" cy="26417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𝑑_𝑓=1/2  MIN{■8(𝑎@ℎ_𝑓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10</xdr:col>
      <xdr:colOff>0</xdr:colOff>
      <xdr:row>200</xdr:row>
      <xdr:rowOff>146540</xdr:rowOff>
    </xdr:from>
    <xdr:ext cx="1339789" cy="2756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B80690D-056E-4645-A01F-491563F1099D}"/>
                </a:ext>
              </a:extLst>
            </xdr:cNvPr>
            <xdr:cNvSpPr txBox="1"/>
          </xdr:nvSpPr>
          <xdr:spPr>
            <a:xfrm>
              <a:off x="1905000" y="37968117"/>
              <a:ext cx="1339789" cy="27565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h</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den>
                    </m:f>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MAX</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m>
                          <m:mPr>
                            <m:mcs>
                              <m:mc>
                                <m:mcPr>
                                  <m:count m:val="1"/>
                                  <m:mcJc m:val="center"/>
                                </m:mcPr>
                              </m:mc>
                            </m:mcs>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mPr>
                          <m:mr>
                            <m:e>
                              <m:r>
                                <m:rPr>
                                  <m:brk m:alnAt="7"/>
                                </m:r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0</m:t>
                              </m:r>
                            </m:e>
                          </m:mr>
                          <m:m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𝑎</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h</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e>
                          </m:mr>
                        </m:m>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3" name="TextBox 12">
              <a:extLst>
                <a:ext uri="{FF2B5EF4-FFF2-40B4-BE49-F238E27FC236}">
                  <a16:creationId xmlns:a16="http://schemas.microsoft.com/office/drawing/2014/main" id="{5B80690D-056E-4645-A01F-491563F1099D}"/>
                </a:ext>
              </a:extLst>
            </xdr:cNvPr>
            <xdr:cNvSpPr txBox="1"/>
          </xdr:nvSpPr>
          <xdr:spPr>
            <a:xfrm>
              <a:off x="1905000" y="37968117"/>
              <a:ext cx="1339789" cy="27565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𝑑_𝑤=ℎ_𝑓+1/2  MAX{■8(0@𝑎−ℎ_𝑓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205</xdr:row>
      <xdr:rowOff>36384</xdr:rowOff>
    </xdr:from>
    <xdr:ext cx="638700" cy="149785"/>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DAC04B00-A656-47DB-8C7D-A29D2A5168E9}"/>
                </a:ext>
              </a:extLst>
            </xdr:cNvPr>
            <xdr:cNvSpPr txBox="1"/>
          </xdr:nvSpPr>
          <xdr:spPr>
            <a:xfrm>
              <a:off x="2095500" y="30916434"/>
              <a:ext cx="638700" cy="14978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4" name="TextBox 13">
              <a:extLst>
                <a:ext uri="{FF2B5EF4-FFF2-40B4-BE49-F238E27FC236}">
                  <a16:creationId xmlns:a16="http://schemas.microsoft.com/office/drawing/2014/main" id="{DAC04B00-A656-47DB-8C7D-A29D2A5168E9}"/>
                </a:ext>
              </a:extLst>
            </xdr:cNvPr>
            <xdr:cNvSpPr txBox="1"/>
          </xdr:nvSpPr>
          <xdr:spPr>
            <a:xfrm>
              <a:off x="2095500" y="30916434"/>
              <a:ext cx="638700" cy="14978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𝐶=𝐶_𝑓+𝐶_𝑤</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206</xdr:row>
      <xdr:rowOff>92766</xdr:rowOff>
    </xdr:from>
    <xdr:ext cx="1094915" cy="32053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1EC72EE-4400-4D83-93E4-E264991C56DB}"/>
                </a:ext>
              </a:extLst>
            </xdr:cNvPr>
            <xdr:cNvSpPr txBox="1"/>
          </xdr:nvSpPr>
          <xdr:spPr>
            <a:xfrm>
              <a:off x="2286000" y="31163316"/>
              <a:ext cx="1094915" cy="32053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𝛼</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sSubSup>
                      <m:sSubSup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Sup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sub>
                      <m:sup>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up>
                    </m:sSubSup>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𝑏</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MIN</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type m:val="noBar"/>
                            <m:ctrlPr>
                              <a:rPr lang="en-US" sz="1100" b="0" i="1" baseline="0">
                                <a:effectLst/>
                                <a:latin typeface="Cambria Math" panose="02040503050406030204" pitchFamily="18" charset="0"/>
                                <a:ea typeface="+mn-ea"/>
                                <a:cs typeface="+mn-cs"/>
                              </a:rPr>
                            </m:ctrlPr>
                          </m:fPr>
                          <m:num>
                            <m:r>
                              <a:rPr lang="en-US" sz="1100" b="0" i="1" baseline="0">
                                <a:effectLst/>
                                <a:latin typeface="Cambria Math" panose="02040503050406030204" pitchFamily="18" charset="0"/>
                                <a:ea typeface="+mn-ea"/>
                                <a:cs typeface="+mn-cs"/>
                              </a:rPr>
                              <m:t>𝑎</m:t>
                            </m:r>
                          </m:num>
                          <m:den>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h</m:t>
                                </m:r>
                              </m:e>
                              <m:sub>
                                <m:r>
                                  <a:rPr lang="en-US" sz="1100" b="0" i="1" baseline="0">
                                    <a:effectLst/>
                                    <a:latin typeface="Cambria Math" panose="02040503050406030204" pitchFamily="18" charset="0"/>
                                    <a:ea typeface="+mn-ea"/>
                                    <a:cs typeface="+mn-cs"/>
                                  </a:rPr>
                                  <m:t>𝑓</m:t>
                                </m:r>
                              </m:sub>
                            </m:sSub>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5" name="TextBox 14">
              <a:extLst>
                <a:ext uri="{FF2B5EF4-FFF2-40B4-BE49-F238E27FC236}">
                  <a16:creationId xmlns:a16="http://schemas.microsoft.com/office/drawing/2014/main" id="{E1EC72EE-4400-4D83-93E4-E264991C56DB}"/>
                </a:ext>
              </a:extLst>
            </xdr:cNvPr>
            <xdr:cNvSpPr txBox="1"/>
          </xdr:nvSpPr>
          <xdr:spPr>
            <a:xfrm>
              <a:off x="2286000" y="31163316"/>
              <a:ext cx="1094915" cy="32053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𝐶_𝑓=𝛼_1 𝑓_𝑐^′ 𝑏 MIN{</a:t>
              </a:r>
              <a:r>
                <a:rPr lang="en-US" sz="1100" b="0" i="0" baseline="0">
                  <a:effectLst/>
                  <a:latin typeface="Cambria Math" panose="02040503050406030204" pitchFamily="18" charset="0"/>
                  <a:ea typeface="+mn-ea"/>
                  <a:cs typeface="+mn-cs"/>
                </a:rPr>
                <a:t>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213</xdr:row>
      <xdr:rowOff>0</xdr:rowOff>
    </xdr:from>
    <xdr:ext cx="638700" cy="149400"/>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8611AA05-D081-4D0E-8C64-14DD8E8DEB69}"/>
                </a:ext>
              </a:extLst>
            </xdr:cNvPr>
            <xdr:cNvSpPr txBox="1"/>
          </xdr:nvSpPr>
          <xdr:spPr>
            <a:xfrm>
              <a:off x="2095500" y="41040326"/>
              <a:ext cx="638700"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8" name="TextBox 17">
              <a:extLst>
                <a:ext uri="{FF2B5EF4-FFF2-40B4-BE49-F238E27FC236}">
                  <a16:creationId xmlns:a16="http://schemas.microsoft.com/office/drawing/2014/main" id="{8611AA05-D081-4D0E-8C64-14DD8E8DEB69}"/>
                </a:ext>
              </a:extLst>
            </xdr:cNvPr>
            <xdr:cNvSpPr txBox="1"/>
          </xdr:nvSpPr>
          <xdr:spPr>
            <a:xfrm>
              <a:off x="2095500" y="41040326"/>
              <a:ext cx="638700"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𝑇=𝑇_𝑝𝑠+𝑇_𝑠</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214</xdr:row>
      <xdr:rowOff>124236</xdr:rowOff>
    </xdr:from>
    <xdr:ext cx="644407" cy="14940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327B9724-D64A-43B4-A462-F146AC5F870D}"/>
                </a:ext>
              </a:extLst>
            </xdr:cNvPr>
            <xdr:cNvSpPr txBox="1"/>
          </xdr:nvSpPr>
          <xdr:spPr>
            <a:xfrm>
              <a:off x="2286000" y="32716301"/>
              <a:ext cx="644407"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𝐴</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2" name="TextBox 21">
              <a:extLst>
                <a:ext uri="{FF2B5EF4-FFF2-40B4-BE49-F238E27FC236}">
                  <a16:creationId xmlns:a16="http://schemas.microsoft.com/office/drawing/2014/main" id="{327B9724-D64A-43B4-A462-F146AC5F870D}"/>
                </a:ext>
              </a:extLst>
            </xdr:cNvPr>
            <xdr:cNvSpPr txBox="1"/>
          </xdr:nvSpPr>
          <xdr:spPr>
            <a:xfrm>
              <a:off x="2286000" y="32716301"/>
              <a:ext cx="644407"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𝑇_𝑝𝑠=𝐴_𝑝𝑠 𝑓_𝑝𝑠</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13</xdr:col>
      <xdr:colOff>0</xdr:colOff>
      <xdr:row>216</xdr:row>
      <xdr:rowOff>37270</xdr:rowOff>
    </xdr:from>
    <xdr:ext cx="1037784" cy="313740"/>
    <mc:AlternateContent xmlns:mc="http://schemas.openxmlformats.org/markup-compatibility/2006" xmlns:a14="http://schemas.microsoft.com/office/drawing/2010/main">
      <mc:Choice Requires="a14">
        <xdr:sp macro="" textlink="">
          <xdr:nvSpPr>
            <xdr:cNvPr id="23" name="TextBox 6">
              <a:extLst>
                <a:ext uri="{FF2B5EF4-FFF2-40B4-BE49-F238E27FC236}">
                  <a16:creationId xmlns:a16="http://schemas.microsoft.com/office/drawing/2014/main" id="{8E28895D-0175-4245-AFD0-3EB3A69CCD8C}"/>
                </a:ext>
              </a:extLst>
            </xdr:cNvPr>
            <xdr:cNvSpPr txBox="1"/>
          </xdr:nvSpPr>
          <xdr:spPr>
            <a:xfrm>
              <a:off x="2476500" y="33010335"/>
              <a:ext cx="1037784"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𝑝𝑢</m:t>
                        </m:r>
                      </m:sub>
                    </m:sSub>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𝑘</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num>
                          <m:den>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m:t>
                                </m:r>
                              </m:sub>
                            </m:sSub>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3" name="TextBox 6">
              <a:extLst>
                <a:ext uri="{FF2B5EF4-FFF2-40B4-BE49-F238E27FC236}">
                  <a16:creationId xmlns:a16="http://schemas.microsoft.com/office/drawing/2014/main" id="{8E28895D-0175-4245-AFD0-3EB3A69CCD8C}"/>
                </a:ext>
              </a:extLst>
            </xdr:cNvPr>
            <xdr:cNvSpPr txBox="1"/>
          </xdr:nvSpPr>
          <xdr:spPr>
            <a:xfrm>
              <a:off x="2476500" y="33010335"/>
              <a:ext cx="1037784"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𝑓_𝑝𝑠=𝑓_𝑝𝑢 (1−𝑘 𝑐/𝑑_𝑝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14</xdr:col>
      <xdr:colOff>0</xdr:colOff>
      <xdr:row>218</xdr:row>
      <xdr:rowOff>82823</xdr:rowOff>
    </xdr:from>
    <xdr:ext cx="966996" cy="313740"/>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9A73A9B7-6311-4A70-A5A5-601547F6110D}"/>
                </a:ext>
              </a:extLst>
            </xdr:cNvPr>
            <xdr:cNvSpPr txBox="1"/>
          </xdr:nvSpPr>
          <xdr:spPr>
            <a:xfrm>
              <a:off x="2667000" y="33436888"/>
              <a:ext cx="966996"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𝑘</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1.04−</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𝑝𝑦</m:t>
                                </m:r>
                              </m:sub>
                            </m:sSub>
                          </m:num>
                          <m:den>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𝑝𝑢</m:t>
                                </m:r>
                              </m:sub>
                            </m:sSub>
                          </m:den>
                        </m:f>
                      </m:e>
                    </m:d>
                  </m:oMath>
                </m:oMathPara>
              </a14:m>
              <a:endParaRPr kumimoji="0" lang="en-US" sz="900" b="0" i="1"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4" name="TextBox 23">
              <a:extLst>
                <a:ext uri="{FF2B5EF4-FFF2-40B4-BE49-F238E27FC236}">
                  <a16:creationId xmlns:a16="http://schemas.microsoft.com/office/drawing/2014/main" id="{9A73A9B7-6311-4A70-A5A5-601547F6110D}"/>
                </a:ext>
              </a:extLst>
            </xdr:cNvPr>
            <xdr:cNvSpPr txBox="1"/>
          </xdr:nvSpPr>
          <xdr:spPr>
            <a:xfrm>
              <a:off x="2667000" y="33436888"/>
              <a:ext cx="966996"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𝑘=2(1.04−𝑓_𝑝𝑦/𝑓_𝑝𝑢 )</a:t>
              </a:r>
              <a:endParaRPr kumimoji="0" lang="en-US" sz="900" b="0" i="1"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220</xdr:row>
      <xdr:rowOff>114685</xdr:rowOff>
    </xdr:from>
    <xdr:ext cx="485325" cy="140872"/>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C57C5258-2E85-4BDE-AEF6-20B3D7CBDABE}"/>
                </a:ext>
              </a:extLst>
            </xdr:cNvPr>
            <xdr:cNvSpPr txBox="1"/>
          </xdr:nvSpPr>
          <xdr:spPr>
            <a:xfrm>
              <a:off x="2286000" y="33849750"/>
              <a:ext cx="48532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𝐴</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5" name="TextBox 24">
              <a:extLst>
                <a:ext uri="{FF2B5EF4-FFF2-40B4-BE49-F238E27FC236}">
                  <a16:creationId xmlns:a16="http://schemas.microsoft.com/office/drawing/2014/main" id="{C57C5258-2E85-4BDE-AEF6-20B3D7CBDABE}"/>
                </a:ext>
              </a:extLst>
            </xdr:cNvPr>
            <xdr:cNvSpPr txBox="1"/>
          </xdr:nvSpPr>
          <xdr:spPr>
            <a:xfrm>
              <a:off x="2286000" y="33849750"/>
              <a:ext cx="48532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𝑇_𝑠=𝐴_𝑠 𝑓_𝑠</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13</xdr:col>
      <xdr:colOff>0</xdr:colOff>
      <xdr:row>222</xdr:row>
      <xdr:rowOff>73270</xdr:rowOff>
    </xdr:from>
    <xdr:ext cx="727315" cy="149656"/>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D04DC72A-8BB2-4444-82F1-B2DC7E8716D2}"/>
                </a:ext>
              </a:extLst>
            </xdr:cNvPr>
            <xdr:cNvSpPr txBox="1"/>
          </xdr:nvSpPr>
          <xdr:spPr>
            <a:xfrm>
              <a:off x="2476500" y="42466847"/>
              <a:ext cx="727315" cy="14965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𝐸</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𝑦</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6" name="TextBox 25">
              <a:extLst>
                <a:ext uri="{FF2B5EF4-FFF2-40B4-BE49-F238E27FC236}">
                  <a16:creationId xmlns:a16="http://schemas.microsoft.com/office/drawing/2014/main" id="{D04DC72A-8BB2-4444-82F1-B2DC7E8716D2}"/>
                </a:ext>
              </a:extLst>
            </xdr:cNvPr>
            <xdr:cNvSpPr txBox="1"/>
          </xdr:nvSpPr>
          <xdr:spPr>
            <a:xfrm>
              <a:off x="2476500" y="42466847"/>
              <a:ext cx="727315" cy="14965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𝑓_𝑠=𝐸_𝑠 𝜀_𝑠≤𝑓_𝑦</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14</xdr:col>
      <xdr:colOff>0</xdr:colOff>
      <xdr:row>224</xdr:row>
      <xdr:rowOff>3448</xdr:rowOff>
    </xdr:from>
    <xdr:ext cx="876329" cy="311239"/>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5A02E1CE-CFF2-4C76-9FC5-82B231B6D6E7}"/>
                </a:ext>
              </a:extLst>
            </xdr:cNvPr>
            <xdr:cNvSpPr txBox="1"/>
          </xdr:nvSpPr>
          <xdr:spPr>
            <a:xfrm>
              <a:off x="2667000" y="34506360"/>
              <a:ext cx="876329"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𝑐𝑙</m:t>
                        </m:r>
                      </m:sub>
                    </m:sSub>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7" name="TextBox 26">
              <a:extLst>
                <a:ext uri="{FF2B5EF4-FFF2-40B4-BE49-F238E27FC236}">
                  <a16:creationId xmlns:a16="http://schemas.microsoft.com/office/drawing/2014/main" id="{5A02E1CE-CFF2-4C76-9FC5-82B231B6D6E7}"/>
                </a:ext>
              </a:extLst>
            </xdr:cNvPr>
            <xdr:cNvSpPr txBox="1"/>
          </xdr:nvSpPr>
          <xdr:spPr>
            <a:xfrm>
              <a:off x="2667000" y="34506360"/>
              <a:ext cx="876329"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𝜀_𝑠=𝜀_𝑐𝑙 ((𝑑_𝑠−𝑐)/𝑐)</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208</xdr:row>
      <xdr:rowOff>162310</xdr:rowOff>
    </xdr:from>
    <xdr:ext cx="1387879" cy="31502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E29574B-75C5-4EC8-B3C4-F729F0FA1886}"/>
                </a:ext>
              </a:extLst>
            </xdr:cNvPr>
            <xdr:cNvSpPr txBox="1"/>
          </xdr:nvSpPr>
          <xdr:spPr>
            <a:xfrm>
              <a:off x="2286000" y="31613860"/>
              <a:ext cx="1387879" cy="31502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𝛼</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sSubSup>
                      <m:sSubSup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Sup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sub>
                      <m:sup>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up>
                    </m:sSubSup>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𝑏</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MAX</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type m:val="noBar"/>
                            <m:ctrlPr>
                              <a:rPr lang="en-US" sz="900" b="0" i="1" baseline="0">
                                <a:effectLst/>
                                <a:latin typeface="Cambria Math" panose="02040503050406030204" pitchFamily="18" charset="0"/>
                                <a:ea typeface="+mn-ea"/>
                                <a:cs typeface="+mn-cs"/>
                              </a:rPr>
                            </m:ctrlPr>
                          </m:fPr>
                          <m:num>
                            <m:r>
                              <a:rPr lang="en-US" sz="900" b="0" i="1" baseline="0">
                                <a:effectLst/>
                                <a:latin typeface="Cambria Math" panose="02040503050406030204" pitchFamily="18" charset="0"/>
                                <a:ea typeface="+mn-ea"/>
                                <a:cs typeface="+mn-cs"/>
                              </a:rPr>
                              <m:t>0</m:t>
                            </m:r>
                          </m:num>
                          <m:den>
                            <m:r>
                              <a:rPr lang="en-US" sz="900" b="0" i="1" baseline="0">
                                <a:effectLst/>
                                <a:latin typeface="Cambria Math" panose="02040503050406030204" pitchFamily="18" charset="0"/>
                                <a:ea typeface="+mn-ea"/>
                                <a:cs typeface="+mn-cs"/>
                              </a:rPr>
                              <m:t>𝑎</m:t>
                            </m:r>
                            <m:r>
                              <a:rPr lang="en-US" sz="900" b="0" i="1" baseline="0">
                                <a:effectLst/>
                                <a:latin typeface="Cambria Math" panose="02040503050406030204" pitchFamily="18" charset="0"/>
                                <a:ea typeface="+mn-ea"/>
                                <a:cs typeface="+mn-cs"/>
                              </a:rPr>
                              <m:t>−</m:t>
                            </m:r>
                            <m:sSub>
                              <m:sSubPr>
                                <m:ctrlPr>
                                  <a:rPr lang="en-US" sz="900" b="0" i="1" baseline="0">
                                    <a:effectLst/>
                                    <a:latin typeface="Cambria Math" panose="02040503050406030204" pitchFamily="18" charset="0"/>
                                    <a:ea typeface="+mn-ea"/>
                                    <a:cs typeface="+mn-cs"/>
                                  </a:rPr>
                                </m:ctrlPr>
                              </m:sSubPr>
                              <m:e>
                                <m:r>
                                  <a:rPr lang="en-US" sz="900" b="0" i="1" baseline="0">
                                    <a:effectLst/>
                                    <a:latin typeface="Cambria Math" panose="02040503050406030204" pitchFamily="18" charset="0"/>
                                    <a:ea typeface="+mn-ea"/>
                                    <a:cs typeface="+mn-cs"/>
                                  </a:rPr>
                                  <m:t>h</m:t>
                                </m:r>
                              </m:e>
                              <m:sub>
                                <m:r>
                                  <a:rPr lang="en-US" sz="900" b="0" i="1" baseline="0">
                                    <a:effectLst/>
                                    <a:latin typeface="Cambria Math" panose="02040503050406030204" pitchFamily="18" charset="0"/>
                                    <a:ea typeface="+mn-ea"/>
                                    <a:cs typeface="+mn-cs"/>
                                  </a:rPr>
                                  <m:t>𝑓</m:t>
                                </m:r>
                              </m:sub>
                            </m:sSub>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4" name="TextBox 3">
              <a:extLst>
                <a:ext uri="{FF2B5EF4-FFF2-40B4-BE49-F238E27FC236}">
                  <a16:creationId xmlns:a16="http://schemas.microsoft.com/office/drawing/2014/main" id="{CE29574B-75C5-4EC8-B3C4-F729F0FA1886}"/>
                </a:ext>
              </a:extLst>
            </xdr:cNvPr>
            <xdr:cNvSpPr txBox="1"/>
          </xdr:nvSpPr>
          <xdr:spPr>
            <a:xfrm>
              <a:off x="2286000" y="31613860"/>
              <a:ext cx="1387879" cy="31502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𝐶_𝑤=𝛼_1 𝑓_𝑐^′ 𝑏_𝑤  MAX{</a:t>
              </a:r>
              <a:r>
                <a:rPr lang="en-US" sz="900" b="0" i="0" baseline="0">
                  <a:effectLst/>
                  <a:latin typeface="Cambria Math" panose="02040503050406030204" pitchFamily="18" charset="0"/>
                  <a:ea typeface="+mn-ea"/>
                  <a:cs typeface="+mn-cs"/>
                </a:rPr>
                <a:t>0¦(𝑎−ℎ_𝑓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13</xdr:col>
      <xdr:colOff>0</xdr:colOff>
      <xdr:row>211</xdr:row>
      <xdr:rowOff>47625</xdr:rowOff>
    </xdr:from>
    <xdr:ext cx="413831" cy="140872"/>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FE14D8A1-5E74-474F-A86D-7ADDF6030560}"/>
                </a:ext>
              </a:extLst>
            </xdr:cNvPr>
            <xdr:cNvSpPr txBox="1"/>
          </xdr:nvSpPr>
          <xdr:spPr>
            <a:xfrm>
              <a:off x="2476500" y="32070675"/>
              <a:ext cx="413831"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𝑎</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𝛽</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8" name="TextBox 27">
              <a:extLst>
                <a:ext uri="{FF2B5EF4-FFF2-40B4-BE49-F238E27FC236}">
                  <a16:creationId xmlns:a16="http://schemas.microsoft.com/office/drawing/2014/main" id="{FE14D8A1-5E74-474F-A86D-7ADDF6030560}"/>
                </a:ext>
              </a:extLst>
            </xdr:cNvPr>
            <xdr:cNvSpPr txBox="1"/>
          </xdr:nvSpPr>
          <xdr:spPr>
            <a:xfrm>
              <a:off x="2476500" y="32070675"/>
              <a:ext cx="413831"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𝑎=𝛽_1 𝑐</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twoCellAnchor editAs="oneCell">
    <xdr:from>
      <xdr:col>45</xdr:col>
      <xdr:colOff>0</xdr:colOff>
      <xdr:row>205</xdr:row>
      <xdr:rowOff>17808</xdr:rowOff>
    </xdr:from>
    <xdr:to>
      <xdr:col>68</xdr:col>
      <xdr:colOff>19050</xdr:colOff>
      <xdr:row>215</xdr:row>
      <xdr:rowOff>135669</xdr:rowOff>
    </xdr:to>
    <xdr:grpSp>
      <xdr:nvGrpSpPr>
        <xdr:cNvPr id="1103" name="Group 1102">
          <a:extLst>
            <a:ext uri="{FF2B5EF4-FFF2-40B4-BE49-F238E27FC236}">
              <a16:creationId xmlns:a16="http://schemas.microsoft.com/office/drawing/2014/main" id="{94536B30-7E35-49CF-9EF3-1E85A8C3B515}"/>
            </a:ext>
          </a:extLst>
        </xdr:cNvPr>
        <xdr:cNvGrpSpPr/>
      </xdr:nvGrpSpPr>
      <xdr:grpSpPr>
        <a:xfrm>
          <a:off x="8199783" y="39086873"/>
          <a:ext cx="4210050" cy="2022861"/>
          <a:chOff x="8572500" y="29648305"/>
          <a:chExt cx="4572000" cy="2286000"/>
        </a:xfrm>
      </xdr:grpSpPr>
      <xdr:pic>
        <xdr:nvPicPr>
          <xdr:cNvPr id="1104" name="Picture 1103">
            <a:extLst>
              <a:ext uri="{FF2B5EF4-FFF2-40B4-BE49-F238E27FC236}">
                <a16:creationId xmlns:a16="http://schemas.microsoft.com/office/drawing/2014/main" id="{CD567890-300C-9A2C-8C5F-C0D3EFB72CC9}"/>
              </a:ext>
            </a:extLst>
          </xdr:cNvPr>
          <xdr:cNvPicPr>
            <a:picLocks/>
          </xdr:cNvPicPr>
        </xdr:nvPicPr>
        <xdr:blipFill>
          <a:blip xmlns:r="http://schemas.openxmlformats.org/officeDocument/2006/relationships" r:embed="rId3"/>
          <a:stretch>
            <a:fillRect/>
          </a:stretch>
        </xdr:blipFill>
        <xdr:spPr>
          <a:xfrm>
            <a:off x="8572500" y="29648305"/>
            <a:ext cx="4572000" cy="2286000"/>
          </a:xfrm>
          <a:prstGeom prst="rect">
            <a:avLst/>
          </a:prstGeom>
          <a:ln w="12700">
            <a:solidFill>
              <a:schemeClr val="bg1">
                <a:lumMod val="85000"/>
              </a:schemeClr>
            </a:solidFill>
          </a:ln>
        </xdr:spPr>
      </xdr:pic>
      <xdr:sp macro="" textlink="">
        <xdr:nvSpPr>
          <xdr:cNvPr id="1105" name="TextBox 1104">
            <a:extLst>
              <a:ext uri="{FF2B5EF4-FFF2-40B4-BE49-F238E27FC236}">
                <a16:creationId xmlns:a16="http://schemas.microsoft.com/office/drawing/2014/main" id="{83B8B9CA-1373-8D59-EA27-615F96256611}"/>
              </a:ext>
            </a:extLst>
          </xdr:cNvPr>
          <xdr:cNvSpPr txBox="1"/>
        </xdr:nvSpPr>
        <xdr:spPr>
          <a:xfrm>
            <a:off x="10859234" y="29685122"/>
            <a:ext cx="363141" cy="275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Cl</a:t>
            </a:r>
            <a:endParaRPr lang="en-US" sz="900"/>
          </a:p>
        </xdr:txBody>
      </xdr:sp>
      <xdr:sp macro="" textlink="">
        <xdr:nvSpPr>
          <xdr:cNvPr id="1106" name="TextBox 1105">
            <a:extLst>
              <a:ext uri="{FF2B5EF4-FFF2-40B4-BE49-F238E27FC236}">
                <a16:creationId xmlns:a16="http://schemas.microsoft.com/office/drawing/2014/main" id="{CEF14882-54B2-FD60-1961-0C7F7AAF0E0C}"/>
              </a:ext>
            </a:extLst>
          </xdr:cNvPr>
          <xdr:cNvSpPr txBox="1"/>
        </xdr:nvSpPr>
        <xdr:spPr>
          <a:xfrm>
            <a:off x="11931868" y="31224831"/>
            <a:ext cx="363141" cy="2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t2</a:t>
            </a:r>
            <a:endParaRPr lang="en-US" sz="900"/>
          </a:p>
        </xdr:txBody>
      </xdr:sp>
      <xdr:sp macro="" textlink="">
        <xdr:nvSpPr>
          <xdr:cNvPr id="1107" name="TextBox 1106">
            <a:extLst>
              <a:ext uri="{FF2B5EF4-FFF2-40B4-BE49-F238E27FC236}">
                <a16:creationId xmlns:a16="http://schemas.microsoft.com/office/drawing/2014/main" id="{197350CC-B11B-D147-9906-6D2DA2EDA54B}"/>
              </a:ext>
            </a:extLst>
          </xdr:cNvPr>
          <xdr:cNvSpPr txBox="1"/>
        </xdr:nvSpPr>
        <xdr:spPr>
          <a:xfrm>
            <a:off x="12684282" y="30459933"/>
            <a:ext cx="363141" cy="277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d</a:t>
            </a:r>
            <a:r>
              <a:rPr lang="en-US" sz="900" i="1" baseline="-25000">
                <a:latin typeface="Calibri" panose="020F0502020204030204" pitchFamily="34" charset="0"/>
                <a:ea typeface="Calibri" panose="020F0502020204030204" pitchFamily="34" charset="0"/>
                <a:cs typeface="Calibri" panose="020F0502020204030204" pitchFamily="34" charset="0"/>
              </a:rPr>
              <a:t>p</a:t>
            </a:r>
            <a:endParaRPr lang="en-US" sz="900"/>
          </a:p>
        </xdr:txBody>
      </xdr:sp>
      <xdr:sp macro="" textlink="">
        <xdr:nvSpPr>
          <xdr:cNvPr id="1108" name="TextBox 1107">
            <a:extLst>
              <a:ext uri="{FF2B5EF4-FFF2-40B4-BE49-F238E27FC236}">
                <a16:creationId xmlns:a16="http://schemas.microsoft.com/office/drawing/2014/main" id="{D5B3502B-DC6E-607D-E917-5302B90918D5}"/>
              </a:ext>
            </a:extLst>
          </xdr:cNvPr>
          <xdr:cNvSpPr txBox="1"/>
        </xdr:nvSpPr>
        <xdr:spPr>
          <a:xfrm>
            <a:off x="10613684" y="30074603"/>
            <a:ext cx="363141" cy="275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c</a:t>
            </a:r>
            <a:endParaRPr lang="en-US" sz="900" i="1"/>
          </a:p>
        </xdr:txBody>
      </xdr:sp>
      <xdr:sp macro="" textlink="">
        <xdr:nvSpPr>
          <xdr:cNvPr id="1109" name="TextBox 1108">
            <a:extLst>
              <a:ext uri="{FF2B5EF4-FFF2-40B4-BE49-F238E27FC236}">
                <a16:creationId xmlns:a16="http://schemas.microsoft.com/office/drawing/2014/main" id="{730CD6C7-3CCF-1D56-27D9-82308FFDABBC}"/>
              </a:ext>
            </a:extLst>
          </xdr:cNvPr>
          <xdr:cNvSpPr txBox="1"/>
        </xdr:nvSpPr>
        <xdr:spPr>
          <a:xfrm>
            <a:off x="10450399" y="30664940"/>
            <a:ext cx="489856" cy="27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d</a:t>
            </a:r>
            <a:r>
              <a:rPr lang="en-US" sz="900" i="1" baseline="-25000">
                <a:latin typeface="Calibri" panose="020F0502020204030204" pitchFamily="34" charset="0"/>
                <a:ea typeface="Calibri" panose="020F0502020204030204" pitchFamily="34" charset="0"/>
                <a:cs typeface="Calibri" panose="020F0502020204030204" pitchFamily="34" charset="0"/>
              </a:rPr>
              <a:t>e</a:t>
            </a:r>
            <a:r>
              <a:rPr lang="en-US" sz="900" i="0" baseline="0">
                <a:latin typeface="Calibri" panose="020F0502020204030204" pitchFamily="34" charset="0"/>
                <a:ea typeface="Calibri" panose="020F0502020204030204" pitchFamily="34" charset="0"/>
                <a:cs typeface="Calibri" panose="020F0502020204030204" pitchFamily="34" charset="0"/>
              </a:rPr>
              <a:t> - </a:t>
            </a:r>
            <a:r>
              <a:rPr lang="en-US" sz="900" i="1" baseline="0">
                <a:latin typeface="Calibri" panose="020F0502020204030204" pitchFamily="34" charset="0"/>
                <a:ea typeface="Calibri" panose="020F0502020204030204" pitchFamily="34" charset="0"/>
                <a:cs typeface="Calibri" panose="020F0502020204030204" pitchFamily="34" charset="0"/>
              </a:rPr>
              <a:t>c</a:t>
            </a:r>
            <a:endParaRPr lang="en-US" sz="900"/>
          </a:p>
        </xdr:txBody>
      </xdr:sp>
      <xdr:sp macro="" textlink="">
        <xdr:nvSpPr>
          <xdr:cNvPr id="1110" name="TextBox 1109">
            <a:extLst>
              <a:ext uri="{FF2B5EF4-FFF2-40B4-BE49-F238E27FC236}">
                <a16:creationId xmlns:a16="http://schemas.microsoft.com/office/drawing/2014/main" id="{CFE4659E-C6D0-3D52-EC15-4832957F2896}"/>
              </a:ext>
            </a:extLst>
          </xdr:cNvPr>
          <xdr:cNvSpPr txBox="1"/>
        </xdr:nvSpPr>
        <xdr:spPr>
          <a:xfrm>
            <a:off x="11806415" y="31475733"/>
            <a:ext cx="363141" cy="2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t</a:t>
            </a:r>
            <a:endParaRPr lang="en-US" sz="900"/>
          </a:p>
        </xdr:txBody>
      </xdr:sp>
      <xdr:sp macro="" textlink="">
        <xdr:nvSpPr>
          <xdr:cNvPr id="1111" name="TextBox 1110">
            <a:extLst>
              <a:ext uri="{FF2B5EF4-FFF2-40B4-BE49-F238E27FC236}">
                <a16:creationId xmlns:a16="http://schemas.microsoft.com/office/drawing/2014/main" id="{C6964307-4EAB-BD02-3D25-D06AA887E9D8}"/>
              </a:ext>
            </a:extLst>
          </xdr:cNvPr>
          <xdr:cNvSpPr txBox="1"/>
        </xdr:nvSpPr>
        <xdr:spPr>
          <a:xfrm>
            <a:off x="12248632" y="30808043"/>
            <a:ext cx="363141" cy="275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s</a:t>
            </a:r>
            <a:endParaRPr lang="en-US" sz="900"/>
          </a:p>
        </xdr:txBody>
      </xdr:sp>
      <xdr:sp macro="" textlink="">
        <xdr:nvSpPr>
          <xdr:cNvPr id="1112" name="TextBox 1111">
            <a:extLst>
              <a:ext uri="{FF2B5EF4-FFF2-40B4-BE49-F238E27FC236}">
                <a16:creationId xmlns:a16="http://schemas.microsoft.com/office/drawing/2014/main" id="{A3C3A9E6-57C3-BCE5-2E7B-7707ED1DB207}"/>
              </a:ext>
            </a:extLst>
          </xdr:cNvPr>
          <xdr:cNvSpPr txBox="1"/>
        </xdr:nvSpPr>
        <xdr:spPr>
          <a:xfrm>
            <a:off x="12473984" y="30367007"/>
            <a:ext cx="363141" cy="277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d</a:t>
            </a:r>
            <a:r>
              <a:rPr lang="en-US" sz="900" i="1" baseline="-25000">
                <a:latin typeface="Calibri" panose="020F0502020204030204" pitchFamily="34" charset="0"/>
                <a:ea typeface="Calibri" panose="020F0502020204030204" pitchFamily="34" charset="0"/>
                <a:cs typeface="Calibri" panose="020F0502020204030204" pitchFamily="34" charset="0"/>
              </a:rPr>
              <a:t>s</a:t>
            </a:r>
            <a:endParaRPr lang="en-US" sz="900"/>
          </a:p>
        </xdr:txBody>
      </xdr:sp>
      <xdr:sp macro="" textlink="">
        <xdr:nvSpPr>
          <xdr:cNvPr id="1113" name="TextBox 1112">
            <a:extLst>
              <a:ext uri="{FF2B5EF4-FFF2-40B4-BE49-F238E27FC236}">
                <a16:creationId xmlns:a16="http://schemas.microsoft.com/office/drawing/2014/main" id="{F3119D10-E2CD-1C84-B301-DF1BA8228D8C}"/>
              </a:ext>
            </a:extLst>
          </xdr:cNvPr>
          <xdr:cNvSpPr txBox="1"/>
        </xdr:nvSpPr>
        <xdr:spPr>
          <a:xfrm>
            <a:off x="11309258" y="31224831"/>
            <a:ext cx="363141" cy="2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t1</a:t>
            </a:r>
            <a:endParaRPr lang="en-US" sz="900"/>
          </a:p>
        </xdr:txBody>
      </xdr:sp>
    </xdr:grpSp>
    <xdr:clientData/>
  </xdr:twoCellAnchor>
  <xdr:twoCellAnchor>
    <xdr:from>
      <xdr:col>3</xdr:col>
      <xdr:colOff>0</xdr:colOff>
      <xdr:row>823</xdr:row>
      <xdr:rowOff>0</xdr:rowOff>
    </xdr:from>
    <xdr:to>
      <xdr:col>69</xdr:col>
      <xdr:colOff>0</xdr:colOff>
      <xdr:row>841</xdr:row>
      <xdr:rowOff>0</xdr:rowOff>
    </xdr:to>
    <xdr:graphicFrame macro="">
      <xdr:nvGraphicFramePr>
        <xdr:cNvPr id="1116" name="Chart 1115">
          <a:extLst>
            <a:ext uri="{FF2B5EF4-FFF2-40B4-BE49-F238E27FC236}">
              <a16:creationId xmlns:a16="http://schemas.microsoft.com/office/drawing/2014/main" id="{A27DA1CD-032C-47D2-BB92-91D46BCC645D}"/>
            </a:ext>
            <a:ext uri="{147F2762-F138-4A5C-976F-8EAC2B608ADB}">
              <a16:predDERef xmlns:a16="http://schemas.microsoft.com/office/drawing/2014/main" pred="{B85CFBA5-E78E-46D2-8D2C-A8FA25A4D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62B-55BD-4D58-8979-575F276B97FE}">
  <sheetPr>
    <tabColor rgb="FFFF0000"/>
  </sheetPr>
  <dimension ref="A1:B5"/>
  <sheetViews>
    <sheetView workbookViewId="0">
      <selection activeCell="C36" sqref="C36"/>
    </sheetView>
  </sheetViews>
  <sheetFormatPr defaultRowHeight="15" x14ac:dyDescent="0.25"/>
  <sheetData>
    <row r="1" spans="1:2" x14ac:dyDescent="0.25">
      <c r="A1" t="s">
        <v>166</v>
      </c>
    </row>
    <row r="2" spans="1:2" x14ac:dyDescent="0.25">
      <c r="A2" s="74">
        <v>1</v>
      </c>
      <c r="B2" t="s">
        <v>86</v>
      </c>
    </row>
    <row r="3" spans="1:2" x14ac:dyDescent="0.25">
      <c r="A3" s="74">
        <v>2</v>
      </c>
      <c r="B3" t="s">
        <v>163</v>
      </c>
    </row>
    <row r="4" spans="1:2" x14ac:dyDescent="0.25">
      <c r="A4" s="74">
        <v>3</v>
      </c>
      <c r="B4" t="s">
        <v>164</v>
      </c>
    </row>
    <row r="5" spans="1:2" x14ac:dyDescent="0.25">
      <c r="A5" s="74">
        <v>4</v>
      </c>
      <c r="B5" t="s">
        <v>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851-C7F0-4552-B463-A3B5AE06A237}">
  <sheetPr>
    <tabColor rgb="FFC00000"/>
  </sheetPr>
  <dimension ref="A1:N124"/>
  <sheetViews>
    <sheetView tabSelected="1" topLeftCell="A7" workbookViewId="0">
      <selection activeCell="G27" sqref="G27"/>
    </sheetView>
  </sheetViews>
  <sheetFormatPr defaultColWidth="29.5703125" defaultRowHeight="15" x14ac:dyDescent="0.25"/>
  <cols>
    <col min="1" max="1" width="63.85546875" customWidth="1"/>
    <col min="2" max="2" width="16.140625" customWidth="1"/>
    <col min="3" max="3" width="11.7109375" customWidth="1"/>
    <col min="4" max="13" width="8.85546875" customWidth="1"/>
    <col min="14" max="14" width="9" customWidth="1"/>
  </cols>
  <sheetData>
    <row r="1" spans="1:9" x14ac:dyDescent="0.25">
      <c r="A1" s="11" t="s">
        <v>0</v>
      </c>
      <c r="B1" s="33">
        <v>270</v>
      </c>
      <c r="C1" s="14" t="s">
        <v>1</v>
      </c>
      <c r="F1" s="156" t="s">
        <v>365</v>
      </c>
      <c r="G1" s="156"/>
      <c r="H1" s="156"/>
      <c r="I1" s="149" t="s">
        <v>366</v>
      </c>
    </row>
    <row r="2" spans="1:9" x14ac:dyDescent="0.25">
      <c r="A2" s="11" t="s">
        <v>198</v>
      </c>
      <c r="B2" s="33">
        <v>233</v>
      </c>
      <c r="C2" s="14" t="s">
        <v>1</v>
      </c>
    </row>
    <row r="3" spans="1:9" x14ac:dyDescent="0.25">
      <c r="A3" s="11" t="s">
        <v>2</v>
      </c>
      <c r="B3" s="33">
        <v>243</v>
      </c>
      <c r="C3" s="14" t="s">
        <v>1</v>
      </c>
    </row>
    <row r="4" spans="1:9" x14ac:dyDescent="0.25">
      <c r="A4" s="11" t="s">
        <v>3</v>
      </c>
      <c r="B4" s="81">
        <v>5</v>
      </c>
      <c r="C4" s="14" t="s">
        <v>1</v>
      </c>
    </row>
    <row r="5" spans="1:9" x14ac:dyDescent="0.25">
      <c r="A5" s="108" t="s">
        <v>280</v>
      </c>
      <c r="B5" s="112">
        <v>60</v>
      </c>
      <c r="C5" s="14" t="s">
        <v>1</v>
      </c>
    </row>
    <row r="6" spans="1:9" ht="18" x14ac:dyDescent="0.25">
      <c r="A6" s="111" t="s">
        <v>204</v>
      </c>
      <c r="B6" s="109">
        <v>29000</v>
      </c>
      <c r="C6" s="110" t="s">
        <v>1</v>
      </c>
      <c r="D6" s="82"/>
      <c r="E6" s="82"/>
      <c r="F6" s="82"/>
      <c r="G6" s="82"/>
    </row>
    <row r="7" spans="1:9" ht="18" x14ac:dyDescent="0.25">
      <c r="A7" s="111" t="s">
        <v>360</v>
      </c>
      <c r="B7" s="84">
        <v>28500</v>
      </c>
      <c r="C7" s="85" t="s">
        <v>1</v>
      </c>
      <c r="D7" s="82"/>
      <c r="E7" s="82"/>
      <c r="F7" s="82"/>
      <c r="G7" s="82"/>
    </row>
    <row r="8" spans="1:9" x14ac:dyDescent="0.25">
      <c r="A8" s="76" t="s">
        <v>178</v>
      </c>
      <c r="B8" s="83">
        <v>8</v>
      </c>
      <c r="C8" s="14" t="s">
        <v>19</v>
      </c>
    </row>
    <row r="9" spans="1:9" x14ac:dyDescent="0.25">
      <c r="A9" s="76" t="s">
        <v>179</v>
      </c>
      <c r="B9" s="83">
        <v>3.5</v>
      </c>
      <c r="C9" s="14" t="s">
        <v>19</v>
      </c>
    </row>
    <row r="10" spans="1:9" x14ac:dyDescent="0.25">
      <c r="A10" s="76" t="s">
        <v>316</v>
      </c>
      <c r="B10" s="83">
        <v>100</v>
      </c>
      <c r="C10" s="14" t="s">
        <v>4</v>
      </c>
    </row>
    <row r="11" spans="1:9" x14ac:dyDescent="0.25">
      <c r="A11" s="76" t="s">
        <v>173</v>
      </c>
      <c r="B11" s="83" t="s">
        <v>202</v>
      </c>
      <c r="C11" s="14"/>
    </row>
    <row r="12" spans="1:9" ht="27" customHeight="1" x14ac:dyDescent="0.25">
      <c r="A12" s="75" t="s">
        <v>5</v>
      </c>
      <c r="B12" s="113" t="s">
        <v>6</v>
      </c>
      <c r="C12" s="14"/>
    </row>
    <row r="13" spans="1:9" x14ac:dyDescent="0.25">
      <c r="A13" s="12" t="s">
        <v>7</v>
      </c>
      <c r="B13" s="34">
        <v>405845</v>
      </c>
      <c r="C13" s="14"/>
    </row>
    <row r="14" spans="1:9" x14ac:dyDescent="0.25">
      <c r="A14" s="12" t="s">
        <v>8</v>
      </c>
      <c r="B14" s="13" t="s">
        <v>104</v>
      </c>
      <c r="C14" s="12"/>
    </row>
    <row r="15" spans="1:9" x14ac:dyDescent="0.25">
      <c r="A15" s="12" t="s">
        <v>9</v>
      </c>
      <c r="B15" s="13" t="s">
        <v>10</v>
      </c>
      <c r="C15" s="12"/>
    </row>
    <row r="16" spans="1:9" x14ac:dyDescent="0.25">
      <c r="A16" s="12" t="s">
        <v>11</v>
      </c>
      <c r="B16" s="35">
        <v>46006</v>
      </c>
      <c r="C16" s="12"/>
    </row>
    <row r="17" spans="1:14" x14ac:dyDescent="0.25">
      <c r="A17" s="12" t="s">
        <v>12</v>
      </c>
      <c r="B17" s="13" t="s">
        <v>13</v>
      </c>
      <c r="C17" s="12"/>
    </row>
    <row r="18" spans="1:14" x14ac:dyDescent="0.25">
      <c r="A18" s="12" t="s">
        <v>14</v>
      </c>
      <c r="B18" s="35">
        <v>46009</v>
      </c>
      <c r="C18" s="12"/>
    </row>
    <row r="19" spans="1:14" x14ac:dyDescent="0.25">
      <c r="A19" s="12" t="s">
        <v>15</v>
      </c>
      <c r="B19" s="14">
        <v>1</v>
      </c>
      <c r="C19" s="12"/>
    </row>
    <row r="20" spans="1:14" x14ac:dyDescent="0.25">
      <c r="B20" s="131"/>
    </row>
    <row r="22" spans="1:14" ht="18" customHeight="1" x14ac:dyDescent="0.25">
      <c r="A22" s="150" t="s">
        <v>16</v>
      </c>
      <c r="B22" s="152" t="s">
        <v>364</v>
      </c>
      <c r="C22" s="152" t="s">
        <v>17</v>
      </c>
      <c r="D22" s="154" t="s">
        <v>282</v>
      </c>
      <c r="E22" s="160" t="s">
        <v>285</v>
      </c>
      <c r="F22" s="154" t="s">
        <v>283</v>
      </c>
      <c r="G22" s="157" t="s">
        <v>312</v>
      </c>
      <c r="H22" s="158"/>
      <c r="I22" s="158"/>
      <c r="J22" s="159"/>
      <c r="K22" s="157" t="s">
        <v>313</v>
      </c>
      <c r="L22" s="158"/>
      <c r="M22" s="158"/>
      <c r="N22" s="159"/>
    </row>
    <row r="23" spans="1:14" ht="30" customHeight="1" x14ac:dyDescent="0.25">
      <c r="A23" s="151"/>
      <c r="B23" s="153"/>
      <c r="C23" s="153"/>
      <c r="D23" s="155"/>
      <c r="E23" s="161"/>
      <c r="F23" s="155"/>
      <c r="G23" s="114" t="s">
        <v>281</v>
      </c>
      <c r="H23" s="114" t="s">
        <v>284</v>
      </c>
      <c r="I23" s="114" t="s">
        <v>286</v>
      </c>
      <c r="J23" s="130" t="s">
        <v>252</v>
      </c>
      <c r="K23" s="114" t="s">
        <v>281</v>
      </c>
      <c r="L23" s="114" t="s">
        <v>284</v>
      </c>
      <c r="M23" s="114" t="s">
        <v>286</v>
      </c>
      <c r="N23" s="114" t="s">
        <v>252</v>
      </c>
    </row>
    <row r="24" spans="1:14" ht="17.25" x14ac:dyDescent="0.25">
      <c r="A24" s="126" t="s">
        <v>18</v>
      </c>
      <c r="B24" s="127" t="s">
        <v>19</v>
      </c>
      <c r="C24" s="128" t="s">
        <v>20</v>
      </c>
      <c r="D24" s="129" t="s">
        <v>287</v>
      </c>
      <c r="E24" s="129" t="s">
        <v>4</v>
      </c>
      <c r="F24" s="129" t="s">
        <v>4</v>
      </c>
      <c r="G24" s="129" t="s">
        <v>287</v>
      </c>
      <c r="H24" s="129" t="s">
        <v>4</v>
      </c>
      <c r="I24" s="129" t="s">
        <v>4</v>
      </c>
      <c r="J24" s="129" t="s">
        <v>4</v>
      </c>
      <c r="K24" s="129" t="s">
        <v>287</v>
      </c>
      <c r="L24" s="129" t="s">
        <v>4</v>
      </c>
      <c r="M24" s="132" t="s">
        <v>4</v>
      </c>
      <c r="N24" s="129" t="s">
        <v>4</v>
      </c>
    </row>
    <row r="25" spans="1:14" x14ac:dyDescent="0.25">
      <c r="A25" s="15"/>
      <c r="B25" s="116"/>
      <c r="C25" s="125"/>
      <c r="D25" s="133"/>
      <c r="E25" s="135"/>
      <c r="F25" s="134"/>
      <c r="G25" s="133"/>
      <c r="H25" s="133"/>
      <c r="I25" s="135"/>
      <c r="J25" s="14">
        <f t="shared" ref="J25:J56" si="0">IF($B$11="Exterior",0.5*$B$8+$B$9,$B$8)*12</f>
        <v>96</v>
      </c>
      <c r="K25" s="133"/>
      <c r="L25" s="133"/>
      <c r="M25" s="135"/>
      <c r="N25" s="136"/>
    </row>
    <row r="26" spans="1:14" x14ac:dyDescent="0.25">
      <c r="A26" s="15"/>
      <c r="B26" s="116"/>
      <c r="C26" s="125"/>
      <c r="D26" s="133"/>
      <c r="E26" s="135"/>
      <c r="F26" s="134"/>
      <c r="G26" s="133"/>
      <c r="H26" s="133"/>
      <c r="I26" s="135"/>
      <c r="J26" s="14">
        <f t="shared" si="0"/>
        <v>96</v>
      </c>
      <c r="K26" s="133"/>
      <c r="L26" s="133"/>
      <c r="M26" s="135"/>
      <c r="N26" s="136"/>
    </row>
    <row r="27" spans="1:14" x14ac:dyDescent="0.25">
      <c r="A27" s="15"/>
      <c r="B27" s="116"/>
      <c r="C27" s="125"/>
      <c r="D27" s="133"/>
      <c r="E27" s="135"/>
      <c r="F27" s="134"/>
      <c r="G27" s="133"/>
      <c r="H27" s="133"/>
      <c r="I27" s="135"/>
      <c r="J27" s="14">
        <f t="shared" si="0"/>
        <v>96</v>
      </c>
      <c r="K27" s="133"/>
      <c r="L27" s="133"/>
      <c r="M27" s="135"/>
      <c r="N27" s="136"/>
    </row>
    <row r="28" spans="1:14" x14ac:dyDescent="0.25">
      <c r="A28" s="15"/>
      <c r="B28" s="116"/>
      <c r="C28" s="125"/>
      <c r="D28" s="133"/>
      <c r="E28" s="135"/>
      <c r="F28" s="134"/>
      <c r="G28" s="133"/>
      <c r="H28" s="133"/>
      <c r="I28" s="135"/>
      <c r="J28" s="14">
        <f t="shared" si="0"/>
        <v>96</v>
      </c>
      <c r="K28" s="133"/>
      <c r="L28" s="133"/>
      <c r="M28" s="135"/>
      <c r="N28" s="136"/>
    </row>
    <row r="29" spans="1:14" x14ac:dyDescent="0.25">
      <c r="A29" s="15"/>
      <c r="B29" s="116"/>
      <c r="C29" s="125"/>
      <c r="D29" s="133"/>
      <c r="E29" s="135"/>
      <c r="F29" s="134"/>
      <c r="G29" s="133"/>
      <c r="H29" s="133"/>
      <c r="I29" s="135"/>
      <c r="J29" s="14">
        <f t="shared" si="0"/>
        <v>96</v>
      </c>
      <c r="K29" s="133"/>
      <c r="L29" s="133"/>
      <c r="M29" s="135"/>
      <c r="N29" s="136"/>
    </row>
    <row r="30" spans="1:14" x14ac:dyDescent="0.25">
      <c r="A30" s="15"/>
      <c r="B30" s="116"/>
      <c r="C30" s="125"/>
      <c r="D30" s="133"/>
      <c r="E30" s="135"/>
      <c r="F30" s="134"/>
      <c r="G30" s="133"/>
      <c r="H30" s="133"/>
      <c r="I30" s="135"/>
      <c r="J30" s="14">
        <f t="shared" si="0"/>
        <v>96</v>
      </c>
      <c r="K30" s="133"/>
      <c r="L30" s="133"/>
      <c r="M30" s="135"/>
      <c r="N30" s="136"/>
    </row>
    <row r="31" spans="1:14" x14ac:dyDescent="0.25">
      <c r="A31" s="15"/>
      <c r="B31" s="116"/>
      <c r="C31" s="125"/>
      <c r="D31" s="133"/>
      <c r="E31" s="135"/>
      <c r="F31" s="134"/>
      <c r="G31" s="133"/>
      <c r="H31" s="133"/>
      <c r="I31" s="135"/>
      <c r="J31" s="14">
        <f t="shared" si="0"/>
        <v>96</v>
      </c>
      <c r="K31" s="133"/>
      <c r="L31" s="133"/>
      <c r="M31" s="135"/>
      <c r="N31" s="136"/>
    </row>
    <row r="32" spans="1:14" x14ac:dyDescent="0.25">
      <c r="A32" s="15"/>
      <c r="B32" s="116"/>
      <c r="C32" s="125"/>
      <c r="D32" s="133"/>
      <c r="E32" s="135"/>
      <c r="F32" s="134"/>
      <c r="G32" s="133"/>
      <c r="H32" s="133"/>
      <c r="I32" s="135"/>
      <c r="J32" s="14">
        <f t="shared" si="0"/>
        <v>96</v>
      </c>
      <c r="K32" s="133"/>
      <c r="L32" s="133"/>
      <c r="M32" s="135"/>
      <c r="N32" s="136"/>
    </row>
    <row r="33" spans="1:14" x14ac:dyDescent="0.25">
      <c r="A33" s="15"/>
      <c r="B33" s="116"/>
      <c r="C33" s="125"/>
      <c r="D33" s="133"/>
      <c r="E33" s="135"/>
      <c r="F33" s="134"/>
      <c r="G33" s="133"/>
      <c r="H33" s="133"/>
      <c r="I33" s="135"/>
      <c r="J33" s="14">
        <f t="shared" si="0"/>
        <v>96</v>
      </c>
      <c r="K33" s="133"/>
      <c r="L33" s="133"/>
      <c r="M33" s="135"/>
      <c r="N33" s="136"/>
    </row>
    <row r="34" spans="1:14" x14ac:dyDescent="0.25">
      <c r="A34" s="15"/>
      <c r="B34" s="116"/>
      <c r="C34" s="125"/>
      <c r="D34" s="133"/>
      <c r="E34" s="135"/>
      <c r="F34" s="134"/>
      <c r="G34" s="133"/>
      <c r="H34" s="133"/>
      <c r="I34" s="135"/>
      <c r="J34" s="14">
        <f t="shared" si="0"/>
        <v>96</v>
      </c>
      <c r="K34" s="133"/>
      <c r="L34" s="133"/>
      <c r="M34" s="135"/>
      <c r="N34" s="136"/>
    </row>
    <row r="35" spans="1:14" x14ac:dyDescent="0.25">
      <c r="A35" s="15"/>
      <c r="B35" s="116"/>
      <c r="C35" s="125"/>
      <c r="D35" s="133"/>
      <c r="E35" s="135"/>
      <c r="F35" s="134"/>
      <c r="G35" s="133"/>
      <c r="H35" s="133"/>
      <c r="I35" s="135"/>
      <c r="J35" s="14">
        <f t="shared" si="0"/>
        <v>96</v>
      </c>
      <c r="K35" s="133"/>
      <c r="L35" s="133"/>
      <c r="M35" s="135"/>
      <c r="N35" s="136"/>
    </row>
    <row r="36" spans="1:14" x14ac:dyDescent="0.25">
      <c r="A36" s="15"/>
      <c r="B36" s="116"/>
      <c r="C36" s="125"/>
      <c r="D36" s="133"/>
      <c r="E36" s="135"/>
      <c r="F36" s="134"/>
      <c r="G36" s="133"/>
      <c r="H36" s="133"/>
      <c r="I36" s="135"/>
      <c r="J36" s="14">
        <f t="shared" si="0"/>
        <v>96</v>
      </c>
      <c r="K36" s="133"/>
      <c r="L36" s="133"/>
      <c r="M36" s="135"/>
      <c r="N36" s="136"/>
    </row>
    <row r="37" spans="1:14" x14ac:dyDescent="0.25">
      <c r="A37" s="15"/>
      <c r="B37" s="116"/>
      <c r="C37" s="125"/>
      <c r="D37" s="133"/>
      <c r="E37" s="135"/>
      <c r="F37" s="134"/>
      <c r="G37" s="133"/>
      <c r="H37" s="133"/>
      <c r="I37" s="135"/>
      <c r="J37" s="14">
        <f t="shared" si="0"/>
        <v>96</v>
      </c>
      <c r="K37" s="133"/>
      <c r="L37" s="133"/>
      <c r="M37" s="135"/>
      <c r="N37" s="136"/>
    </row>
    <row r="38" spans="1:14" x14ac:dyDescent="0.25">
      <c r="A38" s="15"/>
      <c r="B38" s="116"/>
      <c r="C38" s="125"/>
      <c r="D38" s="133"/>
      <c r="E38" s="135"/>
      <c r="F38" s="134"/>
      <c r="G38" s="133"/>
      <c r="H38" s="133"/>
      <c r="I38" s="135"/>
      <c r="J38" s="14">
        <f t="shared" si="0"/>
        <v>96</v>
      </c>
      <c r="K38" s="133"/>
      <c r="L38" s="133"/>
      <c r="M38" s="135"/>
      <c r="N38" s="136"/>
    </row>
    <row r="39" spans="1:14" x14ac:dyDescent="0.25">
      <c r="A39" s="15"/>
      <c r="B39" s="116"/>
      <c r="C39" s="125"/>
      <c r="D39" s="133"/>
      <c r="E39" s="135"/>
      <c r="F39" s="134"/>
      <c r="G39" s="133"/>
      <c r="H39" s="133"/>
      <c r="I39" s="135"/>
      <c r="J39" s="14">
        <f t="shared" si="0"/>
        <v>96</v>
      </c>
      <c r="K39" s="133"/>
      <c r="L39" s="133"/>
      <c r="M39" s="135"/>
      <c r="N39" s="136"/>
    </row>
    <row r="40" spans="1:14" x14ac:dyDescent="0.25">
      <c r="A40" s="15"/>
      <c r="B40" s="116"/>
      <c r="C40" s="125"/>
      <c r="D40" s="133"/>
      <c r="E40" s="135"/>
      <c r="F40" s="134"/>
      <c r="G40" s="133"/>
      <c r="H40" s="133"/>
      <c r="I40" s="135"/>
      <c r="J40" s="14">
        <f t="shared" si="0"/>
        <v>96</v>
      </c>
      <c r="K40" s="133"/>
      <c r="L40" s="133"/>
      <c r="M40" s="135"/>
      <c r="N40" s="136"/>
    </row>
    <row r="41" spans="1:14" x14ac:dyDescent="0.25">
      <c r="A41" s="15"/>
      <c r="B41" s="116"/>
      <c r="C41" s="125"/>
      <c r="D41" s="133"/>
      <c r="E41" s="135"/>
      <c r="F41" s="134"/>
      <c r="G41" s="133"/>
      <c r="H41" s="136"/>
      <c r="I41" s="135"/>
      <c r="J41" s="14">
        <f t="shared" si="0"/>
        <v>96</v>
      </c>
      <c r="K41" s="133"/>
      <c r="L41" s="136"/>
      <c r="M41" s="135"/>
      <c r="N41" s="136"/>
    </row>
    <row r="42" spans="1:14" x14ac:dyDescent="0.25">
      <c r="A42" s="15"/>
      <c r="B42" s="116"/>
      <c r="C42" s="125"/>
      <c r="D42" s="133"/>
      <c r="E42" s="135"/>
      <c r="F42" s="134"/>
      <c r="G42" s="133"/>
      <c r="H42" s="136"/>
      <c r="I42" s="135"/>
      <c r="J42" s="14">
        <f t="shared" si="0"/>
        <v>96</v>
      </c>
      <c r="K42" s="133"/>
      <c r="L42" s="136"/>
      <c r="M42" s="135"/>
      <c r="N42" s="136"/>
    </row>
    <row r="43" spans="1:14" x14ac:dyDescent="0.25">
      <c r="A43" s="15"/>
      <c r="B43" s="116"/>
      <c r="C43" s="125"/>
      <c r="D43" s="133"/>
      <c r="E43" s="135"/>
      <c r="F43" s="134"/>
      <c r="G43" s="133"/>
      <c r="H43" s="136"/>
      <c r="I43" s="135"/>
      <c r="J43" s="14">
        <f t="shared" si="0"/>
        <v>96</v>
      </c>
      <c r="K43" s="133"/>
      <c r="L43" s="136"/>
      <c r="M43" s="135"/>
      <c r="N43" s="136"/>
    </row>
    <row r="44" spans="1:14" x14ac:dyDescent="0.25">
      <c r="A44" s="15"/>
      <c r="B44" s="116"/>
      <c r="C44" s="125"/>
      <c r="D44" s="133"/>
      <c r="E44" s="135"/>
      <c r="F44" s="134"/>
      <c r="G44" s="133"/>
      <c r="H44" s="136"/>
      <c r="I44" s="135"/>
      <c r="J44" s="14">
        <f t="shared" si="0"/>
        <v>96</v>
      </c>
      <c r="K44" s="133"/>
      <c r="L44" s="136"/>
      <c r="M44" s="135"/>
      <c r="N44" s="136"/>
    </row>
    <row r="45" spans="1:14" x14ac:dyDescent="0.25">
      <c r="A45" s="15"/>
      <c r="B45" s="116"/>
      <c r="C45" s="125"/>
      <c r="D45" s="133"/>
      <c r="E45" s="135"/>
      <c r="F45" s="134"/>
      <c r="G45" s="133"/>
      <c r="H45" s="136"/>
      <c r="I45" s="135"/>
      <c r="J45" s="14">
        <f t="shared" si="0"/>
        <v>96</v>
      </c>
      <c r="K45" s="133"/>
      <c r="L45" s="136"/>
      <c r="M45" s="135"/>
      <c r="N45" s="136"/>
    </row>
    <row r="46" spans="1:14" x14ac:dyDescent="0.25">
      <c r="A46" s="15"/>
      <c r="B46" s="116"/>
      <c r="C46" s="125"/>
      <c r="D46" s="133"/>
      <c r="E46" s="135"/>
      <c r="F46" s="134"/>
      <c r="G46" s="133"/>
      <c r="H46" s="136"/>
      <c r="I46" s="135"/>
      <c r="J46" s="14">
        <f t="shared" si="0"/>
        <v>96</v>
      </c>
      <c r="K46" s="133"/>
      <c r="L46" s="136"/>
      <c r="M46" s="135"/>
      <c r="N46" s="136"/>
    </row>
    <row r="47" spans="1:14" x14ac:dyDescent="0.25">
      <c r="A47" s="15"/>
      <c r="B47" s="116"/>
      <c r="C47" s="125"/>
      <c r="D47" s="133"/>
      <c r="E47" s="135"/>
      <c r="F47" s="134"/>
      <c r="G47" s="133"/>
      <c r="H47" s="136"/>
      <c r="I47" s="135"/>
      <c r="J47" s="14">
        <f t="shared" si="0"/>
        <v>96</v>
      </c>
      <c r="K47" s="133"/>
      <c r="L47" s="136"/>
      <c r="M47" s="135"/>
      <c r="N47" s="136"/>
    </row>
    <row r="48" spans="1:14" x14ac:dyDescent="0.25">
      <c r="A48" s="15"/>
      <c r="B48" s="116"/>
      <c r="C48" s="125"/>
      <c r="D48" s="133"/>
      <c r="E48" s="135"/>
      <c r="F48" s="134"/>
      <c r="G48" s="133"/>
      <c r="H48" s="136"/>
      <c r="I48" s="135"/>
      <c r="J48" s="14">
        <f t="shared" si="0"/>
        <v>96</v>
      </c>
      <c r="K48" s="133"/>
      <c r="L48" s="136"/>
      <c r="M48" s="135"/>
      <c r="N48" s="136"/>
    </row>
    <row r="49" spans="1:14" x14ac:dyDescent="0.25">
      <c r="A49" s="15"/>
      <c r="B49" s="116"/>
      <c r="C49" s="125"/>
      <c r="D49" s="133"/>
      <c r="E49" s="135"/>
      <c r="F49" s="134"/>
      <c r="G49" s="133"/>
      <c r="H49" s="136"/>
      <c r="I49" s="135"/>
      <c r="J49" s="14">
        <f t="shared" si="0"/>
        <v>96</v>
      </c>
      <c r="K49" s="133"/>
      <c r="L49" s="136"/>
      <c r="M49" s="135"/>
      <c r="N49" s="136"/>
    </row>
    <row r="50" spans="1:14" x14ac:dyDescent="0.25">
      <c r="A50" s="15"/>
      <c r="B50" s="116"/>
      <c r="C50" s="125"/>
      <c r="D50" s="133"/>
      <c r="E50" s="135"/>
      <c r="F50" s="134"/>
      <c r="G50" s="133"/>
      <c r="H50" s="136"/>
      <c r="I50" s="135"/>
      <c r="J50" s="14">
        <f t="shared" si="0"/>
        <v>96</v>
      </c>
      <c r="K50" s="133"/>
      <c r="L50" s="136"/>
      <c r="M50" s="135"/>
      <c r="N50" s="136"/>
    </row>
    <row r="51" spans="1:14" x14ac:dyDescent="0.25">
      <c r="A51" s="15"/>
      <c r="B51" s="116"/>
      <c r="C51" s="125"/>
      <c r="D51" s="133"/>
      <c r="E51" s="135"/>
      <c r="F51" s="137"/>
      <c r="G51" s="133"/>
      <c r="H51" s="136"/>
      <c r="I51" s="135"/>
      <c r="J51" s="14">
        <f t="shared" si="0"/>
        <v>96</v>
      </c>
      <c r="K51" s="133"/>
      <c r="L51" s="136"/>
      <c r="M51" s="135"/>
      <c r="N51" s="136"/>
    </row>
    <row r="52" spans="1:14" x14ac:dyDescent="0.25">
      <c r="A52" s="15"/>
      <c r="B52" s="116"/>
      <c r="C52" s="125"/>
      <c r="D52" s="133"/>
      <c r="E52" s="135"/>
      <c r="F52" s="137"/>
      <c r="G52" s="133"/>
      <c r="H52" s="136"/>
      <c r="I52" s="135"/>
      <c r="J52" s="14">
        <f t="shared" si="0"/>
        <v>96</v>
      </c>
      <c r="K52" s="133"/>
      <c r="L52" s="136"/>
      <c r="M52" s="135"/>
      <c r="N52" s="136"/>
    </row>
    <row r="53" spans="1:14" x14ac:dyDescent="0.25">
      <c r="A53" s="15"/>
      <c r="B53" s="116"/>
      <c r="C53" s="125"/>
      <c r="D53" s="133"/>
      <c r="E53" s="135"/>
      <c r="F53" s="137"/>
      <c r="G53" s="133"/>
      <c r="H53" s="136"/>
      <c r="I53" s="135"/>
      <c r="J53" s="14">
        <f t="shared" si="0"/>
        <v>96</v>
      </c>
      <c r="K53" s="133"/>
      <c r="L53" s="136"/>
      <c r="M53" s="135"/>
      <c r="N53" s="136"/>
    </row>
    <row r="54" spans="1:14" x14ac:dyDescent="0.25">
      <c r="A54" s="15"/>
      <c r="B54" s="116"/>
      <c r="C54" s="125"/>
      <c r="D54" s="133"/>
      <c r="E54" s="135"/>
      <c r="F54" s="137"/>
      <c r="G54" s="133"/>
      <c r="H54" s="136"/>
      <c r="I54" s="135"/>
      <c r="J54" s="14">
        <f t="shared" si="0"/>
        <v>96</v>
      </c>
      <c r="K54" s="133"/>
      <c r="L54" s="136"/>
      <c r="M54" s="135"/>
      <c r="N54" s="136"/>
    </row>
    <row r="55" spans="1:14" x14ac:dyDescent="0.25">
      <c r="A55" s="15"/>
      <c r="B55" s="116"/>
      <c r="C55" s="125"/>
      <c r="D55" s="133"/>
      <c r="E55" s="135"/>
      <c r="F55" s="137"/>
      <c r="G55" s="133"/>
      <c r="H55" s="136"/>
      <c r="I55" s="135"/>
      <c r="J55" s="14">
        <f t="shared" si="0"/>
        <v>96</v>
      </c>
      <c r="K55" s="133"/>
      <c r="L55" s="136"/>
      <c r="M55" s="135"/>
      <c r="N55" s="136"/>
    </row>
    <row r="56" spans="1:14" x14ac:dyDescent="0.25">
      <c r="A56" s="15"/>
      <c r="B56" s="116"/>
      <c r="C56" s="125"/>
      <c r="D56" s="133"/>
      <c r="E56" s="135"/>
      <c r="F56" s="137"/>
      <c r="G56" s="133"/>
      <c r="H56" s="136"/>
      <c r="I56" s="135"/>
      <c r="J56" s="14">
        <f t="shared" si="0"/>
        <v>96</v>
      </c>
      <c r="K56" s="133"/>
      <c r="L56" s="136"/>
      <c r="M56" s="135"/>
      <c r="N56" s="136"/>
    </row>
    <row r="57" spans="1:14" x14ac:dyDescent="0.25">
      <c r="A57" s="15"/>
      <c r="B57" s="116"/>
      <c r="C57" s="125"/>
      <c r="D57" s="133"/>
      <c r="E57" s="135"/>
      <c r="F57" s="137"/>
      <c r="G57" s="133"/>
      <c r="H57" s="136"/>
      <c r="I57" s="135"/>
      <c r="J57" s="14">
        <f t="shared" ref="J57:J88" si="1">IF($B$11="Exterior",0.5*$B$8+$B$9,$B$8)*12</f>
        <v>96</v>
      </c>
      <c r="K57" s="133"/>
      <c r="L57" s="136"/>
      <c r="M57" s="135"/>
      <c r="N57" s="136"/>
    </row>
    <row r="58" spans="1:14" x14ac:dyDescent="0.25">
      <c r="A58" s="15"/>
      <c r="B58" s="116"/>
      <c r="C58" s="125"/>
      <c r="D58" s="133"/>
      <c r="E58" s="135"/>
      <c r="F58" s="137"/>
      <c r="G58" s="133"/>
      <c r="H58" s="136"/>
      <c r="I58" s="135"/>
      <c r="J58" s="14">
        <f t="shared" si="1"/>
        <v>96</v>
      </c>
      <c r="K58" s="133"/>
      <c r="L58" s="136"/>
      <c r="M58" s="135"/>
      <c r="N58" s="136"/>
    </row>
    <row r="59" spans="1:14" x14ac:dyDescent="0.25">
      <c r="A59" s="15"/>
      <c r="B59" s="116"/>
      <c r="C59" s="125"/>
      <c r="D59" s="133"/>
      <c r="E59" s="135"/>
      <c r="F59" s="137"/>
      <c r="G59" s="133"/>
      <c r="H59" s="136"/>
      <c r="I59" s="135"/>
      <c r="J59" s="14">
        <f t="shared" si="1"/>
        <v>96</v>
      </c>
      <c r="K59" s="133"/>
      <c r="L59" s="136"/>
      <c r="M59" s="135"/>
      <c r="N59" s="136"/>
    </row>
    <row r="60" spans="1:14" x14ac:dyDescent="0.25">
      <c r="A60" s="15"/>
      <c r="B60" s="116"/>
      <c r="C60" s="125"/>
      <c r="D60" s="133"/>
      <c r="E60" s="135"/>
      <c r="F60" s="137"/>
      <c r="G60" s="133"/>
      <c r="H60" s="136"/>
      <c r="I60" s="135"/>
      <c r="J60" s="14">
        <f t="shared" si="1"/>
        <v>96</v>
      </c>
      <c r="K60" s="133"/>
      <c r="L60" s="136"/>
      <c r="M60" s="135"/>
      <c r="N60" s="136"/>
    </row>
    <row r="61" spans="1:14" x14ac:dyDescent="0.25">
      <c r="A61" s="15"/>
      <c r="B61" s="116"/>
      <c r="C61" s="125"/>
      <c r="D61" s="133"/>
      <c r="E61" s="135"/>
      <c r="F61" s="137"/>
      <c r="G61" s="133"/>
      <c r="H61" s="136"/>
      <c r="I61" s="135"/>
      <c r="J61" s="14">
        <f t="shared" si="1"/>
        <v>96</v>
      </c>
      <c r="K61" s="133"/>
      <c r="L61" s="136"/>
      <c r="M61" s="135"/>
      <c r="N61" s="136"/>
    </row>
    <row r="62" spans="1:14" x14ac:dyDescent="0.25">
      <c r="A62" s="15"/>
      <c r="B62" s="116"/>
      <c r="C62" s="125"/>
      <c r="D62" s="133"/>
      <c r="E62" s="135"/>
      <c r="F62" s="137"/>
      <c r="G62" s="133"/>
      <c r="H62" s="136"/>
      <c r="I62" s="135"/>
      <c r="J62" s="14">
        <f t="shared" si="1"/>
        <v>96</v>
      </c>
      <c r="K62" s="133"/>
      <c r="L62" s="136"/>
      <c r="M62" s="135"/>
      <c r="N62" s="136"/>
    </row>
    <row r="63" spans="1:14" x14ac:dyDescent="0.25">
      <c r="A63" s="15"/>
      <c r="B63" s="116"/>
      <c r="C63" s="125"/>
      <c r="D63" s="133"/>
      <c r="E63" s="135"/>
      <c r="F63" s="137"/>
      <c r="G63" s="133"/>
      <c r="H63" s="136"/>
      <c r="I63" s="135"/>
      <c r="J63" s="14">
        <f t="shared" si="1"/>
        <v>96</v>
      </c>
      <c r="K63" s="133"/>
      <c r="L63" s="136"/>
      <c r="M63" s="135"/>
      <c r="N63" s="136"/>
    </row>
    <row r="64" spans="1:14" x14ac:dyDescent="0.25">
      <c r="A64" s="15"/>
      <c r="B64" s="116"/>
      <c r="C64" s="125"/>
      <c r="D64" s="133"/>
      <c r="E64" s="135"/>
      <c r="F64" s="137"/>
      <c r="G64" s="133"/>
      <c r="H64" s="136"/>
      <c r="I64" s="135"/>
      <c r="J64" s="14">
        <f t="shared" si="1"/>
        <v>96</v>
      </c>
      <c r="K64" s="133"/>
      <c r="L64" s="136"/>
      <c r="M64" s="135"/>
      <c r="N64" s="136"/>
    </row>
    <row r="65" spans="1:14" x14ac:dyDescent="0.25">
      <c r="A65" s="15"/>
      <c r="B65" s="116"/>
      <c r="C65" s="125"/>
      <c r="D65" s="133"/>
      <c r="E65" s="135"/>
      <c r="F65" s="137"/>
      <c r="G65" s="133"/>
      <c r="H65" s="136"/>
      <c r="I65" s="135"/>
      <c r="J65" s="14">
        <f t="shared" si="1"/>
        <v>96</v>
      </c>
      <c r="K65" s="133"/>
      <c r="L65" s="136"/>
      <c r="M65" s="135"/>
      <c r="N65" s="136"/>
    </row>
    <row r="66" spans="1:14" x14ac:dyDescent="0.25">
      <c r="A66" s="15"/>
      <c r="B66" s="116"/>
      <c r="C66" s="125"/>
      <c r="D66" s="133"/>
      <c r="E66" s="135"/>
      <c r="F66" s="137"/>
      <c r="G66" s="133"/>
      <c r="H66" s="136"/>
      <c r="I66" s="135"/>
      <c r="J66" s="14">
        <f t="shared" si="1"/>
        <v>96</v>
      </c>
      <c r="K66" s="133"/>
      <c r="L66" s="136"/>
      <c r="M66" s="135"/>
      <c r="N66" s="136"/>
    </row>
    <row r="67" spans="1:14" x14ac:dyDescent="0.25">
      <c r="A67" s="15"/>
      <c r="B67" s="116"/>
      <c r="C67" s="125"/>
      <c r="D67" s="133"/>
      <c r="E67" s="135"/>
      <c r="F67" s="137"/>
      <c r="G67" s="133"/>
      <c r="H67" s="136"/>
      <c r="I67" s="135"/>
      <c r="J67" s="14">
        <f t="shared" si="1"/>
        <v>96</v>
      </c>
      <c r="K67" s="133"/>
      <c r="L67" s="136"/>
      <c r="M67" s="135"/>
      <c r="N67" s="136"/>
    </row>
    <row r="68" spans="1:14" x14ac:dyDescent="0.25">
      <c r="A68" s="15"/>
      <c r="B68" s="116"/>
      <c r="C68" s="125"/>
      <c r="D68" s="133"/>
      <c r="E68" s="135"/>
      <c r="F68" s="137"/>
      <c r="G68" s="133"/>
      <c r="H68" s="136"/>
      <c r="I68" s="135"/>
      <c r="J68" s="14">
        <f t="shared" si="1"/>
        <v>96</v>
      </c>
      <c r="K68" s="133"/>
      <c r="L68" s="136"/>
      <c r="M68" s="135"/>
      <c r="N68" s="136"/>
    </row>
    <row r="69" spans="1:14" x14ac:dyDescent="0.25">
      <c r="A69" s="15"/>
      <c r="B69" s="116"/>
      <c r="C69" s="125"/>
      <c r="D69" s="133"/>
      <c r="E69" s="135"/>
      <c r="F69" s="137"/>
      <c r="G69" s="133"/>
      <c r="H69" s="136"/>
      <c r="I69" s="135"/>
      <c r="J69" s="14">
        <f t="shared" si="1"/>
        <v>96</v>
      </c>
      <c r="K69" s="133"/>
      <c r="L69" s="136"/>
      <c r="M69" s="135"/>
      <c r="N69" s="136"/>
    </row>
    <row r="70" spans="1:14" x14ac:dyDescent="0.25">
      <c r="A70" s="15"/>
      <c r="B70" s="116"/>
      <c r="C70" s="125"/>
      <c r="D70" s="133"/>
      <c r="E70" s="135"/>
      <c r="F70" s="137"/>
      <c r="G70" s="133"/>
      <c r="H70" s="136"/>
      <c r="I70" s="135"/>
      <c r="J70" s="14">
        <f t="shared" si="1"/>
        <v>96</v>
      </c>
      <c r="K70" s="133"/>
      <c r="L70" s="136"/>
      <c r="M70" s="135"/>
      <c r="N70" s="136"/>
    </row>
    <row r="71" spans="1:14" x14ac:dyDescent="0.25">
      <c r="A71" s="15"/>
      <c r="B71" s="116"/>
      <c r="C71" s="125"/>
      <c r="D71" s="133"/>
      <c r="E71" s="135"/>
      <c r="F71" s="137"/>
      <c r="G71" s="133"/>
      <c r="H71" s="136"/>
      <c r="I71" s="135"/>
      <c r="J71" s="14">
        <f t="shared" si="1"/>
        <v>96</v>
      </c>
      <c r="K71" s="133"/>
      <c r="L71" s="136"/>
      <c r="M71" s="135"/>
      <c r="N71" s="136"/>
    </row>
    <row r="72" spans="1:14" x14ac:dyDescent="0.25">
      <c r="A72" s="15"/>
      <c r="B72" s="116"/>
      <c r="C72" s="125"/>
      <c r="D72" s="133"/>
      <c r="E72" s="135"/>
      <c r="F72" s="137"/>
      <c r="G72" s="133"/>
      <c r="H72" s="136"/>
      <c r="I72" s="135"/>
      <c r="J72" s="14">
        <f t="shared" si="1"/>
        <v>96</v>
      </c>
      <c r="K72" s="133"/>
      <c r="L72" s="136"/>
      <c r="M72" s="135"/>
      <c r="N72" s="136"/>
    </row>
    <row r="73" spans="1:14" x14ac:dyDescent="0.25">
      <c r="A73" s="15"/>
      <c r="B73" s="116"/>
      <c r="C73" s="125"/>
      <c r="D73" s="133"/>
      <c r="E73" s="135"/>
      <c r="F73" s="137"/>
      <c r="G73" s="133"/>
      <c r="H73" s="136"/>
      <c r="I73" s="135"/>
      <c r="J73" s="14">
        <f t="shared" si="1"/>
        <v>96</v>
      </c>
      <c r="K73" s="133"/>
      <c r="L73" s="136"/>
      <c r="M73" s="135"/>
      <c r="N73" s="136"/>
    </row>
    <row r="74" spans="1:14" x14ac:dyDescent="0.25">
      <c r="A74" s="15"/>
      <c r="B74" s="116"/>
      <c r="C74" s="125"/>
      <c r="D74" s="133"/>
      <c r="E74" s="135"/>
      <c r="F74" s="137"/>
      <c r="G74" s="133"/>
      <c r="H74" s="136"/>
      <c r="I74" s="135"/>
      <c r="J74" s="14">
        <f t="shared" si="1"/>
        <v>96</v>
      </c>
      <c r="K74" s="133"/>
      <c r="L74" s="136"/>
      <c r="M74" s="135"/>
      <c r="N74" s="136"/>
    </row>
    <row r="75" spans="1:14" x14ac:dyDescent="0.25">
      <c r="A75" s="15"/>
      <c r="B75" s="116"/>
      <c r="C75" s="125"/>
      <c r="D75" s="133"/>
      <c r="E75" s="135"/>
      <c r="F75" s="137"/>
      <c r="G75" s="133"/>
      <c r="H75" s="136"/>
      <c r="I75" s="135"/>
      <c r="J75" s="14">
        <f t="shared" si="1"/>
        <v>96</v>
      </c>
      <c r="K75" s="133"/>
      <c r="L75" s="136"/>
      <c r="M75" s="135"/>
      <c r="N75" s="136"/>
    </row>
    <row r="76" spans="1:14" x14ac:dyDescent="0.25">
      <c r="A76" s="15"/>
      <c r="B76" s="116"/>
      <c r="C76" s="125"/>
      <c r="D76" s="133"/>
      <c r="E76" s="135"/>
      <c r="F76" s="137"/>
      <c r="G76" s="133"/>
      <c r="H76" s="136"/>
      <c r="I76" s="135"/>
      <c r="J76" s="14">
        <f t="shared" si="1"/>
        <v>96</v>
      </c>
      <c r="K76" s="133"/>
      <c r="L76" s="136"/>
      <c r="M76" s="135"/>
      <c r="N76" s="136"/>
    </row>
    <row r="77" spans="1:14" x14ac:dyDescent="0.25">
      <c r="A77" s="15"/>
      <c r="B77" s="116"/>
      <c r="C77" s="125"/>
      <c r="D77" s="133"/>
      <c r="E77" s="135"/>
      <c r="F77" s="137"/>
      <c r="G77" s="133"/>
      <c r="H77" s="136"/>
      <c r="I77" s="135"/>
      <c r="J77" s="14">
        <f t="shared" si="1"/>
        <v>96</v>
      </c>
      <c r="K77" s="133"/>
      <c r="L77" s="136"/>
      <c r="M77" s="135"/>
      <c r="N77" s="136"/>
    </row>
    <row r="78" spans="1:14" x14ac:dyDescent="0.25">
      <c r="A78" s="15"/>
      <c r="B78" s="116"/>
      <c r="C78" s="125"/>
      <c r="D78" s="133"/>
      <c r="E78" s="135"/>
      <c r="F78" s="137"/>
      <c r="G78" s="133"/>
      <c r="H78" s="136"/>
      <c r="I78" s="135"/>
      <c r="J78" s="14">
        <f t="shared" si="1"/>
        <v>96</v>
      </c>
      <c r="K78" s="133"/>
      <c r="L78" s="136"/>
      <c r="M78" s="135"/>
      <c r="N78" s="136"/>
    </row>
    <row r="79" spans="1:14" x14ac:dyDescent="0.25">
      <c r="A79" s="15"/>
      <c r="B79" s="116"/>
      <c r="C79" s="125"/>
      <c r="D79" s="133"/>
      <c r="E79" s="135"/>
      <c r="F79" s="137"/>
      <c r="G79" s="133"/>
      <c r="H79" s="136"/>
      <c r="I79" s="135"/>
      <c r="J79" s="14">
        <f t="shared" si="1"/>
        <v>96</v>
      </c>
      <c r="K79" s="133"/>
      <c r="L79" s="136"/>
      <c r="M79" s="135"/>
      <c r="N79" s="136"/>
    </row>
    <row r="80" spans="1:14" x14ac:dyDescent="0.25">
      <c r="A80" s="15"/>
      <c r="B80" s="116"/>
      <c r="C80" s="125"/>
      <c r="D80" s="133"/>
      <c r="E80" s="135"/>
      <c r="F80" s="137"/>
      <c r="G80" s="133"/>
      <c r="H80" s="136"/>
      <c r="I80" s="135"/>
      <c r="J80" s="14">
        <f t="shared" si="1"/>
        <v>96</v>
      </c>
      <c r="K80" s="133"/>
      <c r="L80" s="136"/>
      <c r="M80" s="135"/>
      <c r="N80" s="136"/>
    </row>
    <row r="81" spans="1:14" x14ac:dyDescent="0.25">
      <c r="A81" s="15"/>
      <c r="B81" s="116"/>
      <c r="C81" s="125"/>
      <c r="D81" s="133"/>
      <c r="E81" s="135"/>
      <c r="F81" s="137"/>
      <c r="G81" s="133"/>
      <c r="H81" s="136"/>
      <c r="I81" s="135"/>
      <c r="J81" s="14">
        <f t="shared" si="1"/>
        <v>96</v>
      </c>
      <c r="K81" s="133"/>
      <c r="L81" s="136"/>
      <c r="M81" s="135"/>
      <c r="N81" s="136"/>
    </row>
    <row r="82" spans="1:14" x14ac:dyDescent="0.25">
      <c r="A82" s="15"/>
      <c r="B82" s="116"/>
      <c r="C82" s="125"/>
      <c r="D82" s="133"/>
      <c r="E82" s="135"/>
      <c r="F82" s="137"/>
      <c r="G82" s="133"/>
      <c r="H82" s="136"/>
      <c r="I82" s="135"/>
      <c r="J82" s="14">
        <f t="shared" si="1"/>
        <v>96</v>
      </c>
      <c r="K82" s="133"/>
      <c r="L82" s="136"/>
      <c r="M82" s="135"/>
      <c r="N82" s="136"/>
    </row>
    <row r="83" spans="1:14" x14ac:dyDescent="0.25">
      <c r="A83" s="15"/>
      <c r="B83" s="116"/>
      <c r="C83" s="125"/>
      <c r="D83" s="133"/>
      <c r="E83" s="135"/>
      <c r="F83" s="137"/>
      <c r="G83" s="133"/>
      <c r="H83" s="136"/>
      <c r="I83" s="135"/>
      <c r="J83" s="14">
        <f t="shared" si="1"/>
        <v>96</v>
      </c>
      <c r="K83" s="133"/>
      <c r="L83" s="136"/>
      <c r="M83" s="135"/>
      <c r="N83" s="136"/>
    </row>
    <row r="84" spans="1:14" x14ac:dyDescent="0.25">
      <c r="A84" s="15"/>
      <c r="B84" s="116"/>
      <c r="C84" s="125"/>
      <c r="D84" s="133"/>
      <c r="E84" s="135"/>
      <c r="F84" s="137"/>
      <c r="G84" s="133"/>
      <c r="H84" s="136"/>
      <c r="I84" s="135"/>
      <c r="J84" s="14">
        <f t="shared" si="1"/>
        <v>96</v>
      </c>
      <c r="K84" s="133"/>
      <c r="L84" s="136"/>
      <c r="M84" s="135"/>
      <c r="N84" s="136"/>
    </row>
    <row r="85" spans="1:14" x14ac:dyDescent="0.25">
      <c r="A85" s="15"/>
      <c r="B85" s="116"/>
      <c r="C85" s="125"/>
      <c r="D85" s="133"/>
      <c r="E85" s="135"/>
      <c r="F85" s="137"/>
      <c r="G85" s="133"/>
      <c r="H85" s="136"/>
      <c r="I85" s="135"/>
      <c r="J85" s="14">
        <f t="shared" si="1"/>
        <v>96</v>
      </c>
      <c r="K85" s="133"/>
      <c r="L85" s="136"/>
      <c r="M85" s="135"/>
      <c r="N85" s="136"/>
    </row>
    <row r="86" spans="1:14" x14ac:dyDescent="0.25">
      <c r="A86" s="15"/>
      <c r="B86" s="116"/>
      <c r="C86" s="125"/>
      <c r="D86" s="133"/>
      <c r="E86" s="135"/>
      <c r="F86" s="137"/>
      <c r="G86" s="133"/>
      <c r="H86" s="136"/>
      <c r="I86" s="135"/>
      <c r="J86" s="14">
        <f t="shared" si="1"/>
        <v>96</v>
      </c>
      <c r="K86" s="133"/>
      <c r="L86" s="136"/>
      <c r="M86" s="135"/>
      <c r="N86" s="136"/>
    </row>
    <row r="87" spans="1:14" x14ac:dyDescent="0.25">
      <c r="A87" s="15"/>
      <c r="B87" s="116"/>
      <c r="C87" s="125"/>
      <c r="D87" s="133"/>
      <c r="E87" s="135"/>
      <c r="F87" s="137"/>
      <c r="G87" s="133"/>
      <c r="H87" s="136"/>
      <c r="I87" s="135"/>
      <c r="J87" s="14">
        <f t="shared" si="1"/>
        <v>96</v>
      </c>
      <c r="K87" s="133"/>
      <c r="L87" s="136"/>
      <c r="M87" s="135"/>
      <c r="N87" s="136"/>
    </row>
    <row r="88" spans="1:14" x14ac:dyDescent="0.25">
      <c r="A88" s="15"/>
      <c r="B88" s="116"/>
      <c r="C88" s="125"/>
      <c r="D88" s="133"/>
      <c r="E88" s="135"/>
      <c r="F88" s="137"/>
      <c r="G88" s="133"/>
      <c r="H88" s="136"/>
      <c r="I88" s="135"/>
      <c r="J88" s="14">
        <f t="shared" si="1"/>
        <v>96</v>
      </c>
      <c r="K88" s="133"/>
      <c r="L88" s="136"/>
      <c r="M88" s="135"/>
      <c r="N88" s="136"/>
    </row>
    <row r="89" spans="1:14" x14ac:dyDescent="0.25">
      <c r="A89" s="15"/>
      <c r="B89" s="116"/>
      <c r="C89" s="125"/>
      <c r="D89" s="133"/>
      <c r="E89" s="135"/>
      <c r="F89" s="137"/>
      <c r="G89" s="133"/>
      <c r="H89" s="136"/>
      <c r="I89" s="135"/>
      <c r="J89" s="14">
        <f t="shared" ref="J89:J124" si="2">IF($B$11="Exterior",0.5*$B$8+$B$9,$B$8)*12</f>
        <v>96</v>
      </c>
      <c r="K89" s="133"/>
      <c r="L89" s="136"/>
      <c r="M89" s="135"/>
      <c r="N89" s="136"/>
    </row>
    <row r="90" spans="1:14" x14ac:dyDescent="0.25">
      <c r="A90" s="15"/>
      <c r="B90" s="116"/>
      <c r="C90" s="125"/>
      <c r="D90" s="133"/>
      <c r="E90" s="135"/>
      <c r="F90" s="137"/>
      <c r="G90" s="133"/>
      <c r="H90" s="136"/>
      <c r="I90" s="135"/>
      <c r="J90" s="14">
        <f t="shared" si="2"/>
        <v>96</v>
      </c>
      <c r="K90" s="133"/>
      <c r="L90" s="136"/>
      <c r="M90" s="135"/>
      <c r="N90" s="136"/>
    </row>
    <row r="91" spans="1:14" x14ac:dyDescent="0.25">
      <c r="A91" s="15"/>
      <c r="B91" s="116"/>
      <c r="C91" s="125"/>
      <c r="D91" s="133"/>
      <c r="E91" s="135"/>
      <c r="F91" s="137"/>
      <c r="G91" s="133"/>
      <c r="H91" s="136"/>
      <c r="I91" s="135"/>
      <c r="J91" s="14">
        <f t="shared" si="2"/>
        <v>96</v>
      </c>
      <c r="K91" s="133"/>
      <c r="L91" s="136"/>
      <c r="M91" s="135"/>
      <c r="N91" s="136"/>
    </row>
    <row r="92" spans="1:14" x14ac:dyDescent="0.25">
      <c r="A92" s="15"/>
      <c r="B92" s="116"/>
      <c r="C92" s="125"/>
      <c r="D92" s="133"/>
      <c r="E92" s="135"/>
      <c r="F92" s="137"/>
      <c r="G92" s="133"/>
      <c r="H92" s="136"/>
      <c r="I92" s="135"/>
      <c r="J92" s="14">
        <f t="shared" si="2"/>
        <v>96</v>
      </c>
      <c r="K92" s="133"/>
      <c r="L92" s="136"/>
      <c r="M92" s="135"/>
      <c r="N92" s="136"/>
    </row>
    <row r="93" spans="1:14" x14ac:dyDescent="0.25">
      <c r="A93" s="15"/>
      <c r="B93" s="116"/>
      <c r="C93" s="125"/>
      <c r="D93" s="133"/>
      <c r="E93" s="135"/>
      <c r="F93" s="137"/>
      <c r="G93" s="133"/>
      <c r="H93" s="136"/>
      <c r="I93" s="135"/>
      <c r="J93" s="14">
        <f t="shared" si="2"/>
        <v>96</v>
      </c>
      <c r="K93" s="133"/>
      <c r="L93" s="136"/>
      <c r="M93" s="135"/>
      <c r="N93" s="136"/>
    </row>
    <row r="94" spans="1:14" x14ac:dyDescent="0.25">
      <c r="A94" s="15"/>
      <c r="B94" s="116"/>
      <c r="C94" s="125"/>
      <c r="D94" s="133"/>
      <c r="E94" s="135"/>
      <c r="F94" s="137"/>
      <c r="G94" s="133"/>
      <c r="H94" s="136"/>
      <c r="I94" s="135"/>
      <c r="J94" s="14">
        <f t="shared" si="2"/>
        <v>96</v>
      </c>
      <c r="K94" s="133"/>
      <c r="L94" s="136"/>
      <c r="M94" s="135"/>
      <c r="N94" s="136"/>
    </row>
    <row r="95" spans="1:14" x14ac:dyDescent="0.25">
      <c r="A95" s="15"/>
      <c r="B95" s="116"/>
      <c r="C95" s="125"/>
      <c r="D95" s="133"/>
      <c r="E95" s="135"/>
      <c r="F95" s="137"/>
      <c r="G95" s="133"/>
      <c r="H95" s="136"/>
      <c r="I95" s="135"/>
      <c r="J95" s="14">
        <f t="shared" si="2"/>
        <v>96</v>
      </c>
      <c r="K95" s="133"/>
      <c r="L95" s="136"/>
      <c r="M95" s="135"/>
      <c r="N95" s="136"/>
    </row>
    <row r="96" spans="1:14" x14ac:dyDescent="0.25">
      <c r="A96" s="15"/>
      <c r="B96" s="116"/>
      <c r="C96" s="125"/>
      <c r="D96" s="133"/>
      <c r="E96" s="135"/>
      <c r="F96" s="137"/>
      <c r="G96" s="133"/>
      <c r="H96" s="136"/>
      <c r="I96" s="135"/>
      <c r="J96" s="14">
        <f t="shared" si="2"/>
        <v>96</v>
      </c>
      <c r="K96" s="133"/>
      <c r="L96" s="136"/>
      <c r="M96" s="135"/>
      <c r="N96" s="136"/>
    </row>
    <row r="97" spans="1:14" x14ac:dyDescent="0.25">
      <c r="A97" s="15"/>
      <c r="B97" s="116"/>
      <c r="C97" s="125"/>
      <c r="D97" s="133"/>
      <c r="E97" s="135"/>
      <c r="F97" s="137"/>
      <c r="G97" s="133"/>
      <c r="H97" s="136"/>
      <c r="I97" s="135"/>
      <c r="J97" s="14">
        <f t="shared" si="2"/>
        <v>96</v>
      </c>
      <c r="K97" s="133"/>
      <c r="L97" s="136"/>
      <c r="M97" s="135"/>
      <c r="N97" s="136"/>
    </row>
    <row r="98" spans="1:14" x14ac:dyDescent="0.25">
      <c r="A98" s="15"/>
      <c r="B98" s="116"/>
      <c r="C98" s="125"/>
      <c r="D98" s="133"/>
      <c r="E98" s="135"/>
      <c r="F98" s="137"/>
      <c r="G98" s="133"/>
      <c r="H98" s="136"/>
      <c r="I98" s="135"/>
      <c r="J98" s="14">
        <f t="shared" si="2"/>
        <v>96</v>
      </c>
      <c r="K98" s="133"/>
      <c r="L98" s="136"/>
      <c r="M98" s="135"/>
      <c r="N98" s="136"/>
    </row>
    <row r="99" spans="1:14" x14ac:dyDescent="0.25">
      <c r="A99" s="15"/>
      <c r="B99" s="116"/>
      <c r="C99" s="125"/>
      <c r="D99" s="133"/>
      <c r="E99" s="135"/>
      <c r="F99" s="137"/>
      <c r="G99" s="133"/>
      <c r="H99" s="136"/>
      <c r="I99" s="135"/>
      <c r="J99" s="14">
        <f t="shared" si="2"/>
        <v>96</v>
      </c>
      <c r="K99" s="133"/>
      <c r="L99" s="136"/>
      <c r="M99" s="135"/>
      <c r="N99" s="136"/>
    </row>
    <row r="100" spans="1:14" x14ac:dyDescent="0.25">
      <c r="A100" s="15"/>
      <c r="B100" s="116"/>
      <c r="C100" s="125"/>
      <c r="D100" s="133"/>
      <c r="E100" s="135"/>
      <c r="F100" s="137"/>
      <c r="G100" s="133"/>
      <c r="H100" s="136"/>
      <c r="I100" s="135"/>
      <c r="J100" s="14">
        <f t="shared" si="2"/>
        <v>96</v>
      </c>
      <c r="K100" s="133"/>
      <c r="L100" s="136"/>
      <c r="M100" s="135"/>
      <c r="N100" s="136"/>
    </row>
    <row r="101" spans="1:14" x14ac:dyDescent="0.25">
      <c r="A101" s="15"/>
      <c r="B101" s="116"/>
      <c r="C101" s="125"/>
      <c r="D101" s="133"/>
      <c r="E101" s="135"/>
      <c r="F101" s="137"/>
      <c r="G101" s="133"/>
      <c r="H101" s="136"/>
      <c r="I101" s="135"/>
      <c r="J101" s="14">
        <f t="shared" si="2"/>
        <v>96</v>
      </c>
      <c r="K101" s="133"/>
      <c r="L101" s="136"/>
      <c r="M101" s="135"/>
      <c r="N101" s="136"/>
    </row>
    <row r="102" spans="1:14" x14ac:dyDescent="0.25">
      <c r="A102" s="15"/>
      <c r="B102" s="116"/>
      <c r="C102" s="125"/>
      <c r="D102" s="133"/>
      <c r="E102" s="135"/>
      <c r="F102" s="137"/>
      <c r="G102" s="133"/>
      <c r="H102" s="136"/>
      <c r="I102" s="135"/>
      <c r="J102" s="14">
        <f t="shared" si="2"/>
        <v>96</v>
      </c>
      <c r="K102" s="133"/>
      <c r="L102" s="136"/>
      <c r="M102" s="135"/>
      <c r="N102" s="136"/>
    </row>
    <row r="103" spans="1:14" x14ac:dyDescent="0.25">
      <c r="A103" s="15"/>
      <c r="B103" s="116"/>
      <c r="C103" s="125"/>
      <c r="D103" s="133"/>
      <c r="E103" s="135"/>
      <c r="F103" s="137"/>
      <c r="G103" s="133"/>
      <c r="H103" s="136"/>
      <c r="I103" s="135"/>
      <c r="J103" s="14">
        <f t="shared" si="2"/>
        <v>96</v>
      </c>
      <c r="K103" s="133"/>
      <c r="L103" s="136"/>
      <c r="M103" s="135"/>
      <c r="N103" s="136"/>
    </row>
    <row r="104" spans="1:14" x14ac:dyDescent="0.25">
      <c r="A104" s="15"/>
      <c r="B104" s="116"/>
      <c r="C104" s="125"/>
      <c r="D104" s="133"/>
      <c r="E104" s="135"/>
      <c r="F104" s="137"/>
      <c r="G104" s="133"/>
      <c r="H104" s="136"/>
      <c r="I104" s="135"/>
      <c r="J104" s="14">
        <f t="shared" si="2"/>
        <v>96</v>
      </c>
      <c r="K104" s="133"/>
      <c r="L104" s="136"/>
      <c r="M104" s="135"/>
      <c r="N104" s="136"/>
    </row>
    <row r="105" spans="1:14" x14ac:dyDescent="0.25">
      <c r="A105" s="15"/>
      <c r="B105" s="116"/>
      <c r="C105" s="125"/>
      <c r="D105" s="133"/>
      <c r="E105" s="135"/>
      <c r="F105" s="137"/>
      <c r="G105" s="133"/>
      <c r="H105" s="136"/>
      <c r="I105" s="135"/>
      <c r="J105" s="14">
        <f t="shared" si="2"/>
        <v>96</v>
      </c>
      <c r="K105" s="133"/>
      <c r="L105" s="136"/>
      <c r="M105" s="135"/>
      <c r="N105" s="136"/>
    </row>
    <row r="106" spans="1:14" x14ac:dyDescent="0.25">
      <c r="A106" s="15"/>
      <c r="B106" s="116"/>
      <c r="C106" s="125"/>
      <c r="D106" s="133"/>
      <c r="E106" s="135"/>
      <c r="F106" s="137"/>
      <c r="G106" s="133"/>
      <c r="H106" s="136"/>
      <c r="I106" s="135"/>
      <c r="J106" s="14">
        <f t="shared" si="2"/>
        <v>96</v>
      </c>
      <c r="K106" s="133"/>
      <c r="L106" s="136"/>
      <c r="M106" s="135"/>
      <c r="N106" s="136"/>
    </row>
    <row r="107" spans="1:14" x14ac:dyDescent="0.25">
      <c r="A107" s="15"/>
      <c r="B107" s="116"/>
      <c r="C107" s="125"/>
      <c r="D107" s="133"/>
      <c r="E107" s="135"/>
      <c r="F107" s="137"/>
      <c r="G107" s="133"/>
      <c r="H107" s="136"/>
      <c r="I107" s="135"/>
      <c r="J107" s="14">
        <f t="shared" si="2"/>
        <v>96</v>
      </c>
      <c r="K107" s="133"/>
      <c r="L107" s="136"/>
      <c r="M107" s="135"/>
      <c r="N107" s="136"/>
    </row>
    <row r="108" spans="1:14" x14ac:dyDescent="0.25">
      <c r="A108" s="15"/>
      <c r="B108" s="116"/>
      <c r="C108" s="125"/>
      <c r="D108" s="133"/>
      <c r="E108" s="135"/>
      <c r="F108" s="137"/>
      <c r="G108" s="133"/>
      <c r="H108" s="136"/>
      <c r="I108" s="135"/>
      <c r="J108" s="14">
        <f t="shared" si="2"/>
        <v>96</v>
      </c>
      <c r="K108" s="133"/>
      <c r="L108" s="136"/>
      <c r="M108" s="135"/>
      <c r="N108" s="136"/>
    </row>
    <row r="109" spans="1:14" x14ac:dyDescent="0.25">
      <c r="A109" s="15"/>
      <c r="B109" s="116"/>
      <c r="C109" s="125"/>
      <c r="D109" s="133"/>
      <c r="E109" s="135"/>
      <c r="F109" s="137"/>
      <c r="G109" s="133"/>
      <c r="H109" s="136"/>
      <c r="I109" s="135"/>
      <c r="J109" s="14">
        <f t="shared" si="2"/>
        <v>96</v>
      </c>
      <c r="K109" s="133"/>
      <c r="L109" s="136"/>
      <c r="M109" s="135"/>
      <c r="N109" s="136"/>
    </row>
    <row r="110" spans="1:14" x14ac:dyDescent="0.25">
      <c r="A110" s="15"/>
      <c r="B110" s="116"/>
      <c r="C110" s="125"/>
      <c r="D110" s="133"/>
      <c r="E110" s="135"/>
      <c r="F110" s="137"/>
      <c r="G110" s="133"/>
      <c r="H110" s="136"/>
      <c r="I110" s="135"/>
      <c r="J110" s="14">
        <f t="shared" si="2"/>
        <v>96</v>
      </c>
      <c r="K110" s="133"/>
      <c r="L110" s="136"/>
      <c r="M110" s="135"/>
      <c r="N110" s="136"/>
    </row>
    <row r="111" spans="1:14" x14ac:dyDescent="0.25">
      <c r="A111" s="15"/>
      <c r="B111" s="116"/>
      <c r="C111" s="125"/>
      <c r="D111" s="133"/>
      <c r="E111" s="135"/>
      <c r="F111" s="137"/>
      <c r="G111" s="133"/>
      <c r="H111" s="136"/>
      <c r="I111" s="135"/>
      <c r="J111" s="14">
        <f t="shared" si="2"/>
        <v>96</v>
      </c>
      <c r="K111" s="133"/>
      <c r="L111" s="136"/>
      <c r="M111" s="135"/>
      <c r="N111" s="136"/>
    </row>
    <row r="112" spans="1:14" x14ac:dyDescent="0.25">
      <c r="A112" s="15"/>
      <c r="B112" s="116"/>
      <c r="C112" s="125"/>
      <c r="D112" s="133"/>
      <c r="E112" s="135"/>
      <c r="F112" s="137"/>
      <c r="G112" s="133"/>
      <c r="H112" s="136"/>
      <c r="I112" s="135"/>
      <c r="J112" s="14">
        <f t="shared" si="2"/>
        <v>96</v>
      </c>
      <c r="K112" s="133"/>
      <c r="L112" s="136"/>
      <c r="M112" s="135"/>
      <c r="N112" s="136"/>
    </row>
    <row r="113" spans="1:14" x14ac:dyDescent="0.25">
      <c r="A113" s="15"/>
      <c r="B113" s="116"/>
      <c r="C113" s="125"/>
      <c r="D113" s="133"/>
      <c r="E113" s="135"/>
      <c r="F113" s="137"/>
      <c r="G113" s="133"/>
      <c r="H113" s="136"/>
      <c r="I113" s="135"/>
      <c r="J113" s="14">
        <f t="shared" si="2"/>
        <v>96</v>
      </c>
      <c r="K113" s="133"/>
      <c r="L113" s="136"/>
      <c r="M113" s="135"/>
      <c r="N113" s="136"/>
    </row>
    <row r="114" spans="1:14" x14ac:dyDescent="0.25">
      <c r="A114" s="15"/>
      <c r="B114" s="116"/>
      <c r="C114" s="125"/>
      <c r="D114" s="133"/>
      <c r="E114" s="135"/>
      <c r="F114" s="137"/>
      <c r="G114" s="133"/>
      <c r="H114" s="136"/>
      <c r="I114" s="135"/>
      <c r="J114" s="14">
        <f t="shared" si="2"/>
        <v>96</v>
      </c>
      <c r="K114" s="133"/>
      <c r="L114" s="136"/>
      <c r="M114" s="135"/>
      <c r="N114" s="136"/>
    </row>
    <row r="115" spans="1:14" x14ac:dyDescent="0.25">
      <c r="A115" s="15"/>
      <c r="B115" s="116"/>
      <c r="C115" s="125"/>
      <c r="D115" s="133"/>
      <c r="E115" s="135"/>
      <c r="F115" s="137"/>
      <c r="G115" s="133"/>
      <c r="H115" s="136"/>
      <c r="I115" s="135"/>
      <c r="J115" s="14">
        <f t="shared" si="2"/>
        <v>96</v>
      </c>
      <c r="K115" s="133"/>
      <c r="L115" s="136"/>
      <c r="M115" s="135"/>
      <c r="N115" s="136"/>
    </row>
    <row r="116" spans="1:14" x14ac:dyDescent="0.25">
      <c r="A116" s="15"/>
      <c r="B116" s="116"/>
      <c r="C116" s="125"/>
      <c r="D116" s="133"/>
      <c r="E116" s="135"/>
      <c r="F116" s="137"/>
      <c r="G116" s="133"/>
      <c r="H116" s="136"/>
      <c r="I116" s="135"/>
      <c r="J116" s="14">
        <f t="shared" si="2"/>
        <v>96</v>
      </c>
      <c r="K116" s="133"/>
      <c r="L116" s="136"/>
      <c r="M116" s="135"/>
      <c r="N116" s="136"/>
    </row>
    <row r="117" spans="1:14" x14ac:dyDescent="0.25">
      <c r="A117" s="15"/>
      <c r="B117" s="116"/>
      <c r="C117" s="125"/>
      <c r="D117" s="133"/>
      <c r="E117" s="135"/>
      <c r="F117" s="137"/>
      <c r="G117" s="133"/>
      <c r="H117" s="136"/>
      <c r="I117" s="135"/>
      <c r="J117" s="14">
        <f t="shared" si="2"/>
        <v>96</v>
      </c>
      <c r="K117" s="133"/>
      <c r="L117" s="136"/>
      <c r="M117" s="135"/>
      <c r="N117" s="136"/>
    </row>
    <row r="118" spans="1:14" x14ac:dyDescent="0.25">
      <c r="A118" s="15"/>
      <c r="B118" s="116"/>
      <c r="C118" s="125"/>
      <c r="D118" s="133"/>
      <c r="E118" s="135"/>
      <c r="F118" s="137"/>
      <c r="G118" s="133"/>
      <c r="H118" s="136"/>
      <c r="I118" s="135"/>
      <c r="J118" s="14">
        <f t="shared" si="2"/>
        <v>96</v>
      </c>
      <c r="K118" s="133"/>
      <c r="L118" s="136"/>
      <c r="M118" s="135"/>
      <c r="N118" s="136"/>
    </row>
    <row r="119" spans="1:14" x14ac:dyDescent="0.25">
      <c r="A119" s="15"/>
      <c r="B119" s="116"/>
      <c r="C119" s="125"/>
      <c r="D119" s="133"/>
      <c r="E119" s="135"/>
      <c r="F119" s="137"/>
      <c r="G119" s="133"/>
      <c r="H119" s="136"/>
      <c r="I119" s="135"/>
      <c r="J119" s="14">
        <f t="shared" si="2"/>
        <v>96</v>
      </c>
      <c r="K119" s="133"/>
      <c r="L119" s="136"/>
      <c r="M119" s="135"/>
      <c r="N119" s="136"/>
    </row>
    <row r="120" spans="1:14" x14ac:dyDescent="0.25">
      <c r="A120" s="15"/>
      <c r="B120" s="116"/>
      <c r="C120" s="125"/>
      <c r="D120" s="133"/>
      <c r="E120" s="135"/>
      <c r="F120" s="137"/>
      <c r="G120" s="133"/>
      <c r="H120" s="136"/>
      <c r="I120" s="135"/>
      <c r="J120" s="14">
        <f t="shared" si="2"/>
        <v>96</v>
      </c>
      <c r="K120" s="133"/>
      <c r="L120" s="136"/>
      <c r="M120" s="135"/>
      <c r="N120" s="136"/>
    </row>
    <row r="121" spans="1:14" x14ac:dyDescent="0.25">
      <c r="A121" s="15"/>
      <c r="B121" s="116"/>
      <c r="C121" s="125"/>
      <c r="D121" s="133"/>
      <c r="E121" s="135"/>
      <c r="F121" s="137"/>
      <c r="G121" s="133"/>
      <c r="H121" s="136"/>
      <c r="I121" s="135"/>
      <c r="J121" s="14">
        <f t="shared" si="2"/>
        <v>96</v>
      </c>
      <c r="K121" s="133"/>
      <c r="L121" s="136"/>
      <c r="M121" s="135"/>
      <c r="N121" s="136"/>
    </row>
    <row r="122" spans="1:14" x14ac:dyDescent="0.25">
      <c r="A122" s="15"/>
      <c r="B122" s="116"/>
      <c r="C122" s="125"/>
      <c r="D122" s="133"/>
      <c r="E122" s="135"/>
      <c r="F122" s="137"/>
      <c r="G122" s="133"/>
      <c r="H122" s="136"/>
      <c r="I122" s="135"/>
      <c r="J122" s="14">
        <f t="shared" si="2"/>
        <v>96</v>
      </c>
      <c r="K122" s="133"/>
      <c r="L122" s="136"/>
      <c r="M122" s="135"/>
      <c r="N122" s="136"/>
    </row>
    <row r="123" spans="1:14" x14ac:dyDescent="0.25">
      <c r="A123" s="15"/>
      <c r="B123" s="116"/>
      <c r="C123" s="125"/>
      <c r="D123" s="133"/>
      <c r="E123" s="135"/>
      <c r="F123" s="137"/>
      <c r="G123" s="133"/>
      <c r="H123" s="136"/>
      <c r="I123" s="135"/>
      <c r="J123" s="14">
        <f t="shared" si="2"/>
        <v>96</v>
      </c>
      <c r="K123" s="133"/>
      <c r="L123" s="136"/>
      <c r="M123" s="135"/>
      <c r="N123" s="136"/>
    </row>
    <row r="124" spans="1:14" x14ac:dyDescent="0.25">
      <c r="A124" s="15"/>
      <c r="B124" s="116"/>
      <c r="C124" s="125"/>
      <c r="D124" s="133"/>
      <c r="E124" s="135"/>
      <c r="F124" s="137"/>
      <c r="G124" s="133"/>
      <c r="H124" s="136"/>
      <c r="I124" s="135"/>
      <c r="J124" s="14">
        <f t="shared" si="2"/>
        <v>96</v>
      </c>
      <c r="K124" s="133"/>
      <c r="L124" s="136"/>
      <c r="M124" s="135"/>
      <c r="N124" s="136"/>
    </row>
  </sheetData>
  <sortState xmlns:xlrd2="http://schemas.microsoft.com/office/spreadsheetml/2017/richdata2" ref="A26:C124">
    <sortCondition ref="A26:A124"/>
  </sortState>
  <mergeCells count="9">
    <mergeCell ref="K22:N22"/>
    <mergeCell ref="G22:J22"/>
    <mergeCell ref="E22:E23"/>
    <mergeCell ref="D22:D23"/>
    <mergeCell ref="A22:A23"/>
    <mergeCell ref="B22:B23"/>
    <mergeCell ref="C22:C23"/>
    <mergeCell ref="F22:F23"/>
    <mergeCell ref="F1:H1"/>
  </mergeCells>
  <phoneticPr fontId="13"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DD6C-7448-438F-B919-231ECF2FC0D4}">
  <sheetPr codeName="Sheet4">
    <tabColor rgb="FF002060"/>
  </sheetPr>
  <dimension ref="A1:CB1183"/>
  <sheetViews>
    <sheetView showGridLines="0" topLeftCell="A516" zoomScale="115" zoomScaleNormal="115" zoomScalePageLayoutView="85" workbookViewId="0">
      <selection activeCell="H549" sqref="H549:I549"/>
    </sheetView>
  </sheetViews>
  <sheetFormatPr defaultColWidth="0" defaultRowHeight="0" customHeight="1" zeroHeight="1" x14ac:dyDescent="0.2"/>
  <cols>
    <col min="1" max="70" width="2.7109375" style="4" customWidth="1"/>
    <col min="71" max="77" width="2.7109375" style="16" customWidth="1"/>
    <col min="78" max="16384" width="2.7109375" style="4" hidden="1"/>
  </cols>
  <sheetData>
    <row r="1" spans="1:77" ht="15" customHeight="1" x14ac:dyDescent="0.25">
      <c r="A1" s="99"/>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281" t="s">
        <v>21</v>
      </c>
      <c r="BG1" s="281"/>
      <c r="BH1" s="281"/>
      <c r="BI1" s="281"/>
      <c r="BJ1" s="281"/>
      <c r="BK1" s="281"/>
      <c r="BL1" s="281"/>
      <c r="BM1" s="281"/>
      <c r="BN1" s="281"/>
      <c r="BO1" s="281"/>
      <c r="BP1" s="281"/>
      <c r="BQ1" s="282"/>
      <c r="BR1" s="283" t="s">
        <v>22</v>
      </c>
      <c r="BS1" s="284"/>
      <c r="BT1" s="284"/>
      <c r="BU1" s="284"/>
      <c r="BV1" s="285"/>
      <c r="BW1" s="285"/>
      <c r="BX1" s="285"/>
      <c r="BY1" s="285"/>
    </row>
    <row r="2" spans="1:77" ht="15" customHeight="1" x14ac:dyDescent="0.25">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281"/>
      <c r="BG2" s="281"/>
      <c r="BH2" s="281"/>
      <c r="BI2" s="281"/>
      <c r="BJ2" s="281"/>
      <c r="BK2" s="281"/>
      <c r="BL2" s="281"/>
      <c r="BM2" s="281"/>
      <c r="BN2" s="281"/>
      <c r="BO2" s="281"/>
      <c r="BP2" s="281"/>
      <c r="BQ2" s="282"/>
      <c r="BR2" s="283" t="s">
        <v>23</v>
      </c>
      <c r="BS2" s="284"/>
      <c r="BT2" s="284"/>
      <c r="BU2" s="284"/>
      <c r="BV2" s="285" t="str">
        <f>Inputs!B15</f>
        <v>NCB</v>
      </c>
      <c r="BW2" s="285"/>
      <c r="BX2" s="285"/>
      <c r="BY2" s="285"/>
    </row>
    <row r="3" spans="1:77" ht="15" customHeight="1" x14ac:dyDescent="0.25">
      <c r="A3" s="99"/>
      <c r="B3" s="99"/>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283" t="s">
        <v>24</v>
      </c>
      <c r="BS3" s="284"/>
      <c r="BT3" s="284"/>
      <c r="BU3" s="284"/>
      <c r="BV3" s="287">
        <f>Inputs!B16</f>
        <v>46006</v>
      </c>
      <c r="BW3" s="287"/>
      <c r="BX3" s="287"/>
      <c r="BY3" s="287"/>
    </row>
    <row r="4" spans="1:77" ht="15" customHeight="1" x14ac:dyDescent="0.2">
      <c r="A4" s="303" t="s">
        <v>25</v>
      </c>
      <c r="B4" s="304"/>
      <c r="C4" s="304"/>
      <c r="D4" s="304"/>
      <c r="E4" s="305" t="str">
        <f>Inputs!B12</f>
        <v>North Connector Bridge</v>
      </c>
      <c r="F4" s="305"/>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c r="AL4" s="305"/>
      <c r="AM4" s="305"/>
      <c r="AN4" s="305"/>
      <c r="AO4" s="305"/>
      <c r="AP4" s="305"/>
      <c r="AQ4" s="305"/>
      <c r="AR4" s="305"/>
      <c r="AS4" s="305"/>
      <c r="AT4" s="305"/>
      <c r="AU4" s="305"/>
      <c r="AV4" s="305"/>
      <c r="AW4" s="305"/>
      <c r="AX4" s="305"/>
      <c r="AY4" s="305"/>
      <c r="AZ4" s="305"/>
      <c r="BA4" s="305"/>
      <c r="BB4" s="305"/>
      <c r="BC4" s="305"/>
      <c r="BD4" s="305"/>
      <c r="BE4" s="305"/>
      <c r="BF4" s="305"/>
      <c r="BG4" s="305"/>
      <c r="BH4" s="305"/>
      <c r="BI4" s="305"/>
      <c r="BJ4" s="305"/>
      <c r="BK4" s="305"/>
      <c r="BL4" s="305"/>
      <c r="BM4" s="305"/>
      <c r="BN4" s="305"/>
      <c r="BO4" s="305"/>
      <c r="BP4" s="305"/>
      <c r="BQ4" s="306"/>
      <c r="BR4" s="283" t="s">
        <v>26</v>
      </c>
      <c r="BS4" s="284"/>
      <c r="BT4" s="284"/>
      <c r="BU4" s="284"/>
      <c r="BV4" s="307" t="str">
        <f>Inputs!B17</f>
        <v>DA</v>
      </c>
      <c r="BW4" s="307"/>
      <c r="BX4" s="307"/>
      <c r="BY4" s="307"/>
    </row>
    <row r="5" spans="1:77" ht="15" customHeight="1" x14ac:dyDescent="0.2">
      <c r="A5" s="303" t="s">
        <v>27</v>
      </c>
      <c r="B5" s="304"/>
      <c r="C5" s="304"/>
      <c r="D5" s="304"/>
      <c r="E5" s="305">
        <f>Inputs!B13</f>
        <v>405845</v>
      </c>
      <c r="F5" s="305"/>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6"/>
      <c r="BR5" s="283" t="s">
        <v>24</v>
      </c>
      <c r="BS5" s="284"/>
      <c r="BT5" s="284"/>
      <c r="BU5" s="284"/>
      <c r="BV5" s="287">
        <f>Inputs!B18</f>
        <v>46009</v>
      </c>
      <c r="BW5" s="287"/>
      <c r="BX5" s="287"/>
      <c r="BY5" s="287"/>
    </row>
    <row r="6" spans="1:77" ht="15" customHeight="1" thickBot="1" x14ac:dyDescent="0.25">
      <c r="A6" s="296" t="s">
        <v>28</v>
      </c>
      <c r="B6" s="297"/>
      <c r="C6" s="297"/>
      <c r="D6" s="297"/>
      <c r="E6" s="298" t="str">
        <f>Inputs!B14&amp;" Strength 1 Flexure Check"</f>
        <v>C.1 Strength 1 Flexure Check</v>
      </c>
      <c r="F6" s="298"/>
      <c r="G6" s="298"/>
      <c r="H6" s="298"/>
      <c r="I6" s="298"/>
      <c r="J6" s="298"/>
      <c r="K6" s="298"/>
      <c r="L6" s="298"/>
      <c r="M6" s="298"/>
      <c r="N6" s="298"/>
      <c r="O6" s="298"/>
      <c r="P6" s="298"/>
      <c r="Q6" s="298"/>
      <c r="R6" s="298"/>
      <c r="S6" s="298"/>
      <c r="T6" s="298"/>
      <c r="U6" s="298"/>
      <c r="V6" s="298"/>
      <c r="W6" s="298"/>
      <c r="X6" s="298"/>
      <c r="Y6" s="298"/>
      <c r="Z6" s="298"/>
      <c r="AA6" s="298"/>
      <c r="AB6" s="298"/>
      <c r="AC6" s="298"/>
      <c r="AD6" s="298"/>
      <c r="AE6" s="298"/>
      <c r="AF6" s="298"/>
      <c r="AG6" s="298"/>
      <c r="AH6" s="298"/>
      <c r="AI6" s="298"/>
      <c r="AJ6" s="298"/>
      <c r="AK6" s="298"/>
      <c r="AL6" s="298"/>
      <c r="AM6" s="298"/>
      <c r="AN6" s="298"/>
      <c r="AO6" s="298"/>
      <c r="AP6" s="298"/>
      <c r="AQ6" s="298"/>
      <c r="AR6" s="298"/>
      <c r="AS6" s="298"/>
      <c r="AT6" s="298"/>
      <c r="AU6" s="298"/>
      <c r="AV6" s="298"/>
      <c r="AW6" s="298"/>
      <c r="AX6" s="298"/>
      <c r="AY6" s="298"/>
      <c r="AZ6" s="298"/>
      <c r="BA6" s="298"/>
      <c r="BB6" s="298"/>
      <c r="BC6" s="298"/>
      <c r="BD6" s="298"/>
      <c r="BE6" s="298"/>
      <c r="BF6" s="298"/>
      <c r="BG6" s="298"/>
      <c r="BH6" s="298"/>
      <c r="BI6" s="298"/>
      <c r="BJ6" s="298"/>
      <c r="BK6" s="298"/>
      <c r="BL6" s="298"/>
      <c r="BM6" s="298"/>
      <c r="BN6" s="298"/>
      <c r="BO6" s="298"/>
      <c r="BP6" s="298"/>
      <c r="BQ6" s="299"/>
      <c r="BR6" s="300" t="s">
        <v>29</v>
      </c>
      <c r="BS6" s="301"/>
      <c r="BT6" s="301"/>
      <c r="BU6" s="301"/>
      <c r="BV6" s="302">
        <f>Inputs!B19</f>
        <v>1</v>
      </c>
      <c r="BW6" s="302"/>
      <c r="BX6" s="302"/>
      <c r="BY6" s="302"/>
    </row>
    <row r="7" spans="1:77" ht="15" customHeight="1" thickTop="1" x14ac:dyDescent="0.2">
      <c r="BS7" s="4"/>
      <c r="BT7" s="4"/>
      <c r="BU7" s="4"/>
      <c r="BV7" s="4"/>
      <c r="BW7" s="4"/>
      <c r="BX7" s="4"/>
      <c r="BY7" s="4"/>
    </row>
    <row r="8" spans="1:77" ht="15" customHeight="1" x14ac:dyDescent="0.2">
      <c r="A8" s="308" t="str">
        <f>Inputs!B14&amp;" Factored Flexural Resistance of Post-Tensioned Multicell Box Girder "</f>
        <v xml:space="preserve">C.1 Factored Flexural Resistance of Post-Tensioned Multicell Box Girder </v>
      </c>
      <c r="B8" s="308"/>
      <c r="C8" s="308"/>
      <c r="D8" s="308"/>
      <c r="E8" s="308"/>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4"/>
      <c r="BT8" s="4"/>
      <c r="BU8" s="4"/>
      <c r="BV8" s="4"/>
      <c r="BW8" s="4"/>
      <c r="BX8" s="4"/>
      <c r="BY8" s="4"/>
    </row>
    <row r="9" spans="1:77" ht="15" customHeight="1" x14ac:dyDescent="0.2">
      <c r="A9" s="309"/>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09"/>
      <c r="AW9" s="309"/>
      <c r="AX9" s="309"/>
      <c r="AY9" s="309"/>
      <c r="AZ9" s="309"/>
      <c r="BA9" s="309"/>
      <c r="BB9" s="309"/>
      <c r="BC9" s="309"/>
      <c r="BD9" s="309"/>
      <c r="BE9" s="309"/>
      <c r="BF9" s="309"/>
      <c r="BG9" s="309"/>
      <c r="BH9" s="309"/>
      <c r="BI9" s="309"/>
      <c r="BJ9" s="309"/>
      <c r="BK9" s="309"/>
      <c r="BL9" s="309"/>
      <c r="BM9" s="309"/>
      <c r="BN9" s="309"/>
      <c r="BO9" s="309"/>
      <c r="BP9" s="309"/>
      <c r="BQ9" s="309"/>
      <c r="BR9" s="309"/>
      <c r="BS9" s="286" t="s">
        <v>30</v>
      </c>
      <c r="BT9" s="286"/>
      <c r="BU9" s="286"/>
      <c r="BV9" s="286"/>
      <c r="BW9" s="286"/>
      <c r="BX9" s="286"/>
      <c r="BY9" s="286"/>
    </row>
    <row r="10" spans="1:77" ht="15" customHeight="1" x14ac:dyDescent="0.3">
      <c r="A10" s="53"/>
      <c r="B10" s="47"/>
      <c r="C10" s="311">
        <v>1</v>
      </c>
      <c r="D10" s="312"/>
      <c r="E10" s="310" t="s">
        <v>139</v>
      </c>
      <c r="F10" s="310"/>
      <c r="G10" s="310"/>
      <c r="H10" s="310"/>
      <c r="I10" s="310"/>
      <c r="J10" s="310"/>
      <c r="K10" s="310"/>
      <c r="L10" s="310"/>
      <c r="M10" s="310"/>
      <c r="N10" s="310"/>
      <c r="O10" s="310"/>
      <c r="P10" s="310"/>
      <c r="Q10" s="310"/>
      <c r="R10" s="310"/>
      <c r="S10" s="310"/>
      <c r="T10" s="310"/>
      <c r="U10" s="310"/>
      <c r="V10" s="310"/>
      <c r="W10" s="310"/>
      <c r="X10" s="310"/>
      <c r="Y10" s="310"/>
      <c r="Z10" s="310"/>
      <c r="AA10" s="310"/>
      <c r="AB10" s="310"/>
      <c r="AC10" s="310"/>
      <c r="AD10" s="310"/>
      <c r="AE10" s="310"/>
      <c r="AF10" s="310"/>
      <c r="AG10" s="310"/>
      <c r="AH10" s="310"/>
      <c r="AI10" s="310"/>
      <c r="AJ10" s="310"/>
      <c r="AK10" s="310"/>
      <c r="AL10" s="310"/>
      <c r="AM10" s="310"/>
      <c r="AN10" s="310"/>
      <c r="AO10" s="310"/>
      <c r="AP10" s="310"/>
      <c r="AQ10" s="310"/>
      <c r="AR10" s="310"/>
      <c r="AS10" s="310"/>
      <c r="AT10" s="310"/>
      <c r="AU10" s="310"/>
      <c r="AV10" s="310"/>
      <c r="AW10" s="310"/>
      <c r="AX10" s="310"/>
      <c r="AY10" s="310"/>
      <c r="AZ10" s="310"/>
      <c r="BA10" s="310"/>
      <c r="BB10" s="310"/>
      <c r="BC10" s="310"/>
      <c r="BD10" s="310"/>
      <c r="BE10" s="310"/>
      <c r="BF10" s="310"/>
      <c r="BG10" s="310"/>
      <c r="BH10" s="310"/>
      <c r="BI10" s="310"/>
      <c r="BJ10" s="310"/>
      <c r="BK10" s="310"/>
      <c r="BL10" s="310"/>
      <c r="BM10" s="310"/>
      <c r="BN10" s="310"/>
      <c r="BO10" s="310"/>
      <c r="BP10" s="310"/>
      <c r="BQ10" s="310"/>
      <c r="BR10" s="54"/>
      <c r="BS10" s="48"/>
      <c r="BT10" s="48"/>
      <c r="BU10" s="48"/>
      <c r="BV10" s="48"/>
      <c r="BW10" s="48"/>
      <c r="BX10" s="48"/>
      <c r="BY10" s="48"/>
    </row>
    <row r="11" spans="1:77" ht="15" customHeight="1" x14ac:dyDescent="0.3">
      <c r="A11" s="47"/>
      <c r="B11" s="47"/>
      <c r="C11" s="313"/>
      <c r="D11" s="314"/>
      <c r="E11" s="308"/>
      <c r="F11" s="308"/>
      <c r="G11" s="308"/>
      <c r="H11" s="308"/>
      <c r="I11" s="308"/>
      <c r="J11" s="308"/>
      <c r="K11" s="308"/>
      <c r="L11" s="308"/>
      <c r="M11" s="308"/>
      <c r="N11" s="308"/>
      <c r="O11" s="308"/>
      <c r="P11" s="308"/>
      <c r="Q11" s="308"/>
      <c r="R11" s="308"/>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c r="AT11" s="308"/>
      <c r="AU11" s="308"/>
      <c r="AV11" s="308"/>
      <c r="AW11" s="308"/>
      <c r="AX11" s="308"/>
      <c r="AY11" s="308"/>
      <c r="AZ11" s="308"/>
      <c r="BA11" s="308"/>
      <c r="BB11" s="308"/>
      <c r="BC11" s="308"/>
      <c r="BD11" s="308"/>
      <c r="BE11" s="308"/>
      <c r="BF11" s="308"/>
      <c r="BG11" s="308"/>
      <c r="BH11" s="308"/>
      <c r="BI11" s="308"/>
      <c r="BJ11" s="308"/>
      <c r="BK11" s="308"/>
      <c r="BL11" s="308"/>
      <c r="BM11" s="308"/>
      <c r="BN11" s="308"/>
      <c r="BO11" s="308"/>
      <c r="BP11" s="308"/>
      <c r="BQ11" s="308"/>
      <c r="BR11" s="53"/>
      <c r="BS11" s="48"/>
      <c r="BT11" s="48"/>
      <c r="BU11" s="48"/>
      <c r="BV11" s="48"/>
      <c r="BW11" s="48"/>
      <c r="BX11" s="48"/>
      <c r="BY11" s="48"/>
    </row>
    <row r="12" spans="1:77" ht="15" customHeight="1" x14ac:dyDescent="0.2">
      <c r="A12" s="47"/>
      <c r="B12" s="47"/>
      <c r="C12" s="69"/>
      <c r="D12" s="100"/>
      <c r="E12" s="268" t="s">
        <v>300</v>
      </c>
      <c r="F12" s="268"/>
      <c r="G12" s="268"/>
      <c r="H12" s="268"/>
      <c r="I12" s="268"/>
      <c r="J12" s="268"/>
      <c r="K12" s="268"/>
      <c r="L12" s="268"/>
      <c r="M12" s="268"/>
      <c r="N12" s="268"/>
      <c r="O12" s="268"/>
      <c r="P12" s="268"/>
      <c r="Q12" s="268"/>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8"/>
      <c r="BK12" s="268"/>
      <c r="BL12" s="268"/>
      <c r="BM12" s="268"/>
      <c r="BN12" s="268"/>
      <c r="BO12" s="268"/>
      <c r="BP12" s="268"/>
      <c r="BQ12" s="268"/>
      <c r="BR12" s="63"/>
      <c r="BS12" s="48"/>
      <c r="BT12" s="48"/>
      <c r="BU12" s="48"/>
      <c r="BV12" s="48"/>
      <c r="BW12" s="48"/>
      <c r="BX12" s="48"/>
      <c r="BY12" s="48"/>
    </row>
    <row r="13" spans="1:77" ht="15" customHeight="1" x14ac:dyDescent="0.2">
      <c r="A13" s="47"/>
      <c r="B13" s="47"/>
      <c r="C13" s="101"/>
      <c r="D13" s="100"/>
      <c r="E13" s="268"/>
      <c r="F13" s="268"/>
      <c r="G13" s="268"/>
      <c r="H13" s="268"/>
      <c r="I13" s="268"/>
      <c r="J13" s="268"/>
      <c r="K13" s="268"/>
      <c r="L13" s="268"/>
      <c r="M13" s="268"/>
      <c r="N13" s="268"/>
      <c r="O13" s="268"/>
      <c r="P13" s="268"/>
      <c r="Q13" s="268"/>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8"/>
      <c r="BD13" s="268"/>
      <c r="BE13" s="268"/>
      <c r="BF13" s="268"/>
      <c r="BG13" s="268"/>
      <c r="BH13" s="268"/>
      <c r="BI13" s="268"/>
      <c r="BJ13" s="268"/>
      <c r="BK13" s="268"/>
      <c r="BL13" s="268"/>
      <c r="BM13" s="268"/>
      <c r="BN13" s="268"/>
      <c r="BO13" s="268"/>
      <c r="BP13" s="268"/>
      <c r="BQ13" s="268"/>
      <c r="BR13" s="63"/>
      <c r="BS13" s="48"/>
      <c r="BT13" s="48"/>
      <c r="BU13" s="48"/>
      <c r="BV13" s="48"/>
      <c r="BW13" s="48"/>
      <c r="BX13" s="48"/>
      <c r="BY13" s="48"/>
    </row>
    <row r="14" spans="1:77" ht="15" customHeight="1" x14ac:dyDescent="0.2">
      <c r="A14" s="47"/>
      <c r="B14" s="47"/>
      <c r="C14" s="101"/>
      <c r="D14" s="100"/>
      <c r="E14" s="268"/>
      <c r="F14" s="268"/>
      <c r="G14" s="268"/>
      <c r="H14" s="268"/>
      <c r="I14" s="268"/>
      <c r="J14" s="268"/>
      <c r="K14" s="268"/>
      <c r="L14" s="268"/>
      <c r="M14" s="268"/>
      <c r="N14" s="268"/>
      <c r="O14" s="268"/>
      <c r="P14" s="268"/>
      <c r="Q14" s="268"/>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8"/>
      <c r="BK14" s="268"/>
      <c r="BL14" s="268"/>
      <c r="BM14" s="268"/>
      <c r="BN14" s="268"/>
      <c r="BO14" s="268"/>
      <c r="BP14" s="268"/>
      <c r="BQ14" s="268"/>
      <c r="BR14" s="63"/>
      <c r="BS14" s="48"/>
      <c r="BT14" s="48"/>
      <c r="BU14" s="48"/>
      <c r="BV14" s="48"/>
      <c r="BW14" s="48"/>
      <c r="BX14" s="48"/>
      <c r="BY14" s="48"/>
    </row>
    <row r="15" spans="1:77" ht="15" customHeight="1" x14ac:dyDescent="0.2">
      <c r="A15" s="47"/>
      <c r="B15" s="47"/>
      <c r="C15" s="101"/>
      <c r="D15" s="100"/>
      <c r="E15" s="268"/>
      <c r="F15" s="268"/>
      <c r="G15" s="268"/>
      <c r="H15" s="268"/>
      <c r="I15" s="268"/>
      <c r="J15" s="268"/>
      <c r="K15" s="268"/>
      <c r="L15" s="268"/>
      <c r="M15" s="268"/>
      <c r="N15" s="268"/>
      <c r="O15" s="268"/>
      <c r="P15" s="268"/>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8"/>
      <c r="BD15" s="268"/>
      <c r="BE15" s="268"/>
      <c r="BF15" s="268"/>
      <c r="BG15" s="268"/>
      <c r="BH15" s="268"/>
      <c r="BI15" s="268"/>
      <c r="BJ15" s="268"/>
      <c r="BK15" s="268"/>
      <c r="BL15" s="268"/>
      <c r="BM15" s="268"/>
      <c r="BN15" s="268"/>
      <c r="BO15" s="268"/>
      <c r="BP15" s="268"/>
      <c r="BQ15" s="268"/>
      <c r="BR15" s="63"/>
      <c r="BS15" s="48"/>
      <c r="BT15" s="48"/>
      <c r="BU15" s="48"/>
      <c r="BV15" s="48"/>
      <c r="BW15" s="48"/>
      <c r="BX15" s="48"/>
      <c r="BY15" s="48"/>
    </row>
    <row r="16" spans="1:77" ht="15" customHeight="1" x14ac:dyDescent="0.2">
      <c r="A16" s="47"/>
      <c r="B16" s="47"/>
      <c r="C16" s="101"/>
      <c r="D16" s="100"/>
      <c r="E16" s="268"/>
      <c r="F16" s="268"/>
      <c r="G16" s="268"/>
      <c r="H16" s="268"/>
      <c r="I16" s="268"/>
      <c r="J16" s="268"/>
      <c r="K16" s="268"/>
      <c r="L16" s="268"/>
      <c r="M16" s="268"/>
      <c r="N16" s="268"/>
      <c r="O16" s="268"/>
      <c r="P16" s="268"/>
      <c r="Q16" s="268"/>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8"/>
      <c r="BK16" s="268"/>
      <c r="BL16" s="268"/>
      <c r="BM16" s="268"/>
      <c r="BN16" s="268"/>
      <c r="BO16" s="268"/>
      <c r="BP16" s="268"/>
      <c r="BQ16" s="268"/>
      <c r="BR16" s="63"/>
      <c r="BS16" s="48"/>
      <c r="BT16" s="48"/>
      <c r="BU16" s="48"/>
      <c r="BV16" s="48"/>
      <c r="BW16" s="48"/>
      <c r="BX16" s="48"/>
      <c r="BY16" s="48"/>
    </row>
    <row r="17" spans="1:77" ht="15" customHeight="1" x14ac:dyDescent="0.2">
      <c r="A17" s="47"/>
      <c r="B17" s="47"/>
      <c r="C17" s="101"/>
      <c r="D17" s="100"/>
      <c r="E17" s="268"/>
      <c r="F17" s="268"/>
      <c r="G17" s="268"/>
      <c r="H17" s="268"/>
      <c r="I17" s="268"/>
      <c r="J17" s="268"/>
      <c r="K17" s="268"/>
      <c r="L17" s="268"/>
      <c r="M17" s="268"/>
      <c r="N17" s="268"/>
      <c r="O17" s="268"/>
      <c r="P17" s="268"/>
      <c r="Q17" s="268"/>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8"/>
      <c r="BP17" s="268"/>
      <c r="BQ17" s="268"/>
      <c r="BR17" s="63"/>
      <c r="BS17" s="48"/>
      <c r="BT17" s="48"/>
      <c r="BU17" s="48"/>
      <c r="BV17" s="48"/>
      <c r="BW17" s="48"/>
      <c r="BX17" s="48"/>
      <c r="BY17" s="48"/>
    </row>
    <row r="18" spans="1:77" ht="15" customHeight="1" x14ac:dyDescent="0.2">
      <c r="A18" s="47"/>
      <c r="B18" s="47"/>
      <c r="C18" s="294" t="s">
        <v>146</v>
      </c>
      <c r="D18" s="295"/>
      <c r="E18" s="295"/>
      <c r="F18" s="295"/>
      <c r="G18" s="289" t="s">
        <v>140</v>
      </c>
      <c r="H18" s="289"/>
      <c r="I18" s="289"/>
      <c r="J18" s="289"/>
      <c r="K18" s="289"/>
      <c r="L18" s="289"/>
      <c r="M18" s="289"/>
      <c r="N18" s="289"/>
      <c r="O18" s="289"/>
      <c r="P18" s="289"/>
      <c r="Q18" s="289"/>
      <c r="R18" s="289"/>
      <c r="S18" s="289"/>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89"/>
      <c r="AX18" s="289"/>
      <c r="AY18" s="289"/>
      <c r="AZ18" s="289"/>
      <c r="BA18" s="289"/>
      <c r="BB18" s="289"/>
      <c r="BC18" s="289"/>
      <c r="BD18" s="289"/>
      <c r="BE18" s="289"/>
      <c r="BF18" s="289"/>
      <c r="BG18" s="289"/>
      <c r="BH18" s="289"/>
      <c r="BI18" s="289"/>
      <c r="BJ18" s="289"/>
      <c r="BK18" s="289"/>
      <c r="BL18" s="289"/>
      <c r="BM18" s="289"/>
      <c r="BN18" s="289"/>
      <c r="BO18" s="289"/>
      <c r="BP18" s="289"/>
      <c r="BQ18" s="289"/>
      <c r="BR18" s="289"/>
      <c r="BS18" s="48"/>
      <c r="BT18" s="48"/>
      <c r="BU18" s="48"/>
      <c r="BV18" s="48"/>
      <c r="BW18" s="48"/>
      <c r="BX18" s="48"/>
      <c r="BY18" s="48"/>
    </row>
    <row r="19" spans="1:77" ht="15" customHeight="1" x14ac:dyDescent="0.2">
      <c r="A19" s="47"/>
      <c r="B19" s="47"/>
      <c r="C19" s="294"/>
      <c r="D19" s="295"/>
      <c r="E19" s="295"/>
      <c r="F19" s="295"/>
      <c r="G19" s="289"/>
      <c r="H19" s="289"/>
      <c r="I19" s="289"/>
      <c r="J19" s="289"/>
      <c r="K19" s="289"/>
      <c r="L19" s="289"/>
      <c r="M19" s="289"/>
      <c r="N19" s="289"/>
      <c r="O19" s="289"/>
      <c r="P19" s="289"/>
      <c r="Q19" s="289"/>
      <c r="R19" s="289"/>
      <c r="S19" s="289"/>
      <c r="T19" s="289"/>
      <c r="U19" s="289"/>
      <c r="V19" s="289"/>
      <c r="W19" s="289"/>
      <c r="X19" s="289"/>
      <c r="Y19" s="289"/>
      <c r="Z19" s="289"/>
      <c r="AA19" s="289"/>
      <c r="AB19" s="289"/>
      <c r="AC19" s="289"/>
      <c r="AD19" s="289"/>
      <c r="AE19" s="289"/>
      <c r="AF19" s="289"/>
      <c r="AG19" s="289"/>
      <c r="AH19" s="289"/>
      <c r="AI19" s="289"/>
      <c r="AJ19" s="289"/>
      <c r="AK19" s="289"/>
      <c r="AL19" s="289"/>
      <c r="AM19" s="289"/>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89"/>
      <c r="BK19" s="289"/>
      <c r="BL19" s="289"/>
      <c r="BM19" s="289"/>
      <c r="BN19" s="289"/>
      <c r="BO19" s="289"/>
      <c r="BP19" s="289"/>
      <c r="BQ19" s="289"/>
      <c r="BR19" s="289"/>
      <c r="BS19" s="48"/>
      <c r="BT19" s="48"/>
      <c r="BU19" s="48"/>
      <c r="BV19" s="48"/>
      <c r="BW19" s="48"/>
      <c r="BX19" s="48"/>
      <c r="BY19" s="48"/>
    </row>
    <row r="20" spans="1:77" ht="15" customHeight="1" x14ac:dyDescent="0.25">
      <c r="A20" s="47"/>
      <c r="B20" s="47"/>
      <c r="C20" s="55"/>
      <c r="D20" s="56"/>
      <c r="E20" s="56"/>
      <c r="G20" s="268" t="s">
        <v>301</v>
      </c>
      <c r="H20" s="268"/>
      <c r="I20" s="268"/>
      <c r="J20" s="268"/>
      <c r="K20" s="268"/>
      <c r="L20" s="268"/>
      <c r="M20" s="268"/>
      <c r="N20" s="268"/>
      <c r="O20" s="268"/>
      <c r="P20" s="268"/>
      <c r="Q20" s="268"/>
      <c r="R20" s="268"/>
      <c r="S20" s="268"/>
      <c r="T20" s="268"/>
      <c r="U20" s="268"/>
      <c r="V20" s="268"/>
      <c r="W20" s="268"/>
      <c r="X20" s="268"/>
      <c r="Y20" s="268"/>
      <c r="Z20" s="268"/>
      <c r="AA20" s="268"/>
      <c r="AB20" s="268"/>
      <c r="AC20" s="268"/>
      <c r="AD20" s="268"/>
      <c r="AE20" s="268"/>
      <c r="AF20" s="268"/>
      <c r="AG20" s="268"/>
      <c r="AH20" s="268"/>
      <c r="AI20" s="268"/>
      <c r="AJ20" s="268"/>
      <c r="AK20" s="268"/>
      <c r="AL20" s="268"/>
      <c r="AM20" s="268"/>
      <c r="AN20" s="268"/>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8"/>
      <c r="BP20" s="268"/>
      <c r="BQ20" s="268"/>
      <c r="BR20" s="63"/>
      <c r="BS20" s="48"/>
      <c r="BT20" s="48"/>
      <c r="BU20" s="48"/>
      <c r="BV20" s="48"/>
      <c r="BW20" s="48"/>
      <c r="BX20" s="48"/>
      <c r="BY20" s="48"/>
    </row>
    <row r="21" spans="1:77" ht="15" customHeight="1" x14ac:dyDescent="0.2">
      <c r="A21" s="47"/>
      <c r="B21" s="47"/>
      <c r="C21" s="60"/>
      <c r="D21" s="61"/>
      <c r="E21" s="61"/>
      <c r="F21" s="63"/>
      <c r="G21" s="268"/>
      <c r="H21" s="268"/>
      <c r="I21" s="268"/>
      <c r="J21" s="268"/>
      <c r="K21" s="268"/>
      <c r="L21" s="268"/>
      <c r="M21" s="268"/>
      <c r="N21" s="268"/>
      <c r="O21" s="268"/>
      <c r="P21" s="268"/>
      <c r="Q21" s="268"/>
      <c r="R21" s="268"/>
      <c r="S21" s="268"/>
      <c r="T21" s="268"/>
      <c r="U21" s="268"/>
      <c r="V21" s="268"/>
      <c r="W21" s="268"/>
      <c r="X21" s="268"/>
      <c r="Y21" s="268"/>
      <c r="Z21" s="268"/>
      <c r="AA21" s="268"/>
      <c r="AB21" s="268"/>
      <c r="AC21" s="268"/>
      <c r="AD21" s="268"/>
      <c r="AE21" s="268"/>
      <c r="AF21" s="268"/>
      <c r="AG21" s="268"/>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8"/>
      <c r="BP21" s="268"/>
      <c r="BQ21" s="268"/>
      <c r="BR21" s="63"/>
      <c r="BS21" s="48"/>
      <c r="BT21" s="48"/>
      <c r="BU21" s="48"/>
      <c r="BV21" s="48"/>
      <c r="BW21" s="48"/>
      <c r="BX21" s="48"/>
      <c r="BY21" s="48"/>
    </row>
    <row r="22" spans="1:77" ht="15" customHeight="1" x14ac:dyDescent="0.2">
      <c r="A22" s="47"/>
      <c r="B22" s="47"/>
      <c r="C22" s="60"/>
      <c r="D22" s="61"/>
      <c r="E22" s="61"/>
      <c r="F22" s="63"/>
      <c r="G22" s="268"/>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8"/>
      <c r="BP22" s="268"/>
      <c r="BQ22" s="268"/>
      <c r="BR22" s="63"/>
      <c r="BS22" s="48"/>
      <c r="BT22" s="48"/>
      <c r="BU22" s="48"/>
      <c r="BV22" s="48"/>
      <c r="BW22" s="48"/>
      <c r="BX22" s="48"/>
      <c r="BY22" s="48"/>
    </row>
    <row r="23" spans="1:77" ht="15" customHeight="1" x14ac:dyDescent="0.2">
      <c r="A23" s="47"/>
      <c r="B23" s="47"/>
      <c r="C23" s="60"/>
      <c r="D23" s="61"/>
      <c r="E23" s="61"/>
      <c r="F23" s="63"/>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c r="AF23" s="268"/>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8"/>
      <c r="BP23" s="268"/>
      <c r="BQ23" s="268"/>
      <c r="BR23" s="63"/>
      <c r="BS23" s="48"/>
      <c r="BT23" s="48"/>
      <c r="BU23" s="48"/>
      <c r="BV23" s="48"/>
      <c r="BW23" s="48"/>
      <c r="BX23" s="48"/>
      <c r="BY23" s="48"/>
    </row>
    <row r="24" spans="1:77" ht="15" customHeight="1" x14ac:dyDescent="0.2">
      <c r="A24" s="47"/>
      <c r="B24" s="47"/>
      <c r="C24" s="60"/>
      <c r="D24" s="61"/>
      <c r="E24" s="61"/>
      <c r="F24" s="63"/>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63"/>
      <c r="BS24" s="48"/>
      <c r="BT24" s="48"/>
      <c r="BU24" s="48"/>
      <c r="BV24" s="48"/>
      <c r="BW24" s="48"/>
      <c r="BX24" s="48"/>
      <c r="BY24" s="48"/>
    </row>
    <row r="25" spans="1:77" ht="15" customHeight="1" x14ac:dyDescent="0.2">
      <c r="A25" s="47"/>
      <c r="B25" s="47"/>
      <c r="C25" s="60"/>
      <c r="D25" s="61"/>
      <c r="E25" s="61"/>
      <c r="F25" s="61"/>
      <c r="G25" s="320">
        <v>1</v>
      </c>
      <c r="H25" s="320"/>
      <c r="I25" s="315" t="s">
        <v>148</v>
      </c>
      <c r="J25" s="315"/>
      <c r="K25" s="315"/>
      <c r="L25" s="315"/>
      <c r="M25" s="315"/>
      <c r="N25" s="315"/>
      <c r="O25" s="315"/>
      <c r="P25" s="315"/>
      <c r="Q25" s="315"/>
      <c r="R25" s="315"/>
      <c r="S25" s="315"/>
      <c r="T25" s="315"/>
      <c r="U25" s="315"/>
      <c r="V25" s="315"/>
      <c r="W25" s="315"/>
      <c r="X25" s="315"/>
      <c r="Y25" s="315"/>
      <c r="Z25" s="315"/>
      <c r="AA25" s="315"/>
      <c r="AB25" s="315"/>
      <c r="AC25" s="315"/>
      <c r="AD25" s="315"/>
      <c r="AE25" s="315"/>
      <c r="AF25" s="315"/>
      <c r="AG25" s="315"/>
      <c r="AH25" s="315"/>
      <c r="AI25" s="315"/>
      <c r="AJ25" s="315"/>
      <c r="AK25" s="315"/>
      <c r="AL25" s="315"/>
      <c r="AM25" s="315"/>
      <c r="AN25" s="315"/>
      <c r="AO25" s="315"/>
      <c r="AP25" s="315"/>
      <c r="AQ25" s="315"/>
      <c r="AR25" s="315"/>
      <c r="AS25" s="315"/>
      <c r="AT25" s="315"/>
      <c r="AU25" s="315"/>
      <c r="AV25" s="315"/>
      <c r="AW25" s="315"/>
      <c r="AX25" s="315"/>
      <c r="AY25" s="315"/>
      <c r="AZ25" s="315"/>
      <c r="BA25" s="315"/>
      <c r="BB25" s="315"/>
      <c r="BC25" s="315"/>
      <c r="BD25" s="315"/>
      <c r="BE25" s="315"/>
      <c r="BF25" s="315"/>
      <c r="BG25" s="315"/>
      <c r="BH25" s="315"/>
      <c r="BI25" s="315"/>
      <c r="BJ25" s="315"/>
      <c r="BK25" s="315"/>
      <c r="BL25" s="315"/>
      <c r="BM25" s="315"/>
      <c r="BN25" s="315"/>
      <c r="BO25" s="315"/>
      <c r="BP25" s="315"/>
      <c r="BQ25" s="315"/>
      <c r="BR25" s="64"/>
      <c r="BS25" s="48"/>
      <c r="BT25" s="48"/>
      <c r="BU25" s="48"/>
      <c r="BV25" s="48"/>
      <c r="BW25" s="48"/>
      <c r="BX25" s="48"/>
      <c r="BY25" s="48"/>
    </row>
    <row r="26" spans="1:77" ht="15" customHeight="1" x14ac:dyDescent="0.2">
      <c r="A26" s="47"/>
      <c r="B26" s="47"/>
      <c r="C26" s="60"/>
      <c r="D26" s="61"/>
      <c r="E26" s="61"/>
      <c r="F26" s="61"/>
      <c r="G26" s="320">
        <v>2</v>
      </c>
      <c r="H26" s="320"/>
      <c r="I26" s="315" t="s">
        <v>266</v>
      </c>
      <c r="J26" s="315"/>
      <c r="K26" s="315"/>
      <c r="L26" s="315"/>
      <c r="M26" s="315"/>
      <c r="N26" s="315"/>
      <c r="O26" s="315"/>
      <c r="P26" s="315"/>
      <c r="Q26" s="315"/>
      <c r="R26" s="315"/>
      <c r="S26" s="315"/>
      <c r="T26" s="315"/>
      <c r="U26" s="315"/>
      <c r="V26" s="315"/>
      <c r="W26" s="315"/>
      <c r="X26" s="315"/>
      <c r="Y26" s="315"/>
      <c r="Z26" s="315"/>
      <c r="AA26" s="315"/>
      <c r="AB26" s="315"/>
      <c r="AC26" s="315"/>
      <c r="AD26" s="315"/>
      <c r="AE26" s="315"/>
      <c r="AF26" s="315"/>
      <c r="AG26" s="315"/>
      <c r="AH26" s="315"/>
      <c r="AI26" s="315"/>
      <c r="AJ26" s="315"/>
      <c r="AK26" s="315"/>
      <c r="AL26" s="315"/>
      <c r="AM26" s="315"/>
      <c r="AN26" s="315"/>
      <c r="AO26" s="315"/>
      <c r="AP26" s="315"/>
      <c r="AQ26" s="315"/>
      <c r="AR26" s="315"/>
      <c r="AS26" s="315"/>
      <c r="AT26" s="315"/>
      <c r="AU26" s="315"/>
      <c r="AV26" s="315"/>
      <c r="AW26" s="315"/>
      <c r="AX26" s="315"/>
      <c r="AY26" s="315"/>
      <c r="AZ26" s="315"/>
      <c r="BA26" s="315"/>
      <c r="BB26" s="315"/>
      <c r="BC26" s="315"/>
      <c r="BD26" s="315"/>
      <c r="BE26" s="315"/>
      <c r="BF26" s="315"/>
      <c r="BG26" s="315"/>
      <c r="BH26" s="315"/>
      <c r="BI26" s="315"/>
      <c r="BJ26" s="315"/>
      <c r="BK26" s="315"/>
      <c r="BL26" s="315"/>
      <c r="BM26" s="315"/>
      <c r="BN26" s="315"/>
      <c r="BO26" s="315"/>
      <c r="BP26" s="315"/>
      <c r="BQ26" s="315"/>
      <c r="BR26" s="64"/>
      <c r="BS26" s="48"/>
      <c r="BT26" s="48"/>
      <c r="BU26" s="48"/>
      <c r="BV26" s="48"/>
      <c r="BW26" s="48"/>
      <c r="BX26" s="48"/>
      <c r="BY26" s="48"/>
    </row>
    <row r="27" spans="1:77" ht="15" customHeight="1" x14ac:dyDescent="0.2">
      <c r="A27" s="47"/>
      <c r="B27" s="47"/>
      <c r="C27" s="60"/>
      <c r="D27" s="61"/>
      <c r="E27" s="61"/>
      <c r="F27" s="61"/>
      <c r="G27" s="320">
        <v>3</v>
      </c>
      <c r="H27" s="320"/>
      <c r="I27" s="315" t="s">
        <v>302</v>
      </c>
      <c r="J27" s="315"/>
      <c r="K27" s="315"/>
      <c r="L27" s="315"/>
      <c r="M27" s="315"/>
      <c r="N27" s="315"/>
      <c r="O27" s="315"/>
      <c r="P27" s="315"/>
      <c r="Q27" s="315"/>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5"/>
      <c r="AZ27" s="315"/>
      <c r="BA27" s="315"/>
      <c r="BB27" s="315"/>
      <c r="BC27" s="315"/>
      <c r="BD27" s="315"/>
      <c r="BE27" s="315"/>
      <c r="BF27" s="315"/>
      <c r="BG27" s="315"/>
      <c r="BH27" s="315"/>
      <c r="BI27" s="315"/>
      <c r="BJ27" s="315"/>
      <c r="BK27" s="315"/>
      <c r="BL27" s="315"/>
      <c r="BM27" s="315"/>
      <c r="BN27" s="315"/>
      <c r="BO27" s="315"/>
      <c r="BP27" s="315"/>
      <c r="BQ27" s="315"/>
      <c r="BR27" s="64"/>
      <c r="BS27" s="48"/>
      <c r="BT27" s="48"/>
      <c r="BU27" s="48"/>
      <c r="BV27" s="48"/>
      <c r="BW27" s="48"/>
      <c r="BX27" s="48"/>
      <c r="BY27" s="48"/>
    </row>
    <row r="28" spans="1:77" ht="15" customHeight="1" x14ac:dyDescent="0.2">
      <c r="A28" s="47"/>
      <c r="B28" s="47"/>
      <c r="C28" s="60"/>
      <c r="D28" s="61"/>
      <c r="E28" s="61"/>
      <c r="F28" s="61"/>
      <c r="G28" s="320">
        <v>4</v>
      </c>
      <c r="H28" s="320"/>
      <c r="I28" s="315" t="s">
        <v>357</v>
      </c>
      <c r="J28" s="315"/>
      <c r="K28" s="315"/>
      <c r="L28" s="315"/>
      <c r="M28" s="315"/>
      <c r="N28" s="315"/>
      <c r="O28" s="315"/>
      <c r="P28" s="315"/>
      <c r="Q28" s="315"/>
      <c r="R28" s="315"/>
      <c r="S28" s="315"/>
      <c r="T28" s="315"/>
      <c r="U28" s="315"/>
      <c r="V28" s="315"/>
      <c r="W28" s="315"/>
      <c r="X28" s="315"/>
      <c r="Y28" s="315"/>
      <c r="Z28" s="315"/>
      <c r="AA28" s="315"/>
      <c r="AB28" s="315"/>
      <c r="AC28" s="315"/>
      <c r="AD28" s="315"/>
      <c r="AE28" s="315"/>
      <c r="AF28" s="315"/>
      <c r="AG28" s="315"/>
      <c r="AH28" s="315"/>
      <c r="AI28" s="315"/>
      <c r="AJ28" s="315"/>
      <c r="AK28" s="315"/>
      <c r="AL28" s="315"/>
      <c r="AM28" s="315"/>
      <c r="AN28" s="315"/>
      <c r="AO28" s="315"/>
      <c r="AP28" s="315"/>
      <c r="AQ28" s="315"/>
      <c r="AR28" s="315"/>
      <c r="AS28" s="315"/>
      <c r="AT28" s="315"/>
      <c r="AU28" s="315"/>
      <c r="AV28" s="315"/>
      <c r="AW28" s="315"/>
      <c r="AX28" s="315"/>
      <c r="AY28" s="315"/>
      <c r="AZ28" s="315"/>
      <c r="BA28" s="315"/>
      <c r="BB28" s="315"/>
      <c r="BC28" s="315"/>
      <c r="BD28" s="315"/>
      <c r="BE28" s="315"/>
      <c r="BF28" s="315"/>
      <c r="BG28" s="315"/>
      <c r="BH28" s="315"/>
      <c r="BI28" s="315"/>
      <c r="BJ28" s="315"/>
      <c r="BK28" s="315"/>
      <c r="BL28" s="315"/>
      <c r="BM28" s="315"/>
      <c r="BN28" s="315"/>
      <c r="BO28" s="315"/>
      <c r="BP28" s="315"/>
      <c r="BQ28" s="315"/>
      <c r="BR28" s="64"/>
      <c r="BS28" s="48"/>
      <c r="BT28" s="48"/>
      <c r="BU28" s="48"/>
      <c r="BV28" s="48"/>
      <c r="BW28" s="48"/>
      <c r="BX28" s="48"/>
      <c r="BY28" s="48"/>
    </row>
    <row r="29" spans="1:77" ht="15" customHeight="1" x14ac:dyDescent="0.2">
      <c r="A29" s="47"/>
      <c r="B29" s="47"/>
      <c r="C29" s="60"/>
      <c r="D29" s="61"/>
      <c r="E29" s="61"/>
      <c r="F29" s="61"/>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48"/>
      <c r="BT29" s="48"/>
      <c r="BU29" s="48"/>
      <c r="BV29" s="48"/>
      <c r="BW29" s="48"/>
      <c r="BX29" s="48"/>
      <c r="BY29" s="48"/>
    </row>
    <row r="30" spans="1:77" ht="15" customHeight="1" x14ac:dyDescent="0.2">
      <c r="A30" s="47"/>
      <c r="B30" s="47"/>
      <c r="C30" s="60"/>
      <c r="D30" s="61"/>
      <c r="E30" s="61"/>
      <c r="G30" s="268" t="str">
        <f>"If the reinforcing strain is less than the yield strain, the steel stress must be computed from the strain, and the flexural resistance must be recalculated.  This process is best handeled through an iterative approach.  Table "&amp;Inputs!B14&amp;"-1 and "&amp;Inputs!B14&amp;"-2 step through this iterative approach in detail for the locations in the beam with maximum and minimum flexural demand; Tables "&amp;Inputs!B14&amp;"-3 and "&amp;Inputs!B14&amp;"-4 provide information on the strain compatibility iteration for each location along the beam."</f>
        <v>If the reinforcing strain is less than the yield strain, the steel stress must be computed from the strain, and the flexural resistance must be recalculated.  This process is best handeled through an iterative approach.  Table C.1-1 and C.1-2 step through this iterative approach in detail for the locations in the beam with maximum and minimum flexural demand; Tables C.1-3 and C.1-4 provide information on the strain compatibility iteration for each location along the beam.</v>
      </c>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8"/>
      <c r="BP30" s="268"/>
      <c r="BQ30" s="268"/>
      <c r="BR30" s="63"/>
      <c r="BS30" s="48"/>
      <c r="BT30" s="48"/>
      <c r="BU30" s="48"/>
      <c r="BV30" s="48"/>
      <c r="BW30" s="48"/>
      <c r="BX30" s="48"/>
      <c r="BY30" s="48"/>
    </row>
    <row r="31" spans="1:77" ht="15" customHeight="1" x14ac:dyDescent="0.2">
      <c r="A31" s="47"/>
      <c r="B31" s="47"/>
      <c r="C31" s="60"/>
      <c r="D31" s="61"/>
      <c r="E31" s="61"/>
      <c r="G31" s="268"/>
      <c r="H31" s="268"/>
      <c r="I31" s="268"/>
      <c r="J31" s="268"/>
      <c r="K31" s="268"/>
      <c r="L31" s="268"/>
      <c r="M31" s="268"/>
      <c r="N31" s="268"/>
      <c r="O31" s="268"/>
      <c r="P31" s="268"/>
      <c r="Q31" s="268"/>
      <c r="R31" s="268"/>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8"/>
      <c r="BP31" s="268"/>
      <c r="BQ31" s="268"/>
      <c r="BR31" s="63"/>
      <c r="BS31" s="48"/>
      <c r="BT31" s="48"/>
      <c r="BU31" s="48"/>
      <c r="BV31" s="48"/>
      <c r="BW31" s="48"/>
      <c r="BX31" s="48"/>
      <c r="BY31" s="48"/>
    </row>
    <row r="32" spans="1:77" ht="15" customHeight="1" x14ac:dyDescent="0.2">
      <c r="A32" s="47"/>
      <c r="B32" s="47"/>
      <c r="C32" s="60"/>
      <c r="D32" s="61"/>
      <c r="E32" s="61"/>
      <c r="F32" s="63"/>
      <c r="G32" s="268"/>
      <c r="H32" s="268"/>
      <c r="I32" s="268"/>
      <c r="J32" s="268"/>
      <c r="K32" s="268"/>
      <c r="L32" s="268"/>
      <c r="M32" s="268"/>
      <c r="N32" s="268"/>
      <c r="O32" s="268"/>
      <c r="P32" s="268"/>
      <c r="Q32" s="268"/>
      <c r="R32" s="268"/>
      <c r="S32" s="268"/>
      <c r="T32" s="268"/>
      <c r="U32" s="268"/>
      <c r="V32" s="268"/>
      <c r="W32" s="268"/>
      <c r="X32" s="268"/>
      <c r="Y32" s="268"/>
      <c r="Z32" s="268"/>
      <c r="AA32" s="268"/>
      <c r="AB32" s="268"/>
      <c r="AC32" s="268"/>
      <c r="AD32" s="268"/>
      <c r="AE32" s="268"/>
      <c r="AF32" s="268"/>
      <c r="AG32" s="268"/>
      <c r="AH32" s="268"/>
      <c r="AI32" s="268"/>
      <c r="AJ32" s="268"/>
      <c r="AK32" s="268"/>
      <c r="AL32" s="268"/>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8"/>
      <c r="BP32" s="268"/>
      <c r="BQ32" s="268"/>
      <c r="BR32" s="63"/>
      <c r="BS32" s="48"/>
      <c r="BT32" s="48"/>
      <c r="BU32" s="48"/>
      <c r="BV32" s="48"/>
      <c r="BW32" s="48"/>
      <c r="BX32" s="48"/>
      <c r="BY32" s="48"/>
    </row>
    <row r="33" spans="1:77" ht="15" customHeight="1" x14ac:dyDescent="0.25">
      <c r="A33" s="47"/>
      <c r="B33" s="47"/>
      <c r="C33" s="294" t="s">
        <v>147</v>
      </c>
      <c r="D33" s="295"/>
      <c r="E33" s="295"/>
      <c r="F33" s="295"/>
      <c r="G33" s="289" t="s">
        <v>184</v>
      </c>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59"/>
      <c r="BS33" s="48"/>
      <c r="BT33" s="48"/>
      <c r="BU33" s="48"/>
      <c r="BV33" s="48"/>
      <c r="BW33" s="48"/>
      <c r="BX33" s="48"/>
      <c r="BY33" s="48"/>
    </row>
    <row r="34" spans="1:77" ht="15" customHeight="1" x14ac:dyDescent="0.25">
      <c r="A34" s="47"/>
      <c r="B34" s="47"/>
      <c r="C34" s="294"/>
      <c r="D34" s="295"/>
      <c r="E34" s="295"/>
      <c r="F34" s="295"/>
      <c r="G34" s="289"/>
      <c r="H34" s="289"/>
      <c r="I34" s="289"/>
      <c r="J34" s="289"/>
      <c r="K34" s="289"/>
      <c r="L34" s="289"/>
      <c r="M34" s="289"/>
      <c r="N34" s="289"/>
      <c r="O34" s="289"/>
      <c r="P34" s="289"/>
      <c r="Q34" s="289"/>
      <c r="R34" s="289"/>
      <c r="S34" s="289"/>
      <c r="T34" s="289"/>
      <c r="U34" s="289"/>
      <c r="V34" s="289"/>
      <c r="W34" s="289"/>
      <c r="X34" s="289"/>
      <c r="Y34" s="289"/>
      <c r="Z34" s="289"/>
      <c r="AA34" s="289"/>
      <c r="AB34" s="289"/>
      <c r="AC34" s="289"/>
      <c r="AD34" s="289"/>
      <c r="AE34" s="289"/>
      <c r="AF34" s="289"/>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89"/>
      <c r="BK34" s="289"/>
      <c r="BL34" s="289"/>
      <c r="BM34" s="289"/>
      <c r="BN34" s="289"/>
      <c r="BO34" s="289"/>
      <c r="BP34" s="289"/>
      <c r="BQ34" s="289"/>
      <c r="BR34" s="59"/>
      <c r="BS34" s="48"/>
      <c r="BT34" s="48"/>
      <c r="BU34" s="48"/>
      <c r="BV34" s="48"/>
      <c r="BW34" s="48"/>
      <c r="BX34" s="48"/>
      <c r="BY34" s="48"/>
    </row>
    <row r="35" spans="1:77" ht="15" customHeight="1" x14ac:dyDescent="0.2">
      <c r="A35" s="47"/>
      <c r="B35" s="47"/>
      <c r="C35" s="60"/>
      <c r="D35" s="61"/>
      <c r="E35" s="61"/>
      <c r="F35" s="63"/>
      <c r="G35" s="375" t="s">
        <v>354</v>
      </c>
      <c r="H35" s="375"/>
      <c r="I35" s="375"/>
      <c r="J35" s="375"/>
      <c r="K35" s="375"/>
      <c r="L35" s="375"/>
      <c r="M35" s="375"/>
      <c r="N35" s="375"/>
      <c r="O35" s="375"/>
      <c r="P35" s="375"/>
      <c r="Q35" s="375"/>
      <c r="R35" s="375"/>
      <c r="S35" s="375"/>
      <c r="T35" s="375"/>
      <c r="U35" s="375"/>
      <c r="V35" s="375"/>
      <c r="W35" s="375"/>
      <c r="X35" s="375"/>
      <c r="Y35" s="375"/>
      <c r="Z35" s="375"/>
      <c r="AA35" s="375"/>
      <c r="AB35" s="375"/>
      <c r="AC35" s="375"/>
      <c r="AD35" s="375"/>
      <c r="AE35" s="375"/>
      <c r="AF35" s="375"/>
      <c r="AG35" s="375"/>
      <c r="AH35" s="375"/>
      <c r="AI35" s="375"/>
      <c r="AJ35" s="375"/>
      <c r="AK35" s="375"/>
      <c r="AL35" s="375"/>
      <c r="AM35" s="375"/>
      <c r="AN35" s="375"/>
      <c r="AO35" s="375"/>
      <c r="AP35" s="375"/>
      <c r="AQ35" s="375"/>
      <c r="AR35" s="375"/>
      <c r="AS35" s="375"/>
      <c r="AT35" s="375"/>
      <c r="AU35" s="375"/>
      <c r="AV35" s="375"/>
      <c r="AW35" s="375"/>
      <c r="AX35" s="375"/>
      <c r="AY35" s="375"/>
      <c r="AZ35" s="375"/>
      <c r="BA35" s="375"/>
      <c r="BB35" s="375"/>
      <c r="BC35" s="375"/>
      <c r="BD35" s="375"/>
      <c r="BE35" s="375"/>
      <c r="BF35" s="375"/>
      <c r="BG35" s="375"/>
      <c r="BH35" s="375"/>
      <c r="BI35" s="375"/>
      <c r="BJ35" s="375"/>
      <c r="BK35" s="375"/>
      <c r="BL35" s="375"/>
      <c r="BM35" s="375"/>
      <c r="BN35" s="375"/>
      <c r="BO35" s="375"/>
      <c r="BP35" s="375"/>
      <c r="BQ35" s="375"/>
      <c r="BR35" s="73"/>
      <c r="BS35" s="48"/>
      <c r="BT35" s="48"/>
      <c r="BU35" s="48"/>
      <c r="BV35" s="48"/>
      <c r="BW35" s="48"/>
      <c r="BX35" s="48"/>
      <c r="BY35" s="48"/>
    </row>
    <row r="36" spans="1:77" ht="15" customHeight="1" x14ac:dyDescent="0.2">
      <c r="A36" s="47"/>
      <c r="B36" s="47"/>
      <c r="C36" s="60"/>
      <c r="D36" s="61"/>
      <c r="E36" s="61"/>
      <c r="F36" s="63"/>
      <c r="G36" s="375"/>
      <c r="H36" s="375"/>
      <c r="I36" s="375"/>
      <c r="J36" s="375"/>
      <c r="K36" s="375"/>
      <c r="L36" s="375"/>
      <c r="M36" s="375"/>
      <c r="N36" s="375"/>
      <c r="O36" s="375"/>
      <c r="P36" s="375"/>
      <c r="Q36" s="375"/>
      <c r="R36" s="375"/>
      <c r="S36" s="375"/>
      <c r="T36" s="375"/>
      <c r="U36" s="375"/>
      <c r="V36" s="375"/>
      <c r="W36" s="375"/>
      <c r="X36" s="375"/>
      <c r="Y36" s="375"/>
      <c r="Z36" s="375"/>
      <c r="AA36" s="375"/>
      <c r="AB36" s="375"/>
      <c r="AC36" s="375"/>
      <c r="AD36" s="375"/>
      <c r="AE36" s="375"/>
      <c r="AF36" s="375"/>
      <c r="AG36" s="375"/>
      <c r="AH36" s="375"/>
      <c r="AI36" s="375"/>
      <c r="AJ36" s="375"/>
      <c r="AK36" s="375"/>
      <c r="AL36" s="375"/>
      <c r="AM36" s="375"/>
      <c r="AN36" s="375"/>
      <c r="AO36" s="375"/>
      <c r="AP36" s="375"/>
      <c r="AQ36" s="375"/>
      <c r="AR36" s="375"/>
      <c r="AS36" s="375"/>
      <c r="AT36" s="375"/>
      <c r="AU36" s="375"/>
      <c r="AV36" s="375"/>
      <c r="AW36" s="375"/>
      <c r="AX36" s="375"/>
      <c r="AY36" s="375"/>
      <c r="AZ36" s="375"/>
      <c r="BA36" s="375"/>
      <c r="BB36" s="375"/>
      <c r="BC36" s="375"/>
      <c r="BD36" s="375"/>
      <c r="BE36" s="375"/>
      <c r="BF36" s="375"/>
      <c r="BG36" s="375"/>
      <c r="BH36" s="375"/>
      <c r="BI36" s="375"/>
      <c r="BJ36" s="375"/>
      <c r="BK36" s="375"/>
      <c r="BL36" s="375"/>
      <c r="BM36" s="375"/>
      <c r="BN36" s="375"/>
      <c r="BO36" s="375"/>
      <c r="BP36" s="375"/>
      <c r="BQ36" s="375"/>
      <c r="BR36" s="73"/>
      <c r="BS36" s="48"/>
      <c r="BT36" s="48"/>
      <c r="BU36" s="48"/>
      <c r="BV36" s="48"/>
      <c r="BW36" s="48"/>
      <c r="BX36" s="48"/>
      <c r="BY36" s="48"/>
    </row>
    <row r="37" spans="1:77" ht="15" customHeight="1" x14ac:dyDescent="0.2">
      <c r="A37" s="47"/>
      <c r="B37" s="47"/>
      <c r="C37" s="60"/>
      <c r="D37" s="61"/>
      <c r="E37" s="61"/>
      <c r="F37" s="63"/>
      <c r="G37" s="375"/>
      <c r="H37" s="375"/>
      <c r="I37" s="375"/>
      <c r="J37" s="375"/>
      <c r="K37" s="375"/>
      <c r="L37" s="375"/>
      <c r="M37" s="375"/>
      <c r="N37" s="375"/>
      <c r="O37" s="375"/>
      <c r="P37" s="375"/>
      <c r="Q37" s="375"/>
      <c r="R37" s="375"/>
      <c r="S37" s="375"/>
      <c r="T37" s="375"/>
      <c r="U37" s="375"/>
      <c r="V37" s="375"/>
      <c r="W37" s="375"/>
      <c r="X37" s="375"/>
      <c r="Y37" s="375"/>
      <c r="Z37" s="375"/>
      <c r="AA37" s="375"/>
      <c r="AB37" s="375"/>
      <c r="AC37" s="375"/>
      <c r="AD37" s="375"/>
      <c r="AE37" s="375"/>
      <c r="AF37" s="375"/>
      <c r="AG37" s="375"/>
      <c r="AH37" s="375"/>
      <c r="AI37" s="375"/>
      <c r="AJ37" s="375"/>
      <c r="AK37" s="375"/>
      <c r="AL37" s="375"/>
      <c r="AM37" s="375"/>
      <c r="AN37" s="375"/>
      <c r="AO37" s="375"/>
      <c r="AP37" s="375"/>
      <c r="AQ37" s="375"/>
      <c r="AR37" s="375"/>
      <c r="AS37" s="375"/>
      <c r="AT37" s="375"/>
      <c r="AU37" s="375"/>
      <c r="AV37" s="375"/>
      <c r="AW37" s="375"/>
      <c r="AX37" s="375"/>
      <c r="AY37" s="375"/>
      <c r="AZ37" s="375"/>
      <c r="BA37" s="375"/>
      <c r="BB37" s="375"/>
      <c r="BC37" s="375"/>
      <c r="BD37" s="375"/>
      <c r="BE37" s="375"/>
      <c r="BF37" s="375"/>
      <c r="BG37" s="375"/>
      <c r="BH37" s="375"/>
      <c r="BI37" s="375"/>
      <c r="BJ37" s="375"/>
      <c r="BK37" s="375"/>
      <c r="BL37" s="375"/>
      <c r="BM37" s="375"/>
      <c r="BN37" s="375"/>
      <c r="BO37" s="375"/>
      <c r="BP37" s="375"/>
      <c r="BQ37" s="375"/>
      <c r="BR37" s="73"/>
      <c r="BS37" s="48"/>
      <c r="BT37" s="48"/>
      <c r="BU37" s="48"/>
      <c r="BV37" s="48"/>
      <c r="BW37" s="48"/>
      <c r="BX37" s="48"/>
      <c r="BY37" s="48"/>
    </row>
    <row r="38" spans="1:77" ht="15" customHeight="1" x14ac:dyDescent="0.2">
      <c r="A38" s="47"/>
      <c r="B38" s="47"/>
      <c r="C38" s="60"/>
      <c r="D38" s="61"/>
      <c r="E38" s="61"/>
      <c r="F38" s="63"/>
      <c r="G38" s="375"/>
      <c r="H38" s="375"/>
      <c r="I38" s="375"/>
      <c r="J38" s="375"/>
      <c r="K38" s="375"/>
      <c r="L38" s="375"/>
      <c r="M38" s="375"/>
      <c r="N38" s="375"/>
      <c r="O38" s="375"/>
      <c r="P38" s="375"/>
      <c r="Q38" s="375"/>
      <c r="R38" s="375"/>
      <c r="S38" s="375"/>
      <c r="T38" s="375"/>
      <c r="U38" s="375"/>
      <c r="V38" s="375"/>
      <c r="W38" s="375"/>
      <c r="X38" s="375"/>
      <c r="Y38" s="375"/>
      <c r="Z38" s="375"/>
      <c r="AA38" s="375"/>
      <c r="AB38" s="375"/>
      <c r="AC38" s="375"/>
      <c r="AD38" s="375"/>
      <c r="AE38" s="375"/>
      <c r="AF38" s="375"/>
      <c r="AG38" s="375"/>
      <c r="AH38" s="375"/>
      <c r="AI38" s="375"/>
      <c r="AJ38" s="375"/>
      <c r="AK38" s="375"/>
      <c r="AL38" s="375"/>
      <c r="AM38" s="375"/>
      <c r="AN38" s="375"/>
      <c r="AO38" s="375"/>
      <c r="AP38" s="375"/>
      <c r="AQ38" s="375"/>
      <c r="AR38" s="375"/>
      <c r="AS38" s="375"/>
      <c r="AT38" s="375"/>
      <c r="AU38" s="375"/>
      <c r="AV38" s="375"/>
      <c r="AW38" s="375"/>
      <c r="AX38" s="375"/>
      <c r="AY38" s="375"/>
      <c r="AZ38" s="375"/>
      <c r="BA38" s="375"/>
      <c r="BB38" s="375"/>
      <c r="BC38" s="375"/>
      <c r="BD38" s="375"/>
      <c r="BE38" s="375"/>
      <c r="BF38" s="375"/>
      <c r="BG38" s="375"/>
      <c r="BH38" s="375"/>
      <c r="BI38" s="375"/>
      <c r="BJ38" s="375"/>
      <c r="BK38" s="375"/>
      <c r="BL38" s="375"/>
      <c r="BM38" s="375"/>
      <c r="BN38" s="375"/>
      <c r="BO38" s="375"/>
      <c r="BP38" s="375"/>
      <c r="BQ38" s="375"/>
      <c r="BR38" s="73"/>
      <c r="BS38" s="48"/>
      <c r="BT38" s="48"/>
      <c r="BU38" s="48"/>
      <c r="BV38" s="48"/>
      <c r="BW38" s="48"/>
      <c r="BX38" s="48"/>
      <c r="BY38" s="48"/>
    </row>
    <row r="39" spans="1:77" ht="15" customHeight="1" x14ac:dyDescent="0.2">
      <c r="A39" s="47"/>
      <c r="B39" s="47"/>
      <c r="C39" s="60"/>
      <c r="D39" s="61"/>
      <c r="E39" s="61"/>
      <c r="F39" s="63"/>
      <c r="G39" s="375"/>
      <c r="H39" s="375"/>
      <c r="I39" s="375"/>
      <c r="J39" s="375"/>
      <c r="K39" s="375"/>
      <c r="L39" s="375"/>
      <c r="M39" s="375"/>
      <c r="N39" s="375"/>
      <c r="O39" s="375"/>
      <c r="P39" s="375"/>
      <c r="Q39" s="375"/>
      <c r="R39" s="375"/>
      <c r="S39" s="375"/>
      <c r="T39" s="375"/>
      <c r="U39" s="375"/>
      <c r="V39" s="375"/>
      <c r="W39" s="375"/>
      <c r="X39" s="375"/>
      <c r="Y39" s="375"/>
      <c r="Z39" s="375"/>
      <c r="AA39" s="375"/>
      <c r="AB39" s="375"/>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5"/>
      <c r="BA39" s="375"/>
      <c r="BB39" s="375"/>
      <c r="BC39" s="375"/>
      <c r="BD39" s="375"/>
      <c r="BE39" s="375"/>
      <c r="BF39" s="375"/>
      <c r="BG39" s="375"/>
      <c r="BH39" s="375"/>
      <c r="BI39" s="375"/>
      <c r="BJ39" s="375"/>
      <c r="BK39" s="375"/>
      <c r="BL39" s="375"/>
      <c r="BM39" s="375"/>
      <c r="BN39" s="375"/>
      <c r="BO39" s="375"/>
      <c r="BP39" s="375"/>
      <c r="BQ39" s="375"/>
      <c r="BR39" s="73"/>
      <c r="BS39" s="48"/>
      <c r="BT39" s="48"/>
      <c r="BU39" s="48"/>
      <c r="BV39" s="48"/>
      <c r="BW39" s="48"/>
      <c r="BX39" s="48"/>
      <c r="BY39" s="48"/>
    </row>
    <row r="40" spans="1:77" ht="15" customHeight="1" x14ac:dyDescent="0.2">
      <c r="A40" s="47"/>
      <c r="B40" s="47"/>
      <c r="C40" s="60"/>
      <c r="D40" s="61"/>
      <c r="E40" s="61"/>
      <c r="F40" s="63"/>
      <c r="G40" s="375"/>
      <c r="H40" s="375"/>
      <c r="I40" s="375"/>
      <c r="J40" s="375"/>
      <c r="K40" s="375"/>
      <c r="L40" s="375"/>
      <c r="M40" s="375"/>
      <c r="N40" s="375"/>
      <c r="O40" s="375"/>
      <c r="P40" s="375"/>
      <c r="Q40" s="375"/>
      <c r="R40" s="375"/>
      <c r="S40" s="375"/>
      <c r="T40" s="375"/>
      <c r="U40" s="375"/>
      <c r="V40" s="375"/>
      <c r="W40" s="375"/>
      <c r="X40" s="375"/>
      <c r="Y40" s="375"/>
      <c r="Z40" s="375"/>
      <c r="AA40" s="375"/>
      <c r="AB40" s="375"/>
      <c r="AC40" s="375"/>
      <c r="AD40" s="375"/>
      <c r="AE40" s="375"/>
      <c r="AF40" s="375"/>
      <c r="AG40" s="375"/>
      <c r="AH40" s="375"/>
      <c r="AI40" s="375"/>
      <c r="AJ40" s="375"/>
      <c r="AK40" s="375"/>
      <c r="AL40" s="375"/>
      <c r="AM40" s="375"/>
      <c r="AN40" s="375"/>
      <c r="AO40" s="375"/>
      <c r="AP40" s="375"/>
      <c r="AQ40" s="375"/>
      <c r="AR40" s="375"/>
      <c r="AS40" s="375"/>
      <c r="AT40" s="375"/>
      <c r="AU40" s="375"/>
      <c r="AV40" s="375"/>
      <c r="AW40" s="375"/>
      <c r="AX40" s="375"/>
      <c r="AY40" s="375"/>
      <c r="AZ40" s="375"/>
      <c r="BA40" s="375"/>
      <c r="BB40" s="375"/>
      <c r="BC40" s="375"/>
      <c r="BD40" s="375"/>
      <c r="BE40" s="375"/>
      <c r="BF40" s="375"/>
      <c r="BG40" s="375"/>
      <c r="BH40" s="375"/>
      <c r="BI40" s="375"/>
      <c r="BJ40" s="375"/>
      <c r="BK40" s="375"/>
      <c r="BL40" s="375"/>
      <c r="BM40" s="375"/>
      <c r="BN40" s="375"/>
      <c r="BO40" s="375"/>
      <c r="BP40" s="375"/>
      <c r="BQ40" s="375"/>
      <c r="BR40" s="73"/>
      <c r="BS40" s="48"/>
      <c r="BT40" s="48"/>
      <c r="BU40" s="48"/>
      <c r="BV40" s="48"/>
      <c r="BW40" s="48"/>
      <c r="BX40" s="48"/>
      <c r="BY40" s="48"/>
    </row>
    <row r="41" spans="1:77" ht="15" customHeight="1" x14ac:dyDescent="0.2">
      <c r="A41" s="47"/>
      <c r="B41" s="47"/>
      <c r="C41" s="60"/>
      <c r="D41" s="61"/>
      <c r="E41" s="61"/>
      <c r="F41" s="63"/>
      <c r="G41" s="375"/>
      <c r="H41" s="375"/>
      <c r="I41" s="375"/>
      <c r="J41" s="375"/>
      <c r="K41" s="375"/>
      <c r="L41" s="375"/>
      <c r="M41" s="375"/>
      <c r="N41" s="375"/>
      <c r="O41" s="375"/>
      <c r="P41" s="375"/>
      <c r="Q41" s="375"/>
      <c r="R41" s="375"/>
      <c r="S41" s="375"/>
      <c r="T41" s="375"/>
      <c r="U41" s="375"/>
      <c r="V41" s="375"/>
      <c r="W41" s="375"/>
      <c r="X41" s="375"/>
      <c r="Y41" s="375"/>
      <c r="Z41" s="375"/>
      <c r="AA41" s="375"/>
      <c r="AB41" s="375"/>
      <c r="AC41" s="375"/>
      <c r="AD41" s="375"/>
      <c r="AE41" s="375"/>
      <c r="AF41" s="375"/>
      <c r="AG41" s="375"/>
      <c r="AH41" s="375"/>
      <c r="AI41" s="375"/>
      <c r="AJ41" s="375"/>
      <c r="AK41" s="375"/>
      <c r="AL41" s="375"/>
      <c r="AM41" s="375"/>
      <c r="AN41" s="375"/>
      <c r="AO41" s="375"/>
      <c r="AP41" s="375"/>
      <c r="AQ41" s="375"/>
      <c r="AR41" s="375"/>
      <c r="AS41" s="375"/>
      <c r="AT41" s="375"/>
      <c r="AU41" s="375"/>
      <c r="AV41" s="375"/>
      <c r="AW41" s="375"/>
      <c r="AX41" s="375"/>
      <c r="AY41" s="375"/>
      <c r="AZ41" s="375"/>
      <c r="BA41" s="375"/>
      <c r="BB41" s="375"/>
      <c r="BC41" s="375"/>
      <c r="BD41" s="375"/>
      <c r="BE41" s="375"/>
      <c r="BF41" s="375"/>
      <c r="BG41" s="375"/>
      <c r="BH41" s="375"/>
      <c r="BI41" s="375"/>
      <c r="BJ41" s="375"/>
      <c r="BK41" s="375"/>
      <c r="BL41" s="375"/>
      <c r="BM41" s="375"/>
      <c r="BN41" s="375"/>
      <c r="BO41" s="375"/>
      <c r="BP41" s="375"/>
      <c r="BQ41" s="375"/>
      <c r="BR41" s="73"/>
      <c r="BS41" s="48"/>
      <c r="BT41" s="48"/>
      <c r="BU41" s="48"/>
      <c r="BV41" s="48"/>
      <c r="BW41" s="48"/>
      <c r="BX41" s="48"/>
      <c r="BY41" s="48"/>
    </row>
    <row r="42" spans="1:77" ht="15" customHeight="1" x14ac:dyDescent="0.2">
      <c r="A42" s="47"/>
      <c r="B42" s="47"/>
      <c r="C42" s="60"/>
      <c r="D42" s="61"/>
      <c r="E42" s="61"/>
      <c r="F42" s="63"/>
      <c r="G42" s="73"/>
      <c r="H42" s="102" t="s">
        <v>191</v>
      </c>
      <c r="I42" s="267" t="s">
        <v>185</v>
      </c>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73"/>
      <c r="BS42" s="48"/>
      <c r="BT42" s="48"/>
      <c r="BU42" s="48"/>
      <c r="BV42" s="48"/>
      <c r="BW42" s="48"/>
      <c r="BX42" s="48"/>
      <c r="BY42" s="48"/>
    </row>
    <row r="43" spans="1:77" ht="15" customHeight="1" x14ac:dyDescent="0.2">
      <c r="A43" s="47"/>
      <c r="B43" s="47"/>
      <c r="C43" s="60"/>
      <c r="D43" s="61"/>
      <c r="E43" s="61"/>
      <c r="F43" s="63"/>
      <c r="G43" s="73"/>
      <c r="H43" s="102" t="s">
        <v>191</v>
      </c>
      <c r="I43" s="267" t="s">
        <v>186</v>
      </c>
      <c r="J43" s="267"/>
      <c r="K43" s="267"/>
      <c r="L43" s="267"/>
      <c r="M43" s="267"/>
      <c r="N43" s="267"/>
      <c r="O43" s="267"/>
      <c r="P43" s="267"/>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7"/>
      <c r="BP43" s="267"/>
      <c r="BQ43" s="267"/>
      <c r="BR43" s="73"/>
      <c r="BS43" s="48"/>
      <c r="BT43" s="48"/>
      <c r="BU43" s="48"/>
      <c r="BV43" s="48"/>
      <c r="BW43" s="48"/>
      <c r="BX43" s="48"/>
      <c r="BY43" s="48"/>
    </row>
    <row r="44" spans="1:77" ht="15" customHeight="1" x14ac:dyDescent="0.2">
      <c r="A44" s="47"/>
      <c r="B44" s="47"/>
      <c r="C44" s="60"/>
      <c r="D44" s="61"/>
      <c r="E44" s="61"/>
      <c r="F44" s="63"/>
      <c r="G44" s="73"/>
      <c r="H44" s="102" t="s">
        <v>191</v>
      </c>
      <c r="I44" s="267" t="s">
        <v>187</v>
      </c>
      <c r="J44" s="267"/>
      <c r="K44" s="267"/>
      <c r="L44" s="267"/>
      <c r="M44" s="267"/>
      <c r="N44" s="267"/>
      <c r="O44" s="267"/>
      <c r="P44" s="267"/>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7"/>
      <c r="BP44" s="267"/>
      <c r="BQ44" s="267"/>
      <c r="BR44" s="73"/>
      <c r="BS44" s="48"/>
      <c r="BT44" s="48"/>
      <c r="BU44" s="48"/>
      <c r="BV44" s="48"/>
      <c r="BW44" s="48"/>
      <c r="BX44" s="48"/>
      <c r="BY44" s="48"/>
    </row>
    <row r="45" spans="1:77" ht="15" customHeight="1" x14ac:dyDescent="0.2">
      <c r="A45" s="47"/>
      <c r="B45" s="47"/>
      <c r="C45" s="60"/>
      <c r="D45" s="61"/>
      <c r="E45" s="61"/>
      <c r="F45" s="6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48"/>
      <c r="BT45" s="48"/>
      <c r="BU45" s="48"/>
      <c r="BV45" s="48"/>
      <c r="BW45" s="48"/>
      <c r="BX45" s="48"/>
      <c r="BY45" s="48"/>
    </row>
    <row r="46" spans="1:77" ht="15" customHeight="1" x14ac:dyDescent="0.2">
      <c r="A46" s="47"/>
      <c r="B46" s="47"/>
      <c r="C46" s="60"/>
      <c r="D46" s="61"/>
      <c r="E46" s="61"/>
      <c r="F46" s="63"/>
      <c r="G46" s="267" t="s">
        <v>303</v>
      </c>
      <c r="H46" s="267"/>
      <c r="I46" s="267"/>
      <c r="J46" s="267"/>
      <c r="K46" s="267"/>
      <c r="L46" s="267"/>
      <c r="M46" s="267"/>
      <c r="N46" s="267"/>
      <c r="O46" s="267"/>
      <c r="P46" s="267"/>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c r="AR46" s="267"/>
      <c r="AS46" s="267"/>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7"/>
      <c r="BP46" s="267"/>
      <c r="BQ46" s="267"/>
      <c r="BR46" s="73"/>
      <c r="BS46" s="48"/>
      <c r="BT46" s="48"/>
      <c r="BU46" s="48"/>
      <c r="BV46" s="48"/>
      <c r="BW46" s="48"/>
      <c r="BX46" s="48"/>
      <c r="BY46" s="48"/>
    </row>
    <row r="47" spans="1:77" ht="15" customHeight="1" x14ac:dyDescent="0.2">
      <c r="A47" s="47"/>
      <c r="B47" s="47"/>
      <c r="C47" s="60"/>
      <c r="D47" s="61"/>
      <c r="E47" s="61"/>
      <c r="F47" s="63"/>
      <c r="G47" s="267"/>
      <c r="H47" s="267"/>
      <c r="I47" s="267"/>
      <c r="J47" s="267"/>
      <c r="K47" s="267"/>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c r="AR47" s="267"/>
      <c r="AS47" s="267"/>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7"/>
      <c r="BP47" s="267"/>
      <c r="BQ47" s="267"/>
      <c r="BR47" s="73"/>
      <c r="BS47" s="48"/>
      <c r="BT47" s="48"/>
      <c r="BU47" s="48"/>
      <c r="BV47" s="48"/>
      <c r="BW47" s="48"/>
      <c r="BX47" s="48"/>
      <c r="BY47" s="48"/>
    </row>
    <row r="48" spans="1:77" ht="15" customHeight="1" x14ac:dyDescent="0.2">
      <c r="A48" s="47"/>
      <c r="B48" s="47"/>
      <c r="C48" s="60"/>
      <c r="D48" s="61"/>
      <c r="E48" s="61"/>
      <c r="F48" s="63"/>
      <c r="G48" s="267"/>
      <c r="H48" s="267"/>
      <c r="I48" s="267"/>
      <c r="J48" s="267"/>
      <c r="K48" s="267"/>
      <c r="L48" s="267"/>
      <c r="M48" s="267"/>
      <c r="N48" s="267"/>
      <c r="O48" s="267"/>
      <c r="P48" s="267"/>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7"/>
      <c r="BP48" s="267"/>
      <c r="BQ48" s="267"/>
      <c r="BR48" s="73"/>
      <c r="BS48" s="48"/>
      <c r="BT48" s="48"/>
      <c r="BU48" s="48"/>
      <c r="BV48" s="48"/>
      <c r="BW48" s="48"/>
      <c r="BX48" s="48"/>
      <c r="BY48" s="48"/>
    </row>
    <row r="49" spans="1:77" ht="15" customHeight="1" x14ac:dyDescent="0.2">
      <c r="A49" s="47"/>
      <c r="B49" s="47"/>
      <c r="C49" s="60"/>
      <c r="D49" s="61"/>
      <c r="E49" s="61"/>
      <c r="F49" s="63"/>
      <c r="G49" s="267"/>
      <c r="H49" s="267"/>
      <c r="I49" s="267"/>
      <c r="J49" s="267"/>
      <c r="K49" s="267"/>
      <c r="L49" s="267"/>
      <c r="M49" s="267"/>
      <c r="N49" s="267"/>
      <c r="O49" s="267"/>
      <c r="P49" s="267"/>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7"/>
      <c r="BP49" s="267"/>
      <c r="BQ49" s="267"/>
      <c r="BR49" s="73"/>
      <c r="BS49" s="48"/>
      <c r="BT49" s="48"/>
      <c r="BU49" s="48"/>
      <c r="BV49" s="48"/>
      <c r="BW49" s="48"/>
      <c r="BX49" s="48"/>
      <c r="BY49" s="48"/>
    </row>
    <row r="50" spans="1:77" ht="15" customHeight="1" x14ac:dyDescent="0.2">
      <c r="A50" s="47"/>
      <c r="B50" s="47"/>
      <c r="C50" s="60"/>
      <c r="D50" s="61"/>
      <c r="E50" s="61"/>
      <c r="F50" s="63"/>
      <c r="G50" s="267"/>
      <c r="H50" s="267"/>
      <c r="I50" s="267"/>
      <c r="J50" s="267"/>
      <c r="K50" s="267"/>
      <c r="L50" s="267"/>
      <c r="M50" s="267"/>
      <c r="N50" s="267"/>
      <c r="O50" s="267"/>
      <c r="P50" s="267"/>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67"/>
      <c r="AX50" s="267"/>
      <c r="AY50" s="267"/>
      <c r="AZ50" s="267"/>
      <c r="BA50" s="267"/>
      <c r="BB50" s="267"/>
      <c r="BC50" s="267"/>
      <c r="BD50" s="267"/>
      <c r="BE50" s="267"/>
      <c r="BF50" s="267"/>
      <c r="BG50" s="267"/>
      <c r="BH50" s="267"/>
      <c r="BI50" s="267"/>
      <c r="BJ50" s="267"/>
      <c r="BK50" s="267"/>
      <c r="BL50" s="267"/>
      <c r="BM50" s="267"/>
      <c r="BN50" s="267"/>
      <c r="BO50" s="267"/>
      <c r="BP50" s="267"/>
      <c r="BQ50" s="267"/>
      <c r="BR50" s="73"/>
      <c r="BS50" s="48"/>
      <c r="BT50" s="48"/>
      <c r="BU50" s="48"/>
      <c r="BV50" s="48"/>
      <c r="BW50" s="48"/>
      <c r="BX50" s="48"/>
      <c r="BY50" s="48"/>
    </row>
    <row r="51" spans="1:77" ht="15" customHeight="1" x14ac:dyDescent="0.2">
      <c r="A51" s="47"/>
      <c r="B51" s="47"/>
      <c r="C51" s="60"/>
      <c r="D51" s="61"/>
      <c r="E51" s="61"/>
      <c r="F51" s="63"/>
      <c r="G51" s="267"/>
      <c r="H51" s="267"/>
      <c r="I51" s="267"/>
      <c r="J51" s="267"/>
      <c r="K51" s="267"/>
      <c r="L51" s="267"/>
      <c r="M51" s="267"/>
      <c r="N51" s="267"/>
      <c r="O51" s="267"/>
      <c r="P51" s="267"/>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267"/>
      <c r="AV51" s="267"/>
      <c r="AW51" s="267"/>
      <c r="AX51" s="267"/>
      <c r="AY51" s="267"/>
      <c r="AZ51" s="267"/>
      <c r="BA51" s="267"/>
      <c r="BB51" s="267"/>
      <c r="BC51" s="267"/>
      <c r="BD51" s="267"/>
      <c r="BE51" s="267"/>
      <c r="BF51" s="267"/>
      <c r="BG51" s="267"/>
      <c r="BH51" s="267"/>
      <c r="BI51" s="267"/>
      <c r="BJ51" s="267"/>
      <c r="BK51" s="267"/>
      <c r="BL51" s="267"/>
      <c r="BM51" s="267"/>
      <c r="BN51" s="267"/>
      <c r="BO51" s="267"/>
      <c r="BP51" s="267"/>
      <c r="BQ51" s="267"/>
      <c r="BR51" s="73"/>
      <c r="BS51" s="48"/>
      <c r="BT51" s="48"/>
      <c r="BU51" s="48"/>
      <c r="BV51" s="48"/>
      <c r="BW51" s="48"/>
      <c r="BX51" s="48"/>
      <c r="BY51" s="48"/>
    </row>
    <row r="52" spans="1:77" ht="15" customHeight="1" x14ac:dyDescent="0.2">
      <c r="A52" s="47"/>
      <c r="B52" s="47"/>
      <c r="C52" s="60"/>
      <c r="D52" s="61"/>
      <c r="E52" s="61"/>
      <c r="F52" s="63"/>
      <c r="G52" s="73"/>
      <c r="H52" s="102" t="s">
        <v>191</v>
      </c>
      <c r="I52" s="267" t="s">
        <v>188</v>
      </c>
      <c r="J52" s="267"/>
      <c r="K52" s="267"/>
      <c r="L52" s="267"/>
      <c r="M52" s="267"/>
      <c r="N52" s="267"/>
      <c r="O52" s="267"/>
      <c r="P52" s="267"/>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67"/>
      <c r="BF52" s="267"/>
      <c r="BG52" s="267"/>
      <c r="BH52" s="267"/>
      <c r="BI52" s="267"/>
      <c r="BJ52" s="267"/>
      <c r="BK52" s="267"/>
      <c r="BL52" s="267"/>
      <c r="BM52" s="267"/>
      <c r="BN52" s="267"/>
      <c r="BO52" s="267"/>
      <c r="BP52" s="267"/>
      <c r="BQ52" s="267"/>
      <c r="BR52" s="73"/>
      <c r="BS52" s="48"/>
      <c r="BT52" s="48"/>
      <c r="BU52" s="48"/>
      <c r="BV52" s="48"/>
      <c r="BW52" s="48"/>
      <c r="BX52" s="48"/>
      <c r="BY52" s="48"/>
    </row>
    <row r="53" spans="1:77" ht="15" customHeight="1" x14ac:dyDescent="0.2">
      <c r="A53" s="47"/>
      <c r="B53" s="47"/>
      <c r="C53" s="60"/>
      <c r="D53" s="61"/>
      <c r="E53" s="61"/>
      <c r="F53" s="63"/>
      <c r="G53" s="73"/>
      <c r="H53" s="102" t="s">
        <v>191</v>
      </c>
      <c r="I53" s="267" t="s">
        <v>189</v>
      </c>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7"/>
      <c r="BK53" s="267"/>
      <c r="BL53" s="267"/>
      <c r="BM53" s="267"/>
      <c r="BN53" s="267"/>
      <c r="BO53" s="267"/>
      <c r="BP53" s="267"/>
      <c r="BQ53" s="267"/>
      <c r="BR53" s="73"/>
      <c r="BS53" s="48"/>
      <c r="BT53" s="48"/>
      <c r="BU53" s="48"/>
      <c r="BV53" s="48"/>
      <c r="BW53" s="48"/>
      <c r="BX53" s="48"/>
      <c r="BY53" s="48"/>
    </row>
    <row r="54" spans="1:77" ht="15" customHeight="1" x14ac:dyDescent="0.2">
      <c r="A54" s="47"/>
      <c r="B54" s="47"/>
      <c r="C54" s="60"/>
      <c r="D54" s="61"/>
      <c r="E54" s="61"/>
      <c r="F54" s="63"/>
      <c r="G54" s="73"/>
      <c r="H54" s="102" t="s">
        <v>191</v>
      </c>
      <c r="I54" s="267" t="s">
        <v>190</v>
      </c>
      <c r="J54" s="267"/>
      <c r="K54" s="267"/>
      <c r="L54" s="267"/>
      <c r="M54" s="267"/>
      <c r="N54" s="267"/>
      <c r="O54" s="267"/>
      <c r="P54" s="267"/>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7"/>
      <c r="AN54" s="267"/>
      <c r="AO54" s="267"/>
      <c r="AP54" s="267"/>
      <c r="AQ54" s="267"/>
      <c r="AR54" s="267"/>
      <c r="AS54" s="267"/>
      <c r="AT54" s="267"/>
      <c r="AU54" s="267"/>
      <c r="AV54" s="267"/>
      <c r="AW54" s="267"/>
      <c r="AX54" s="267"/>
      <c r="AY54" s="267"/>
      <c r="AZ54" s="267"/>
      <c r="BA54" s="267"/>
      <c r="BB54" s="267"/>
      <c r="BC54" s="267"/>
      <c r="BD54" s="267"/>
      <c r="BE54" s="267"/>
      <c r="BF54" s="267"/>
      <c r="BG54" s="267"/>
      <c r="BH54" s="267"/>
      <c r="BI54" s="267"/>
      <c r="BJ54" s="267"/>
      <c r="BK54" s="267"/>
      <c r="BL54" s="267"/>
      <c r="BM54" s="267"/>
      <c r="BN54" s="267"/>
      <c r="BO54" s="267"/>
      <c r="BP54" s="267"/>
      <c r="BQ54" s="267"/>
      <c r="BR54" s="73"/>
      <c r="BS54" s="48"/>
      <c r="BT54" s="48"/>
      <c r="BU54" s="48"/>
      <c r="BV54" s="48"/>
      <c r="BW54" s="48"/>
      <c r="BX54" s="48"/>
      <c r="BY54" s="48"/>
    </row>
    <row r="55" spans="1:77" ht="15" customHeight="1" x14ac:dyDescent="0.2">
      <c r="A55" s="47"/>
      <c r="B55" s="47"/>
      <c r="C55" s="60"/>
      <c r="D55" s="61"/>
      <c r="E55" s="61"/>
      <c r="F55" s="6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48"/>
      <c r="BT55" s="48"/>
      <c r="BU55" s="48"/>
      <c r="BV55" s="48"/>
      <c r="BW55" s="48"/>
      <c r="BX55" s="48"/>
      <c r="BY55" s="48"/>
    </row>
    <row r="56" spans="1:77" ht="15" customHeight="1" x14ac:dyDescent="0.2">
      <c r="A56" s="47"/>
      <c r="B56" s="47"/>
      <c r="C56" s="60"/>
      <c r="D56" s="61"/>
      <c r="E56" s="61"/>
      <c r="F56" s="63"/>
      <c r="G56" s="267" t="s">
        <v>304</v>
      </c>
      <c r="H56" s="267"/>
      <c r="I56" s="267"/>
      <c r="J56" s="267"/>
      <c r="K56" s="267"/>
      <c r="L56" s="267"/>
      <c r="M56" s="267"/>
      <c r="N56" s="267"/>
      <c r="O56" s="267"/>
      <c r="P56" s="267"/>
      <c r="Q56" s="267"/>
      <c r="R56" s="267"/>
      <c r="S56" s="267"/>
      <c r="T56" s="267"/>
      <c r="U56" s="267"/>
      <c r="V56" s="267"/>
      <c r="W56" s="267"/>
      <c r="X56" s="267"/>
      <c r="Y56" s="267"/>
      <c r="Z56" s="267"/>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267"/>
      <c r="AW56" s="267"/>
      <c r="AX56" s="267"/>
      <c r="AY56" s="267"/>
      <c r="AZ56" s="267"/>
      <c r="BA56" s="267"/>
      <c r="BB56" s="267"/>
      <c r="BC56" s="267"/>
      <c r="BD56" s="267"/>
      <c r="BE56" s="267"/>
      <c r="BF56" s="267"/>
      <c r="BG56" s="267"/>
      <c r="BH56" s="267"/>
      <c r="BI56" s="267"/>
      <c r="BJ56" s="267"/>
      <c r="BK56" s="267"/>
      <c r="BL56" s="267"/>
      <c r="BM56" s="267"/>
      <c r="BN56" s="267"/>
      <c r="BO56" s="267"/>
      <c r="BP56" s="267"/>
      <c r="BQ56" s="267"/>
      <c r="BR56" s="73"/>
      <c r="BS56" s="48"/>
      <c r="BT56" s="48"/>
      <c r="BU56" s="48"/>
      <c r="BV56" s="48"/>
      <c r="BW56" s="48"/>
      <c r="BX56" s="48"/>
      <c r="BY56" s="48"/>
    </row>
    <row r="57" spans="1:77" ht="15" customHeight="1" x14ac:dyDescent="0.2">
      <c r="A57" s="47"/>
      <c r="B57" s="47"/>
      <c r="C57" s="60"/>
      <c r="D57" s="61"/>
      <c r="E57" s="61"/>
      <c r="F57" s="63"/>
      <c r="G57" s="267"/>
      <c r="H57" s="267"/>
      <c r="I57" s="267"/>
      <c r="J57" s="267"/>
      <c r="K57" s="267"/>
      <c r="L57" s="267"/>
      <c r="M57" s="267"/>
      <c r="N57" s="267"/>
      <c r="O57" s="267"/>
      <c r="P57" s="267"/>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7"/>
      <c r="AN57" s="267"/>
      <c r="AO57" s="267"/>
      <c r="AP57" s="267"/>
      <c r="AQ57" s="267"/>
      <c r="AR57" s="267"/>
      <c r="AS57" s="267"/>
      <c r="AT57" s="267"/>
      <c r="AU57" s="267"/>
      <c r="AV57" s="267"/>
      <c r="AW57" s="267"/>
      <c r="AX57" s="267"/>
      <c r="AY57" s="267"/>
      <c r="AZ57" s="267"/>
      <c r="BA57" s="267"/>
      <c r="BB57" s="267"/>
      <c r="BC57" s="267"/>
      <c r="BD57" s="267"/>
      <c r="BE57" s="267"/>
      <c r="BF57" s="267"/>
      <c r="BG57" s="267"/>
      <c r="BH57" s="267"/>
      <c r="BI57" s="267"/>
      <c r="BJ57" s="267"/>
      <c r="BK57" s="267"/>
      <c r="BL57" s="267"/>
      <c r="BM57" s="267"/>
      <c r="BN57" s="267"/>
      <c r="BO57" s="267"/>
      <c r="BP57" s="267"/>
      <c r="BQ57" s="267"/>
      <c r="BR57" s="73"/>
      <c r="BS57" s="48"/>
      <c r="BT57" s="48"/>
      <c r="BU57" s="48"/>
      <c r="BV57" s="48"/>
      <c r="BW57" s="48"/>
      <c r="BX57" s="48"/>
      <c r="BY57" s="48"/>
    </row>
    <row r="58" spans="1:77" ht="15" customHeight="1" x14ac:dyDescent="0.2">
      <c r="A58" s="47"/>
      <c r="B58" s="47"/>
      <c r="C58" s="60"/>
      <c r="D58" s="61"/>
      <c r="E58" s="61"/>
      <c r="F58" s="63"/>
      <c r="G58" s="267"/>
      <c r="H58" s="267"/>
      <c r="I58" s="267"/>
      <c r="J58" s="267"/>
      <c r="K58" s="267"/>
      <c r="L58" s="267"/>
      <c r="M58" s="267"/>
      <c r="N58" s="267"/>
      <c r="O58" s="267"/>
      <c r="P58" s="267"/>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267"/>
      <c r="AR58" s="267"/>
      <c r="AS58" s="267"/>
      <c r="AT58" s="267"/>
      <c r="AU58" s="267"/>
      <c r="AV58" s="267"/>
      <c r="AW58" s="267"/>
      <c r="AX58" s="267"/>
      <c r="AY58" s="267"/>
      <c r="AZ58" s="267"/>
      <c r="BA58" s="267"/>
      <c r="BB58" s="267"/>
      <c r="BC58" s="267"/>
      <c r="BD58" s="267"/>
      <c r="BE58" s="267"/>
      <c r="BF58" s="267"/>
      <c r="BG58" s="267"/>
      <c r="BH58" s="267"/>
      <c r="BI58" s="267"/>
      <c r="BJ58" s="267"/>
      <c r="BK58" s="267"/>
      <c r="BL58" s="267"/>
      <c r="BM58" s="267"/>
      <c r="BN58" s="267"/>
      <c r="BO58" s="267"/>
      <c r="BP58" s="267"/>
      <c r="BQ58" s="267"/>
      <c r="BR58" s="73"/>
      <c r="BS58" s="48"/>
      <c r="BT58" s="48"/>
      <c r="BU58" s="48"/>
      <c r="BV58" s="48"/>
      <c r="BW58" s="48"/>
      <c r="BX58" s="48"/>
      <c r="BY58" s="48"/>
    </row>
    <row r="59" spans="1:77" ht="15" customHeight="1" x14ac:dyDescent="0.25">
      <c r="A59" s="47"/>
      <c r="B59" s="47"/>
      <c r="C59" s="294" t="s">
        <v>160</v>
      </c>
      <c r="D59" s="295"/>
      <c r="E59" s="295"/>
      <c r="F59" s="295"/>
      <c r="G59" s="289" t="s">
        <v>161</v>
      </c>
      <c r="H59" s="289"/>
      <c r="I59" s="289"/>
      <c r="J59" s="289"/>
      <c r="K59" s="289"/>
      <c r="L59" s="289"/>
      <c r="M59" s="289"/>
      <c r="N59" s="289"/>
      <c r="O59" s="289"/>
      <c r="P59" s="289"/>
      <c r="Q59" s="289"/>
      <c r="R59" s="289"/>
      <c r="S59" s="289"/>
      <c r="T59" s="289"/>
      <c r="U59" s="289"/>
      <c r="V59" s="289"/>
      <c r="W59" s="289"/>
      <c r="X59" s="289"/>
      <c r="Y59" s="289"/>
      <c r="Z59" s="289"/>
      <c r="AA59" s="289"/>
      <c r="AB59" s="289"/>
      <c r="AC59" s="289"/>
      <c r="AD59" s="289"/>
      <c r="AE59" s="289"/>
      <c r="AF59" s="289"/>
      <c r="AG59" s="289"/>
      <c r="AH59" s="289"/>
      <c r="AI59" s="289"/>
      <c r="AJ59" s="289"/>
      <c r="AK59" s="289"/>
      <c r="AL59" s="289"/>
      <c r="AM59" s="289"/>
      <c r="AN59" s="289"/>
      <c r="AO59" s="289"/>
      <c r="AP59" s="289"/>
      <c r="AQ59" s="289"/>
      <c r="AR59" s="289"/>
      <c r="AS59" s="289"/>
      <c r="AT59" s="289"/>
      <c r="AU59" s="289"/>
      <c r="AV59" s="289"/>
      <c r="AW59" s="289"/>
      <c r="AX59" s="289"/>
      <c r="AY59" s="289"/>
      <c r="AZ59" s="289"/>
      <c r="BA59" s="289"/>
      <c r="BB59" s="289"/>
      <c r="BC59" s="289"/>
      <c r="BD59" s="289"/>
      <c r="BE59" s="289"/>
      <c r="BF59" s="289"/>
      <c r="BG59" s="289"/>
      <c r="BH59" s="289"/>
      <c r="BI59" s="289"/>
      <c r="BJ59" s="289"/>
      <c r="BK59" s="289"/>
      <c r="BL59" s="289"/>
      <c r="BM59" s="289"/>
      <c r="BN59" s="289"/>
      <c r="BO59" s="289"/>
      <c r="BP59" s="289"/>
      <c r="BQ59" s="289"/>
      <c r="BR59" s="59"/>
      <c r="BS59" s="48"/>
      <c r="BT59" s="48"/>
      <c r="BU59" s="48"/>
      <c r="BV59" s="48"/>
      <c r="BW59" s="48"/>
      <c r="BX59" s="48"/>
      <c r="BY59" s="48"/>
    </row>
    <row r="60" spans="1:77" ht="15" customHeight="1" x14ac:dyDescent="0.25">
      <c r="A60" s="47"/>
      <c r="B60" s="47"/>
      <c r="C60" s="294"/>
      <c r="D60" s="295"/>
      <c r="E60" s="295"/>
      <c r="F60" s="295"/>
      <c r="G60" s="289"/>
      <c r="H60" s="289"/>
      <c r="I60" s="289"/>
      <c r="J60" s="289"/>
      <c r="K60" s="289"/>
      <c r="L60" s="289"/>
      <c r="M60" s="289"/>
      <c r="N60" s="289"/>
      <c r="O60" s="289"/>
      <c r="P60" s="289"/>
      <c r="Q60" s="289"/>
      <c r="R60" s="289"/>
      <c r="S60" s="289"/>
      <c r="T60" s="289"/>
      <c r="U60" s="289"/>
      <c r="V60" s="289"/>
      <c r="W60" s="289"/>
      <c r="X60" s="289"/>
      <c r="Y60" s="289"/>
      <c r="Z60" s="289"/>
      <c r="AA60" s="289"/>
      <c r="AB60" s="289"/>
      <c r="AC60" s="289"/>
      <c r="AD60" s="289"/>
      <c r="AE60" s="289"/>
      <c r="AF60" s="289"/>
      <c r="AG60" s="289"/>
      <c r="AH60" s="289"/>
      <c r="AI60" s="289"/>
      <c r="AJ60" s="289"/>
      <c r="AK60" s="289"/>
      <c r="AL60" s="289"/>
      <c r="AM60" s="289"/>
      <c r="AN60" s="289"/>
      <c r="AO60" s="289"/>
      <c r="AP60" s="289"/>
      <c r="AQ60" s="289"/>
      <c r="AR60" s="289"/>
      <c r="AS60" s="289"/>
      <c r="AT60" s="289"/>
      <c r="AU60" s="289"/>
      <c r="AV60" s="289"/>
      <c r="AW60" s="289"/>
      <c r="AX60" s="289"/>
      <c r="AY60" s="289"/>
      <c r="AZ60" s="289"/>
      <c r="BA60" s="289"/>
      <c r="BB60" s="289"/>
      <c r="BC60" s="289"/>
      <c r="BD60" s="289"/>
      <c r="BE60" s="289"/>
      <c r="BF60" s="289"/>
      <c r="BG60" s="289"/>
      <c r="BH60" s="289"/>
      <c r="BI60" s="289"/>
      <c r="BJ60" s="289"/>
      <c r="BK60" s="289"/>
      <c r="BL60" s="289"/>
      <c r="BM60" s="289"/>
      <c r="BN60" s="289"/>
      <c r="BO60" s="289"/>
      <c r="BP60" s="289"/>
      <c r="BQ60" s="289"/>
      <c r="BR60" s="59"/>
      <c r="BS60" s="48"/>
      <c r="BT60" s="48"/>
      <c r="BU60" s="48"/>
      <c r="BV60" s="48"/>
      <c r="BW60" s="48"/>
      <c r="BX60" s="48"/>
      <c r="BY60" s="48"/>
    </row>
    <row r="61" spans="1:77" ht="15" customHeight="1" x14ac:dyDescent="0.2">
      <c r="A61" s="47"/>
      <c r="B61" s="47"/>
      <c r="C61" s="60"/>
      <c r="D61" s="61"/>
      <c r="E61" s="61"/>
      <c r="F61" s="63"/>
      <c r="G61" s="267" t="s">
        <v>305</v>
      </c>
      <c r="H61" s="267"/>
      <c r="I61" s="267"/>
      <c r="J61" s="267"/>
      <c r="K61" s="267"/>
      <c r="L61" s="267"/>
      <c r="M61" s="267"/>
      <c r="N61" s="267"/>
      <c r="O61" s="267"/>
      <c r="P61" s="267"/>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c r="AR61" s="267"/>
      <c r="AS61" s="267"/>
      <c r="AT61" s="267"/>
      <c r="AU61" s="267"/>
      <c r="AV61" s="267"/>
      <c r="AW61" s="267"/>
      <c r="AX61" s="267"/>
      <c r="AY61" s="267"/>
      <c r="AZ61" s="267"/>
      <c r="BA61" s="267"/>
      <c r="BB61" s="267"/>
      <c r="BC61" s="267"/>
      <c r="BD61" s="267"/>
      <c r="BE61" s="267"/>
      <c r="BF61" s="267"/>
      <c r="BG61" s="267"/>
      <c r="BH61" s="267"/>
      <c r="BI61" s="267"/>
      <c r="BJ61" s="267"/>
      <c r="BK61" s="267"/>
      <c r="BL61" s="267"/>
      <c r="BM61" s="267"/>
      <c r="BN61" s="267"/>
      <c r="BO61" s="267"/>
      <c r="BP61" s="267"/>
      <c r="BQ61" s="267"/>
      <c r="BR61" s="73"/>
      <c r="BS61" s="48"/>
      <c r="BT61" s="48"/>
      <c r="BU61" s="48"/>
      <c r="BV61" s="48"/>
      <c r="BW61" s="48"/>
      <c r="BX61" s="48"/>
      <c r="BY61" s="48"/>
    </row>
    <row r="62" spans="1:77" ht="15" customHeight="1" x14ac:dyDescent="0.2">
      <c r="A62" s="47"/>
      <c r="B62" s="47"/>
      <c r="C62" s="60"/>
      <c r="D62" s="61"/>
      <c r="E62" s="61"/>
      <c r="F62" s="63"/>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7"/>
      <c r="BP62" s="267"/>
      <c r="BQ62" s="267"/>
      <c r="BR62" s="73"/>
      <c r="BS62" s="48"/>
      <c r="BT62" s="48"/>
      <c r="BU62" s="48"/>
      <c r="BV62" s="48"/>
      <c r="BW62" s="48"/>
      <c r="BX62" s="48"/>
      <c r="BY62" s="48"/>
    </row>
    <row r="63" spans="1:77" ht="15" customHeight="1" x14ac:dyDescent="0.2">
      <c r="A63" s="47"/>
      <c r="B63" s="47"/>
      <c r="C63" s="60"/>
      <c r="D63" s="61"/>
      <c r="E63" s="61"/>
      <c r="F63" s="63"/>
      <c r="G63" s="267"/>
      <c r="H63" s="267"/>
      <c r="I63" s="267"/>
      <c r="J63" s="267"/>
      <c r="K63" s="267"/>
      <c r="L63" s="267"/>
      <c r="M63" s="267"/>
      <c r="N63" s="267"/>
      <c r="O63" s="267"/>
      <c r="P63" s="267"/>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7"/>
      <c r="BP63" s="267"/>
      <c r="BQ63" s="267"/>
      <c r="BR63" s="73"/>
      <c r="BS63" s="48"/>
      <c r="BT63" s="48"/>
      <c r="BU63" s="48"/>
      <c r="BV63" s="48"/>
      <c r="BW63" s="48"/>
      <c r="BX63" s="48"/>
      <c r="BY63" s="48"/>
    </row>
    <row r="64" spans="1:77" ht="15" customHeight="1" x14ac:dyDescent="0.2">
      <c r="A64" s="47"/>
      <c r="B64" s="47"/>
      <c r="C64" s="60"/>
      <c r="D64" s="61"/>
      <c r="E64" s="61"/>
      <c r="F64" s="63"/>
      <c r="G64" s="267"/>
      <c r="H64" s="267"/>
      <c r="I64" s="267"/>
      <c r="J64" s="267"/>
      <c r="K64" s="267"/>
      <c r="L64" s="267"/>
      <c r="M64" s="267"/>
      <c r="N64" s="267"/>
      <c r="O64" s="267"/>
      <c r="P64" s="267"/>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7"/>
      <c r="BP64" s="267"/>
      <c r="BQ64" s="267"/>
      <c r="BR64" s="73"/>
      <c r="BS64" s="48"/>
      <c r="BT64" s="48"/>
      <c r="BU64" s="48"/>
      <c r="BV64" s="48"/>
      <c r="BW64" s="48"/>
      <c r="BX64" s="48"/>
      <c r="BY64" s="48"/>
    </row>
    <row r="65" spans="1:77" ht="15" customHeight="1" x14ac:dyDescent="0.2">
      <c r="A65" s="47"/>
      <c r="B65" s="47"/>
      <c r="C65" s="60"/>
      <c r="D65" s="61"/>
      <c r="E65" s="61"/>
      <c r="F65" s="63"/>
      <c r="G65" s="267"/>
      <c r="H65" s="267"/>
      <c r="I65" s="267"/>
      <c r="J65" s="267"/>
      <c r="K65" s="267"/>
      <c r="L65" s="267"/>
      <c r="M65" s="267"/>
      <c r="N65" s="267"/>
      <c r="O65" s="267"/>
      <c r="P65" s="267"/>
      <c r="Q65" s="267"/>
      <c r="R65" s="267"/>
      <c r="S65" s="267"/>
      <c r="T65" s="267"/>
      <c r="U65" s="267"/>
      <c r="V65" s="267"/>
      <c r="W65" s="267"/>
      <c r="X65" s="267"/>
      <c r="Y65" s="267"/>
      <c r="Z65" s="267"/>
      <c r="AA65" s="267"/>
      <c r="AB65" s="267"/>
      <c r="AC65" s="267"/>
      <c r="AD65" s="267"/>
      <c r="AE65" s="267"/>
      <c r="AF65" s="267"/>
      <c r="AG65" s="267"/>
      <c r="AH65" s="267"/>
      <c r="AI65" s="267"/>
      <c r="AJ65" s="267"/>
      <c r="AK65" s="267"/>
      <c r="AL65" s="267"/>
      <c r="AM65" s="267"/>
      <c r="AN65" s="267"/>
      <c r="AO65" s="267"/>
      <c r="AP65" s="267"/>
      <c r="AQ65" s="267"/>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7"/>
      <c r="BP65" s="267"/>
      <c r="BQ65" s="267"/>
      <c r="BR65" s="73"/>
      <c r="BS65" s="48"/>
      <c r="BT65" s="48"/>
      <c r="BU65" s="48"/>
      <c r="BV65" s="48"/>
      <c r="BW65" s="48"/>
      <c r="BX65" s="48"/>
      <c r="BY65" s="48"/>
    </row>
    <row r="66" spans="1:77" ht="15" customHeight="1" x14ac:dyDescent="0.2">
      <c r="A66" s="47"/>
      <c r="B66" s="47"/>
      <c r="C66" s="60"/>
      <c r="D66" s="61"/>
      <c r="E66" s="61"/>
      <c r="F66" s="63"/>
      <c r="G66" s="267"/>
      <c r="H66" s="267"/>
      <c r="I66" s="267"/>
      <c r="J66" s="267"/>
      <c r="K66" s="267"/>
      <c r="L66" s="267"/>
      <c r="M66" s="267"/>
      <c r="N66" s="267"/>
      <c r="O66" s="267"/>
      <c r="P66" s="267"/>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7"/>
      <c r="AN66" s="267"/>
      <c r="AO66" s="267"/>
      <c r="AP66" s="267"/>
      <c r="AQ66" s="267"/>
      <c r="AR66" s="267"/>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7"/>
      <c r="BP66" s="267"/>
      <c r="BQ66" s="267"/>
      <c r="BR66" s="73"/>
      <c r="BS66" s="48"/>
      <c r="BT66" s="48"/>
      <c r="BU66" s="48"/>
      <c r="BV66" s="48"/>
      <c r="BW66" s="48"/>
      <c r="BX66" s="48"/>
      <c r="BY66" s="48"/>
    </row>
    <row r="67" spans="1:77" ht="15" customHeight="1" x14ac:dyDescent="0.2">
      <c r="A67" s="47"/>
      <c r="B67" s="47"/>
      <c r="C67" s="60"/>
      <c r="D67" s="61"/>
      <c r="E67" s="61"/>
      <c r="F67" s="63"/>
      <c r="G67" s="267"/>
      <c r="H67" s="267"/>
      <c r="I67" s="267"/>
      <c r="J67" s="267"/>
      <c r="K67" s="267"/>
      <c r="L67" s="267"/>
      <c r="M67" s="267"/>
      <c r="N67" s="267"/>
      <c r="O67" s="267"/>
      <c r="P67" s="267"/>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7"/>
      <c r="BP67" s="267"/>
      <c r="BQ67" s="267"/>
      <c r="BR67" s="73"/>
      <c r="BS67" s="48"/>
      <c r="BT67" s="48"/>
      <c r="BU67" s="48"/>
      <c r="BV67" s="48"/>
      <c r="BW67" s="48"/>
      <c r="BX67" s="48"/>
      <c r="BY67" s="48"/>
    </row>
    <row r="68" spans="1:77" ht="15" customHeight="1" x14ac:dyDescent="0.25">
      <c r="A68" s="47"/>
      <c r="B68" s="47"/>
      <c r="C68" s="294" t="s">
        <v>183</v>
      </c>
      <c r="D68" s="295"/>
      <c r="E68" s="295"/>
      <c r="F68" s="295"/>
      <c r="G68" s="289" t="s">
        <v>195</v>
      </c>
      <c r="H68" s="289"/>
      <c r="I68" s="289"/>
      <c r="J68" s="289"/>
      <c r="K68" s="289"/>
      <c r="L68" s="289"/>
      <c r="M68" s="289"/>
      <c r="N68" s="289"/>
      <c r="O68" s="289"/>
      <c r="P68" s="289"/>
      <c r="Q68" s="289"/>
      <c r="R68" s="289"/>
      <c r="S68" s="289"/>
      <c r="T68" s="289"/>
      <c r="U68" s="289"/>
      <c r="V68" s="289"/>
      <c r="W68" s="289"/>
      <c r="X68" s="289"/>
      <c r="Y68" s="289"/>
      <c r="Z68" s="289"/>
      <c r="AA68" s="289"/>
      <c r="AB68" s="289"/>
      <c r="AC68" s="289"/>
      <c r="AD68" s="289"/>
      <c r="AE68" s="289"/>
      <c r="AF68" s="289"/>
      <c r="AG68" s="289"/>
      <c r="AH68" s="289"/>
      <c r="AI68" s="289"/>
      <c r="AJ68" s="289"/>
      <c r="AK68" s="289"/>
      <c r="AL68" s="289"/>
      <c r="AM68" s="289"/>
      <c r="AN68" s="289"/>
      <c r="AO68" s="289"/>
      <c r="AP68" s="289"/>
      <c r="AQ68" s="289"/>
      <c r="AR68" s="289"/>
      <c r="AS68" s="289"/>
      <c r="AT68" s="289"/>
      <c r="AU68" s="289"/>
      <c r="AV68" s="289"/>
      <c r="AW68" s="289"/>
      <c r="AX68" s="289"/>
      <c r="AY68" s="289"/>
      <c r="AZ68" s="289"/>
      <c r="BA68" s="289"/>
      <c r="BB68" s="289"/>
      <c r="BC68" s="289"/>
      <c r="BD68" s="289"/>
      <c r="BE68" s="289"/>
      <c r="BF68" s="289"/>
      <c r="BG68" s="289"/>
      <c r="BH68" s="289"/>
      <c r="BI68" s="289"/>
      <c r="BJ68" s="289"/>
      <c r="BK68" s="289"/>
      <c r="BL68" s="289"/>
      <c r="BM68" s="289"/>
      <c r="BN68" s="289"/>
      <c r="BO68" s="289"/>
      <c r="BP68" s="289"/>
      <c r="BQ68" s="289"/>
      <c r="BR68" s="59"/>
      <c r="BS68" s="48"/>
      <c r="BT68" s="48"/>
      <c r="BU68" s="48"/>
      <c r="BV68" s="48"/>
      <c r="BW68" s="48"/>
      <c r="BX68" s="48"/>
      <c r="BY68" s="48"/>
    </row>
    <row r="69" spans="1:77" ht="15" customHeight="1" x14ac:dyDescent="0.25">
      <c r="A69" s="47"/>
      <c r="B69" s="47"/>
      <c r="C69" s="294"/>
      <c r="D69" s="295"/>
      <c r="E69" s="295"/>
      <c r="F69" s="295"/>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89"/>
      <c r="BI69" s="289"/>
      <c r="BJ69" s="289"/>
      <c r="BK69" s="289"/>
      <c r="BL69" s="289"/>
      <c r="BM69" s="289"/>
      <c r="BN69" s="289"/>
      <c r="BO69" s="289"/>
      <c r="BP69" s="289"/>
      <c r="BQ69" s="289"/>
      <c r="BR69" s="59"/>
      <c r="BS69" s="48"/>
      <c r="BT69" s="48"/>
      <c r="BU69" s="48"/>
      <c r="BV69" s="48"/>
      <c r="BW69" s="48"/>
      <c r="BX69" s="48"/>
      <c r="BY69" s="48"/>
    </row>
    <row r="70" spans="1:77" ht="15" customHeight="1" x14ac:dyDescent="0.2">
      <c r="A70" s="47"/>
      <c r="B70" s="47"/>
      <c r="C70" s="62"/>
      <c r="D70" s="43"/>
      <c r="E70" s="43"/>
      <c r="F70" s="43"/>
      <c r="G70" s="268" t="s">
        <v>306</v>
      </c>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c r="AF70" s="268"/>
      <c r="AG70" s="268"/>
      <c r="AH70" s="268"/>
      <c r="AI70" s="268"/>
      <c r="AJ70" s="268"/>
      <c r="AK70" s="268"/>
      <c r="AL70" s="268"/>
      <c r="AM70" s="268"/>
      <c r="AN70" s="268"/>
      <c r="AO70" s="268"/>
      <c r="AP70" s="268"/>
      <c r="AQ70" s="268"/>
      <c r="AR70" s="268"/>
      <c r="AS70" s="268"/>
      <c r="AT70" s="268"/>
      <c r="AU70" s="268"/>
      <c r="AV70" s="268"/>
      <c r="AW70" s="268"/>
      <c r="AX70" s="268"/>
      <c r="AY70" s="268"/>
      <c r="AZ70" s="268"/>
      <c r="BA70" s="268"/>
      <c r="BB70" s="268"/>
      <c r="BC70" s="268"/>
      <c r="BD70" s="268"/>
      <c r="BE70" s="268"/>
      <c r="BF70" s="268"/>
      <c r="BG70" s="268"/>
      <c r="BH70" s="268"/>
      <c r="BI70" s="268"/>
      <c r="BJ70" s="268"/>
      <c r="BK70" s="268"/>
      <c r="BL70" s="268"/>
      <c r="BM70" s="268"/>
      <c r="BN70" s="268"/>
      <c r="BO70" s="268"/>
      <c r="BP70" s="268"/>
      <c r="BQ70" s="268"/>
      <c r="BR70" s="63"/>
      <c r="BS70" s="48"/>
      <c r="BT70" s="48"/>
      <c r="BU70" s="48"/>
      <c r="BV70" s="48"/>
      <c r="BW70" s="48"/>
      <c r="BX70" s="48"/>
      <c r="BY70" s="48"/>
    </row>
    <row r="71" spans="1:77" ht="15" customHeight="1" x14ac:dyDescent="0.2">
      <c r="A71" s="47"/>
      <c r="B71" s="47"/>
      <c r="C71" s="62"/>
      <c r="D71" s="43"/>
      <c r="E71" s="43"/>
      <c r="F71" s="43"/>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c r="AF71" s="268"/>
      <c r="AG71" s="268"/>
      <c r="AH71" s="268"/>
      <c r="AI71" s="268"/>
      <c r="AJ71" s="268"/>
      <c r="AK71" s="268"/>
      <c r="AL71" s="268"/>
      <c r="AM71" s="268"/>
      <c r="AN71" s="268"/>
      <c r="AO71" s="268"/>
      <c r="AP71" s="268"/>
      <c r="AQ71" s="268"/>
      <c r="AR71" s="268"/>
      <c r="AS71" s="268"/>
      <c r="AT71" s="268"/>
      <c r="AU71" s="268"/>
      <c r="AV71" s="268"/>
      <c r="AW71" s="268"/>
      <c r="AX71" s="268"/>
      <c r="AY71" s="268"/>
      <c r="AZ71" s="268"/>
      <c r="BA71" s="268"/>
      <c r="BB71" s="268"/>
      <c r="BC71" s="268"/>
      <c r="BD71" s="268"/>
      <c r="BE71" s="268"/>
      <c r="BF71" s="268"/>
      <c r="BG71" s="268"/>
      <c r="BH71" s="268"/>
      <c r="BI71" s="268"/>
      <c r="BJ71" s="268"/>
      <c r="BK71" s="268"/>
      <c r="BL71" s="268"/>
      <c r="BM71" s="268"/>
      <c r="BN71" s="268"/>
      <c r="BO71" s="268"/>
      <c r="BP71" s="268"/>
      <c r="BQ71" s="268"/>
      <c r="BR71" s="63"/>
      <c r="BS71" s="48"/>
      <c r="BT71" s="48"/>
      <c r="BU71" s="48"/>
      <c r="BV71" s="48"/>
      <c r="BW71" s="48"/>
      <c r="BX71" s="48"/>
      <c r="BY71" s="48"/>
    </row>
    <row r="72" spans="1:77" ht="15" customHeight="1" x14ac:dyDescent="0.25">
      <c r="A72" s="47"/>
      <c r="B72" s="47"/>
      <c r="C72" s="294" t="s">
        <v>194</v>
      </c>
      <c r="D72" s="295"/>
      <c r="E72" s="295"/>
      <c r="F72" s="295"/>
      <c r="G72" s="289" t="s">
        <v>323</v>
      </c>
      <c r="H72" s="289"/>
      <c r="I72" s="289"/>
      <c r="J72" s="289"/>
      <c r="K72" s="289"/>
      <c r="L72" s="289"/>
      <c r="M72" s="289"/>
      <c r="N72" s="289"/>
      <c r="O72" s="289"/>
      <c r="P72" s="289"/>
      <c r="Q72" s="289"/>
      <c r="R72" s="289"/>
      <c r="S72" s="289"/>
      <c r="T72" s="289"/>
      <c r="U72" s="289"/>
      <c r="V72" s="289"/>
      <c r="W72" s="289"/>
      <c r="X72" s="289"/>
      <c r="Y72" s="289"/>
      <c r="Z72" s="289"/>
      <c r="AA72" s="289"/>
      <c r="AB72" s="289"/>
      <c r="AC72" s="289"/>
      <c r="AD72" s="289"/>
      <c r="AE72" s="289"/>
      <c r="AF72" s="289"/>
      <c r="AG72" s="289"/>
      <c r="AH72" s="289"/>
      <c r="AI72" s="289"/>
      <c r="AJ72" s="289"/>
      <c r="AK72" s="289"/>
      <c r="AL72" s="289"/>
      <c r="AM72" s="289"/>
      <c r="AN72" s="289"/>
      <c r="AO72" s="289"/>
      <c r="AP72" s="289"/>
      <c r="AQ72" s="289"/>
      <c r="AR72" s="289"/>
      <c r="AS72" s="289"/>
      <c r="AT72" s="289"/>
      <c r="AU72" s="289"/>
      <c r="AV72" s="289"/>
      <c r="AW72" s="289"/>
      <c r="AX72" s="289"/>
      <c r="AY72" s="289"/>
      <c r="AZ72" s="289"/>
      <c r="BA72" s="289"/>
      <c r="BB72" s="289"/>
      <c r="BC72" s="289"/>
      <c r="BD72" s="289"/>
      <c r="BE72" s="289"/>
      <c r="BF72" s="289"/>
      <c r="BG72" s="289"/>
      <c r="BH72" s="289"/>
      <c r="BI72" s="289"/>
      <c r="BJ72" s="289"/>
      <c r="BK72" s="289"/>
      <c r="BL72" s="289"/>
      <c r="BM72" s="289"/>
      <c r="BN72" s="289"/>
      <c r="BO72" s="289"/>
      <c r="BP72" s="289"/>
      <c r="BQ72" s="289"/>
      <c r="BR72" s="59"/>
      <c r="BS72" s="48"/>
      <c r="BT72" s="48"/>
      <c r="BU72" s="48"/>
      <c r="BV72" s="48"/>
      <c r="BW72" s="48"/>
      <c r="BX72" s="48"/>
      <c r="BY72" s="48"/>
    </row>
    <row r="73" spans="1:77" ht="15" customHeight="1" x14ac:dyDescent="0.25">
      <c r="A73" s="47"/>
      <c r="B73" s="47"/>
      <c r="C73" s="294"/>
      <c r="D73" s="295"/>
      <c r="E73" s="295"/>
      <c r="F73" s="295"/>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89"/>
      <c r="AH73" s="289"/>
      <c r="AI73" s="289"/>
      <c r="AJ73" s="289"/>
      <c r="AK73" s="289"/>
      <c r="AL73" s="289"/>
      <c r="AM73" s="289"/>
      <c r="AN73" s="289"/>
      <c r="AO73" s="289"/>
      <c r="AP73" s="289"/>
      <c r="AQ73" s="289"/>
      <c r="AR73" s="289"/>
      <c r="AS73" s="289"/>
      <c r="AT73" s="289"/>
      <c r="AU73" s="289"/>
      <c r="AV73" s="289"/>
      <c r="AW73" s="289"/>
      <c r="AX73" s="289"/>
      <c r="AY73" s="289"/>
      <c r="AZ73" s="289"/>
      <c r="BA73" s="289"/>
      <c r="BB73" s="289"/>
      <c r="BC73" s="289"/>
      <c r="BD73" s="289"/>
      <c r="BE73" s="289"/>
      <c r="BF73" s="289"/>
      <c r="BG73" s="289"/>
      <c r="BH73" s="289"/>
      <c r="BI73" s="289"/>
      <c r="BJ73" s="289"/>
      <c r="BK73" s="289"/>
      <c r="BL73" s="289"/>
      <c r="BM73" s="289"/>
      <c r="BN73" s="289"/>
      <c r="BO73" s="289"/>
      <c r="BP73" s="289"/>
      <c r="BQ73" s="289"/>
      <c r="BR73" s="59"/>
      <c r="BS73" s="48"/>
      <c r="BT73" s="48"/>
      <c r="BU73" s="48"/>
      <c r="BV73" s="48"/>
      <c r="BW73" s="48"/>
      <c r="BX73" s="48"/>
      <c r="BY73" s="48"/>
    </row>
    <row r="74" spans="1:77" ht="15" customHeight="1" x14ac:dyDescent="0.2">
      <c r="A74" s="47"/>
      <c r="B74" s="47"/>
      <c r="C74" s="62"/>
      <c r="D74" s="43"/>
      <c r="E74" s="43"/>
      <c r="F74" s="43"/>
      <c r="G74" s="268" t="s">
        <v>324</v>
      </c>
      <c r="H74" s="268"/>
      <c r="I74" s="268"/>
      <c r="J74" s="268"/>
      <c r="K74" s="268"/>
      <c r="L74" s="268"/>
      <c r="M74" s="268"/>
      <c r="N74" s="268"/>
      <c r="O74" s="268"/>
      <c r="P74" s="268"/>
      <c r="Q74" s="268"/>
      <c r="R74" s="268"/>
      <c r="S74" s="268"/>
      <c r="T74" s="268"/>
      <c r="U74" s="268"/>
      <c r="V74" s="268"/>
      <c r="W74" s="268"/>
      <c r="X74" s="268"/>
      <c r="Y74" s="268"/>
      <c r="Z74" s="268"/>
      <c r="AA74" s="268"/>
      <c r="AB74" s="268"/>
      <c r="AC74" s="268"/>
      <c r="AD74" s="268"/>
      <c r="AE74" s="268"/>
      <c r="AF74" s="268"/>
      <c r="AG74" s="268"/>
      <c r="AH74" s="268"/>
      <c r="AI74" s="268"/>
      <c r="AJ74" s="268"/>
      <c r="AK74" s="268"/>
      <c r="AL74" s="268"/>
      <c r="AM74" s="268"/>
      <c r="AN74" s="268"/>
      <c r="AO74" s="268"/>
      <c r="AP74" s="268"/>
      <c r="AQ74" s="268"/>
      <c r="AR74" s="268"/>
      <c r="AS74" s="268"/>
      <c r="AT74" s="268"/>
      <c r="AU74" s="268"/>
      <c r="AV74" s="268"/>
      <c r="AW74" s="268"/>
      <c r="AX74" s="268"/>
      <c r="AY74" s="268"/>
      <c r="AZ74" s="268"/>
      <c r="BA74" s="268"/>
      <c r="BB74" s="268"/>
      <c r="BC74" s="268"/>
      <c r="BD74" s="268"/>
      <c r="BE74" s="268"/>
      <c r="BF74" s="268"/>
      <c r="BG74" s="268"/>
      <c r="BH74" s="268"/>
      <c r="BI74" s="268"/>
      <c r="BJ74" s="268"/>
      <c r="BK74" s="268"/>
      <c r="BL74" s="268"/>
      <c r="BM74" s="268"/>
      <c r="BN74" s="268"/>
      <c r="BO74" s="268"/>
      <c r="BP74" s="268"/>
      <c r="BQ74" s="268"/>
      <c r="BR74" s="63"/>
      <c r="BS74" s="48"/>
      <c r="BT74" s="48"/>
      <c r="BU74" s="48"/>
      <c r="BV74" s="48"/>
      <c r="BW74" s="48"/>
      <c r="BX74" s="48"/>
      <c r="BY74" s="48"/>
    </row>
    <row r="75" spans="1:77" ht="15" customHeight="1" x14ac:dyDescent="0.2">
      <c r="A75" s="47"/>
      <c r="B75" s="47"/>
      <c r="C75" s="62"/>
      <c r="D75" s="43"/>
      <c r="E75" s="43"/>
      <c r="F75" s="43"/>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c r="AI75" s="268"/>
      <c r="AJ75" s="268"/>
      <c r="AK75" s="268"/>
      <c r="AL75" s="268"/>
      <c r="AM75" s="268"/>
      <c r="AN75" s="268"/>
      <c r="AO75" s="268"/>
      <c r="AP75" s="268"/>
      <c r="AQ75" s="268"/>
      <c r="AR75" s="268"/>
      <c r="AS75" s="268"/>
      <c r="AT75" s="268"/>
      <c r="AU75" s="268"/>
      <c r="AV75" s="268"/>
      <c r="AW75" s="268"/>
      <c r="AX75" s="268"/>
      <c r="AY75" s="268"/>
      <c r="AZ75" s="268"/>
      <c r="BA75" s="268"/>
      <c r="BB75" s="268"/>
      <c r="BC75" s="268"/>
      <c r="BD75" s="268"/>
      <c r="BE75" s="268"/>
      <c r="BF75" s="268"/>
      <c r="BG75" s="268"/>
      <c r="BH75" s="268"/>
      <c r="BI75" s="268"/>
      <c r="BJ75" s="268"/>
      <c r="BK75" s="268"/>
      <c r="BL75" s="268"/>
      <c r="BM75" s="268"/>
      <c r="BN75" s="268"/>
      <c r="BO75" s="268"/>
      <c r="BP75" s="268"/>
      <c r="BQ75" s="268"/>
      <c r="BR75" s="63"/>
      <c r="BS75" s="48"/>
      <c r="BT75" s="48"/>
      <c r="BU75" s="48"/>
      <c r="BV75" s="48"/>
      <c r="BW75" s="48"/>
      <c r="BX75" s="48"/>
      <c r="BY75" s="48"/>
    </row>
    <row r="76" spans="1:77" ht="15" customHeight="1" x14ac:dyDescent="0.2">
      <c r="A76" s="47"/>
      <c r="B76" s="47"/>
      <c r="C76" s="62"/>
      <c r="D76" s="43"/>
      <c r="E76" s="43"/>
      <c r="F76" s="43"/>
      <c r="G76" s="268"/>
      <c r="H76" s="268"/>
      <c r="I76" s="268"/>
      <c r="J76" s="268"/>
      <c r="K76" s="268"/>
      <c r="L76" s="268"/>
      <c r="M76" s="268"/>
      <c r="N76" s="268"/>
      <c r="O76" s="268"/>
      <c r="P76" s="268"/>
      <c r="Q76" s="268"/>
      <c r="R76" s="268"/>
      <c r="S76" s="268"/>
      <c r="T76" s="268"/>
      <c r="U76" s="268"/>
      <c r="V76" s="268"/>
      <c r="W76" s="268"/>
      <c r="X76" s="268"/>
      <c r="Y76" s="268"/>
      <c r="Z76" s="268"/>
      <c r="AA76" s="268"/>
      <c r="AB76" s="268"/>
      <c r="AC76" s="268"/>
      <c r="AD76" s="268"/>
      <c r="AE76" s="268"/>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8"/>
      <c r="BP76" s="268"/>
      <c r="BQ76" s="268"/>
      <c r="BR76" s="63"/>
      <c r="BS76" s="48"/>
      <c r="BT76" s="48"/>
      <c r="BU76" s="48"/>
      <c r="BV76" s="48"/>
      <c r="BW76" s="48"/>
      <c r="BX76" s="48"/>
      <c r="BY76" s="48"/>
    </row>
    <row r="77" spans="1:77" ht="15" customHeight="1" x14ac:dyDescent="0.2">
      <c r="A77" s="47"/>
      <c r="B77" s="47"/>
      <c r="C77" s="50"/>
      <c r="D77" s="51"/>
      <c r="E77" s="51"/>
      <c r="F77" s="51"/>
      <c r="G77" s="51"/>
      <c r="H77" s="102" t="s">
        <v>191</v>
      </c>
      <c r="I77" s="162" t="s">
        <v>328</v>
      </c>
      <c r="J77" s="162"/>
      <c r="K77" s="162"/>
      <c r="L77" s="162"/>
      <c r="M77" s="162"/>
      <c r="N77" s="162"/>
      <c r="O77" s="162"/>
      <c r="P77" s="162"/>
      <c r="Q77" s="162"/>
      <c r="R77" s="162"/>
      <c r="S77" s="162"/>
      <c r="T77" s="162"/>
      <c r="U77" s="162"/>
      <c r="V77" s="162"/>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c r="BF77" s="162"/>
      <c r="BG77" s="162"/>
      <c r="BH77" s="162"/>
      <c r="BI77" s="162"/>
      <c r="BJ77" s="162"/>
      <c r="BK77" s="162"/>
      <c r="BL77" s="162"/>
      <c r="BM77" s="162"/>
      <c r="BN77" s="162"/>
      <c r="BO77" s="162"/>
      <c r="BP77" s="162"/>
      <c r="BQ77" s="162"/>
      <c r="BR77" s="51"/>
      <c r="BS77" s="48"/>
      <c r="BT77" s="48"/>
      <c r="BU77" s="48"/>
      <c r="BV77" s="48"/>
      <c r="BW77" s="48"/>
      <c r="BX77" s="48"/>
      <c r="BY77" s="48"/>
    </row>
    <row r="78" spans="1:77" ht="15" customHeight="1" x14ac:dyDescent="0.2">
      <c r="A78" s="47"/>
      <c r="B78" s="47"/>
      <c r="C78" s="50"/>
      <c r="D78" s="51"/>
      <c r="E78" s="51"/>
      <c r="F78" s="51"/>
      <c r="G78" s="51"/>
      <c r="H78" s="51"/>
      <c r="I78" s="162"/>
      <c r="J78" s="162"/>
      <c r="K78" s="162"/>
      <c r="L78" s="162"/>
      <c r="M78" s="162"/>
      <c r="N78" s="162"/>
      <c r="O78" s="162"/>
      <c r="P78" s="162"/>
      <c r="Q78" s="162"/>
      <c r="R78" s="162"/>
      <c r="S78" s="162"/>
      <c r="T78" s="162"/>
      <c r="U78" s="162"/>
      <c r="V78" s="162"/>
      <c r="W78" s="162"/>
      <c r="X78" s="162"/>
      <c r="Y78" s="162"/>
      <c r="Z78" s="162"/>
      <c r="AA78" s="162"/>
      <c r="AB78" s="162"/>
      <c r="AC78" s="162"/>
      <c r="AD78" s="162"/>
      <c r="AE78" s="162"/>
      <c r="AF78" s="162"/>
      <c r="AG78" s="162"/>
      <c r="AH78" s="162"/>
      <c r="AI78" s="162"/>
      <c r="AJ78" s="162"/>
      <c r="AK78" s="162"/>
      <c r="AL78" s="162"/>
      <c r="AM78" s="162"/>
      <c r="AN78" s="162"/>
      <c r="AO78" s="162"/>
      <c r="AP78" s="162"/>
      <c r="AQ78" s="162"/>
      <c r="AR78" s="162"/>
      <c r="AS78" s="162"/>
      <c r="AT78" s="162"/>
      <c r="AU78" s="162"/>
      <c r="AV78" s="162"/>
      <c r="AW78" s="162"/>
      <c r="AX78" s="162"/>
      <c r="AY78" s="162"/>
      <c r="AZ78" s="162"/>
      <c r="BA78" s="162"/>
      <c r="BB78" s="162"/>
      <c r="BC78" s="162"/>
      <c r="BD78" s="162"/>
      <c r="BE78" s="162"/>
      <c r="BF78" s="162"/>
      <c r="BG78" s="162"/>
      <c r="BH78" s="162"/>
      <c r="BI78" s="162"/>
      <c r="BJ78" s="162"/>
      <c r="BK78" s="162"/>
      <c r="BL78" s="162"/>
      <c r="BM78" s="162"/>
      <c r="BN78" s="162"/>
      <c r="BO78" s="162"/>
      <c r="BP78" s="162"/>
      <c r="BQ78" s="162"/>
      <c r="BR78" s="51"/>
      <c r="BS78" s="48"/>
      <c r="BT78" s="48"/>
      <c r="BU78" s="48"/>
      <c r="BV78" s="48"/>
      <c r="BW78" s="48"/>
      <c r="BX78" s="48"/>
      <c r="BY78" s="48"/>
    </row>
    <row r="79" spans="1:77" ht="15" customHeight="1" x14ac:dyDescent="0.2">
      <c r="A79" s="47"/>
      <c r="B79" s="47"/>
      <c r="C79" s="50"/>
      <c r="D79" s="51"/>
      <c r="E79" s="51"/>
      <c r="F79" s="51"/>
      <c r="H79" s="102" t="s">
        <v>191</v>
      </c>
      <c r="I79" s="162" t="s">
        <v>325</v>
      </c>
      <c r="J79" s="162"/>
      <c r="K79" s="162"/>
      <c r="L79" s="162"/>
      <c r="M79" s="162"/>
      <c r="N79" s="162"/>
      <c r="O79" s="162"/>
      <c r="P79" s="162"/>
      <c r="Q79" s="162"/>
      <c r="R79" s="162"/>
      <c r="S79" s="162"/>
      <c r="T79" s="162"/>
      <c r="U79" s="162"/>
      <c r="V79" s="162"/>
      <c r="W79" s="162"/>
      <c r="X79" s="162"/>
      <c r="Y79" s="162"/>
      <c r="Z79" s="162"/>
      <c r="AA79" s="162"/>
      <c r="AB79" s="162"/>
      <c r="AC79" s="162"/>
      <c r="AD79" s="162"/>
      <c r="AE79" s="162"/>
      <c r="AF79" s="162"/>
      <c r="AG79" s="162"/>
      <c r="AH79" s="162"/>
      <c r="AI79" s="162"/>
      <c r="AJ79" s="162"/>
      <c r="AK79" s="162"/>
      <c r="AL79" s="162"/>
      <c r="AM79" s="162"/>
      <c r="AN79" s="162"/>
      <c r="AO79" s="162"/>
      <c r="AP79" s="162"/>
      <c r="AQ79" s="162"/>
      <c r="AR79" s="162"/>
      <c r="AS79" s="162"/>
      <c r="AT79" s="162"/>
      <c r="AU79" s="162"/>
      <c r="AV79" s="162"/>
      <c r="AW79" s="162"/>
      <c r="AX79" s="162"/>
      <c r="AY79" s="162"/>
      <c r="AZ79" s="162"/>
      <c r="BA79" s="162"/>
      <c r="BB79" s="162"/>
      <c r="BC79" s="162"/>
      <c r="BD79" s="162"/>
      <c r="BE79" s="162"/>
      <c r="BF79" s="162"/>
      <c r="BG79" s="162"/>
      <c r="BH79" s="162"/>
      <c r="BI79" s="162"/>
      <c r="BJ79" s="162"/>
      <c r="BK79" s="162"/>
      <c r="BL79" s="162"/>
      <c r="BM79" s="162"/>
      <c r="BN79" s="162"/>
      <c r="BO79" s="162"/>
      <c r="BP79" s="162"/>
      <c r="BQ79" s="162"/>
      <c r="BS79" s="48"/>
      <c r="BT79" s="48"/>
      <c r="BU79" s="48"/>
      <c r="BV79" s="48"/>
      <c r="BW79" s="48"/>
      <c r="BX79" s="48"/>
      <c r="BY79" s="48"/>
    </row>
    <row r="80" spans="1:77" ht="15" customHeight="1" x14ac:dyDescent="0.2">
      <c r="A80" s="47"/>
      <c r="B80" s="47"/>
      <c r="C80" s="50"/>
      <c r="D80" s="51"/>
      <c r="E80" s="51"/>
      <c r="F80" s="51"/>
      <c r="H80" s="51"/>
      <c r="I80" s="162"/>
      <c r="J80" s="162"/>
      <c r="K80" s="162"/>
      <c r="L80" s="162"/>
      <c r="M80" s="162"/>
      <c r="N80" s="162"/>
      <c r="O80" s="162"/>
      <c r="P80" s="162"/>
      <c r="Q80" s="162"/>
      <c r="R80" s="162"/>
      <c r="S80" s="162"/>
      <c r="T80" s="162"/>
      <c r="U80" s="162"/>
      <c r="V80" s="162"/>
      <c r="W80" s="162"/>
      <c r="X80" s="162"/>
      <c r="Y80" s="162"/>
      <c r="Z80" s="162"/>
      <c r="AA80" s="162"/>
      <c r="AB80" s="162"/>
      <c r="AC80" s="162"/>
      <c r="AD80" s="162"/>
      <c r="AE80" s="162"/>
      <c r="AF80" s="162"/>
      <c r="AG80" s="162"/>
      <c r="AH80" s="162"/>
      <c r="AI80" s="162"/>
      <c r="AJ80" s="162"/>
      <c r="AK80" s="162"/>
      <c r="AL80" s="162"/>
      <c r="AM80" s="162"/>
      <c r="AN80" s="162"/>
      <c r="AO80" s="162"/>
      <c r="AP80" s="162"/>
      <c r="AQ80" s="162"/>
      <c r="AR80" s="162"/>
      <c r="AS80" s="162"/>
      <c r="AT80" s="162"/>
      <c r="AU80" s="162"/>
      <c r="AV80" s="162"/>
      <c r="AW80" s="162"/>
      <c r="AX80" s="162"/>
      <c r="AY80" s="162"/>
      <c r="AZ80" s="162"/>
      <c r="BA80" s="162"/>
      <c r="BB80" s="162"/>
      <c r="BC80" s="162"/>
      <c r="BD80" s="162"/>
      <c r="BE80" s="162"/>
      <c r="BF80" s="162"/>
      <c r="BG80" s="162"/>
      <c r="BH80" s="162"/>
      <c r="BI80" s="162"/>
      <c r="BJ80" s="162"/>
      <c r="BK80" s="162"/>
      <c r="BL80" s="162"/>
      <c r="BM80" s="162"/>
      <c r="BN80" s="162"/>
      <c r="BO80" s="162"/>
      <c r="BP80" s="162"/>
      <c r="BQ80" s="162"/>
      <c r="BS80" s="48"/>
      <c r="BT80" s="48"/>
      <c r="BU80" s="48"/>
      <c r="BV80" s="48"/>
      <c r="BW80" s="48"/>
      <c r="BX80" s="48"/>
      <c r="BY80" s="48"/>
    </row>
    <row r="81" spans="1:77" ht="15" customHeight="1" x14ac:dyDescent="0.2">
      <c r="A81" s="47"/>
      <c r="B81" s="47"/>
      <c r="C81" s="50"/>
      <c r="D81" s="51"/>
      <c r="E81" s="51"/>
      <c r="F81" s="51"/>
      <c r="H81" s="102" t="s">
        <v>191</v>
      </c>
      <c r="I81" s="162" t="s">
        <v>358</v>
      </c>
      <c r="J81" s="162"/>
      <c r="K81" s="162"/>
      <c r="L81" s="162"/>
      <c r="M81" s="162"/>
      <c r="N81" s="162"/>
      <c r="O81" s="162"/>
      <c r="P81" s="162"/>
      <c r="Q81" s="162"/>
      <c r="R81" s="162"/>
      <c r="S81" s="162"/>
      <c r="T81" s="162"/>
      <c r="U81" s="162"/>
      <c r="V81" s="162"/>
      <c r="W81" s="162"/>
      <c r="X81" s="162"/>
      <c r="Y81" s="162"/>
      <c r="Z81" s="162"/>
      <c r="AA81" s="162"/>
      <c r="AB81" s="162"/>
      <c r="AC81" s="162"/>
      <c r="AD81" s="162"/>
      <c r="AE81" s="162"/>
      <c r="AF81" s="162"/>
      <c r="AG81" s="162"/>
      <c r="AH81" s="162"/>
      <c r="AI81" s="162"/>
      <c r="AJ81" s="162"/>
      <c r="AK81" s="162"/>
      <c r="AL81" s="162"/>
      <c r="AM81" s="162"/>
      <c r="AN81" s="162"/>
      <c r="AO81" s="162"/>
      <c r="AP81" s="162"/>
      <c r="AQ81" s="162"/>
      <c r="AR81" s="162"/>
      <c r="AS81" s="162"/>
      <c r="AT81" s="162"/>
      <c r="AU81" s="162"/>
      <c r="AV81" s="162"/>
      <c r="AW81" s="162"/>
      <c r="AX81" s="162"/>
      <c r="AY81" s="162"/>
      <c r="AZ81" s="162"/>
      <c r="BA81" s="162"/>
      <c r="BB81" s="162"/>
      <c r="BC81" s="162"/>
      <c r="BD81" s="162"/>
      <c r="BE81" s="162"/>
      <c r="BF81" s="162"/>
      <c r="BG81" s="162"/>
      <c r="BH81" s="162"/>
      <c r="BI81" s="162"/>
      <c r="BJ81" s="162"/>
      <c r="BK81" s="162"/>
      <c r="BL81" s="162"/>
      <c r="BM81" s="162"/>
      <c r="BN81" s="162"/>
      <c r="BO81" s="162"/>
      <c r="BP81" s="162"/>
      <c r="BQ81" s="162"/>
      <c r="BS81" s="48"/>
      <c r="BT81" s="48"/>
      <c r="BU81" s="48"/>
      <c r="BV81" s="48"/>
      <c r="BW81" s="48"/>
      <c r="BX81" s="48"/>
      <c r="BY81" s="48"/>
    </row>
    <row r="82" spans="1:77" ht="15" customHeight="1" x14ac:dyDescent="0.2">
      <c r="A82" s="47"/>
      <c r="B82" s="47"/>
      <c r="C82" s="50"/>
      <c r="D82" s="51"/>
      <c r="E82" s="51"/>
      <c r="F82" s="51"/>
      <c r="H82" s="51"/>
      <c r="I82" s="162"/>
      <c r="J82" s="162"/>
      <c r="K82" s="162"/>
      <c r="L82" s="162"/>
      <c r="M82" s="162"/>
      <c r="N82" s="162"/>
      <c r="O82" s="162"/>
      <c r="P82" s="162"/>
      <c r="Q82" s="162"/>
      <c r="R82" s="162"/>
      <c r="S82" s="162"/>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162"/>
      <c r="AU82" s="162"/>
      <c r="AV82" s="162"/>
      <c r="AW82" s="162"/>
      <c r="AX82" s="162"/>
      <c r="AY82" s="162"/>
      <c r="AZ82" s="162"/>
      <c r="BA82" s="162"/>
      <c r="BB82" s="162"/>
      <c r="BC82" s="162"/>
      <c r="BD82" s="162"/>
      <c r="BE82" s="162"/>
      <c r="BF82" s="162"/>
      <c r="BG82" s="162"/>
      <c r="BH82" s="162"/>
      <c r="BI82" s="162"/>
      <c r="BJ82" s="162"/>
      <c r="BK82" s="162"/>
      <c r="BL82" s="162"/>
      <c r="BM82" s="162"/>
      <c r="BN82" s="162"/>
      <c r="BO82" s="162"/>
      <c r="BP82" s="162"/>
      <c r="BQ82" s="162"/>
      <c r="BS82" s="48"/>
      <c r="BT82" s="48"/>
      <c r="BU82" s="48"/>
      <c r="BV82" s="48"/>
      <c r="BW82" s="48"/>
      <c r="BX82" s="48"/>
      <c r="BY82" s="48"/>
    </row>
    <row r="83" spans="1:77" ht="15" customHeight="1" x14ac:dyDescent="0.2">
      <c r="A83" s="47"/>
      <c r="B83" s="47"/>
      <c r="C83" s="50"/>
      <c r="D83" s="51"/>
      <c r="E83" s="51"/>
      <c r="F83" s="51"/>
      <c r="I83" s="162"/>
      <c r="J83" s="162"/>
      <c r="K83" s="162"/>
      <c r="L83" s="162"/>
      <c r="M83" s="162"/>
      <c r="N83" s="162"/>
      <c r="O83" s="162"/>
      <c r="P83" s="162"/>
      <c r="Q83" s="162"/>
      <c r="R83" s="162"/>
      <c r="S83" s="162"/>
      <c r="T83" s="162"/>
      <c r="U83" s="162"/>
      <c r="V83" s="162"/>
      <c r="W83" s="162"/>
      <c r="X83" s="162"/>
      <c r="Y83" s="162"/>
      <c r="Z83" s="162"/>
      <c r="AA83" s="162"/>
      <c r="AB83" s="162"/>
      <c r="AC83" s="162"/>
      <c r="AD83" s="162"/>
      <c r="AE83" s="162"/>
      <c r="AF83" s="162"/>
      <c r="AG83" s="162"/>
      <c r="AH83" s="162"/>
      <c r="AI83" s="162"/>
      <c r="AJ83" s="162"/>
      <c r="AK83" s="162"/>
      <c r="AL83" s="162"/>
      <c r="AM83" s="162"/>
      <c r="AN83" s="162"/>
      <c r="AO83" s="162"/>
      <c r="AP83" s="162"/>
      <c r="AQ83" s="162"/>
      <c r="AR83" s="162"/>
      <c r="AS83" s="162"/>
      <c r="AT83" s="162"/>
      <c r="AU83" s="162"/>
      <c r="AV83" s="162"/>
      <c r="AW83" s="162"/>
      <c r="AX83" s="162"/>
      <c r="AY83" s="162"/>
      <c r="AZ83" s="162"/>
      <c r="BA83" s="162"/>
      <c r="BB83" s="162"/>
      <c r="BC83" s="162"/>
      <c r="BD83" s="162"/>
      <c r="BE83" s="162"/>
      <c r="BF83" s="162"/>
      <c r="BG83" s="162"/>
      <c r="BH83" s="162"/>
      <c r="BI83" s="162"/>
      <c r="BJ83" s="162"/>
      <c r="BK83" s="162"/>
      <c r="BL83" s="162"/>
      <c r="BM83" s="162"/>
      <c r="BN83" s="162"/>
      <c r="BO83" s="162"/>
      <c r="BP83" s="162"/>
      <c r="BQ83" s="162"/>
      <c r="BS83" s="48"/>
      <c r="BT83" s="48"/>
      <c r="BU83" s="48"/>
      <c r="BV83" s="48"/>
      <c r="BW83" s="48"/>
      <c r="BX83" s="48"/>
      <c r="BY83" s="48"/>
    </row>
    <row r="84" spans="1:77" ht="15" customHeight="1" x14ac:dyDescent="0.2">
      <c r="A84" s="47"/>
      <c r="B84" s="47"/>
      <c r="C84" s="50"/>
      <c r="D84" s="51"/>
      <c r="E84" s="51"/>
      <c r="F84" s="51"/>
      <c r="H84" s="102" t="s">
        <v>191</v>
      </c>
      <c r="I84" s="162" t="s">
        <v>327</v>
      </c>
      <c r="J84" s="162"/>
      <c r="K84" s="162"/>
      <c r="L84" s="162"/>
      <c r="M84" s="162"/>
      <c r="N84" s="162"/>
      <c r="O84" s="162"/>
      <c r="P84" s="162"/>
      <c r="Q84" s="162"/>
      <c r="R84" s="162"/>
      <c r="S84" s="162"/>
      <c r="T84" s="162"/>
      <c r="U84" s="162"/>
      <c r="V84" s="162"/>
      <c r="W84" s="162"/>
      <c r="X84" s="162"/>
      <c r="Y84" s="162"/>
      <c r="Z84" s="162"/>
      <c r="AA84" s="162"/>
      <c r="AB84" s="162"/>
      <c r="AC84" s="162"/>
      <c r="AD84" s="162"/>
      <c r="AE84" s="162"/>
      <c r="AF84" s="162"/>
      <c r="AG84" s="162"/>
      <c r="AH84" s="162"/>
      <c r="AI84" s="162"/>
      <c r="AJ84" s="162"/>
      <c r="AK84" s="162"/>
      <c r="AL84" s="162"/>
      <c r="AM84" s="162"/>
      <c r="AN84" s="162"/>
      <c r="AO84" s="162"/>
      <c r="AP84" s="162"/>
      <c r="AQ84" s="162"/>
      <c r="AR84" s="162"/>
      <c r="AS84" s="162"/>
      <c r="AT84" s="162"/>
      <c r="AU84" s="162"/>
      <c r="AV84" s="162"/>
      <c r="AW84" s="162"/>
      <c r="AX84" s="162"/>
      <c r="AY84" s="162"/>
      <c r="AZ84" s="162"/>
      <c r="BA84" s="162"/>
      <c r="BB84" s="162"/>
      <c r="BC84" s="162"/>
      <c r="BD84" s="162"/>
      <c r="BE84" s="162"/>
      <c r="BF84" s="162"/>
      <c r="BG84" s="162"/>
      <c r="BH84" s="162"/>
      <c r="BI84" s="162"/>
      <c r="BJ84" s="162"/>
      <c r="BK84" s="162"/>
      <c r="BL84" s="162"/>
      <c r="BM84" s="162"/>
      <c r="BN84" s="162"/>
      <c r="BO84" s="162"/>
      <c r="BP84" s="162"/>
      <c r="BQ84" s="162"/>
      <c r="BS84" s="48"/>
      <c r="BT84" s="48"/>
      <c r="BU84" s="48"/>
      <c r="BV84" s="48"/>
      <c r="BW84" s="48"/>
      <c r="BX84" s="48"/>
      <c r="BY84" s="48"/>
    </row>
    <row r="85" spans="1:77" ht="15" customHeight="1" x14ac:dyDescent="0.2">
      <c r="A85" s="47"/>
      <c r="B85" s="47"/>
      <c r="C85" s="50"/>
      <c r="D85" s="51"/>
      <c r="E85" s="51"/>
      <c r="F85" s="51"/>
      <c r="I85" s="162"/>
      <c r="J85" s="162"/>
      <c r="K85" s="162"/>
      <c r="L85" s="162"/>
      <c r="M85" s="162"/>
      <c r="N85" s="162"/>
      <c r="O85" s="162"/>
      <c r="P85" s="162"/>
      <c r="Q85" s="162"/>
      <c r="R85" s="162"/>
      <c r="S85" s="162"/>
      <c r="T85" s="162"/>
      <c r="U85" s="162"/>
      <c r="V85" s="162"/>
      <c r="W85" s="162"/>
      <c r="X85" s="162"/>
      <c r="Y85" s="162"/>
      <c r="Z85" s="162"/>
      <c r="AA85" s="162"/>
      <c r="AB85" s="162"/>
      <c r="AC85" s="162"/>
      <c r="AD85" s="162"/>
      <c r="AE85" s="162"/>
      <c r="AF85" s="162"/>
      <c r="AG85" s="162"/>
      <c r="AH85" s="162"/>
      <c r="AI85" s="162"/>
      <c r="AJ85" s="162"/>
      <c r="AK85" s="162"/>
      <c r="AL85" s="162"/>
      <c r="AM85" s="162"/>
      <c r="AN85" s="162"/>
      <c r="AO85" s="162"/>
      <c r="AP85" s="162"/>
      <c r="AQ85" s="162"/>
      <c r="AR85" s="162"/>
      <c r="AS85" s="162"/>
      <c r="AT85" s="162"/>
      <c r="AU85" s="162"/>
      <c r="AV85" s="162"/>
      <c r="AW85" s="162"/>
      <c r="AX85" s="162"/>
      <c r="AY85" s="162"/>
      <c r="AZ85" s="162"/>
      <c r="BA85" s="162"/>
      <c r="BB85" s="162"/>
      <c r="BC85" s="162"/>
      <c r="BD85" s="162"/>
      <c r="BE85" s="162"/>
      <c r="BF85" s="162"/>
      <c r="BG85" s="162"/>
      <c r="BH85" s="162"/>
      <c r="BI85" s="162"/>
      <c r="BJ85" s="162"/>
      <c r="BK85" s="162"/>
      <c r="BL85" s="162"/>
      <c r="BM85" s="162"/>
      <c r="BN85" s="162"/>
      <c r="BO85" s="162"/>
      <c r="BP85" s="162"/>
      <c r="BQ85" s="162"/>
      <c r="BS85" s="48"/>
      <c r="BT85" s="48"/>
      <c r="BU85" s="48"/>
      <c r="BV85" s="48"/>
      <c r="BW85" s="48"/>
      <c r="BX85" s="48"/>
      <c r="BY85" s="48"/>
    </row>
    <row r="86" spans="1:77" ht="15" customHeight="1" x14ac:dyDescent="0.2">
      <c r="A86" s="47"/>
      <c r="B86" s="47"/>
      <c r="C86" s="50"/>
      <c r="D86" s="51"/>
      <c r="E86" s="51"/>
      <c r="F86" s="51"/>
      <c r="I86" s="162"/>
      <c r="J86" s="162"/>
      <c r="K86" s="162"/>
      <c r="L86" s="162"/>
      <c r="M86" s="162"/>
      <c r="N86" s="162"/>
      <c r="O86" s="162"/>
      <c r="P86" s="162"/>
      <c r="Q86" s="162"/>
      <c r="R86" s="162"/>
      <c r="S86" s="162"/>
      <c r="T86" s="162"/>
      <c r="U86" s="162"/>
      <c r="V86" s="162"/>
      <c r="W86" s="162"/>
      <c r="X86" s="162"/>
      <c r="Y86" s="162"/>
      <c r="Z86" s="162"/>
      <c r="AA86" s="162"/>
      <c r="AB86" s="162"/>
      <c r="AC86" s="162"/>
      <c r="AD86" s="162"/>
      <c r="AE86" s="162"/>
      <c r="AF86" s="162"/>
      <c r="AG86" s="162"/>
      <c r="AH86" s="162"/>
      <c r="AI86" s="162"/>
      <c r="AJ86" s="162"/>
      <c r="AK86" s="162"/>
      <c r="AL86" s="162"/>
      <c r="AM86" s="162"/>
      <c r="AN86" s="162"/>
      <c r="AO86" s="162"/>
      <c r="AP86" s="162"/>
      <c r="AQ86" s="162"/>
      <c r="AR86" s="162"/>
      <c r="AS86" s="162"/>
      <c r="AT86" s="162"/>
      <c r="AU86" s="162"/>
      <c r="AV86" s="162"/>
      <c r="AW86" s="162"/>
      <c r="AX86" s="162"/>
      <c r="AY86" s="162"/>
      <c r="AZ86" s="162"/>
      <c r="BA86" s="162"/>
      <c r="BB86" s="162"/>
      <c r="BC86" s="162"/>
      <c r="BD86" s="162"/>
      <c r="BE86" s="162"/>
      <c r="BF86" s="162"/>
      <c r="BG86" s="162"/>
      <c r="BH86" s="162"/>
      <c r="BI86" s="162"/>
      <c r="BJ86" s="162"/>
      <c r="BK86" s="162"/>
      <c r="BL86" s="162"/>
      <c r="BM86" s="162"/>
      <c r="BN86" s="162"/>
      <c r="BO86" s="162"/>
      <c r="BP86" s="162"/>
      <c r="BQ86" s="162"/>
      <c r="BS86" s="48"/>
      <c r="BT86" s="48"/>
      <c r="BU86" s="48"/>
      <c r="BV86" s="48"/>
      <c r="BW86" s="48"/>
      <c r="BX86" s="48"/>
      <c r="BY86" s="48"/>
    </row>
    <row r="87" spans="1:77" ht="15" customHeight="1" x14ac:dyDescent="0.2">
      <c r="A87" s="47"/>
      <c r="B87" s="47"/>
      <c r="C87" s="50"/>
      <c r="D87" s="51"/>
      <c r="E87" s="51"/>
      <c r="F87" s="51"/>
      <c r="H87" s="102" t="s">
        <v>191</v>
      </c>
      <c r="I87" s="162" t="s">
        <v>326</v>
      </c>
      <c r="J87" s="162"/>
      <c r="K87" s="162"/>
      <c r="L87" s="162"/>
      <c r="M87" s="162"/>
      <c r="N87" s="162"/>
      <c r="O87" s="162"/>
      <c r="P87" s="162"/>
      <c r="Q87" s="162"/>
      <c r="R87" s="162"/>
      <c r="S87" s="162"/>
      <c r="T87" s="162"/>
      <c r="U87" s="162"/>
      <c r="V87" s="162"/>
      <c r="W87" s="162"/>
      <c r="X87" s="162"/>
      <c r="Y87" s="162"/>
      <c r="Z87" s="162"/>
      <c r="AA87" s="162"/>
      <c r="AB87" s="162"/>
      <c r="AC87" s="162"/>
      <c r="AD87" s="162"/>
      <c r="AE87" s="162"/>
      <c r="AF87" s="162"/>
      <c r="AG87" s="162"/>
      <c r="AH87" s="162"/>
      <c r="AI87" s="162"/>
      <c r="AJ87" s="162"/>
      <c r="AK87" s="162"/>
      <c r="AL87" s="162"/>
      <c r="AM87" s="162"/>
      <c r="AN87" s="162"/>
      <c r="AO87" s="162"/>
      <c r="AP87" s="162"/>
      <c r="AQ87" s="162"/>
      <c r="AR87" s="162"/>
      <c r="AS87" s="162"/>
      <c r="AT87" s="162"/>
      <c r="AU87" s="162"/>
      <c r="AV87" s="162"/>
      <c r="AW87" s="162"/>
      <c r="AX87" s="162"/>
      <c r="AY87" s="162"/>
      <c r="AZ87" s="162"/>
      <c r="BA87" s="162"/>
      <c r="BB87" s="162"/>
      <c r="BC87" s="162"/>
      <c r="BD87" s="162"/>
      <c r="BE87" s="162"/>
      <c r="BF87" s="162"/>
      <c r="BG87" s="162"/>
      <c r="BH87" s="162"/>
      <c r="BI87" s="162"/>
      <c r="BJ87" s="162"/>
      <c r="BK87" s="162"/>
      <c r="BL87" s="162"/>
      <c r="BM87" s="162"/>
      <c r="BN87" s="162"/>
      <c r="BO87" s="162"/>
      <c r="BP87" s="162"/>
      <c r="BQ87" s="162"/>
      <c r="BS87" s="48"/>
      <c r="BT87" s="48"/>
      <c r="BU87" s="48"/>
      <c r="BV87" s="48"/>
      <c r="BW87" s="48"/>
      <c r="BX87" s="48"/>
      <c r="BY87" s="48"/>
    </row>
    <row r="88" spans="1:77" ht="15" customHeight="1" x14ac:dyDescent="0.2">
      <c r="A88" s="47"/>
      <c r="B88" s="47"/>
      <c r="C88" s="50"/>
      <c r="D88" s="51"/>
      <c r="E88" s="51"/>
      <c r="F88" s="51"/>
      <c r="H88" s="51"/>
      <c r="I88" s="162"/>
      <c r="J88" s="162"/>
      <c r="K88" s="162"/>
      <c r="L88" s="162"/>
      <c r="M88" s="162"/>
      <c r="N88" s="162"/>
      <c r="O88" s="162"/>
      <c r="P88" s="162"/>
      <c r="Q88" s="162"/>
      <c r="R88" s="162"/>
      <c r="S88" s="162"/>
      <c r="T88" s="162"/>
      <c r="U88" s="162"/>
      <c r="V88" s="162"/>
      <c r="W88" s="162"/>
      <c r="X88" s="162"/>
      <c r="Y88" s="162"/>
      <c r="Z88" s="162"/>
      <c r="AA88" s="162"/>
      <c r="AB88" s="162"/>
      <c r="AC88" s="162"/>
      <c r="AD88" s="162"/>
      <c r="AE88" s="162"/>
      <c r="AF88" s="162"/>
      <c r="AG88" s="162"/>
      <c r="AH88" s="162"/>
      <c r="AI88" s="162"/>
      <c r="AJ88" s="162"/>
      <c r="AK88" s="162"/>
      <c r="AL88" s="162"/>
      <c r="AM88" s="162"/>
      <c r="AN88" s="162"/>
      <c r="AO88" s="162"/>
      <c r="AP88" s="162"/>
      <c r="AQ88" s="162"/>
      <c r="AR88" s="162"/>
      <c r="AS88" s="162"/>
      <c r="AT88" s="162"/>
      <c r="AU88" s="162"/>
      <c r="AV88" s="162"/>
      <c r="AW88" s="162"/>
      <c r="AX88" s="162"/>
      <c r="AY88" s="162"/>
      <c r="AZ88" s="162"/>
      <c r="BA88" s="162"/>
      <c r="BB88" s="162"/>
      <c r="BC88" s="162"/>
      <c r="BD88" s="162"/>
      <c r="BE88" s="162"/>
      <c r="BF88" s="162"/>
      <c r="BG88" s="162"/>
      <c r="BH88" s="162"/>
      <c r="BI88" s="162"/>
      <c r="BJ88" s="162"/>
      <c r="BK88" s="162"/>
      <c r="BL88" s="162"/>
      <c r="BM88" s="162"/>
      <c r="BN88" s="162"/>
      <c r="BO88" s="162"/>
      <c r="BP88" s="162"/>
      <c r="BQ88" s="162"/>
      <c r="BS88" s="48"/>
      <c r="BT88" s="48"/>
      <c r="BU88" s="48"/>
      <c r="BV88" s="48"/>
      <c r="BW88" s="48"/>
      <c r="BX88" s="48"/>
      <c r="BY88" s="48"/>
    </row>
    <row r="89" spans="1:77" ht="15" customHeight="1" x14ac:dyDescent="0.2">
      <c r="A89" s="47"/>
      <c r="B89" s="47"/>
      <c r="C89" s="50"/>
      <c r="D89" s="51"/>
      <c r="E89" s="51"/>
      <c r="F89" s="51"/>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S89" s="48"/>
      <c r="BT89" s="48"/>
      <c r="BU89" s="48"/>
      <c r="BV89" s="48"/>
      <c r="BW89" s="48"/>
      <c r="BX89" s="48"/>
      <c r="BY89" s="48"/>
    </row>
    <row r="90" spans="1:77" ht="15" customHeight="1" x14ac:dyDescent="0.2">
      <c r="A90" s="47"/>
      <c r="B90" s="47"/>
      <c r="C90" s="50"/>
      <c r="D90" s="51"/>
      <c r="E90" s="51"/>
      <c r="F90" s="51"/>
      <c r="BS90" s="48"/>
      <c r="BT90" s="48"/>
      <c r="BU90" s="48"/>
      <c r="BV90" s="48"/>
      <c r="BW90" s="48"/>
      <c r="BX90" s="48"/>
      <c r="BY90" s="48"/>
    </row>
    <row r="91" spans="1:77" ht="15" customHeight="1" x14ac:dyDescent="0.2">
      <c r="A91" s="47"/>
      <c r="B91" s="47"/>
      <c r="C91" s="50"/>
      <c r="D91" s="51"/>
      <c r="E91" s="51"/>
      <c r="F91" s="51"/>
      <c r="BS91" s="48"/>
      <c r="BT91" s="48"/>
      <c r="BU91" s="48"/>
      <c r="BV91" s="48"/>
      <c r="BW91" s="48"/>
      <c r="BX91" s="48"/>
      <c r="BY91" s="48"/>
    </row>
    <row r="92" spans="1:77" ht="15" customHeight="1" x14ac:dyDescent="0.2">
      <c r="A92" s="47"/>
      <c r="B92" s="47"/>
      <c r="C92" s="50"/>
      <c r="D92" s="51"/>
      <c r="E92" s="51"/>
      <c r="F92" s="51"/>
      <c r="BS92" s="48"/>
      <c r="BT92" s="48"/>
      <c r="BU92" s="48"/>
      <c r="BV92" s="48"/>
      <c r="BW92" s="48"/>
      <c r="BX92" s="48"/>
      <c r="BY92" s="48"/>
    </row>
    <row r="93" spans="1:77" ht="15" customHeight="1" x14ac:dyDescent="0.2">
      <c r="A93" s="47"/>
      <c r="B93" s="47"/>
      <c r="C93" s="50"/>
      <c r="D93" s="51"/>
      <c r="E93" s="51"/>
      <c r="F93" s="51"/>
      <c r="BS93" s="48"/>
      <c r="BT93" s="48"/>
      <c r="BU93" s="48"/>
      <c r="BV93" s="48"/>
      <c r="BW93" s="48"/>
      <c r="BX93" s="48"/>
      <c r="BY93" s="48"/>
    </row>
    <row r="94" spans="1:77" ht="15" customHeight="1" x14ac:dyDescent="0.2">
      <c r="A94" s="47"/>
      <c r="B94" s="47"/>
      <c r="C94" s="50"/>
      <c r="D94" s="51"/>
      <c r="E94" s="51"/>
      <c r="F94" s="51"/>
      <c r="BS94" s="48"/>
      <c r="BT94" s="48"/>
      <c r="BU94" s="48"/>
      <c r="BV94" s="48"/>
      <c r="BW94" s="48"/>
      <c r="BX94" s="48"/>
      <c r="BY94" s="48"/>
    </row>
    <row r="95" spans="1:77" ht="15" customHeight="1" x14ac:dyDescent="0.25">
      <c r="A95" s="47"/>
      <c r="B95" s="47"/>
      <c r="C95" s="318">
        <v>2</v>
      </c>
      <c r="D95" s="319"/>
      <c r="E95" s="289" t="s">
        <v>141</v>
      </c>
      <c r="F95" s="289"/>
      <c r="G95" s="289"/>
      <c r="H95" s="289"/>
      <c r="I95" s="289"/>
      <c r="J95" s="289"/>
      <c r="K95" s="289"/>
      <c r="L95" s="289"/>
      <c r="M95" s="289"/>
      <c r="N95" s="289"/>
      <c r="O95" s="289"/>
      <c r="P95" s="289"/>
      <c r="Q95" s="289"/>
      <c r="R95" s="289"/>
      <c r="S95" s="289"/>
      <c r="T95" s="289"/>
      <c r="U95" s="289"/>
      <c r="V95" s="289"/>
      <c r="W95" s="289"/>
      <c r="X95" s="289"/>
      <c r="Y95" s="289"/>
      <c r="Z95" s="289"/>
      <c r="AA95" s="289"/>
      <c r="AB95" s="289"/>
      <c r="AC95" s="289"/>
      <c r="AD95" s="289"/>
      <c r="AE95" s="289"/>
      <c r="AF95" s="289"/>
      <c r="AG95" s="289"/>
      <c r="AH95" s="289"/>
      <c r="AI95" s="289"/>
      <c r="AJ95" s="289"/>
      <c r="AK95" s="289"/>
      <c r="AL95" s="289"/>
      <c r="AM95" s="289"/>
      <c r="AN95" s="289"/>
      <c r="AO95" s="289"/>
      <c r="AP95" s="289"/>
      <c r="AQ95" s="289"/>
      <c r="AR95" s="289"/>
      <c r="AS95" s="289"/>
      <c r="AT95" s="289"/>
      <c r="AU95" s="289"/>
      <c r="AV95" s="289"/>
      <c r="AW95" s="289"/>
      <c r="AX95" s="289"/>
      <c r="AY95" s="289"/>
      <c r="AZ95" s="289"/>
      <c r="BA95" s="289"/>
      <c r="BB95" s="289"/>
      <c r="BC95" s="289"/>
      <c r="BD95" s="289"/>
      <c r="BE95" s="289"/>
      <c r="BF95" s="289"/>
      <c r="BG95" s="289"/>
      <c r="BH95" s="289"/>
      <c r="BI95" s="289"/>
      <c r="BJ95" s="289"/>
      <c r="BK95" s="289"/>
      <c r="BL95" s="289"/>
      <c r="BM95" s="289"/>
      <c r="BN95" s="289"/>
      <c r="BO95" s="289"/>
      <c r="BP95" s="289"/>
      <c r="BQ95" s="289"/>
      <c r="BR95" s="59"/>
      <c r="BS95" s="48"/>
      <c r="BT95" s="48"/>
      <c r="BU95" s="48"/>
      <c r="BV95" s="48"/>
      <c r="BW95" s="48"/>
      <c r="BX95" s="48"/>
      <c r="BY95" s="48"/>
    </row>
    <row r="96" spans="1:77" ht="15" customHeight="1" x14ac:dyDescent="0.25">
      <c r="A96" s="1"/>
      <c r="B96" s="1"/>
      <c r="C96" s="318"/>
      <c r="D96" s="319"/>
      <c r="E96" s="289"/>
      <c r="F96" s="289"/>
      <c r="G96" s="289"/>
      <c r="H96" s="289"/>
      <c r="I96" s="289"/>
      <c r="J96" s="289"/>
      <c r="K96" s="289"/>
      <c r="L96" s="289"/>
      <c r="M96" s="289"/>
      <c r="N96" s="289"/>
      <c r="O96" s="289"/>
      <c r="P96" s="289"/>
      <c r="Q96" s="289"/>
      <c r="R96" s="289"/>
      <c r="S96" s="289"/>
      <c r="T96" s="289"/>
      <c r="U96" s="289"/>
      <c r="V96" s="289"/>
      <c r="W96" s="289"/>
      <c r="X96" s="289"/>
      <c r="Y96" s="289"/>
      <c r="Z96" s="289"/>
      <c r="AA96" s="289"/>
      <c r="AB96" s="289"/>
      <c r="AC96" s="289"/>
      <c r="AD96" s="289"/>
      <c r="AE96" s="289"/>
      <c r="AF96" s="289"/>
      <c r="AG96" s="289"/>
      <c r="AH96" s="289"/>
      <c r="AI96" s="289"/>
      <c r="AJ96" s="289"/>
      <c r="AK96" s="289"/>
      <c r="AL96" s="289"/>
      <c r="AM96" s="289"/>
      <c r="AN96" s="289"/>
      <c r="AO96" s="289"/>
      <c r="AP96" s="289"/>
      <c r="AQ96" s="289"/>
      <c r="AR96" s="289"/>
      <c r="AS96" s="289"/>
      <c r="AT96" s="289"/>
      <c r="AU96" s="289"/>
      <c r="AV96" s="289"/>
      <c r="AW96" s="289"/>
      <c r="AX96" s="289"/>
      <c r="AY96" s="289"/>
      <c r="AZ96" s="289"/>
      <c r="BA96" s="289"/>
      <c r="BB96" s="289"/>
      <c r="BC96" s="289"/>
      <c r="BD96" s="289"/>
      <c r="BE96" s="289"/>
      <c r="BF96" s="289"/>
      <c r="BG96" s="289"/>
      <c r="BH96" s="289"/>
      <c r="BI96" s="289"/>
      <c r="BJ96" s="289"/>
      <c r="BK96" s="289"/>
      <c r="BL96" s="289"/>
      <c r="BM96" s="289"/>
      <c r="BN96" s="289"/>
      <c r="BO96" s="289"/>
      <c r="BP96" s="289"/>
      <c r="BQ96" s="289"/>
      <c r="BR96" s="59"/>
      <c r="BS96" s="49"/>
      <c r="BT96" s="6"/>
      <c r="BU96" s="6"/>
      <c r="BV96" s="6"/>
      <c r="BW96" s="7"/>
      <c r="BX96" s="7"/>
      <c r="BY96" s="7"/>
    </row>
    <row r="97" spans="3:77" ht="15" customHeight="1" x14ac:dyDescent="0.2">
      <c r="C97" s="36"/>
      <c r="E97" s="268" t="s">
        <v>307</v>
      </c>
      <c r="F97" s="268"/>
      <c r="G97" s="268"/>
      <c r="H97" s="268"/>
      <c r="I97" s="268"/>
      <c r="J97" s="268"/>
      <c r="K97" s="268"/>
      <c r="L97" s="268"/>
      <c r="M97" s="268"/>
      <c r="N97" s="268"/>
      <c r="O97" s="268"/>
      <c r="P97" s="268"/>
      <c r="Q97" s="268"/>
      <c r="R97" s="268"/>
      <c r="S97" s="268"/>
      <c r="T97" s="268"/>
      <c r="U97" s="268"/>
      <c r="V97" s="268"/>
      <c r="W97" s="268"/>
      <c r="X97" s="268"/>
      <c r="Y97" s="268"/>
      <c r="Z97" s="268"/>
      <c r="AA97" s="268"/>
      <c r="AB97" s="268"/>
      <c r="AC97" s="268"/>
      <c r="AD97" s="268"/>
      <c r="AE97" s="268"/>
      <c r="AF97" s="268"/>
      <c r="AG97" s="268"/>
      <c r="AH97" s="268"/>
      <c r="AI97" s="268"/>
      <c r="AJ97" s="268"/>
      <c r="AK97" s="268"/>
      <c r="AL97" s="268"/>
      <c r="AM97" s="268"/>
      <c r="AN97" s="268"/>
      <c r="AO97" s="268"/>
      <c r="AP97" s="268"/>
      <c r="AQ97" s="268"/>
      <c r="AR97" s="268"/>
      <c r="AS97" s="268"/>
      <c r="AT97" s="268"/>
      <c r="AU97" s="268"/>
      <c r="AV97" s="268"/>
      <c r="AW97" s="268"/>
      <c r="AX97" s="268"/>
      <c r="AY97" s="268"/>
      <c r="AZ97" s="268"/>
      <c r="BA97" s="268"/>
      <c r="BB97" s="268"/>
      <c r="BC97" s="268"/>
      <c r="BD97" s="268"/>
      <c r="BE97" s="268"/>
      <c r="BF97" s="268"/>
      <c r="BG97" s="268"/>
      <c r="BH97" s="268"/>
      <c r="BI97" s="268"/>
      <c r="BJ97" s="268"/>
      <c r="BK97" s="268"/>
      <c r="BL97" s="268"/>
      <c r="BM97" s="268"/>
      <c r="BN97" s="268"/>
      <c r="BO97" s="268"/>
      <c r="BP97" s="268"/>
      <c r="BQ97" s="268"/>
      <c r="BR97" s="67"/>
      <c r="BS97" s="8"/>
      <c r="BT97" s="8"/>
      <c r="BU97" s="8"/>
      <c r="BV97" s="8"/>
      <c r="BW97" s="8"/>
      <c r="BX97" s="8"/>
      <c r="BY97" s="8"/>
    </row>
    <row r="98" spans="3:77" ht="15" customHeight="1" x14ac:dyDescent="0.2">
      <c r="C98" s="68"/>
      <c r="E98" s="268"/>
      <c r="F98" s="268"/>
      <c r="G98" s="268"/>
      <c r="H98" s="268"/>
      <c r="I98" s="268"/>
      <c r="J98" s="268"/>
      <c r="K98" s="268"/>
      <c r="L98" s="268"/>
      <c r="M98" s="268"/>
      <c r="N98" s="268"/>
      <c r="O98" s="268"/>
      <c r="P98" s="268"/>
      <c r="Q98" s="268"/>
      <c r="R98" s="268"/>
      <c r="S98" s="268"/>
      <c r="T98" s="268"/>
      <c r="U98" s="268"/>
      <c r="V98" s="268"/>
      <c r="W98" s="268"/>
      <c r="X98" s="268"/>
      <c r="Y98" s="268"/>
      <c r="Z98" s="268"/>
      <c r="AA98" s="268"/>
      <c r="AB98" s="268"/>
      <c r="AC98" s="268"/>
      <c r="AD98" s="268"/>
      <c r="AE98" s="268"/>
      <c r="AF98" s="268"/>
      <c r="AG98" s="268"/>
      <c r="AH98" s="268"/>
      <c r="AI98" s="268"/>
      <c r="AJ98" s="268"/>
      <c r="AK98" s="268"/>
      <c r="AL98" s="268"/>
      <c r="AM98" s="268"/>
      <c r="AN98" s="268"/>
      <c r="AO98" s="268"/>
      <c r="AP98" s="268"/>
      <c r="AQ98" s="268"/>
      <c r="AR98" s="268"/>
      <c r="AS98" s="268"/>
      <c r="AT98" s="268"/>
      <c r="AU98" s="268"/>
      <c r="AV98" s="268"/>
      <c r="AW98" s="268"/>
      <c r="AX98" s="268"/>
      <c r="AY98" s="268"/>
      <c r="AZ98" s="268"/>
      <c r="BA98" s="268"/>
      <c r="BB98" s="268"/>
      <c r="BC98" s="268"/>
      <c r="BD98" s="268"/>
      <c r="BE98" s="268"/>
      <c r="BF98" s="268"/>
      <c r="BG98" s="268"/>
      <c r="BH98" s="268"/>
      <c r="BI98" s="268"/>
      <c r="BJ98" s="268"/>
      <c r="BK98" s="268"/>
      <c r="BL98" s="268"/>
      <c r="BM98" s="268"/>
      <c r="BN98" s="268"/>
      <c r="BO98" s="268"/>
      <c r="BP98" s="268"/>
      <c r="BQ98" s="268"/>
      <c r="BR98" s="67"/>
      <c r="BS98" s="8"/>
      <c r="BT98" s="8"/>
      <c r="BU98" s="8"/>
      <c r="BV98" s="8"/>
      <c r="BW98" s="8"/>
      <c r="BX98" s="8"/>
      <c r="BY98" s="8"/>
    </row>
    <row r="99" spans="3:77" ht="15" customHeight="1" x14ac:dyDescent="0.2">
      <c r="C99" s="5"/>
      <c r="E99" s="268"/>
      <c r="F99" s="268"/>
      <c r="G99" s="268"/>
      <c r="H99" s="268"/>
      <c r="I99" s="268"/>
      <c r="J99" s="268"/>
      <c r="K99" s="268"/>
      <c r="L99" s="268"/>
      <c r="M99" s="268"/>
      <c r="N99" s="268"/>
      <c r="O99" s="268"/>
      <c r="P99" s="268"/>
      <c r="Q99" s="268"/>
      <c r="R99" s="268"/>
      <c r="S99" s="268"/>
      <c r="T99" s="268"/>
      <c r="U99" s="268"/>
      <c r="V99" s="268"/>
      <c r="W99" s="268"/>
      <c r="X99" s="268"/>
      <c r="Y99" s="268"/>
      <c r="Z99" s="268"/>
      <c r="AA99" s="268"/>
      <c r="AB99" s="268"/>
      <c r="AC99" s="268"/>
      <c r="AD99" s="268"/>
      <c r="AE99" s="268"/>
      <c r="AF99" s="268"/>
      <c r="AG99" s="268"/>
      <c r="AH99" s="268"/>
      <c r="AI99" s="268"/>
      <c r="AJ99" s="268"/>
      <c r="AK99" s="268"/>
      <c r="AL99" s="268"/>
      <c r="AM99" s="268"/>
      <c r="AN99" s="268"/>
      <c r="AO99" s="268"/>
      <c r="AP99" s="268"/>
      <c r="AQ99" s="268"/>
      <c r="AR99" s="268"/>
      <c r="AS99" s="268"/>
      <c r="AT99" s="268"/>
      <c r="AU99" s="268"/>
      <c r="AV99" s="268"/>
      <c r="AW99" s="268"/>
      <c r="AX99" s="268"/>
      <c r="AY99" s="268"/>
      <c r="AZ99" s="268"/>
      <c r="BA99" s="268"/>
      <c r="BB99" s="268"/>
      <c r="BC99" s="268"/>
      <c r="BD99" s="268"/>
      <c r="BE99" s="268"/>
      <c r="BF99" s="268"/>
      <c r="BG99" s="268"/>
      <c r="BH99" s="268"/>
      <c r="BI99" s="268"/>
      <c r="BJ99" s="268"/>
      <c r="BK99" s="268"/>
      <c r="BL99" s="268"/>
      <c r="BM99" s="268"/>
      <c r="BN99" s="268"/>
      <c r="BO99" s="268"/>
      <c r="BP99" s="268"/>
      <c r="BQ99" s="268"/>
      <c r="BR99" s="67"/>
      <c r="BS99" s="8"/>
      <c r="BT99" s="8"/>
      <c r="BU99" s="8"/>
      <c r="BV99" s="8"/>
      <c r="BW99" s="8"/>
      <c r="BX99" s="8"/>
      <c r="BY99" s="10"/>
    </row>
    <row r="100" spans="3:77" ht="15" customHeight="1" x14ac:dyDescent="0.25">
      <c r="C100" s="294" t="s">
        <v>149</v>
      </c>
      <c r="D100" s="295"/>
      <c r="E100" s="295"/>
      <c r="F100" s="295"/>
      <c r="G100" s="289" t="s">
        <v>88</v>
      </c>
      <c r="H100" s="289"/>
      <c r="I100" s="289"/>
      <c r="J100" s="289"/>
      <c r="K100" s="289"/>
      <c r="L100" s="289"/>
      <c r="M100" s="289"/>
      <c r="N100" s="289"/>
      <c r="O100" s="289"/>
      <c r="P100" s="289"/>
      <c r="Q100" s="289"/>
      <c r="R100" s="289"/>
      <c r="S100" s="289"/>
      <c r="T100" s="289"/>
      <c r="U100" s="289"/>
      <c r="V100" s="289"/>
      <c r="W100" s="289"/>
      <c r="X100" s="289"/>
      <c r="Y100" s="289"/>
      <c r="Z100" s="289"/>
      <c r="AA100" s="289"/>
      <c r="AB100" s="289"/>
      <c r="AC100" s="289"/>
      <c r="AD100" s="289"/>
      <c r="AE100" s="289"/>
      <c r="AF100" s="289"/>
      <c r="AG100" s="289"/>
      <c r="AH100" s="289"/>
      <c r="AI100" s="289"/>
      <c r="AJ100" s="289"/>
      <c r="AK100" s="289"/>
      <c r="AL100" s="289"/>
      <c r="AM100" s="289"/>
      <c r="AN100" s="289"/>
      <c r="AO100" s="289"/>
      <c r="AP100" s="289"/>
      <c r="AQ100" s="289"/>
      <c r="AR100" s="289"/>
      <c r="AS100" s="289"/>
      <c r="AT100" s="289"/>
      <c r="AU100" s="289"/>
      <c r="AV100" s="289"/>
      <c r="AW100" s="289"/>
      <c r="AX100" s="289"/>
      <c r="AY100" s="289"/>
      <c r="AZ100" s="289"/>
      <c r="BA100" s="289"/>
      <c r="BB100" s="289"/>
      <c r="BC100" s="289"/>
      <c r="BD100" s="289"/>
      <c r="BE100" s="289"/>
      <c r="BF100" s="289"/>
      <c r="BG100" s="289"/>
      <c r="BH100" s="289"/>
      <c r="BI100" s="289"/>
      <c r="BJ100" s="289"/>
      <c r="BK100" s="289"/>
      <c r="BL100" s="289"/>
      <c r="BM100" s="289"/>
      <c r="BN100" s="289"/>
      <c r="BO100" s="289"/>
      <c r="BP100" s="289"/>
      <c r="BQ100" s="289"/>
      <c r="BR100" s="59"/>
      <c r="BS100" s="8"/>
      <c r="BT100" s="8"/>
      <c r="BU100" s="8"/>
      <c r="BV100" s="8"/>
      <c r="BW100" s="8"/>
      <c r="BX100" s="8"/>
      <c r="BY100" s="10"/>
    </row>
    <row r="101" spans="3:77" ht="15" customHeight="1" x14ac:dyDescent="0.25">
      <c r="C101" s="294"/>
      <c r="D101" s="295"/>
      <c r="E101" s="295"/>
      <c r="F101" s="295"/>
      <c r="G101" s="289"/>
      <c r="H101" s="289"/>
      <c r="I101" s="289"/>
      <c r="J101" s="289"/>
      <c r="K101" s="289"/>
      <c r="L101" s="289"/>
      <c r="M101" s="289"/>
      <c r="N101" s="289"/>
      <c r="O101" s="289"/>
      <c r="P101" s="289"/>
      <c r="Q101" s="289"/>
      <c r="R101" s="289"/>
      <c r="S101" s="289"/>
      <c r="T101" s="289"/>
      <c r="U101" s="289"/>
      <c r="V101" s="289"/>
      <c r="W101" s="289"/>
      <c r="X101" s="289"/>
      <c r="Y101" s="289"/>
      <c r="Z101" s="289"/>
      <c r="AA101" s="289"/>
      <c r="AB101" s="289"/>
      <c r="AC101" s="289"/>
      <c r="AD101" s="289"/>
      <c r="AE101" s="289"/>
      <c r="AF101" s="289"/>
      <c r="AG101" s="289"/>
      <c r="AH101" s="289"/>
      <c r="AI101" s="289"/>
      <c r="AJ101" s="289"/>
      <c r="AK101" s="289"/>
      <c r="AL101" s="289"/>
      <c r="AM101" s="289"/>
      <c r="AN101" s="289"/>
      <c r="AO101" s="289"/>
      <c r="AP101" s="289"/>
      <c r="AQ101" s="289"/>
      <c r="AR101" s="289"/>
      <c r="AS101" s="289"/>
      <c r="AT101" s="289"/>
      <c r="AU101" s="289"/>
      <c r="AV101" s="289"/>
      <c r="AW101" s="289"/>
      <c r="AX101" s="289"/>
      <c r="AY101" s="289"/>
      <c r="AZ101" s="289"/>
      <c r="BA101" s="289"/>
      <c r="BB101" s="289"/>
      <c r="BC101" s="289"/>
      <c r="BD101" s="289"/>
      <c r="BE101" s="289"/>
      <c r="BF101" s="289"/>
      <c r="BG101" s="289"/>
      <c r="BH101" s="289"/>
      <c r="BI101" s="289"/>
      <c r="BJ101" s="289"/>
      <c r="BK101" s="289"/>
      <c r="BL101" s="289"/>
      <c r="BM101" s="289"/>
      <c r="BN101" s="289"/>
      <c r="BO101" s="289"/>
      <c r="BP101" s="289"/>
      <c r="BQ101" s="289"/>
      <c r="BR101" s="59"/>
      <c r="BS101" s="8"/>
      <c r="BT101" s="8"/>
      <c r="BU101" s="8"/>
      <c r="BV101" s="8"/>
      <c r="BW101" s="8"/>
      <c r="BX101" s="8"/>
      <c r="BY101" s="10"/>
    </row>
    <row r="102" spans="3:77" ht="15" customHeight="1" x14ac:dyDescent="0.2">
      <c r="C102" s="37"/>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8"/>
      <c r="BT102" s="8"/>
      <c r="BU102" s="8"/>
      <c r="BV102" s="8"/>
      <c r="BW102" s="8"/>
      <c r="BX102" s="8"/>
      <c r="BY102" s="10"/>
    </row>
    <row r="103" spans="3:77" ht="15" customHeight="1" x14ac:dyDescent="0.2">
      <c r="C103" s="37"/>
      <c r="I103" s="21" t="s">
        <v>117</v>
      </c>
      <c r="J103" s="4" t="s">
        <v>102</v>
      </c>
      <c r="BS103" s="8"/>
      <c r="BT103" s="8"/>
      <c r="BU103" s="8"/>
      <c r="BV103" s="8"/>
      <c r="BW103" s="8"/>
      <c r="BX103" s="8"/>
      <c r="BY103" s="10"/>
    </row>
    <row r="104" spans="3:77" ht="15" customHeight="1" x14ac:dyDescent="0.25">
      <c r="C104" s="37"/>
      <c r="I104" s="22" t="s">
        <v>118</v>
      </c>
      <c r="J104" s="4" t="s">
        <v>90</v>
      </c>
      <c r="BS104" s="8"/>
      <c r="BT104" s="8"/>
      <c r="BU104" s="8"/>
      <c r="BV104" s="8"/>
      <c r="BW104" s="8"/>
      <c r="BX104" s="8"/>
      <c r="BY104" s="10"/>
    </row>
    <row r="105" spans="3:77" ht="15" customHeight="1" x14ac:dyDescent="0.25">
      <c r="C105" s="37"/>
      <c r="I105" s="22" t="s">
        <v>180</v>
      </c>
      <c r="J105" s="4" t="s">
        <v>181</v>
      </c>
      <c r="BS105" s="8"/>
      <c r="BT105" s="8"/>
      <c r="BU105" s="8"/>
      <c r="BV105" s="8"/>
      <c r="BW105" s="8"/>
      <c r="BX105" s="8"/>
      <c r="BY105" s="10"/>
    </row>
    <row r="106" spans="3:77" ht="15" customHeight="1" x14ac:dyDescent="0.2">
      <c r="C106" s="37"/>
      <c r="I106" s="21" t="s">
        <v>105</v>
      </c>
      <c r="J106" s="4" t="s">
        <v>91</v>
      </c>
      <c r="BS106" s="8"/>
      <c r="BT106" s="8"/>
      <c r="BU106" s="8"/>
      <c r="BV106" s="8"/>
      <c r="BW106" s="8"/>
      <c r="BX106" s="8"/>
      <c r="BY106" s="10"/>
    </row>
    <row r="107" spans="3:77" ht="15" customHeight="1" x14ac:dyDescent="0.25">
      <c r="C107" s="37"/>
      <c r="I107" s="22" t="s">
        <v>106</v>
      </c>
      <c r="J107" s="4" t="s">
        <v>92</v>
      </c>
      <c r="BS107" s="8"/>
      <c r="BT107" s="8"/>
      <c r="BU107" s="8"/>
      <c r="BV107" s="8"/>
      <c r="BW107" s="8"/>
      <c r="BX107" s="8"/>
      <c r="BY107" s="10"/>
    </row>
    <row r="108" spans="3:77" ht="15" customHeight="1" x14ac:dyDescent="0.2">
      <c r="C108" s="37"/>
      <c r="I108" s="21" t="s">
        <v>107</v>
      </c>
      <c r="J108" s="4" t="s">
        <v>96</v>
      </c>
      <c r="BS108" s="8"/>
      <c r="BT108" s="8"/>
      <c r="BU108" s="8"/>
      <c r="BV108" s="8"/>
      <c r="BW108" s="8"/>
      <c r="BX108" s="8"/>
      <c r="BY108" s="10"/>
    </row>
    <row r="109" spans="3:77" ht="15" customHeight="1" x14ac:dyDescent="0.2">
      <c r="C109" s="105"/>
      <c r="I109" s="22" t="s">
        <v>338</v>
      </c>
      <c r="J109" s="4" t="s">
        <v>340</v>
      </c>
      <c r="BS109" s="8"/>
      <c r="BT109" s="8"/>
      <c r="BU109" s="8"/>
      <c r="BV109" s="8"/>
      <c r="BW109" s="8"/>
      <c r="BX109" s="8"/>
      <c r="BY109" s="10"/>
    </row>
    <row r="110" spans="3:77" ht="15" customHeight="1" x14ac:dyDescent="0.25">
      <c r="C110" s="105"/>
      <c r="I110" s="140" t="s">
        <v>333</v>
      </c>
      <c r="J110" s="4" t="s">
        <v>341</v>
      </c>
      <c r="BS110" s="8"/>
      <c r="BT110" s="8"/>
      <c r="BU110" s="8"/>
      <c r="BV110" s="8"/>
      <c r="BW110" s="8"/>
      <c r="BX110" s="8"/>
      <c r="BY110" s="10"/>
    </row>
    <row r="111" spans="3:77" ht="15" customHeight="1" x14ac:dyDescent="0.25">
      <c r="C111" s="105"/>
      <c r="I111" s="140" t="s">
        <v>334</v>
      </c>
      <c r="J111" s="4" t="s">
        <v>342</v>
      </c>
      <c r="BS111" s="8"/>
      <c r="BT111" s="8"/>
      <c r="BU111" s="8"/>
      <c r="BV111" s="8"/>
      <c r="BW111" s="8"/>
      <c r="BX111" s="8"/>
      <c r="BY111" s="10"/>
    </row>
    <row r="112" spans="3:77" ht="15" customHeight="1" x14ac:dyDescent="0.25">
      <c r="C112" s="105"/>
      <c r="I112" s="140" t="s">
        <v>336</v>
      </c>
      <c r="J112" s="4" t="s">
        <v>343</v>
      </c>
      <c r="BS112" s="8"/>
      <c r="BT112" s="8"/>
      <c r="BU112" s="8"/>
      <c r="BV112" s="8"/>
      <c r="BW112" s="8"/>
      <c r="BX112" s="8"/>
      <c r="BY112" s="10"/>
    </row>
    <row r="113" spans="3:77" ht="15" customHeight="1" x14ac:dyDescent="0.25">
      <c r="C113" s="37"/>
      <c r="I113" s="22" t="s">
        <v>108</v>
      </c>
      <c r="J113" s="4" t="s">
        <v>347</v>
      </c>
      <c r="BS113" s="8"/>
      <c r="BT113" s="8"/>
      <c r="BU113" s="8"/>
      <c r="BV113" s="8"/>
      <c r="BW113" s="8"/>
      <c r="BX113" s="8"/>
      <c r="BY113" s="10"/>
    </row>
    <row r="114" spans="3:77" ht="15" customHeight="1" x14ac:dyDescent="0.25">
      <c r="C114" s="105"/>
      <c r="I114" s="140" t="s">
        <v>330</v>
      </c>
      <c r="J114" s="4" t="s">
        <v>345</v>
      </c>
      <c r="BS114" s="8"/>
      <c r="BT114" s="8"/>
      <c r="BU114" s="8"/>
      <c r="BV114" s="8"/>
      <c r="BW114" s="8"/>
      <c r="BX114" s="8"/>
      <c r="BY114" s="10"/>
    </row>
    <row r="115" spans="3:77" ht="15" customHeight="1" x14ac:dyDescent="0.25">
      <c r="C115" s="105"/>
      <c r="I115" s="140" t="s">
        <v>335</v>
      </c>
      <c r="J115" s="4" t="s">
        <v>344</v>
      </c>
      <c r="BS115" s="8"/>
      <c r="BT115" s="8"/>
      <c r="BU115" s="8"/>
      <c r="BV115" s="8"/>
      <c r="BW115" s="8"/>
      <c r="BX115" s="8"/>
      <c r="BY115" s="10"/>
    </row>
    <row r="116" spans="3:77" ht="15" customHeight="1" x14ac:dyDescent="0.25">
      <c r="C116" s="105"/>
      <c r="I116" s="22" t="s">
        <v>361</v>
      </c>
      <c r="J116" s="4" t="s">
        <v>346</v>
      </c>
      <c r="BS116" s="8"/>
      <c r="BT116" s="8"/>
      <c r="BU116" s="8"/>
      <c r="BV116" s="8"/>
      <c r="BW116" s="8"/>
      <c r="BX116" s="8"/>
      <c r="BY116" s="10"/>
    </row>
    <row r="117" spans="3:77" ht="15" customHeight="1" x14ac:dyDescent="0.25">
      <c r="C117" s="105"/>
      <c r="I117" s="22" t="s">
        <v>329</v>
      </c>
      <c r="J117" s="4" t="s">
        <v>348</v>
      </c>
      <c r="BS117" s="8"/>
      <c r="BT117" s="8"/>
      <c r="BU117" s="8"/>
      <c r="BV117" s="8"/>
      <c r="BW117" s="8"/>
      <c r="BX117" s="8"/>
      <c r="BY117" s="10"/>
    </row>
    <row r="118" spans="3:77" ht="15" customHeight="1" x14ac:dyDescent="0.25">
      <c r="C118" s="37"/>
      <c r="I118" s="22" t="s">
        <v>109</v>
      </c>
      <c r="J118" s="4" t="s">
        <v>101</v>
      </c>
      <c r="BS118" s="8"/>
      <c r="BT118" s="8"/>
      <c r="BU118" s="8"/>
      <c r="BV118" s="8"/>
      <c r="BW118" s="8"/>
      <c r="BX118" s="8"/>
      <c r="BY118" s="10"/>
    </row>
    <row r="119" spans="3:77" ht="15" customHeight="1" x14ac:dyDescent="0.25">
      <c r="C119" s="37"/>
      <c r="I119" s="22" t="s">
        <v>110</v>
      </c>
      <c r="J119" s="4" t="s">
        <v>192</v>
      </c>
      <c r="BS119" s="8"/>
      <c r="BT119" s="8"/>
      <c r="BU119" s="8"/>
      <c r="BV119" s="8"/>
      <c r="BW119" s="8"/>
      <c r="BX119" s="8"/>
      <c r="BY119" s="10"/>
    </row>
    <row r="120" spans="3:77" ht="15" customHeight="1" x14ac:dyDescent="0.25">
      <c r="C120" s="37"/>
      <c r="I120" s="22" t="s">
        <v>111</v>
      </c>
      <c r="J120" s="4" t="s">
        <v>93</v>
      </c>
      <c r="BS120" s="8"/>
      <c r="BT120" s="8"/>
      <c r="BU120" s="8"/>
      <c r="BV120" s="8"/>
      <c r="BW120" s="8"/>
      <c r="BX120" s="8"/>
      <c r="BY120" s="10"/>
    </row>
    <row r="121" spans="3:77" ht="15" customHeight="1" x14ac:dyDescent="0.25">
      <c r="C121" s="37"/>
      <c r="I121" s="22" t="s">
        <v>112</v>
      </c>
      <c r="J121" s="4" t="s">
        <v>94</v>
      </c>
      <c r="BS121" s="8"/>
      <c r="BT121" s="8"/>
      <c r="BU121" s="8"/>
      <c r="BV121" s="8"/>
      <c r="BW121" s="8"/>
      <c r="BX121" s="8"/>
      <c r="BY121" s="10"/>
    </row>
    <row r="122" spans="3:77" ht="15" customHeight="1" x14ac:dyDescent="0.25">
      <c r="C122" s="37"/>
      <c r="I122" s="22" t="s">
        <v>142</v>
      </c>
      <c r="J122" s="4" t="s">
        <v>145</v>
      </c>
      <c r="BS122" s="8"/>
      <c r="BT122" s="8"/>
      <c r="BU122" s="8"/>
      <c r="BV122" s="8"/>
      <c r="BW122" s="8"/>
      <c r="BX122" s="8"/>
      <c r="BY122" s="10"/>
    </row>
    <row r="123" spans="3:77" ht="15" customHeight="1" x14ac:dyDescent="0.25">
      <c r="C123" s="37"/>
      <c r="I123" s="22" t="s">
        <v>143</v>
      </c>
      <c r="J123" s="4" t="s">
        <v>144</v>
      </c>
      <c r="BS123" s="8"/>
      <c r="BT123" s="8"/>
      <c r="BU123" s="8"/>
      <c r="BV123" s="8"/>
      <c r="BW123" s="8"/>
      <c r="BX123" s="8"/>
      <c r="BY123" s="10"/>
    </row>
    <row r="124" spans="3:77" ht="15" customHeight="1" x14ac:dyDescent="0.2">
      <c r="C124" s="105"/>
      <c r="I124" s="22" t="s">
        <v>337</v>
      </c>
      <c r="J124" s="4" t="s">
        <v>349</v>
      </c>
      <c r="BS124" s="8"/>
      <c r="BT124" s="8"/>
      <c r="BU124" s="8"/>
      <c r="BV124" s="8"/>
      <c r="BW124" s="8"/>
      <c r="BX124" s="8"/>
      <c r="BY124" s="10"/>
    </row>
    <row r="125" spans="3:77" ht="15" customHeight="1" x14ac:dyDescent="0.25">
      <c r="C125" s="37"/>
      <c r="I125" s="22" t="s">
        <v>113</v>
      </c>
      <c r="J125" s="4" t="s">
        <v>95</v>
      </c>
      <c r="BS125" s="8"/>
      <c r="BT125" s="8"/>
      <c r="BU125" s="8"/>
      <c r="BV125" s="8"/>
      <c r="BW125" s="8"/>
      <c r="BX125" s="8"/>
      <c r="BY125" s="10"/>
    </row>
    <row r="126" spans="3:77" ht="15" customHeight="1" x14ac:dyDescent="0.2">
      <c r="C126" s="37"/>
      <c r="I126" s="21" t="s">
        <v>114</v>
      </c>
      <c r="J126" s="4" t="s">
        <v>103</v>
      </c>
      <c r="BS126" s="8"/>
      <c r="BT126" s="8"/>
      <c r="BU126" s="8"/>
      <c r="BV126" s="8"/>
      <c r="BW126" s="8"/>
      <c r="BX126" s="8"/>
      <c r="BY126" s="10"/>
    </row>
    <row r="127" spans="3:77" ht="15" customHeight="1" x14ac:dyDescent="0.2">
      <c r="C127" s="37"/>
      <c r="I127" s="22" t="s">
        <v>168</v>
      </c>
      <c r="J127" s="4" t="s">
        <v>169</v>
      </c>
      <c r="BS127" s="8"/>
      <c r="BT127" s="8"/>
      <c r="BU127" s="8"/>
      <c r="BV127" s="8"/>
      <c r="BW127" s="8"/>
      <c r="BX127" s="8"/>
      <c r="BY127" s="10"/>
    </row>
    <row r="128" spans="3:77" ht="15" customHeight="1" x14ac:dyDescent="0.25">
      <c r="C128" s="37"/>
      <c r="I128" s="22" t="s">
        <v>115</v>
      </c>
      <c r="J128" s="4" t="s">
        <v>98</v>
      </c>
      <c r="BS128" s="8"/>
      <c r="BT128" s="8"/>
      <c r="BU128" s="8"/>
      <c r="BV128" s="8"/>
      <c r="BW128" s="8"/>
      <c r="BX128" s="8"/>
      <c r="BY128" s="10"/>
    </row>
    <row r="129" spans="3:77" ht="15" customHeight="1" x14ac:dyDescent="0.25">
      <c r="C129" s="37"/>
      <c r="I129" s="22" t="s">
        <v>89</v>
      </c>
      <c r="J129" s="4" t="s">
        <v>99</v>
      </c>
      <c r="BS129" s="8"/>
      <c r="BT129" s="8"/>
      <c r="BU129" s="8"/>
      <c r="BV129" s="8"/>
      <c r="BW129" s="8"/>
      <c r="BX129" s="8"/>
      <c r="BY129" s="10"/>
    </row>
    <row r="130" spans="3:77" ht="15" customHeight="1" x14ac:dyDescent="0.2">
      <c r="C130" s="37"/>
      <c r="I130" s="21" t="s">
        <v>167</v>
      </c>
      <c r="J130" s="4" t="s">
        <v>170</v>
      </c>
      <c r="BS130" s="8"/>
      <c r="BT130" s="8"/>
      <c r="BU130" s="8"/>
      <c r="BV130" s="8"/>
      <c r="BW130" s="8"/>
      <c r="BX130" s="8"/>
      <c r="BY130" s="10"/>
    </row>
    <row r="131" spans="3:77" ht="15" customHeight="1" x14ac:dyDescent="0.25">
      <c r="C131" s="37"/>
      <c r="I131" s="22" t="s">
        <v>174</v>
      </c>
      <c r="J131" s="4" t="s">
        <v>177</v>
      </c>
      <c r="BS131" s="8"/>
      <c r="BT131" s="8"/>
      <c r="BU131" s="8"/>
      <c r="BV131" s="8"/>
      <c r="BW131" s="8"/>
      <c r="BX131" s="8"/>
      <c r="BY131" s="10"/>
    </row>
    <row r="132" spans="3:77" ht="15" customHeight="1" x14ac:dyDescent="0.2">
      <c r="C132" s="105"/>
      <c r="I132" s="22" t="s">
        <v>339</v>
      </c>
      <c r="J132" s="4" t="s">
        <v>350</v>
      </c>
      <c r="BS132" s="8"/>
      <c r="BT132" s="8"/>
      <c r="BU132" s="8"/>
      <c r="BV132" s="8"/>
      <c r="BW132" s="8"/>
      <c r="BX132" s="8"/>
      <c r="BY132" s="10"/>
    </row>
    <row r="133" spans="3:77" ht="15" customHeight="1" x14ac:dyDescent="0.25">
      <c r="C133" s="105"/>
      <c r="I133" s="140" t="s">
        <v>331</v>
      </c>
      <c r="J133" s="4" t="s">
        <v>351</v>
      </c>
      <c r="BS133" s="8"/>
      <c r="BT133" s="8"/>
      <c r="BU133" s="8"/>
      <c r="BV133" s="8"/>
      <c r="BW133" s="8"/>
      <c r="BX133" s="8"/>
      <c r="BY133" s="10"/>
    </row>
    <row r="134" spans="3:77" ht="15" customHeight="1" x14ac:dyDescent="0.25">
      <c r="C134" s="105"/>
      <c r="I134" s="140" t="s">
        <v>332</v>
      </c>
      <c r="J134" s="4" t="s">
        <v>352</v>
      </c>
      <c r="BS134" s="8"/>
      <c r="BT134" s="8"/>
      <c r="BU134" s="8"/>
      <c r="BV134" s="8"/>
      <c r="BW134" s="8"/>
      <c r="BX134" s="8"/>
      <c r="BY134" s="10"/>
    </row>
    <row r="135" spans="3:77" ht="15" customHeight="1" x14ac:dyDescent="0.25">
      <c r="C135" s="37"/>
      <c r="I135" s="22" t="s">
        <v>175</v>
      </c>
      <c r="J135" s="4" t="s">
        <v>176</v>
      </c>
      <c r="BS135" s="8"/>
      <c r="BT135" s="8"/>
      <c r="BU135" s="8"/>
      <c r="BV135" s="8"/>
      <c r="BW135" s="8"/>
      <c r="BX135" s="8"/>
      <c r="BY135" s="10"/>
    </row>
    <row r="136" spans="3:77" ht="15" customHeight="1" x14ac:dyDescent="0.25">
      <c r="C136" s="37"/>
      <c r="I136" s="22" t="s">
        <v>267</v>
      </c>
      <c r="J136" s="4" t="s">
        <v>97</v>
      </c>
      <c r="BS136" s="8"/>
      <c r="BT136" s="8"/>
      <c r="BU136" s="8"/>
      <c r="BV136" s="8"/>
      <c r="BW136" s="8"/>
      <c r="BX136" s="8"/>
      <c r="BY136" s="10"/>
    </row>
    <row r="137" spans="3:77" ht="15" customHeight="1" x14ac:dyDescent="0.25">
      <c r="C137" s="37"/>
      <c r="I137" s="22" t="s">
        <v>119</v>
      </c>
      <c r="J137" s="4" t="s">
        <v>97</v>
      </c>
      <c r="BS137" s="8"/>
      <c r="BT137" s="8"/>
      <c r="BU137" s="8"/>
      <c r="BV137" s="8"/>
      <c r="BW137" s="8"/>
      <c r="BX137" s="8"/>
      <c r="BY137" s="10"/>
    </row>
    <row r="138" spans="3:77" ht="15" customHeight="1" x14ac:dyDescent="0.25">
      <c r="C138" s="37"/>
      <c r="I138" s="22" t="s">
        <v>268</v>
      </c>
      <c r="J138" s="4" t="s">
        <v>128</v>
      </c>
      <c r="BS138" s="8"/>
      <c r="BT138" s="8"/>
      <c r="BU138" s="8"/>
      <c r="BV138" s="8"/>
      <c r="BW138" s="8"/>
      <c r="BX138" s="8"/>
      <c r="BY138" s="10"/>
    </row>
    <row r="139" spans="3:77" ht="15" customHeight="1" x14ac:dyDescent="0.25">
      <c r="C139" s="37"/>
      <c r="I139" s="22" t="s">
        <v>269</v>
      </c>
      <c r="J139" s="4" t="s">
        <v>131</v>
      </c>
      <c r="BS139" s="8"/>
      <c r="BT139" s="8"/>
      <c r="BU139" s="8"/>
      <c r="BV139" s="8"/>
      <c r="BW139" s="8"/>
      <c r="BX139" s="8"/>
      <c r="BY139" s="10"/>
    </row>
    <row r="140" spans="3:77" ht="15" customHeight="1" x14ac:dyDescent="0.25">
      <c r="C140" s="37"/>
      <c r="I140" s="22" t="s">
        <v>270</v>
      </c>
      <c r="J140" s="4" t="s">
        <v>129</v>
      </c>
      <c r="BS140" s="8"/>
      <c r="BT140" s="8"/>
      <c r="BU140" s="8"/>
      <c r="BV140" s="8"/>
      <c r="BW140" s="8"/>
      <c r="BX140" s="8"/>
      <c r="BY140" s="10"/>
    </row>
    <row r="141" spans="3:77" ht="15" customHeight="1" x14ac:dyDescent="0.25">
      <c r="C141" s="37"/>
      <c r="I141" s="22" t="s">
        <v>271</v>
      </c>
      <c r="J141" s="4" t="s">
        <v>193</v>
      </c>
      <c r="BS141" s="8"/>
      <c r="BT141" s="8"/>
      <c r="BU141" s="8"/>
      <c r="BV141" s="8"/>
      <c r="BW141" s="8"/>
      <c r="BX141" s="8"/>
      <c r="BY141" s="10"/>
    </row>
    <row r="142" spans="3:77" ht="15" customHeight="1" x14ac:dyDescent="0.25">
      <c r="C142" s="37"/>
      <c r="I142" s="22" t="s">
        <v>272</v>
      </c>
      <c r="J142" s="4" t="s">
        <v>359</v>
      </c>
      <c r="BS142" s="8"/>
      <c r="BT142" s="8"/>
      <c r="BU142" s="8"/>
      <c r="BV142" s="8"/>
      <c r="BW142" s="8"/>
      <c r="BX142" s="8"/>
      <c r="BY142" s="10"/>
    </row>
    <row r="143" spans="3:77" ht="15" customHeight="1" x14ac:dyDescent="0.25">
      <c r="C143" s="37"/>
      <c r="I143" s="22" t="s">
        <v>273</v>
      </c>
      <c r="J143" s="4" t="s">
        <v>130</v>
      </c>
      <c r="BS143" s="8"/>
      <c r="BT143" s="8"/>
      <c r="BU143" s="8"/>
      <c r="BV143" s="8"/>
      <c r="BW143" s="8"/>
      <c r="BX143" s="8"/>
      <c r="BY143" s="10"/>
    </row>
    <row r="144" spans="3:77" ht="15" customHeight="1" x14ac:dyDescent="0.2">
      <c r="C144" s="37"/>
      <c r="I144" s="21" t="s">
        <v>116</v>
      </c>
      <c r="J144" s="4" t="s">
        <v>100</v>
      </c>
      <c r="BS144" s="8"/>
      <c r="BT144" s="8"/>
      <c r="BU144" s="8"/>
      <c r="BV144" s="8"/>
      <c r="BW144" s="8"/>
      <c r="BX144" s="8"/>
      <c r="BY144" s="10"/>
    </row>
    <row r="145" spans="3:77" ht="15" customHeight="1" x14ac:dyDescent="0.2">
      <c r="C145" s="37"/>
      <c r="I145" s="21"/>
      <c r="BS145" s="8"/>
      <c r="BT145" s="8"/>
      <c r="BU145" s="8"/>
      <c r="BV145" s="8"/>
      <c r="BW145" s="8"/>
      <c r="BX145" s="8"/>
      <c r="BY145" s="10"/>
    </row>
    <row r="146" spans="3:77" ht="15" customHeight="1" x14ac:dyDescent="0.2">
      <c r="C146" s="37"/>
      <c r="I146" s="21"/>
      <c r="BS146" s="8"/>
      <c r="BT146" s="8"/>
      <c r="BU146" s="8"/>
      <c r="BV146" s="8"/>
      <c r="BW146" s="8"/>
      <c r="BX146" s="8"/>
      <c r="BY146" s="10"/>
    </row>
    <row r="147" spans="3:77" ht="15" customHeight="1" x14ac:dyDescent="0.2">
      <c r="C147" s="37"/>
      <c r="I147" s="21"/>
      <c r="BS147" s="8"/>
      <c r="BT147" s="8"/>
      <c r="BU147" s="8"/>
      <c r="BV147" s="8"/>
      <c r="BW147" s="8"/>
      <c r="BX147" s="8"/>
      <c r="BY147" s="10"/>
    </row>
    <row r="148" spans="3:77" ht="15" customHeight="1" x14ac:dyDescent="0.2">
      <c r="C148" s="37"/>
      <c r="I148" s="21"/>
      <c r="BS148" s="8"/>
      <c r="BT148" s="8"/>
      <c r="BU148" s="8"/>
      <c r="BV148" s="8"/>
      <c r="BW148" s="8"/>
      <c r="BX148" s="8"/>
      <c r="BY148" s="10"/>
    </row>
    <row r="149" spans="3:77" ht="15" customHeight="1" x14ac:dyDescent="0.2">
      <c r="C149" s="105"/>
      <c r="I149" s="21"/>
      <c r="BS149" s="8"/>
      <c r="BT149" s="8"/>
      <c r="BU149" s="8"/>
      <c r="BV149" s="8"/>
      <c r="BW149" s="8"/>
      <c r="BX149" s="8"/>
      <c r="BY149" s="10"/>
    </row>
    <row r="150" spans="3:77" ht="15" customHeight="1" x14ac:dyDescent="0.2">
      <c r="C150" s="105"/>
      <c r="I150" s="21"/>
      <c r="BS150" s="8"/>
      <c r="BT150" s="8"/>
      <c r="BU150" s="8"/>
      <c r="BV150" s="8"/>
      <c r="BW150" s="8"/>
      <c r="BX150" s="8"/>
      <c r="BY150" s="10"/>
    </row>
    <row r="151" spans="3:77" ht="15" customHeight="1" x14ac:dyDescent="0.2">
      <c r="C151" s="105"/>
      <c r="I151" s="21"/>
      <c r="BS151" s="8"/>
      <c r="BT151" s="8"/>
      <c r="BU151" s="8"/>
      <c r="BV151" s="8"/>
      <c r="BW151" s="8"/>
      <c r="BX151" s="8"/>
      <c r="BY151" s="10"/>
    </row>
    <row r="152" spans="3:77" ht="15" customHeight="1" x14ac:dyDescent="0.2">
      <c r="C152" s="105"/>
      <c r="I152" s="21"/>
      <c r="BS152" s="8"/>
      <c r="BT152" s="8"/>
      <c r="BU152" s="8"/>
      <c r="BV152" s="8"/>
      <c r="BW152" s="8"/>
      <c r="BX152" s="8"/>
      <c r="BY152" s="10"/>
    </row>
    <row r="153" spans="3:77" ht="15" customHeight="1" x14ac:dyDescent="0.2">
      <c r="C153" s="105"/>
      <c r="I153" s="21"/>
      <c r="BS153" s="8"/>
      <c r="BT153" s="8"/>
      <c r="BU153" s="8"/>
      <c r="BV153" s="8"/>
      <c r="BW153" s="8"/>
      <c r="BX153" s="8"/>
      <c r="BY153" s="10"/>
    </row>
    <row r="154" spans="3:77" ht="15" customHeight="1" x14ac:dyDescent="0.2">
      <c r="C154" s="105"/>
      <c r="I154" s="21"/>
      <c r="BS154" s="8"/>
      <c r="BT154" s="8"/>
      <c r="BU154" s="8"/>
      <c r="BV154" s="8"/>
      <c r="BW154" s="8"/>
      <c r="BX154" s="8"/>
      <c r="BY154" s="10"/>
    </row>
    <row r="155" spans="3:77" ht="15" customHeight="1" x14ac:dyDescent="0.2">
      <c r="C155" s="105"/>
      <c r="I155" s="21"/>
      <c r="BS155" s="8"/>
      <c r="BT155" s="8"/>
      <c r="BU155" s="8"/>
      <c r="BV155" s="8"/>
      <c r="BW155" s="8"/>
      <c r="BX155" s="8"/>
      <c r="BY155" s="10"/>
    </row>
    <row r="156" spans="3:77" ht="15" customHeight="1" x14ac:dyDescent="0.2">
      <c r="C156" s="105"/>
      <c r="I156" s="21"/>
      <c r="BS156" s="8"/>
      <c r="BT156" s="8"/>
      <c r="BU156" s="8"/>
      <c r="BV156" s="8"/>
      <c r="BW156" s="8"/>
      <c r="BX156" s="8"/>
      <c r="BY156" s="10"/>
    </row>
    <row r="157" spans="3:77" ht="15" customHeight="1" x14ac:dyDescent="0.2">
      <c r="C157" s="105"/>
      <c r="I157" s="21"/>
      <c r="BS157" s="8"/>
      <c r="BT157" s="8"/>
      <c r="BU157" s="8"/>
      <c r="BV157" s="8"/>
      <c r="BW157" s="8"/>
      <c r="BX157" s="8"/>
      <c r="BY157" s="10"/>
    </row>
    <row r="158" spans="3:77" ht="15" customHeight="1" x14ac:dyDescent="0.2">
      <c r="C158" s="105"/>
      <c r="I158" s="21"/>
      <c r="BS158" s="8"/>
      <c r="BT158" s="8"/>
      <c r="BU158" s="8"/>
      <c r="BV158" s="8"/>
      <c r="BW158" s="8"/>
      <c r="BX158" s="8"/>
      <c r="BY158" s="10"/>
    </row>
    <row r="159" spans="3:77" ht="15" customHeight="1" x14ac:dyDescent="0.2">
      <c r="C159" s="105"/>
      <c r="I159" s="21"/>
      <c r="BS159" s="8"/>
      <c r="BT159" s="8"/>
      <c r="BU159" s="8"/>
      <c r="BV159" s="8"/>
      <c r="BW159" s="8"/>
      <c r="BX159" s="8"/>
      <c r="BY159" s="10"/>
    </row>
    <row r="160" spans="3:77" ht="15" customHeight="1" x14ac:dyDescent="0.2">
      <c r="C160" s="105"/>
      <c r="I160" s="21"/>
      <c r="BS160" s="8"/>
      <c r="BT160" s="8"/>
      <c r="BU160" s="8"/>
      <c r="BV160" s="8"/>
      <c r="BW160" s="8"/>
      <c r="BX160" s="8"/>
      <c r="BY160" s="10"/>
    </row>
    <row r="161" spans="3:77" ht="15" customHeight="1" x14ac:dyDescent="0.2">
      <c r="C161" s="105"/>
      <c r="I161" s="21"/>
      <c r="BS161" s="8"/>
      <c r="BT161" s="8"/>
      <c r="BU161" s="8"/>
      <c r="BV161" s="8"/>
      <c r="BW161" s="8"/>
      <c r="BX161" s="8"/>
      <c r="BY161" s="10"/>
    </row>
    <row r="162" spans="3:77" ht="15" customHeight="1" x14ac:dyDescent="0.2">
      <c r="C162" s="105"/>
      <c r="I162" s="21"/>
      <c r="BS162" s="8"/>
      <c r="BT162" s="8"/>
      <c r="BU162" s="8"/>
      <c r="BV162" s="8"/>
      <c r="BW162" s="8"/>
      <c r="BX162" s="8"/>
      <c r="BY162" s="10"/>
    </row>
    <row r="163" spans="3:77" ht="15" customHeight="1" x14ac:dyDescent="0.2">
      <c r="C163" s="105"/>
      <c r="I163" s="21"/>
      <c r="BS163" s="8"/>
      <c r="BT163" s="8"/>
      <c r="BU163" s="8"/>
      <c r="BV163" s="8"/>
      <c r="BW163" s="8"/>
      <c r="BX163" s="8"/>
      <c r="BY163" s="10"/>
    </row>
    <row r="164" spans="3:77" ht="15" customHeight="1" x14ac:dyDescent="0.2">
      <c r="C164" s="105"/>
      <c r="I164" s="21"/>
      <c r="BS164" s="8"/>
      <c r="BT164" s="8"/>
      <c r="BU164" s="8"/>
      <c r="BV164" s="8"/>
      <c r="BW164" s="8"/>
      <c r="BX164" s="8"/>
      <c r="BY164" s="10"/>
    </row>
    <row r="165" spans="3:77" ht="15" customHeight="1" x14ac:dyDescent="0.2">
      <c r="C165" s="105"/>
      <c r="I165" s="21"/>
      <c r="BS165" s="8"/>
      <c r="BT165" s="8"/>
      <c r="BU165" s="8"/>
      <c r="BV165" s="8"/>
      <c r="BW165" s="8"/>
      <c r="BX165" s="8"/>
      <c r="BY165" s="10"/>
    </row>
    <row r="166" spans="3:77" ht="15" customHeight="1" x14ac:dyDescent="0.2">
      <c r="C166" s="105"/>
      <c r="I166" s="21"/>
      <c r="BS166" s="8"/>
      <c r="BT166" s="8"/>
      <c r="BU166" s="8"/>
      <c r="BV166" s="8"/>
      <c r="BW166" s="8"/>
      <c r="BX166" s="8"/>
      <c r="BY166" s="10"/>
    </row>
    <row r="167" spans="3:77" ht="15" customHeight="1" x14ac:dyDescent="0.2">
      <c r="C167" s="105"/>
      <c r="I167" s="21"/>
      <c r="BS167" s="8"/>
      <c r="BT167" s="8"/>
      <c r="BU167" s="8"/>
      <c r="BV167" s="8"/>
      <c r="BW167" s="8"/>
      <c r="BX167" s="8"/>
      <c r="BY167" s="10"/>
    </row>
    <row r="168" spans="3:77" ht="15" customHeight="1" x14ac:dyDescent="0.2">
      <c r="C168" s="105"/>
      <c r="I168" s="21"/>
      <c r="BS168" s="8"/>
      <c r="BT168" s="8"/>
      <c r="BU168" s="8"/>
      <c r="BV168" s="8"/>
      <c r="BW168" s="8"/>
      <c r="BX168" s="8"/>
      <c r="BY168" s="10"/>
    </row>
    <row r="169" spans="3:77" ht="15" customHeight="1" x14ac:dyDescent="0.2">
      <c r="C169" s="105"/>
      <c r="I169" s="21"/>
      <c r="BS169" s="8"/>
      <c r="BT169" s="8"/>
      <c r="BU169" s="8"/>
      <c r="BV169" s="8"/>
      <c r="BW169" s="8"/>
      <c r="BX169" s="8"/>
      <c r="BY169" s="10"/>
    </row>
    <row r="170" spans="3:77" ht="15" customHeight="1" x14ac:dyDescent="0.2">
      <c r="C170" s="105"/>
      <c r="I170" s="21"/>
      <c r="BS170" s="8"/>
      <c r="BT170" s="8"/>
      <c r="BU170" s="8"/>
      <c r="BV170" s="8"/>
      <c r="BW170" s="8"/>
      <c r="BX170" s="8"/>
      <c r="BY170" s="10"/>
    </row>
    <row r="171" spans="3:77" ht="15" customHeight="1" x14ac:dyDescent="0.2">
      <c r="C171" s="105"/>
      <c r="I171" s="21"/>
      <c r="BS171" s="8"/>
      <c r="BT171" s="8"/>
      <c r="BU171" s="8"/>
      <c r="BV171" s="8"/>
      <c r="BW171" s="8"/>
      <c r="BX171" s="8"/>
      <c r="BY171" s="10"/>
    </row>
    <row r="172" spans="3:77" ht="15" customHeight="1" x14ac:dyDescent="0.2">
      <c r="C172" s="105"/>
      <c r="I172" s="21"/>
      <c r="BS172" s="8"/>
      <c r="BT172" s="8"/>
      <c r="BU172" s="8"/>
      <c r="BV172" s="8"/>
      <c r="BW172" s="8"/>
      <c r="BX172" s="8"/>
      <c r="BY172" s="10"/>
    </row>
    <row r="173" spans="3:77" ht="15" customHeight="1" x14ac:dyDescent="0.2">
      <c r="C173" s="105"/>
      <c r="I173" s="21"/>
      <c r="BS173" s="8"/>
      <c r="BT173" s="8"/>
      <c r="BU173" s="8"/>
      <c r="BV173" s="8"/>
      <c r="BW173" s="8"/>
      <c r="BX173" s="8"/>
      <c r="BY173" s="10"/>
    </row>
    <row r="174" spans="3:77" ht="15" customHeight="1" x14ac:dyDescent="0.2">
      <c r="C174" s="105"/>
      <c r="I174" s="21"/>
      <c r="BS174" s="8"/>
      <c r="BT174" s="8"/>
      <c r="BU174" s="8"/>
      <c r="BV174" s="8"/>
      <c r="BW174" s="8"/>
      <c r="BX174" s="8"/>
      <c r="BY174" s="10"/>
    </row>
    <row r="175" spans="3:77" ht="15" customHeight="1" x14ac:dyDescent="0.2">
      <c r="C175" s="105"/>
      <c r="I175" s="21"/>
      <c r="BS175" s="8"/>
      <c r="BT175" s="8"/>
      <c r="BU175" s="8"/>
      <c r="BV175" s="8"/>
      <c r="BW175" s="8"/>
      <c r="BX175" s="8"/>
      <c r="BY175" s="10"/>
    </row>
    <row r="176" spans="3:77" ht="15" customHeight="1" x14ac:dyDescent="0.2">
      <c r="C176" s="105"/>
      <c r="I176" s="21"/>
      <c r="BS176" s="8"/>
      <c r="BT176" s="8"/>
      <c r="BU176" s="8"/>
      <c r="BV176" s="8"/>
      <c r="BW176" s="8"/>
      <c r="BX176" s="8"/>
      <c r="BY176" s="10"/>
    </row>
    <row r="177" spans="3:77" ht="15" customHeight="1" x14ac:dyDescent="0.2">
      <c r="C177" s="105"/>
      <c r="I177" s="21"/>
      <c r="BS177" s="8"/>
      <c r="BT177" s="8"/>
      <c r="BU177" s="8"/>
      <c r="BV177" s="8"/>
      <c r="BW177" s="8"/>
      <c r="BX177" s="8"/>
      <c r="BY177" s="10"/>
    </row>
    <row r="178" spans="3:77" ht="15" customHeight="1" x14ac:dyDescent="0.2">
      <c r="C178" s="105"/>
      <c r="I178" s="21"/>
      <c r="BS178" s="8"/>
      <c r="BT178" s="8"/>
      <c r="BU178" s="8"/>
      <c r="BV178" s="8"/>
      <c r="BW178" s="8"/>
      <c r="BX178" s="8"/>
      <c r="BY178" s="10"/>
    </row>
    <row r="179" spans="3:77" ht="15" customHeight="1" x14ac:dyDescent="0.2">
      <c r="C179" s="105"/>
      <c r="I179" s="21"/>
      <c r="BS179" s="8"/>
      <c r="BT179" s="8"/>
      <c r="BU179" s="8"/>
      <c r="BV179" s="8"/>
      <c r="BW179" s="8"/>
      <c r="BX179" s="8"/>
      <c r="BY179" s="10"/>
    </row>
    <row r="180" spans="3:77" ht="15" customHeight="1" x14ac:dyDescent="0.2">
      <c r="C180" s="105"/>
      <c r="I180" s="21"/>
      <c r="BS180" s="8"/>
      <c r="BT180" s="8"/>
      <c r="BU180" s="8"/>
      <c r="BV180" s="8"/>
      <c r="BW180" s="8"/>
      <c r="BX180" s="8"/>
      <c r="BY180" s="10"/>
    </row>
    <row r="181" spans="3:77" ht="15" customHeight="1" x14ac:dyDescent="0.2">
      <c r="C181" s="105"/>
      <c r="I181" s="21"/>
      <c r="BS181" s="8"/>
      <c r="BT181" s="8"/>
      <c r="BU181" s="8"/>
      <c r="BV181" s="8"/>
      <c r="BW181" s="8"/>
      <c r="BX181" s="8"/>
      <c r="BY181" s="10"/>
    </row>
    <row r="182" spans="3:77" ht="15" customHeight="1" x14ac:dyDescent="0.2">
      <c r="C182" s="105"/>
      <c r="I182" s="21"/>
      <c r="BS182" s="8"/>
      <c r="BT182" s="8"/>
      <c r="BU182" s="8"/>
      <c r="BV182" s="8"/>
      <c r="BW182" s="8"/>
      <c r="BX182" s="8"/>
      <c r="BY182" s="10"/>
    </row>
    <row r="183" spans="3:77" ht="15" customHeight="1" x14ac:dyDescent="0.25">
      <c r="C183" s="37"/>
      <c r="G183" s="289" t="s">
        <v>87</v>
      </c>
      <c r="H183" s="289"/>
      <c r="I183" s="289"/>
      <c r="J183" s="289"/>
      <c r="K183" s="289"/>
      <c r="L183" s="289"/>
      <c r="M183" s="289"/>
      <c r="N183" s="289"/>
      <c r="O183" s="289"/>
      <c r="P183" s="289"/>
      <c r="Q183" s="289"/>
      <c r="R183" s="289"/>
      <c r="S183" s="289"/>
      <c r="T183" s="289"/>
      <c r="U183" s="289"/>
      <c r="V183" s="289"/>
      <c r="W183" s="289"/>
      <c r="X183" s="289"/>
      <c r="Y183" s="289"/>
      <c r="Z183" s="289"/>
      <c r="AA183" s="289"/>
      <c r="AB183" s="289"/>
      <c r="AC183" s="289"/>
      <c r="AD183" s="289"/>
      <c r="AE183" s="289"/>
      <c r="AF183" s="289"/>
      <c r="AG183" s="289"/>
      <c r="AH183" s="289"/>
      <c r="AI183" s="289"/>
      <c r="AJ183" s="289"/>
      <c r="AK183" s="289"/>
      <c r="AL183" s="289"/>
      <c r="AM183" s="289"/>
      <c r="AN183" s="289"/>
      <c r="AO183" s="289"/>
      <c r="AP183" s="289"/>
      <c r="AQ183" s="289"/>
      <c r="AR183" s="289"/>
      <c r="AS183" s="289"/>
      <c r="AT183" s="289"/>
      <c r="AU183" s="289"/>
      <c r="AV183" s="289"/>
      <c r="AW183" s="289"/>
      <c r="AX183" s="289"/>
      <c r="AY183" s="289"/>
      <c r="AZ183" s="289"/>
      <c r="BA183" s="289"/>
      <c r="BB183" s="289"/>
      <c r="BC183" s="289"/>
      <c r="BD183" s="289"/>
      <c r="BE183" s="289"/>
      <c r="BF183" s="289"/>
      <c r="BG183" s="289"/>
      <c r="BH183" s="289"/>
      <c r="BI183" s="289"/>
      <c r="BJ183" s="289"/>
      <c r="BK183" s="289"/>
      <c r="BL183" s="289"/>
      <c r="BM183" s="289"/>
      <c r="BN183" s="289"/>
      <c r="BO183" s="289"/>
      <c r="BP183" s="289"/>
      <c r="BQ183" s="289"/>
      <c r="BR183" s="59"/>
      <c r="BS183" s="8"/>
      <c r="BT183" s="8"/>
      <c r="BU183" s="8"/>
      <c r="BV183" s="8"/>
      <c r="BW183" s="8"/>
      <c r="BX183" s="8"/>
      <c r="BY183" s="10"/>
    </row>
    <row r="184" spans="3:77" ht="16.5" customHeight="1" x14ac:dyDescent="0.25">
      <c r="C184" s="294" t="s">
        <v>150</v>
      </c>
      <c r="D184" s="295"/>
      <c r="E184" s="295"/>
      <c r="F184" s="295"/>
      <c r="G184" s="289"/>
      <c r="H184" s="289"/>
      <c r="I184" s="289"/>
      <c r="J184" s="289"/>
      <c r="K184" s="289"/>
      <c r="L184" s="289"/>
      <c r="M184" s="289"/>
      <c r="N184" s="289"/>
      <c r="O184" s="289"/>
      <c r="P184" s="289"/>
      <c r="Q184" s="289"/>
      <c r="R184" s="289"/>
      <c r="S184" s="289"/>
      <c r="T184" s="289"/>
      <c r="U184" s="289"/>
      <c r="V184" s="289"/>
      <c r="W184" s="289"/>
      <c r="X184" s="289"/>
      <c r="Y184" s="289"/>
      <c r="Z184" s="289"/>
      <c r="AA184" s="289"/>
      <c r="AB184" s="289"/>
      <c r="AC184" s="289"/>
      <c r="AD184" s="289"/>
      <c r="AE184" s="289"/>
      <c r="AF184" s="289"/>
      <c r="AG184" s="289"/>
      <c r="AH184" s="289"/>
      <c r="AI184" s="289"/>
      <c r="AJ184" s="289"/>
      <c r="AK184" s="289"/>
      <c r="AL184" s="289"/>
      <c r="AM184" s="289"/>
      <c r="AN184" s="289"/>
      <c r="AO184" s="289"/>
      <c r="AP184" s="289"/>
      <c r="AQ184" s="289"/>
      <c r="AR184" s="289"/>
      <c r="AS184" s="289"/>
      <c r="AT184" s="289"/>
      <c r="AU184" s="289"/>
      <c r="AV184" s="289"/>
      <c r="AW184" s="289"/>
      <c r="AX184" s="289"/>
      <c r="AY184" s="289"/>
      <c r="AZ184" s="289"/>
      <c r="BA184" s="289"/>
      <c r="BB184" s="289"/>
      <c r="BC184" s="289"/>
      <c r="BD184" s="289"/>
      <c r="BE184" s="289"/>
      <c r="BF184" s="289"/>
      <c r="BG184" s="289"/>
      <c r="BH184" s="289"/>
      <c r="BI184" s="289"/>
      <c r="BJ184" s="289"/>
      <c r="BK184" s="289"/>
      <c r="BL184" s="289"/>
      <c r="BM184" s="289"/>
      <c r="BN184" s="289"/>
      <c r="BO184" s="289"/>
      <c r="BP184" s="289"/>
      <c r="BQ184" s="289"/>
      <c r="BR184" s="59"/>
      <c r="BS184" s="8"/>
      <c r="BT184" s="8"/>
      <c r="BU184" s="8"/>
      <c r="BV184" s="8"/>
      <c r="BW184" s="8"/>
      <c r="BX184" s="8"/>
      <c r="BY184" s="10"/>
    </row>
    <row r="185" spans="3:77" ht="15" customHeight="1" x14ac:dyDescent="0.2">
      <c r="C185" s="37"/>
      <c r="G185" s="267" t="s">
        <v>308</v>
      </c>
      <c r="H185" s="267"/>
      <c r="I185" s="267"/>
      <c r="J185" s="267"/>
      <c r="K185" s="267"/>
      <c r="L185" s="267"/>
      <c r="M185" s="267"/>
      <c r="N185" s="267"/>
      <c r="O185" s="267"/>
      <c r="P185" s="267"/>
      <c r="Q185" s="267"/>
      <c r="R185" s="267"/>
      <c r="S185" s="267"/>
      <c r="T185" s="267"/>
      <c r="U185" s="267"/>
      <c r="V185" s="267"/>
      <c r="W185" s="267"/>
      <c r="X185" s="267"/>
      <c r="Y185" s="267"/>
      <c r="Z185" s="267"/>
      <c r="AA185" s="267"/>
      <c r="AB185" s="267"/>
      <c r="AC185" s="267"/>
      <c r="AD185" s="267"/>
      <c r="AE185" s="267"/>
      <c r="AF185" s="267"/>
      <c r="AG185" s="267"/>
      <c r="AH185" s="267"/>
      <c r="AI185" s="267"/>
      <c r="AJ185" s="267"/>
      <c r="AK185" s="267"/>
      <c r="AL185" s="267"/>
      <c r="AM185" s="267"/>
      <c r="AN185" s="267"/>
      <c r="AO185" s="267"/>
      <c r="AP185" s="267"/>
      <c r="AQ185" s="267"/>
      <c r="AR185" s="267"/>
      <c r="AS185" s="267"/>
      <c r="AT185" s="267"/>
      <c r="AU185" s="267"/>
      <c r="AV185" s="267"/>
      <c r="AW185" s="267"/>
      <c r="AX185" s="267"/>
      <c r="AY185" s="267"/>
      <c r="AZ185" s="267"/>
      <c r="BA185" s="267"/>
      <c r="BB185" s="267"/>
      <c r="BC185" s="267"/>
      <c r="BD185" s="267"/>
      <c r="BE185" s="267"/>
      <c r="BF185" s="267"/>
      <c r="BG185" s="267"/>
      <c r="BH185" s="267"/>
      <c r="BI185" s="267"/>
      <c r="BJ185" s="267"/>
      <c r="BK185" s="267"/>
      <c r="BL185" s="267"/>
      <c r="BM185" s="267"/>
      <c r="BN185" s="267"/>
      <c r="BO185" s="267"/>
      <c r="BP185" s="267"/>
      <c r="BQ185" s="267"/>
      <c r="BR185" s="52"/>
      <c r="BS185" s="8"/>
      <c r="BT185" s="8"/>
      <c r="BU185" s="8"/>
      <c r="BV185" s="8"/>
      <c r="BW185" s="8"/>
      <c r="BX185" s="8"/>
      <c r="BY185" s="10"/>
    </row>
    <row r="186" spans="3:77" ht="15" customHeight="1" x14ac:dyDescent="0.2">
      <c r="C186" s="37"/>
      <c r="G186" s="267"/>
      <c r="H186" s="267"/>
      <c r="I186" s="267"/>
      <c r="J186" s="267"/>
      <c r="K186" s="267"/>
      <c r="L186" s="267"/>
      <c r="M186" s="267"/>
      <c r="N186" s="267"/>
      <c r="O186" s="267"/>
      <c r="P186" s="267"/>
      <c r="Q186" s="267"/>
      <c r="R186" s="267"/>
      <c r="S186" s="267"/>
      <c r="T186" s="267"/>
      <c r="U186" s="267"/>
      <c r="V186" s="267"/>
      <c r="W186" s="267"/>
      <c r="X186" s="267"/>
      <c r="Y186" s="267"/>
      <c r="Z186" s="267"/>
      <c r="AA186" s="267"/>
      <c r="AB186" s="267"/>
      <c r="AC186" s="267"/>
      <c r="AD186" s="267"/>
      <c r="AE186" s="267"/>
      <c r="AF186" s="267"/>
      <c r="AG186" s="267"/>
      <c r="AH186" s="267"/>
      <c r="AI186" s="267"/>
      <c r="AJ186" s="267"/>
      <c r="AK186" s="267"/>
      <c r="AL186" s="267"/>
      <c r="AM186" s="267"/>
      <c r="AN186" s="267"/>
      <c r="AO186" s="267"/>
      <c r="AP186" s="267"/>
      <c r="AQ186" s="267"/>
      <c r="AR186" s="267"/>
      <c r="AS186" s="267"/>
      <c r="AT186" s="267"/>
      <c r="AU186" s="267"/>
      <c r="AV186" s="267"/>
      <c r="AW186" s="267"/>
      <c r="AX186" s="267"/>
      <c r="AY186" s="267"/>
      <c r="AZ186" s="267"/>
      <c r="BA186" s="267"/>
      <c r="BB186" s="267"/>
      <c r="BC186" s="267"/>
      <c r="BD186" s="267"/>
      <c r="BE186" s="267"/>
      <c r="BF186" s="267"/>
      <c r="BG186" s="267"/>
      <c r="BH186" s="267"/>
      <c r="BI186" s="267"/>
      <c r="BJ186" s="267"/>
      <c r="BK186" s="267"/>
      <c r="BL186" s="267"/>
      <c r="BM186" s="267"/>
      <c r="BN186" s="267"/>
      <c r="BO186" s="267"/>
      <c r="BP186" s="267"/>
      <c r="BQ186" s="267"/>
      <c r="BR186" s="52"/>
      <c r="BS186" s="8"/>
      <c r="BT186" s="8"/>
      <c r="BU186" s="8"/>
      <c r="BV186" s="8"/>
      <c r="BW186" s="8"/>
      <c r="BX186" s="8"/>
      <c r="BY186" s="10"/>
    </row>
    <row r="187" spans="3:77" ht="15" customHeight="1" x14ac:dyDescent="0.2">
      <c r="C187" s="37"/>
      <c r="G187" s="267"/>
      <c r="H187" s="267"/>
      <c r="I187" s="267"/>
      <c r="J187" s="267"/>
      <c r="K187" s="267"/>
      <c r="L187" s="267"/>
      <c r="M187" s="267"/>
      <c r="N187" s="267"/>
      <c r="O187" s="267"/>
      <c r="P187" s="267"/>
      <c r="Q187" s="267"/>
      <c r="R187" s="267"/>
      <c r="S187" s="267"/>
      <c r="T187" s="267"/>
      <c r="U187" s="267"/>
      <c r="V187" s="267"/>
      <c r="W187" s="267"/>
      <c r="X187" s="267"/>
      <c r="Y187" s="267"/>
      <c r="Z187" s="267"/>
      <c r="AA187" s="267"/>
      <c r="AB187" s="267"/>
      <c r="AC187" s="267"/>
      <c r="AD187" s="267"/>
      <c r="AE187" s="267"/>
      <c r="AF187" s="267"/>
      <c r="AG187" s="267"/>
      <c r="AH187" s="267"/>
      <c r="AI187" s="267"/>
      <c r="AJ187" s="267"/>
      <c r="AK187" s="267"/>
      <c r="AL187" s="267"/>
      <c r="AM187" s="267"/>
      <c r="AN187" s="267"/>
      <c r="AO187" s="267"/>
      <c r="AP187" s="267"/>
      <c r="AQ187" s="267"/>
      <c r="AR187" s="267"/>
      <c r="AS187" s="267"/>
      <c r="AT187" s="267"/>
      <c r="AU187" s="267"/>
      <c r="AV187" s="267"/>
      <c r="AW187" s="267"/>
      <c r="AX187" s="267"/>
      <c r="AY187" s="267"/>
      <c r="AZ187" s="267"/>
      <c r="BA187" s="267"/>
      <c r="BB187" s="267"/>
      <c r="BC187" s="267"/>
      <c r="BD187" s="267"/>
      <c r="BE187" s="267"/>
      <c r="BF187" s="267"/>
      <c r="BG187" s="267"/>
      <c r="BH187" s="267"/>
      <c r="BI187" s="267"/>
      <c r="BJ187" s="267"/>
      <c r="BK187" s="267"/>
      <c r="BL187" s="267"/>
      <c r="BM187" s="267"/>
      <c r="BN187" s="267"/>
      <c r="BO187" s="267"/>
      <c r="BP187" s="267"/>
      <c r="BQ187" s="267"/>
      <c r="BR187" s="52"/>
      <c r="BS187" s="8"/>
      <c r="BT187" s="8"/>
      <c r="BU187" s="8"/>
      <c r="BV187" s="8"/>
      <c r="BW187" s="8"/>
      <c r="BX187" s="8"/>
      <c r="BY187" s="10"/>
    </row>
    <row r="188" spans="3:77" ht="15" customHeight="1" x14ac:dyDescent="0.2">
      <c r="C188" s="69"/>
      <c r="BS188" s="20"/>
      <c r="BT188" s="20"/>
      <c r="BU188" s="20"/>
      <c r="BV188" s="20"/>
      <c r="BW188" s="20"/>
      <c r="BX188" s="20"/>
      <c r="BY188" s="19" t="s">
        <v>32</v>
      </c>
    </row>
    <row r="189" spans="3:77" ht="15" customHeight="1" x14ac:dyDescent="0.2">
      <c r="C189" s="69"/>
      <c r="BS189" s="163" t="s">
        <v>33</v>
      </c>
      <c r="BT189" s="163"/>
      <c r="BU189" s="163"/>
      <c r="BV189" s="163"/>
      <c r="BW189" s="163"/>
      <c r="BX189" s="163"/>
      <c r="BY189" s="163"/>
    </row>
    <row r="190" spans="3:77" ht="15" customHeight="1" x14ac:dyDescent="0.2">
      <c r="C190" s="69"/>
      <c r="U190" s="39"/>
      <c r="V190" s="39"/>
      <c r="W190" s="39"/>
      <c r="X190" s="39"/>
      <c r="Y190" s="39"/>
      <c r="Z190" s="39"/>
      <c r="AA190" s="39"/>
      <c r="AB190" s="16"/>
      <c r="AC190" s="165" t="s">
        <v>182</v>
      </c>
      <c r="AD190" s="165"/>
      <c r="AE190" s="165"/>
      <c r="AF190" s="165"/>
      <c r="AG190" s="165"/>
      <c r="AH190" s="165"/>
      <c r="AI190" s="165"/>
      <c r="AJ190" s="165"/>
      <c r="AK190" s="165"/>
      <c r="AL190" s="165"/>
      <c r="AM190" s="165"/>
      <c r="AN190" s="165"/>
      <c r="AO190" s="165"/>
      <c r="AP190" s="165"/>
      <c r="AQ190" s="165"/>
      <c r="AR190" s="165"/>
      <c r="AS190" s="16"/>
      <c r="BS190" s="163"/>
      <c r="BT190" s="163"/>
      <c r="BU190" s="163"/>
      <c r="BV190" s="163"/>
      <c r="BW190" s="163"/>
      <c r="BX190" s="163"/>
      <c r="BY190" s="163"/>
    </row>
    <row r="191" spans="3:77" ht="15" customHeight="1" x14ac:dyDescent="0.2">
      <c r="C191" s="69"/>
      <c r="AB191" s="16"/>
      <c r="AC191" s="165"/>
      <c r="AD191" s="165"/>
      <c r="AE191" s="165"/>
      <c r="AF191" s="165"/>
      <c r="AG191" s="165"/>
      <c r="AH191" s="165"/>
      <c r="AI191" s="165"/>
      <c r="AJ191" s="165"/>
      <c r="AK191" s="165"/>
      <c r="AL191" s="165"/>
      <c r="AM191" s="165"/>
      <c r="AN191" s="165"/>
      <c r="AO191" s="165"/>
      <c r="AP191" s="165"/>
      <c r="AQ191" s="165"/>
      <c r="AR191" s="165"/>
      <c r="AS191" s="16"/>
      <c r="BS191" s="20"/>
      <c r="BT191" s="20"/>
      <c r="BU191" s="20"/>
      <c r="BV191" s="20"/>
      <c r="BW191" s="20"/>
      <c r="BX191" s="20"/>
      <c r="BY191" s="20"/>
    </row>
    <row r="192" spans="3:77" ht="15" customHeight="1" x14ac:dyDescent="0.2">
      <c r="C192" s="69"/>
      <c r="AM192" s="44"/>
      <c r="BS192" s="20"/>
      <c r="BT192" s="20"/>
      <c r="BU192" s="20"/>
      <c r="BV192" s="20"/>
      <c r="BW192" s="20"/>
      <c r="BX192" s="20"/>
      <c r="BY192" s="20"/>
    </row>
    <row r="193" spans="3:77" ht="15" customHeight="1" x14ac:dyDescent="0.2">
      <c r="C193" s="69"/>
      <c r="P193" s="122"/>
      <c r="T193" s="45"/>
      <c r="U193" s="39"/>
      <c r="V193" s="39"/>
      <c r="W193" s="16"/>
      <c r="X193" s="164" t="s">
        <v>196</v>
      </c>
      <c r="Y193" s="164"/>
      <c r="Z193" s="164"/>
      <c r="AA193" s="164"/>
      <c r="AB193" s="164"/>
      <c r="AC193" s="164"/>
      <c r="AD193" s="164"/>
      <c r="AE193" s="164"/>
      <c r="AF193" s="164"/>
      <c r="AG193" s="77"/>
      <c r="BS193" s="20"/>
      <c r="BT193" s="20"/>
      <c r="BU193" s="20"/>
      <c r="BV193" s="20"/>
      <c r="BW193" s="20"/>
      <c r="BX193" s="20"/>
      <c r="BY193" s="20"/>
    </row>
    <row r="194" spans="3:77" ht="15" customHeight="1" x14ac:dyDescent="0.2">
      <c r="C194" s="69"/>
      <c r="Q194" s="39"/>
      <c r="R194" s="39"/>
      <c r="S194" s="39"/>
      <c r="W194" s="16"/>
      <c r="X194" s="164"/>
      <c r="Y194" s="164"/>
      <c r="Z194" s="164"/>
      <c r="AA194" s="164"/>
      <c r="AB194" s="164"/>
      <c r="AC194" s="164"/>
      <c r="AD194" s="164"/>
      <c r="AE194" s="164"/>
      <c r="AF194" s="164"/>
      <c r="AG194" s="77"/>
      <c r="BS194" s="20"/>
      <c r="BT194" s="20"/>
      <c r="BU194" s="20"/>
      <c r="BV194" s="20"/>
      <c r="BW194" s="20"/>
      <c r="BX194" s="20"/>
      <c r="BY194" s="20"/>
    </row>
    <row r="195" spans="3:77" ht="15" customHeight="1" x14ac:dyDescent="0.2">
      <c r="C195" s="69"/>
      <c r="AH195" s="122"/>
      <c r="BS195" s="163" t="s">
        <v>48</v>
      </c>
      <c r="BT195" s="163"/>
      <c r="BU195" s="163"/>
      <c r="BV195" s="163"/>
      <c r="BW195" s="163"/>
      <c r="BX195" s="163"/>
      <c r="BY195" s="163"/>
    </row>
    <row r="196" spans="3:77" ht="15" customHeight="1" x14ac:dyDescent="0.2">
      <c r="C196" s="69"/>
      <c r="R196" s="39"/>
      <c r="S196" s="39"/>
      <c r="T196" s="39"/>
      <c r="U196" s="39"/>
      <c r="V196" s="39"/>
      <c r="W196" s="39"/>
      <c r="X196" s="39"/>
      <c r="Y196" s="39"/>
      <c r="Z196" s="39"/>
      <c r="AA196" s="39"/>
      <c r="AB196" s="39"/>
      <c r="AC196" s="39"/>
      <c r="AD196" s="39"/>
      <c r="AE196" s="39"/>
      <c r="AF196" s="39"/>
      <c r="AG196" s="39"/>
      <c r="AH196" s="46"/>
      <c r="AI196" s="39"/>
      <c r="AJ196" s="39"/>
      <c r="AK196" s="39"/>
      <c r="AL196" s="39"/>
      <c r="AM196" s="39"/>
      <c r="AN196" s="39"/>
      <c r="AO196" s="39"/>
      <c r="AP196" s="16"/>
      <c r="AQ196" s="164" t="s">
        <v>127</v>
      </c>
      <c r="AR196" s="164"/>
      <c r="AS196" s="164"/>
      <c r="AT196" s="164"/>
      <c r="AU196" s="164"/>
      <c r="AV196" s="164"/>
      <c r="AW196" s="164"/>
      <c r="AX196" s="164"/>
      <c r="AY196" s="164"/>
      <c r="AZ196" s="164"/>
      <c r="BA196" s="164"/>
      <c r="BB196" s="164"/>
      <c r="BC196" s="164"/>
      <c r="BD196" s="164"/>
      <c r="BE196" s="38"/>
      <c r="BS196" s="163"/>
      <c r="BT196" s="163"/>
      <c r="BU196" s="163"/>
      <c r="BV196" s="163"/>
      <c r="BW196" s="163"/>
      <c r="BX196" s="163"/>
      <c r="BY196" s="163"/>
    </row>
    <row r="197" spans="3:77" ht="15" customHeight="1" x14ac:dyDescent="0.2">
      <c r="C197" s="69"/>
      <c r="AI197" s="46"/>
      <c r="AP197" s="16"/>
      <c r="AQ197" s="164"/>
      <c r="AR197" s="164"/>
      <c r="AS197" s="164"/>
      <c r="AT197" s="164"/>
      <c r="AU197" s="164"/>
      <c r="AV197" s="164"/>
      <c r="AW197" s="164"/>
      <c r="AX197" s="164"/>
      <c r="AY197" s="164"/>
      <c r="AZ197" s="164"/>
      <c r="BA197" s="164"/>
      <c r="BB197" s="164"/>
      <c r="BC197" s="164"/>
      <c r="BD197" s="164"/>
      <c r="BE197" s="38"/>
      <c r="BS197" s="20"/>
      <c r="BT197" s="20"/>
      <c r="BU197" s="20"/>
      <c r="BV197" s="20"/>
      <c r="BW197" s="20"/>
      <c r="BX197" s="20"/>
      <c r="BY197" s="20"/>
    </row>
    <row r="198" spans="3:77" ht="15" customHeight="1" x14ac:dyDescent="0.2">
      <c r="C198" s="69"/>
      <c r="T198" s="39"/>
      <c r="U198" s="39"/>
      <c r="V198" s="39"/>
      <c r="W198" s="16"/>
      <c r="X198" s="164" t="s">
        <v>310</v>
      </c>
      <c r="Y198" s="164"/>
      <c r="Z198" s="164"/>
      <c r="AA198" s="164"/>
      <c r="AB198" s="164"/>
      <c r="AC198" s="164"/>
      <c r="AD198" s="164"/>
      <c r="AE198" s="164"/>
      <c r="AF198" s="164"/>
      <c r="AG198" s="164"/>
      <c r="AH198" s="77"/>
      <c r="AJ198" s="46"/>
      <c r="BS198" s="20"/>
      <c r="BT198" s="20"/>
      <c r="BU198" s="20"/>
      <c r="BV198" s="20"/>
      <c r="BW198" s="20"/>
      <c r="BX198" s="20"/>
      <c r="BY198" s="20"/>
    </row>
    <row r="199" spans="3:77" ht="15" customHeight="1" x14ac:dyDescent="0.2">
      <c r="C199" s="69"/>
      <c r="W199" s="16"/>
      <c r="X199" s="164"/>
      <c r="Y199" s="164"/>
      <c r="Z199" s="164"/>
      <c r="AA199" s="164"/>
      <c r="AB199" s="164"/>
      <c r="AC199" s="164"/>
      <c r="AD199" s="164"/>
      <c r="AE199" s="164"/>
      <c r="AF199" s="164"/>
      <c r="AG199" s="164"/>
      <c r="AH199" s="77"/>
      <c r="AK199" s="46"/>
      <c r="BS199" s="20"/>
      <c r="BT199" s="20"/>
      <c r="BU199" s="20"/>
      <c r="BV199" s="20"/>
      <c r="BW199" s="20"/>
      <c r="BX199" s="20"/>
      <c r="BY199" s="20"/>
    </row>
    <row r="200" spans="3:77" ht="15" customHeight="1" x14ac:dyDescent="0.2">
      <c r="C200" s="69"/>
      <c r="AL200" s="46"/>
      <c r="BS200" s="20"/>
      <c r="BT200" s="20"/>
      <c r="BU200" s="20"/>
      <c r="BV200" s="20"/>
      <c r="BW200" s="20"/>
      <c r="BX200" s="20"/>
      <c r="BY200" s="20"/>
    </row>
    <row r="201" spans="3:77" ht="15" customHeight="1" x14ac:dyDescent="0.2">
      <c r="C201" s="69"/>
      <c r="AM201" s="46"/>
      <c r="BC201" s="123"/>
      <c r="BD201" s="123"/>
      <c r="BE201" s="123"/>
      <c r="BF201" s="123"/>
      <c r="BG201" s="123"/>
      <c r="BS201" s="20"/>
      <c r="BT201" s="20"/>
      <c r="BU201" s="20"/>
      <c r="BV201" s="20"/>
      <c r="BW201" s="20"/>
      <c r="BX201" s="20"/>
      <c r="BY201" s="20"/>
    </row>
    <row r="202" spans="3:77" ht="15" customHeight="1" x14ac:dyDescent="0.2">
      <c r="C202" s="69"/>
      <c r="AN202" s="46"/>
      <c r="BC202" s="123"/>
      <c r="BD202" s="123"/>
      <c r="BE202" s="123"/>
      <c r="BF202" s="123"/>
      <c r="BG202" s="123"/>
      <c r="BS202" s="20"/>
      <c r="BT202" s="20"/>
      <c r="BU202" s="20"/>
      <c r="BV202" s="20"/>
      <c r="BW202" s="20"/>
      <c r="BX202" s="20"/>
      <c r="BY202" s="20"/>
    </row>
    <row r="203" spans="3:77" ht="15" customHeight="1" x14ac:dyDescent="0.2">
      <c r="C203" s="69"/>
      <c r="AO203" s="46"/>
      <c r="BS203" s="20"/>
      <c r="BT203" s="20"/>
      <c r="BU203" s="20"/>
      <c r="BV203" s="20"/>
      <c r="BW203" s="20"/>
      <c r="BX203" s="20"/>
      <c r="BY203" s="20"/>
    </row>
    <row r="204" spans="3:77" ht="15" customHeight="1" x14ac:dyDescent="0.2">
      <c r="C204" s="69"/>
      <c r="AP204" s="46"/>
      <c r="BS204" s="20"/>
      <c r="BT204" s="20"/>
      <c r="BU204" s="20"/>
      <c r="BV204" s="20"/>
      <c r="BW204" s="20"/>
      <c r="BX204" s="20"/>
      <c r="BY204" s="20"/>
    </row>
    <row r="205" spans="3:77" ht="15" customHeight="1" x14ac:dyDescent="0.2">
      <c r="C205" s="69"/>
      <c r="N205" s="39"/>
      <c r="O205" s="39"/>
      <c r="P205" s="39"/>
      <c r="Q205" s="39"/>
      <c r="R205" s="39"/>
      <c r="S205" s="39"/>
      <c r="T205" s="39"/>
      <c r="U205" s="39"/>
      <c r="V205" s="16"/>
      <c r="W205" s="164" t="s">
        <v>311</v>
      </c>
      <c r="X205" s="164"/>
      <c r="Y205" s="164"/>
      <c r="Z205" s="164"/>
      <c r="AA205" s="164"/>
      <c r="AB205" s="164"/>
      <c r="AC205" s="164"/>
      <c r="AD205" s="164"/>
      <c r="AE205" s="164"/>
      <c r="AF205" s="164"/>
      <c r="AG205" s="77"/>
      <c r="AQ205" s="46"/>
      <c r="BS205" s="20"/>
      <c r="BT205" s="20"/>
      <c r="BU205" s="20"/>
      <c r="BV205" s="20"/>
      <c r="BW205" s="20"/>
      <c r="BX205" s="20"/>
      <c r="BY205" s="20"/>
    </row>
    <row r="206" spans="3:77" ht="15" customHeight="1" x14ac:dyDescent="0.2">
      <c r="C206" s="69"/>
      <c r="V206" s="16"/>
      <c r="W206" s="164"/>
      <c r="X206" s="164"/>
      <c r="Y206" s="164"/>
      <c r="Z206" s="164"/>
      <c r="AA206" s="164"/>
      <c r="AB206" s="164"/>
      <c r="AC206" s="164"/>
      <c r="AD206" s="164"/>
      <c r="AE206" s="164"/>
      <c r="AF206" s="164"/>
      <c r="AG206" s="77"/>
      <c r="AQ206" s="45"/>
      <c r="AR206" s="39"/>
      <c r="AS206" s="39"/>
      <c r="BS206" s="20"/>
      <c r="BT206" s="20"/>
      <c r="BU206" s="20"/>
      <c r="BV206" s="20"/>
      <c r="BW206" s="20"/>
      <c r="BX206" s="20"/>
      <c r="BY206" s="20"/>
    </row>
    <row r="207" spans="3:77" ht="15" customHeight="1" x14ac:dyDescent="0.2">
      <c r="C207" s="69"/>
      <c r="AP207" s="45"/>
      <c r="BS207" s="20"/>
      <c r="BT207" s="20"/>
      <c r="BU207" s="20"/>
      <c r="BV207" s="20"/>
      <c r="BW207" s="20"/>
      <c r="BX207" s="20"/>
      <c r="BY207" s="20"/>
    </row>
    <row r="208" spans="3:77" ht="15" customHeight="1" x14ac:dyDescent="0.2">
      <c r="C208" s="69"/>
      <c r="AO208" s="45"/>
      <c r="BS208" s="20"/>
      <c r="BT208" s="20"/>
      <c r="BU208" s="20"/>
      <c r="BV208" s="20"/>
      <c r="BW208" s="20"/>
      <c r="BX208" s="20"/>
      <c r="BY208" s="20"/>
    </row>
    <row r="209" spans="3:77" ht="15" customHeight="1" x14ac:dyDescent="0.2">
      <c r="C209" s="69"/>
      <c r="AN209" s="45"/>
      <c r="BS209" s="20"/>
      <c r="BT209" s="20"/>
      <c r="BU209" s="20"/>
      <c r="BV209" s="20"/>
      <c r="BW209" s="20"/>
      <c r="BX209" s="20"/>
      <c r="BY209" s="20"/>
    </row>
    <row r="210" spans="3:77" ht="15" customHeight="1" x14ac:dyDescent="0.2">
      <c r="C210" s="69"/>
      <c r="AM210" s="45"/>
      <c r="BS210" s="20"/>
      <c r="BT210" s="20"/>
      <c r="BU210" s="20"/>
      <c r="BV210" s="20"/>
      <c r="BW210" s="20"/>
      <c r="BX210" s="20"/>
      <c r="BY210" s="20"/>
    </row>
    <row r="211" spans="3:77" ht="15" customHeight="1" x14ac:dyDescent="0.2">
      <c r="C211" s="69"/>
      <c r="AL211" s="45"/>
      <c r="BS211" s="20"/>
      <c r="BT211" s="20"/>
      <c r="BU211" s="20"/>
      <c r="BV211" s="20"/>
      <c r="BW211" s="20"/>
      <c r="BX211" s="20"/>
      <c r="BY211" s="20"/>
    </row>
    <row r="212" spans="3:77" ht="15" customHeight="1" x14ac:dyDescent="0.2">
      <c r="C212" s="69"/>
      <c r="AK212" s="45"/>
      <c r="BS212" s="20"/>
      <c r="BT212" s="20"/>
      <c r="BU212" s="20"/>
      <c r="BV212" s="20"/>
      <c r="BW212" s="20"/>
      <c r="BX212" s="20"/>
      <c r="BY212" s="20" t="s">
        <v>41</v>
      </c>
    </row>
    <row r="213" spans="3:77" ht="15" customHeight="1" x14ac:dyDescent="0.2">
      <c r="C213" s="69"/>
      <c r="AJ213" s="45"/>
      <c r="BS213" s="20"/>
      <c r="BT213" s="20"/>
      <c r="BU213" s="20"/>
      <c r="BV213" s="20"/>
      <c r="BW213" s="20"/>
      <c r="BX213" s="20"/>
      <c r="BY213" s="20"/>
    </row>
    <row r="214" spans="3:77" ht="15" customHeight="1" x14ac:dyDescent="0.2">
      <c r="C214" s="69"/>
      <c r="AI214" s="45"/>
      <c r="BS214" s="20"/>
      <c r="BT214" s="20"/>
      <c r="BU214" s="20"/>
      <c r="BV214" s="20"/>
      <c r="BW214" s="20"/>
      <c r="BX214" s="20"/>
      <c r="BY214" s="20"/>
    </row>
    <row r="215" spans="3:77" ht="15" customHeight="1" x14ac:dyDescent="0.2">
      <c r="C215" s="69"/>
      <c r="AH215" s="45"/>
      <c r="BS215" s="20"/>
      <c r="BT215" s="20"/>
      <c r="BU215" s="20"/>
      <c r="BV215" s="20"/>
      <c r="BW215" s="20"/>
      <c r="BX215" s="20"/>
      <c r="BY215" s="20"/>
    </row>
    <row r="216" spans="3:77" ht="15" customHeight="1" x14ac:dyDescent="0.2">
      <c r="C216" s="69"/>
      <c r="AG216" s="45"/>
      <c r="BS216" s="20"/>
      <c r="BT216" s="20"/>
      <c r="BU216" s="20"/>
      <c r="BV216" s="20"/>
      <c r="BW216" s="20"/>
      <c r="BX216" s="20"/>
      <c r="BY216" s="20"/>
    </row>
    <row r="217" spans="3:77" ht="15" customHeight="1" x14ac:dyDescent="0.2">
      <c r="C217" s="69"/>
      <c r="AF217" s="45"/>
      <c r="BS217" s="163" t="s">
        <v>35</v>
      </c>
      <c r="BT217" s="163"/>
      <c r="BU217" s="163"/>
      <c r="BV217" s="163"/>
      <c r="BW217" s="163"/>
      <c r="BX217" s="163"/>
      <c r="BY217" s="163"/>
    </row>
    <row r="218" spans="3:77" ht="15" customHeight="1" x14ac:dyDescent="0.2">
      <c r="C218" s="69"/>
      <c r="AE218" s="45"/>
      <c r="BS218" s="163"/>
      <c r="BT218" s="163"/>
      <c r="BU218" s="163"/>
      <c r="BV218" s="163"/>
      <c r="BW218" s="163"/>
      <c r="BX218" s="163"/>
      <c r="BY218" s="163"/>
    </row>
    <row r="219" spans="3:77" ht="15" customHeight="1" x14ac:dyDescent="0.2">
      <c r="C219" s="69"/>
      <c r="AD219" s="45"/>
      <c r="BS219" s="163" t="s">
        <v>36</v>
      </c>
      <c r="BT219" s="163"/>
      <c r="BU219" s="163"/>
      <c r="BV219" s="163"/>
      <c r="BW219" s="163"/>
      <c r="BX219" s="163"/>
      <c r="BY219" s="163"/>
    </row>
    <row r="220" spans="3:77" ht="15" customHeight="1" x14ac:dyDescent="0.2">
      <c r="C220" s="69"/>
      <c r="AC220" s="45"/>
      <c r="BS220" s="163"/>
      <c r="BT220" s="163"/>
      <c r="BU220" s="163"/>
      <c r="BV220" s="163"/>
      <c r="BW220" s="163"/>
      <c r="BX220" s="163"/>
      <c r="BY220" s="163"/>
    </row>
    <row r="221" spans="3:77" ht="15" customHeight="1" x14ac:dyDescent="0.2">
      <c r="C221" s="69"/>
      <c r="AB221" s="45"/>
      <c r="BS221" s="20"/>
      <c r="BT221" s="20"/>
      <c r="BU221" s="20"/>
      <c r="BV221" s="20"/>
      <c r="BW221" s="20"/>
      <c r="BX221" s="20"/>
      <c r="BY221" s="20"/>
    </row>
    <row r="222" spans="3:77" ht="15" customHeight="1" x14ac:dyDescent="0.2">
      <c r="C222" s="69"/>
      <c r="AA222" s="45"/>
      <c r="BS222" s="20"/>
      <c r="BT222" s="20"/>
      <c r="BU222" s="20"/>
      <c r="BV222" s="20"/>
      <c r="BW222" s="20"/>
      <c r="BX222" s="20"/>
      <c r="BY222" s="20"/>
    </row>
    <row r="223" spans="3:77" ht="15" customHeight="1" x14ac:dyDescent="0.2">
      <c r="C223" s="69"/>
      <c r="Z223" s="45"/>
      <c r="BS223" s="20"/>
      <c r="BT223" s="20"/>
      <c r="BU223" s="20"/>
      <c r="BV223" s="20"/>
      <c r="BW223" s="20"/>
      <c r="BX223" s="20"/>
      <c r="BY223" s="20" t="s">
        <v>34</v>
      </c>
    </row>
    <row r="224" spans="3:77" ht="15" customHeight="1" x14ac:dyDescent="0.2">
      <c r="C224" s="69"/>
      <c r="Y224" s="45"/>
      <c r="BS224" s="20"/>
      <c r="BT224" s="20"/>
      <c r="BU224" s="20"/>
      <c r="BV224" s="20"/>
      <c r="BW224" s="20"/>
      <c r="BX224" s="20"/>
      <c r="BY224" s="20"/>
    </row>
    <row r="225" spans="1:77" ht="15" customHeight="1" x14ac:dyDescent="0.2">
      <c r="C225" s="69"/>
      <c r="V225" s="122"/>
      <c r="W225" s="122"/>
      <c r="X225" s="45"/>
      <c r="BS225" s="163" t="s">
        <v>48</v>
      </c>
      <c r="BT225" s="163"/>
      <c r="BU225" s="163"/>
      <c r="BV225" s="163"/>
      <c r="BW225" s="163"/>
      <c r="BX225" s="163"/>
      <c r="BY225" s="163"/>
    </row>
    <row r="226" spans="1:77" ht="15" customHeight="1" x14ac:dyDescent="0.2">
      <c r="C226" s="69"/>
      <c r="U226" s="39"/>
      <c r="BS226" s="163"/>
      <c r="BT226" s="163"/>
      <c r="BU226" s="163"/>
      <c r="BV226" s="163"/>
      <c r="BW226" s="163"/>
      <c r="BX226" s="163"/>
      <c r="BY226" s="163"/>
    </row>
    <row r="227" spans="1:77" ht="15" customHeight="1" x14ac:dyDescent="0.25">
      <c r="A227" s="47"/>
      <c r="B227" s="47"/>
      <c r="C227" s="318">
        <v>3</v>
      </c>
      <c r="D227" s="319"/>
      <c r="E227" s="289" t="s">
        <v>151</v>
      </c>
      <c r="F227" s="289"/>
      <c r="G227" s="289"/>
      <c r="H227" s="289"/>
      <c r="I227" s="289"/>
      <c r="J227" s="289"/>
      <c r="K227" s="289"/>
      <c r="L227" s="289"/>
      <c r="M227" s="289"/>
      <c r="N227" s="289"/>
      <c r="O227" s="289"/>
      <c r="P227" s="289"/>
      <c r="Q227" s="289"/>
      <c r="R227" s="289"/>
      <c r="S227" s="289"/>
      <c r="T227" s="289"/>
      <c r="U227" s="289"/>
      <c r="V227" s="289"/>
      <c r="W227" s="289"/>
      <c r="X227" s="289"/>
      <c r="Y227" s="289"/>
      <c r="Z227" s="289"/>
      <c r="AA227" s="289"/>
      <c r="AB227" s="289"/>
      <c r="AC227" s="289"/>
      <c r="AD227" s="289"/>
      <c r="AE227" s="289"/>
      <c r="AF227" s="289"/>
      <c r="AG227" s="289"/>
      <c r="AH227" s="289"/>
      <c r="AI227" s="289"/>
      <c r="AJ227" s="289"/>
      <c r="AK227" s="289"/>
      <c r="AL227" s="289"/>
      <c r="AM227" s="289"/>
      <c r="AN227" s="289"/>
      <c r="AO227" s="289"/>
      <c r="AP227" s="289"/>
      <c r="AQ227" s="289"/>
      <c r="AR227" s="289"/>
      <c r="AS227" s="289"/>
      <c r="AT227" s="289"/>
      <c r="AU227" s="289"/>
      <c r="AV227" s="289"/>
      <c r="AW227" s="289"/>
      <c r="AX227" s="289"/>
      <c r="AY227" s="289"/>
      <c r="AZ227" s="289"/>
      <c r="BA227" s="289"/>
      <c r="BB227" s="289"/>
      <c r="BC227" s="289"/>
      <c r="BD227" s="289"/>
      <c r="BE227" s="289"/>
      <c r="BF227" s="289"/>
      <c r="BG227" s="289"/>
      <c r="BH227" s="289"/>
      <c r="BI227" s="289"/>
      <c r="BJ227" s="289"/>
      <c r="BK227" s="289"/>
      <c r="BL227" s="289"/>
      <c r="BM227" s="289"/>
      <c r="BN227" s="289"/>
      <c r="BO227" s="289"/>
      <c r="BP227" s="289"/>
      <c r="BQ227" s="289"/>
      <c r="BR227" s="59"/>
      <c r="BS227" s="48"/>
      <c r="BT227" s="48"/>
      <c r="BU227" s="48"/>
      <c r="BV227" s="48"/>
      <c r="BW227" s="48"/>
      <c r="BX227" s="48"/>
      <c r="BY227" s="48"/>
    </row>
    <row r="228" spans="1:77" ht="15" customHeight="1" x14ac:dyDescent="0.25">
      <c r="A228" s="1"/>
      <c r="B228" s="1"/>
      <c r="C228" s="318"/>
      <c r="D228" s="31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c r="AA228" s="289"/>
      <c r="AB228" s="289"/>
      <c r="AC228" s="289"/>
      <c r="AD228" s="289"/>
      <c r="AE228" s="289"/>
      <c r="AF228" s="289"/>
      <c r="AG228" s="289"/>
      <c r="AH228" s="289"/>
      <c r="AI228" s="289"/>
      <c r="AJ228" s="289"/>
      <c r="AK228" s="289"/>
      <c r="AL228" s="289"/>
      <c r="AM228" s="289"/>
      <c r="AN228" s="289"/>
      <c r="AO228" s="289"/>
      <c r="AP228" s="289"/>
      <c r="AQ228" s="289"/>
      <c r="AR228" s="289"/>
      <c r="AS228" s="289"/>
      <c r="AT228" s="289"/>
      <c r="AU228" s="289"/>
      <c r="AV228" s="289"/>
      <c r="AW228" s="289"/>
      <c r="AX228" s="289"/>
      <c r="AY228" s="289"/>
      <c r="AZ228" s="289"/>
      <c r="BA228" s="289"/>
      <c r="BB228" s="289"/>
      <c r="BC228" s="289"/>
      <c r="BD228" s="289"/>
      <c r="BE228" s="289"/>
      <c r="BF228" s="289"/>
      <c r="BG228" s="289"/>
      <c r="BH228" s="289"/>
      <c r="BI228" s="289"/>
      <c r="BJ228" s="289"/>
      <c r="BK228" s="289"/>
      <c r="BL228" s="289"/>
      <c r="BM228" s="289"/>
      <c r="BN228" s="289"/>
      <c r="BO228" s="289"/>
      <c r="BP228" s="289"/>
      <c r="BQ228" s="289"/>
      <c r="BR228" s="59"/>
      <c r="BS228" s="49"/>
      <c r="BT228" s="6"/>
      <c r="BU228" s="6"/>
      <c r="BV228" s="6"/>
      <c r="BW228" s="7"/>
      <c r="BX228" s="7"/>
      <c r="BY228" s="7"/>
    </row>
    <row r="229" spans="1:77" ht="15" customHeight="1" x14ac:dyDescent="0.25">
      <c r="A229" s="1"/>
      <c r="B229" s="1"/>
      <c r="C229" s="65"/>
      <c r="D229" s="66"/>
      <c r="E229" s="268" t="str">
        <f>"
The flexural resistance of the member is evaluated at multiple locations along the span, as summarized in Table "&amp;Inputs!B14&amp;"‑1. The detailed calculations presented below corresponds to the location of maximum positive and negative flexural demand. Calculations for flexural resistance at all other evaluated locations are provided in Table "&amp;Inputs!B14&amp;"‑1."</f>
        <v xml:space="preserve">
The flexural resistance of the member is evaluated at multiple locations along the span, as summarized in Table C.1‑1. The detailed calculations presented below corresponds to the location of maximum positive and negative flexural demand. Calculations for flexural resistance at all other evaluated locations are provided in Table C.1‑1.</v>
      </c>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c r="AB229" s="268"/>
      <c r="AC229" s="268"/>
      <c r="AD229" s="268"/>
      <c r="AE229" s="268"/>
      <c r="AF229" s="268"/>
      <c r="AG229" s="268"/>
      <c r="AH229" s="268"/>
      <c r="AI229" s="268"/>
      <c r="AJ229" s="268"/>
      <c r="AK229" s="268"/>
      <c r="AL229" s="268"/>
      <c r="AM229" s="268"/>
      <c r="AN229" s="268"/>
      <c r="AO229" s="268"/>
      <c r="AP229" s="268"/>
      <c r="AQ229" s="268"/>
      <c r="AR229" s="268"/>
      <c r="AS229" s="268"/>
      <c r="AT229" s="268"/>
      <c r="AU229" s="268"/>
      <c r="AV229" s="268"/>
      <c r="AW229" s="268"/>
      <c r="AX229" s="268"/>
      <c r="AY229" s="268"/>
      <c r="AZ229" s="268"/>
      <c r="BA229" s="268"/>
      <c r="BB229" s="268"/>
      <c r="BC229" s="268"/>
      <c r="BD229" s="268"/>
      <c r="BE229" s="268"/>
      <c r="BF229" s="268"/>
      <c r="BG229" s="268"/>
      <c r="BH229" s="268"/>
      <c r="BI229" s="268"/>
      <c r="BJ229" s="268"/>
      <c r="BK229" s="268"/>
      <c r="BL229" s="268"/>
      <c r="BM229" s="268"/>
      <c r="BN229" s="268"/>
      <c r="BO229" s="268"/>
      <c r="BP229" s="268"/>
      <c r="BQ229" s="268"/>
      <c r="BR229" s="43"/>
      <c r="BS229" s="49"/>
      <c r="BT229" s="6"/>
      <c r="BU229" s="6"/>
      <c r="BV229" s="6"/>
      <c r="BW229" s="7"/>
      <c r="BX229" s="7"/>
      <c r="BY229" s="7"/>
    </row>
    <row r="230" spans="1:77" ht="15" customHeight="1" x14ac:dyDescent="0.25">
      <c r="A230" s="1"/>
      <c r="B230" s="1"/>
      <c r="C230" s="65"/>
      <c r="D230" s="66"/>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c r="AA230" s="268"/>
      <c r="AB230" s="268"/>
      <c r="AC230" s="268"/>
      <c r="AD230" s="268"/>
      <c r="AE230" s="268"/>
      <c r="AF230" s="268"/>
      <c r="AG230" s="268"/>
      <c r="AH230" s="268"/>
      <c r="AI230" s="268"/>
      <c r="AJ230" s="268"/>
      <c r="AK230" s="268"/>
      <c r="AL230" s="268"/>
      <c r="AM230" s="268"/>
      <c r="AN230" s="268"/>
      <c r="AO230" s="268"/>
      <c r="AP230" s="268"/>
      <c r="AQ230" s="268"/>
      <c r="AR230" s="268"/>
      <c r="AS230" s="268"/>
      <c r="AT230" s="268"/>
      <c r="AU230" s="268"/>
      <c r="AV230" s="268"/>
      <c r="AW230" s="268"/>
      <c r="AX230" s="268"/>
      <c r="AY230" s="268"/>
      <c r="AZ230" s="268"/>
      <c r="BA230" s="268"/>
      <c r="BB230" s="268"/>
      <c r="BC230" s="268"/>
      <c r="BD230" s="268"/>
      <c r="BE230" s="268"/>
      <c r="BF230" s="268"/>
      <c r="BG230" s="268"/>
      <c r="BH230" s="268"/>
      <c r="BI230" s="268"/>
      <c r="BJ230" s="268"/>
      <c r="BK230" s="268"/>
      <c r="BL230" s="268"/>
      <c r="BM230" s="268"/>
      <c r="BN230" s="268"/>
      <c r="BO230" s="268"/>
      <c r="BP230" s="268"/>
      <c r="BQ230" s="268"/>
      <c r="BR230" s="43"/>
      <c r="BS230" s="49"/>
      <c r="BT230" s="6"/>
      <c r="BU230" s="6"/>
      <c r="BV230" s="6"/>
      <c r="BW230" s="7"/>
      <c r="BX230" s="7"/>
      <c r="BY230" s="7"/>
    </row>
    <row r="231" spans="1:77" ht="15" customHeight="1" x14ac:dyDescent="0.25">
      <c r="A231" s="1"/>
      <c r="B231" s="1"/>
      <c r="C231" s="65"/>
      <c r="D231" s="66"/>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c r="AA231" s="268"/>
      <c r="AB231" s="268"/>
      <c r="AC231" s="268"/>
      <c r="AD231" s="268"/>
      <c r="AE231" s="268"/>
      <c r="AF231" s="268"/>
      <c r="AG231" s="268"/>
      <c r="AH231" s="268"/>
      <c r="AI231" s="268"/>
      <c r="AJ231" s="268"/>
      <c r="AK231" s="268"/>
      <c r="AL231" s="268"/>
      <c r="AM231" s="268"/>
      <c r="AN231" s="268"/>
      <c r="AO231" s="268"/>
      <c r="AP231" s="268"/>
      <c r="AQ231" s="268"/>
      <c r="AR231" s="268"/>
      <c r="AS231" s="268"/>
      <c r="AT231" s="268"/>
      <c r="AU231" s="268"/>
      <c r="AV231" s="268"/>
      <c r="AW231" s="268"/>
      <c r="AX231" s="268"/>
      <c r="AY231" s="268"/>
      <c r="AZ231" s="268"/>
      <c r="BA231" s="268"/>
      <c r="BB231" s="268"/>
      <c r="BC231" s="268"/>
      <c r="BD231" s="268"/>
      <c r="BE231" s="268"/>
      <c r="BF231" s="268"/>
      <c r="BG231" s="268"/>
      <c r="BH231" s="268"/>
      <c r="BI231" s="268"/>
      <c r="BJ231" s="268"/>
      <c r="BK231" s="268"/>
      <c r="BL231" s="268"/>
      <c r="BM231" s="268"/>
      <c r="BN231" s="268"/>
      <c r="BO231" s="268"/>
      <c r="BP231" s="268"/>
      <c r="BQ231" s="268"/>
      <c r="BR231" s="43"/>
      <c r="BS231" s="49"/>
      <c r="BT231" s="6"/>
      <c r="BU231" s="6"/>
      <c r="BV231" s="6"/>
      <c r="BW231" s="7"/>
      <c r="BX231" s="7"/>
      <c r="BY231" s="7"/>
    </row>
    <row r="232" spans="1:77" ht="15" customHeight="1" x14ac:dyDescent="0.25">
      <c r="A232" s="1"/>
      <c r="B232" s="1"/>
      <c r="C232" s="65"/>
      <c r="D232" s="66"/>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c r="AA232" s="268"/>
      <c r="AB232" s="268"/>
      <c r="AC232" s="268"/>
      <c r="AD232" s="268"/>
      <c r="AE232" s="268"/>
      <c r="AF232" s="268"/>
      <c r="AG232" s="268"/>
      <c r="AH232" s="268"/>
      <c r="AI232" s="268"/>
      <c r="AJ232" s="268"/>
      <c r="AK232" s="268"/>
      <c r="AL232" s="268"/>
      <c r="AM232" s="268"/>
      <c r="AN232" s="268"/>
      <c r="AO232" s="268"/>
      <c r="AP232" s="268"/>
      <c r="AQ232" s="268"/>
      <c r="AR232" s="268"/>
      <c r="AS232" s="268"/>
      <c r="AT232" s="268"/>
      <c r="AU232" s="268"/>
      <c r="AV232" s="268"/>
      <c r="AW232" s="268"/>
      <c r="AX232" s="268"/>
      <c r="AY232" s="268"/>
      <c r="AZ232" s="268"/>
      <c r="BA232" s="268"/>
      <c r="BB232" s="268"/>
      <c r="BC232" s="268"/>
      <c r="BD232" s="268"/>
      <c r="BE232" s="268"/>
      <c r="BF232" s="268"/>
      <c r="BG232" s="268"/>
      <c r="BH232" s="268"/>
      <c r="BI232" s="268"/>
      <c r="BJ232" s="268"/>
      <c r="BK232" s="268"/>
      <c r="BL232" s="268"/>
      <c r="BM232" s="268"/>
      <c r="BN232" s="268"/>
      <c r="BO232" s="268"/>
      <c r="BP232" s="268"/>
      <c r="BQ232" s="268"/>
      <c r="BR232" s="43"/>
      <c r="BS232" s="49"/>
      <c r="BT232" s="6"/>
      <c r="BU232" s="6"/>
      <c r="BV232" s="6"/>
      <c r="BW232" s="7"/>
      <c r="BX232" s="7"/>
      <c r="BY232" s="7"/>
    </row>
    <row r="233" spans="1:77" ht="15" customHeight="1" x14ac:dyDescent="0.25">
      <c r="C233" s="294" t="s">
        <v>152</v>
      </c>
      <c r="D233" s="295"/>
      <c r="E233" s="295"/>
      <c r="F233" s="295"/>
      <c r="G233" s="289" t="s">
        <v>31</v>
      </c>
      <c r="H233" s="289"/>
      <c r="I233" s="289"/>
      <c r="J233" s="289"/>
      <c r="K233" s="289"/>
      <c r="L233" s="289"/>
      <c r="M233" s="289"/>
      <c r="N233" s="289"/>
      <c r="O233" s="289"/>
      <c r="P233" s="289"/>
      <c r="Q233" s="289"/>
      <c r="R233" s="289"/>
      <c r="S233" s="289"/>
      <c r="T233" s="289"/>
      <c r="U233" s="289"/>
      <c r="V233" s="289"/>
      <c r="W233" s="289"/>
      <c r="X233" s="289"/>
      <c r="Y233" s="289"/>
      <c r="Z233" s="289"/>
      <c r="AA233" s="289"/>
      <c r="AB233" s="289"/>
      <c r="AC233" s="289"/>
      <c r="AD233" s="289"/>
      <c r="AE233" s="289"/>
      <c r="AF233" s="289"/>
      <c r="AG233" s="289"/>
      <c r="AH233" s="289"/>
      <c r="AI233" s="289"/>
      <c r="AJ233" s="289"/>
      <c r="AK233" s="289"/>
      <c r="AL233" s="289"/>
      <c r="AM233" s="289"/>
      <c r="AN233" s="289"/>
      <c r="AO233" s="289"/>
      <c r="AP233" s="289"/>
      <c r="AQ233" s="289"/>
      <c r="AR233" s="289"/>
      <c r="AS233" s="289"/>
      <c r="AT233" s="289"/>
      <c r="AU233" s="289"/>
      <c r="AV233" s="289"/>
      <c r="AW233" s="289"/>
      <c r="AX233" s="289"/>
      <c r="AY233" s="289"/>
      <c r="AZ233" s="289"/>
      <c r="BA233" s="289"/>
      <c r="BB233" s="289"/>
      <c r="BC233" s="289"/>
      <c r="BD233" s="289"/>
      <c r="BE233" s="289"/>
      <c r="BF233" s="289"/>
      <c r="BG233" s="289"/>
      <c r="BH233" s="289"/>
      <c r="BI233" s="289"/>
      <c r="BJ233" s="289"/>
      <c r="BK233" s="289"/>
      <c r="BL233" s="289"/>
      <c r="BM233" s="289"/>
      <c r="BN233" s="289"/>
      <c r="BO233" s="289"/>
      <c r="BP233" s="289"/>
      <c r="BQ233" s="289"/>
      <c r="BR233" s="59"/>
      <c r="BS233" s="8"/>
      <c r="BT233" s="8"/>
      <c r="BU233" s="8"/>
      <c r="BV233" s="8"/>
      <c r="BW233" s="8"/>
      <c r="BX233" s="8"/>
      <c r="BY233" s="10"/>
    </row>
    <row r="234" spans="1:77" ht="15" customHeight="1" x14ac:dyDescent="0.25">
      <c r="C234" s="294"/>
      <c r="D234" s="295"/>
      <c r="E234" s="295"/>
      <c r="F234" s="295"/>
      <c r="G234" s="289"/>
      <c r="H234" s="289"/>
      <c r="I234" s="289"/>
      <c r="J234" s="289"/>
      <c r="K234" s="289"/>
      <c r="L234" s="289"/>
      <c r="M234" s="289"/>
      <c r="N234" s="289"/>
      <c r="O234" s="289"/>
      <c r="P234" s="289"/>
      <c r="Q234" s="289"/>
      <c r="R234" s="289"/>
      <c r="S234" s="289"/>
      <c r="T234" s="289"/>
      <c r="U234" s="289"/>
      <c r="V234" s="289"/>
      <c r="W234" s="289"/>
      <c r="X234" s="289"/>
      <c r="Y234" s="289"/>
      <c r="Z234" s="289"/>
      <c r="AA234" s="289"/>
      <c r="AB234" s="289"/>
      <c r="AC234" s="289"/>
      <c r="AD234" s="289"/>
      <c r="AE234" s="289"/>
      <c r="AF234" s="289"/>
      <c r="AG234" s="289"/>
      <c r="AH234" s="289"/>
      <c r="AI234" s="289"/>
      <c r="AJ234" s="289"/>
      <c r="AK234" s="289"/>
      <c r="AL234" s="289"/>
      <c r="AM234" s="289"/>
      <c r="AN234" s="289"/>
      <c r="AO234" s="289"/>
      <c r="AP234" s="289"/>
      <c r="AQ234" s="289"/>
      <c r="AR234" s="289"/>
      <c r="AS234" s="289"/>
      <c r="AT234" s="289"/>
      <c r="AU234" s="289"/>
      <c r="AV234" s="289"/>
      <c r="AW234" s="289"/>
      <c r="AX234" s="289"/>
      <c r="AY234" s="289"/>
      <c r="AZ234" s="289"/>
      <c r="BA234" s="289"/>
      <c r="BB234" s="289"/>
      <c r="BC234" s="289"/>
      <c r="BD234" s="289"/>
      <c r="BE234" s="289"/>
      <c r="BF234" s="289"/>
      <c r="BG234" s="289"/>
      <c r="BH234" s="289"/>
      <c r="BI234" s="289"/>
      <c r="BJ234" s="289"/>
      <c r="BK234" s="289"/>
      <c r="BL234" s="289"/>
      <c r="BM234" s="289"/>
      <c r="BN234" s="289"/>
      <c r="BO234" s="289"/>
      <c r="BP234" s="289"/>
      <c r="BQ234" s="289"/>
      <c r="BR234" s="59"/>
      <c r="BS234" s="8"/>
      <c r="BT234" s="8"/>
      <c r="BU234" s="8"/>
      <c r="BV234" s="8"/>
      <c r="BW234" s="8"/>
      <c r="BX234" s="8"/>
      <c r="BY234" s="10"/>
    </row>
    <row r="235" spans="1:77" ht="15" customHeight="1" x14ac:dyDescent="0.2">
      <c r="C235" s="40"/>
      <c r="D235" s="41"/>
      <c r="G235" s="321"/>
      <c r="H235" s="321"/>
      <c r="I235" s="321"/>
      <c r="J235" s="321"/>
      <c r="K235" s="321"/>
      <c r="L235" s="321"/>
      <c r="M235" s="321"/>
      <c r="N235" s="321"/>
      <c r="O235" s="321"/>
      <c r="P235" s="321"/>
      <c r="Q235" s="321"/>
      <c r="R235" s="321"/>
      <c r="S235" s="321"/>
      <c r="T235" s="321"/>
      <c r="U235" s="321"/>
      <c r="V235" s="321"/>
      <c r="W235" s="321"/>
      <c r="X235" s="321"/>
      <c r="Y235" s="321"/>
      <c r="Z235" s="321"/>
      <c r="AA235" s="321"/>
      <c r="AB235" s="321"/>
      <c r="AC235" s="321"/>
      <c r="AD235" s="321"/>
      <c r="AE235" s="321"/>
      <c r="AF235" s="321"/>
      <c r="AG235" s="321"/>
      <c r="AH235" s="321"/>
      <c r="AI235" s="321"/>
      <c r="AJ235" s="321"/>
      <c r="AK235" s="321"/>
      <c r="AL235" s="321"/>
      <c r="AM235" s="321"/>
      <c r="AN235" s="321"/>
      <c r="AO235" s="321"/>
      <c r="AP235" s="321"/>
      <c r="AQ235" s="321"/>
      <c r="AR235" s="321"/>
      <c r="AS235" s="321"/>
      <c r="AT235" s="321"/>
      <c r="AU235" s="321"/>
      <c r="AV235" s="321"/>
      <c r="AW235" s="321"/>
      <c r="AX235" s="321"/>
      <c r="AY235" s="321"/>
      <c r="AZ235" s="321"/>
      <c r="BA235" s="321"/>
      <c r="BB235" s="321"/>
      <c r="BC235" s="321"/>
      <c r="BD235" s="321"/>
      <c r="BE235" s="321"/>
      <c r="BF235" s="321"/>
      <c r="BG235" s="321"/>
      <c r="BH235" s="321"/>
      <c r="BI235" s="321"/>
      <c r="BJ235" s="321"/>
      <c r="BK235" s="321"/>
      <c r="BL235" s="321"/>
      <c r="BM235" s="321"/>
      <c r="BN235" s="321"/>
      <c r="BO235" s="321"/>
      <c r="BP235" s="321"/>
      <c r="BQ235" s="321"/>
      <c r="BR235" s="321"/>
      <c r="BS235" s="20"/>
      <c r="BT235" s="20"/>
      <c r="BU235" s="20"/>
      <c r="BV235" s="20"/>
      <c r="BW235" s="20"/>
      <c r="BX235" s="20"/>
      <c r="BY235" s="20"/>
    </row>
    <row r="236" spans="1:77" ht="15" customHeight="1" x14ac:dyDescent="0.2">
      <c r="C236" s="5"/>
      <c r="V236" s="2" t="s">
        <v>134</v>
      </c>
      <c r="W236" s="198" t="e">
        <f>_xlfn.XLOOKUP(Demand_M.u.Positive,Inputs!C25:C124,Inputs!B25:B124)</f>
        <v>#N/A</v>
      </c>
      <c r="X236" s="291"/>
      <c r="Y236" s="291"/>
      <c r="Z236" s="291"/>
      <c r="AA236" s="291"/>
      <c r="AB236" s="291"/>
      <c r="BS236" s="8"/>
      <c r="BT236" s="8"/>
      <c r="BU236" s="8"/>
      <c r="BV236" s="8"/>
      <c r="BW236" s="8"/>
      <c r="BX236" s="8"/>
      <c r="BY236" s="10"/>
    </row>
    <row r="237" spans="1:77" ht="15" customHeight="1" x14ac:dyDescent="0.2">
      <c r="C237" s="5"/>
      <c r="V237" s="2" t="s">
        <v>135</v>
      </c>
      <c r="W237" s="200">
        <f>MAX(Inputs!C25:C124)</f>
        <v>0</v>
      </c>
      <c r="X237" s="325"/>
      <c r="Y237" s="325"/>
      <c r="Z237" s="325"/>
      <c r="AA237" s="325"/>
      <c r="AB237" s="325"/>
      <c r="AC237" s="39"/>
      <c r="AD237" s="39"/>
      <c r="AE237" s="39"/>
      <c r="AF237" s="39"/>
      <c r="AG237" s="39"/>
      <c r="AH237" s="39"/>
      <c r="AI237" s="39"/>
      <c r="AJ237" s="39"/>
      <c r="AK237" s="39"/>
      <c r="AL237" s="16"/>
      <c r="AM237" s="166" t="s">
        <v>120</v>
      </c>
      <c r="AN237" s="166"/>
      <c r="AO237" s="166"/>
      <c r="AP237" s="166"/>
      <c r="AQ237" s="166"/>
      <c r="AR237" s="166"/>
      <c r="AS237" s="166"/>
      <c r="AT237" s="166"/>
      <c r="AU237" s="166"/>
      <c r="AV237" s="166"/>
      <c r="AW237" s="16"/>
      <c r="AX237" s="44"/>
      <c r="AY237" s="44"/>
      <c r="AZ237" s="44"/>
      <c r="BA237" s="44"/>
      <c r="BB237" s="44"/>
      <c r="BC237" s="44"/>
      <c r="BD237" s="44"/>
      <c r="BE237" s="44"/>
      <c r="BF237" s="44"/>
      <c r="BS237" s="8"/>
      <c r="BT237" s="8"/>
      <c r="BU237" s="8"/>
      <c r="BV237" s="8"/>
      <c r="BW237" s="8"/>
      <c r="BX237" s="8"/>
      <c r="BY237" s="3"/>
    </row>
    <row r="238" spans="1:77" ht="15" customHeight="1" x14ac:dyDescent="0.2">
      <c r="C238" s="37"/>
      <c r="V238" s="2" t="s">
        <v>203</v>
      </c>
      <c r="W238" s="202">
        <f>Inputs!B6</f>
        <v>29000</v>
      </c>
      <c r="X238" s="202"/>
      <c r="Y238" s="202"/>
      <c r="Z238" s="202"/>
      <c r="AA238" s="202"/>
      <c r="AB238" s="202"/>
      <c r="AL238" s="16"/>
      <c r="AM238" s="166"/>
      <c r="AN238" s="166"/>
      <c r="AO238" s="166"/>
      <c r="AP238" s="166"/>
      <c r="AQ238" s="166"/>
      <c r="AR238" s="166"/>
      <c r="AS238" s="166"/>
      <c r="AT238" s="166"/>
      <c r="AU238" s="166"/>
      <c r="AV238" s="166"/>
      <c r="AW238" s="16"/>
      <c r="AX238" s="44"/>
      <c r="AY238" s="44"/>
      <c r="AZ238" s="44"/>
      <c r="BA238" s="44"/>
      <c r="BB238" s="44"/>
      <c r="BC238" s="44"/>
      <c r="BD238" s="44"/>
      <c r="BE238" s="44"/>
      <c r="BF238" s="44"/>
      <c r="BS238" s="8"/>
      <c r="BT238" s="8"/>
      <c r="BU238" s="8"/>
      <c r="BV238" s="8"/>
      <c r="BW238" s="8"/>
      <c r="BX238" s="8"/>
      <c r="BY238" s="3"/>
    </row>
    <row r="239" spans="1:77" ht="15" customHeight="1" x14ac:dyDescent="0.2">
      <c r="C239" s="37"/>
      <c r="V239" s="2" t="s">
        <v>362</v>
      </c>
      <c r="W239" s="202">
        <f>Inputs!B7</f>
        <v>28500</v>
      </c>
      <c r="X239" s="202"/>
      <c r="Y239" s="202"/>
      <c r="Z239" s="202"/>
      <c r="AA239" s="202"/>
      <c r="AB239" s="202"/>
      <c r="AM239" s="44"/>
      <c r="AN239" s="44"/>
      <c r="AO239" s="44"/>
      <c r="AP239" s="44"/>
      <c r="AQ239" s="44"/>
      <c r="AR239" s="44"/>
      <c r="AS239" s="44"/>
      <c r="AT239" s="44"/>
      <c r="AU239" s="44"/>
      <c r="AV239" s="44"/>
      <c r="AX239" s="44"/>
      <c r="AY239" s="44"/>
      <c r="AZ239" s="44"/>
      <c r="BA239" s="44"/>
      <c r="BB239" s="44"/>
      <c r="BC239" s="44"/>
      <c r="BD239" s="44"/>
      <c r="BE239" s="44"/>
      <c r="BF239" s="44"/>
      <c r="BS239" s="8"/>
      <c r="BT239" s="8"/>
      <c r="BU239" s="8"/>
      <c r="BV239" s="8"/>
      <c r="BW239" s="8"/>
      <c r="BX239" s="8"/>
      <c r="BY239" s="3"/>
    </row>
    <row r="240" spans="1:77" ht="15" customHeight="1" x14ac:dyDescent="0.2">
      <c r="C240" s="5"/>
      <c r="V240" s="2" t="s">
        <v>199</v>
      </c>
      <c r="W240" s="203" t="e">
        <f>_xlfn.XLOOKUP(Demand_M.u.Positive,Inputs!C25:C124,Inputs!D25:D124)</f>
        <v>#N/A</v>
      </c>
      <c r="X240" s="290"/>
      <c r="Y240" s="290"/>
      <c r="Z240" s="290"/>
      <c r="AA240" s="290"/>
      <c r="AB240" s="290"/>
      <c r="BS240" s="8"/>
      <c r="BT240" s="8"/>
      <c r="BU240" s="8"/>
      <c r="BV240" s="8"/>
      <c r="BW240" s="8"/>
      <c r="BX240" s="8"/>
      <c r="BY240" s="3"/>
    </row>
    <row r="241" spans="3:77" ht="15" customHeight="1" x14ac:dyDescent="0.2">
      <c r="C241" s="37"/>
      <c r="V241" s="2" t="s">
        <v>200</v>
      </c>
      <c r="W241" s="203" t="e">
        <f>_xlfn.XLOOKUP(Demand_M.u.Positive,Inputs!C25:C124,Inputs!G25:G124)</f>
        <v>#N/A</v>
      </c>
      <c r="X241" s="290"/>
      <c r="Y241" s="290"/>
      <c r="Z241" s="290"/>
      <c r="AA241" s="290"/>
      <c r="AB241" s="290"/>
      <c r="BS241" s="8"/>
      <c r="BT241" s="8"/>
      <c r="BU241" s="8"/>
      <c r="BV241" s="8"/>
      <c r="BW241" s="8"/>
      <c r="BX241" s="8"/>
      <c r="BY241" s="3"/>
    </row>
    <row r="242" spans="3:77" ht="15" customHeight="1" x14ac:dyDescent="0.2">
      <c r="C242" s="5"/>
      <c r="V242" s="2" t="s">
        <v>136</v>
      </c>
      <c r="W242" s="202">
        <f>Inputs!B1</f>
        <v>270</v>
      </c>
      <c r="X242" s="206"/>
      <c r="Y242" s="206"/>
      <c r="Z242" s="206"/>
      <c r="AA242" s="206"/>
      <c r="AB242" s="206"/>
      <c r="BS242" s="8"/>
      <c r="BT242" s="8"/>
      <c r="BU242" s="8"/>
      <c r="BV242" s="8"/>
      <c r="BW242" s="8"/>
      <c r="BX242" s="8"/>
      <c r="BY242" s="3" t="s">
        <v>37</v>
      </c>
    </row>
    <row r="243" spans="3:77" ht="15" customHeight="1" x14ac:dyDescent="0.2">
      <c r="C243" s="37"/>
      <c r="V243" s="2" t="s">
        <v>205</v>
      </c>
      <c r="W243" s="202">
        <f>Inputs!B2</f>
        <v>233</v>
      </c>
      <c r="X243" s="206"/>
      <c r="Y243" s="206"/>
      <c r="Z243" s="206"/>
      <c r="AA243" s="206"/>
      <c r="AB243" s="206"/>
      <c r="BS243" s="8"/>
      <c r="BT243" s="8"/>
      <c r="BU243" s="8"/>
      <c r="BV243" s="8"/>
      <c r="BW243" s="8"/>
      <c r="BX243" s="8"/>
      <c r="BY243" s="3"/>
    </row>
    <row r="244" spans="3:77" ht="15" customHeight="1" x14ac:dyDescent="0.2">
      <c r="C244" s="5"/>
      <c r="V244" s="2" t="s">
        <v>83</v>
      </c>
      <c r="W244" s="202">
        <f>Inputs!B3</f>
        <v>243</v>
      </c>
      <c r="X244" s="206"/>
      <c r="Y244" s="206"/>
      <c r="Z244" s="206"/>
      <c r="AA244" s="206"/>
      <c r="AB244" s="206"/>
      <c r="BS244" s="8"/>
      <c r="BT244" s="8"/>
      <c r="BU244" s="8"/>
      <c r="BV244" s="8"/>
      <c r="BW244" s="8"/>
      <c r="BX244" s="8"/>
      <c r="BY244" s="3" t="s">
        <v>37</v>
      </c>
    </row>
    <row r="245" spans="3:77" ht="15" customHeight="1" x14ac:dyDescent="0.2">
      <c r="C245" s="5"/>
      <c r="V245" s="2" t="s">
        <v>121</v>
      </c>
      <c r="W245" s="207">
        <f>Inputs!B4</f>
        <v>5</v>
      </c>
      <c r="X245" s="288"/>
      <c r="Y245" s="288"/>
      <c r="Z245" s="288"/>
      <c r="AA245" s="288"/>
      <c r="AB245" s="288"/>
      <c r="BS245" s="8"/>
      <c r="BT245" s="8"/>
      <c r="BU245" s="8"/>
      <c r="BV245" s="8"/>
      <c r="BW245" s="8"/>
      <c r="BX245" s="8"/>
      <c r="BY245" s="3"/>
    </row>
    <row r="246" spans="3:77" ht="15" customHeight="1" x14ac:dyDescent="0.2">
      <c r="C246" s="5"/>
      <c r="V246" s="2" t="s">
        <v>319</v>
      </c>
      <c r="W246" s="181" t="e">
        <f>_xlfn.XLOOKUP(Demand_M.u.Positive,Inputs!C25:C124,Inputs!F25:F124)</f>
        <v>#N/A</v>
      </c>
      <c r="X246" s="323"/>
      <c r="Y246" s="323"/>
      <c r="Z246" s="323"/>
      <c r="AA246" s="323"/>
      <c r="AB246" s="323"/>
      <c r="BS246" s="8"/>
      <c r="BT246" s="8"/>
      <c r="BU246" s="8"/>
      <c r="BV246" s="8"/>
      <c r="BW246" s="8"/>
      <c r="BX246" s="8"/>
      <c r="BY246" s="3"/>
    </row>
    <row r="247" spans="3:77" ht="15" customHeight="1" x14ac:dyDescent="0.2">
      <c r="C247" s="37"/>
      <c r="V247" s="18" t="s">
        <v>320</v>
      </c>
      <c r="W247" s="218" t="e">
        <f>_xlfn.XLOOKUP(Demand_M.u.Positive,Inputs!C25:C124,Inputs!H25:H124)</f>
        <v>#N/A</v>
      </c>
      <c r="X247" s="218"/>
      <c r="Y247" s="218"/>
      <c r="Z247" s="218"/>
      <c r="AA247" s="218"/>
      <c r="AB247" s="218"/>
      <c r="BS247" s="8"/>
      <c r="BT247" s="8"/>
      <c r="BU247" s="8"/>
      <c r="BV247" s="8"/>
      <c r="BW247" s="8"/>
      <c r="BX247" s="8"/>
      <c r="BY247" s="3"/>
    </row>
    <row r="248" spans="3:77" ht="15" customHeight="1" x14ac:dyDescent="0.2">
      <c r="C248" s="5"/>
      <c r="V248" s="2" t="s">
        <v>84</v>
      </c>
      <c r="W248" s="209" t="e">
        <f>_xlfn.XLOOKUP(Demand_M.u.Positive,Inputs!C25:C124,Inputs!E25:E124)</f>
        <v>#N/A</v>
      </c>
      <c r="X248" s="210"/>
      <c r="Y248" s="210"/>
      <c r="Z248" s="210"/>
      <c r="AA248" s="210"/>
      <c r="AB248" s="210"/>
      <c r="BK248" s="44"/>
      <c r="BL248" s="44"/>
      <c r="BM248" s="44"/>
      <c r="BS248" s="103"/>
      <c r="BT248" s="8"/>
      <c r="BU248" s="8"/>
      <c r="BV248" s="8"/>
      <c r="BW248" s="8"/>
      <c r="BX248" s="8"/>
      <c r="BY248" s="8"/>
    </row>
    <row r="249" spans="3:77" ht="15" customHeight="1" x14ac:dyDescent="0.2">
      <c r="C249" s="69"/>
      <c r="V249" s="2" t="s">
        <v>85</v>
      </c>
      <c r="W249" s="181" t="e">
        <f>_xlfn.XLOOKUP(Demand_M.u.Positive,Inputs!C25:C124,Inputs!I25:I124)</f>
        <v>#N/A</v>
      </c>
      <c r="X249" s="211"/>
      <c r="Y249" s="211"/>
      <c r="Z249" s="211"/>
      <c r="AA249" s="211"/>
      <c r="AB249" s="211"/>
    </row>
    <row r="250" spans="3:77" ht="15" customHeight="1" x14ac:dyDescent="0.2">
      <c r="C250" s="5"/>
      <c r="V250" s="18" t="s">
        <v>138</v>
      </c>
      <c r="W250" s="212">
        <f>Inputs!B5</f>
        <v>60</v>
      </c>
      <c r="X250" s="212"/>
      <c r="Y250" s="212"/>
      <c r="Z250" s="212"/>
      <c r="AA250" s="212"/>
      <c r="AB250" s="212"/>
      <c r="AE250" s="45"/>
      <c r="AF250" s="39"/>
      <c r="AG250" s="39"/>
      <c r="AH250" s="39"/>
      <c r="AI250" s="39"/>
      <c r="AJ250" s="39"/>
      <c r="AK250" s="39"/>
      <c r="AL250" s="16"/>
      <c r="AM250" s="166" t="s">
        <v>162</v>
      </c>
      <c r="AN250" s="166"/>
      <c r="AO250" s="166"/>
      <c r="AP250" s="166"/>
      <c r="AQ250" s="166"/>
      <c r="AR250" s="166"/>
      <c r="AS250" s="166"/>
      <c r="AT250" s="166"/>
      <c r="AU250" s="166"/>
      <c r="AV250" s="166"/>
      <c r="AW250" s="166"/>
      <c r="AX250" s="166"/>
      <c r="AY250" s="166"/>
      <c r="AZ250" s="166"/>
      <c r="BA250" s="166"/>
      <c r="BB250" s="166"/>
      <c r="BC250" s="166"/>
      <c r="BD250" s="166"/>
      <c r="BE250" s="166"/>
      <c r="BF250" s="166"/>
      <c r="BG250" s="166"/>
      <c r="BH250" s="166"/>
      <c r="BI250" s="166"/>
      <c r="BJ250" s="16"/>
      <c r="BS250" s="8"/>
      <c r="BT250" s="8"/>
      <c r="BU250" s="8"/>
      <c r="BV250" s="8"/>
      <c r="BW250" s="8"/>
      <c r="BX250" s="8"/>
      <c r="BY250" s="3"/>
    </row>
    <row r="251" spans="3:77" ht="15" customHeight="1" x14ac:dyDescent="0.2">
      <c r="C251" s="37"/>
      <c r="V251" s="18" t="s">
        <v>171</v>
      </c>
      <c r="W251" s="213">
        <f>Inputs!B8</f>
        <v>8</v>
      </c>
      <c r="X251" s="324"/>
      <c r="Y251" s="324"/>
      <c r="Z251" s="324"/>
      <c r="AA251" s="324"/>
      <c r="AB251" s="324"/>
      <c r="AD251" s="45"/>
      <c r="AL251" s="16"/>
      <c r="AM251" s="166"/>
      <c r="AN251" s="166"/>
      <c r="AO251" s="166"/>
      <c r="AP251" s="166"/>
      <c r="AQ251" s="166"/>
      <c r="AR251" s="166"/>
      <c r="AS251" s="166"/>
      <c r="AT251" s="166"/>
      <c r="AU251" s="166"/>
      <c r="AV251" s="166"/>
      <c r="AW251" s="166"/>
      <c r="AX251" s="166"/>
      <c r="AY251" s="166"/>
      <c r="AZ251" s="166"/>
      <c r="BA251" s="166"/>
      <c r="BB251" s="166"/>
      <c r="BC251" s="166"/>
      <c r="BD251" s="166"/>
      <c r="BE251" s="166"/>
      <c r="BF251" s="166"/>
      <c r="BG251" s="166"/>
      <c r="BH251" s="166"/>
      <c r="BI251" s="166"/>
      <c r="BJ251" s="16"/>
      <c r="BK251" s="44"/>
      <c r="BL251" s="44"/>
      <c r="BM251" s="44"/>
      <c r="BS251" s="8"/>
      <c r="BT251" s="8"/>
      <c r="BU251" s="8"/>
      <c r="BV251" s="8"/>
      <c r="BW251" s="8"/>
      <c r="BX251" s="8"/>
      <c r="BY251" s="3"/>
    </row>
    <row r="252" spans="3:77" ht="15" customHeight="1" x14ac:dyDescent="0.2">
      <c r="C252" s="37"/>
      <c r="V252" s="18" t="s">
        <v>172</v>
      </c>
      <c r="W252" s="213">
        <f>Inputs!B9</f>
        <v>3.5</v>
      </c>
      <c r="X252" s="324"/>
      <c r="Y252" s="324"/>
      <c r="Z252" s="324"/>
      <c r="AA252" s="324"/>
      <c r="AB252" s="324"/>
      <c r="AC252" s="45"/>
      <c r="BK252" s="44"/>
      <c r="BL252" s="44"/>
      <c r="BM252" s="44"/>
      <c r="BS252" s="8"/>
      <c r="BT252" s="8"/>
      <c r="BU252" s="8"/>
      <c r="BV252" s="8"/>
      <c r="BW252" s="8"/>
      <c r="BX252" s="8"/>
      <c r="BY252" s="3"/>
    </row>
    <row r="253" spans="3:77" ht="15" customHeight="1" x14ac:dyDescent="0.2">
      <c r="C253" s="5"/>
      <c r="V253" s="2" t="s">
        <v>137</v>
      </c>
      <c r="W253" s="215" t="e">
        <f>_xlfn.XLOOKUP(Demand_M.u.Positive,Inputs!C25:C124,Inputs!J25:J124)</f>
        <v>#N/A</v>
      </c>
      <c r="X253" s="216"/>
      <c r="Y253" s="216"/>
      <c r="Z253" s="216"/>
      <c r="AA253" s="216"/>
      <c r="AB253" s="216"/>
      <c r="AC253" s="87"/>
      <c r="AE253" s="45"/>
      <c r="AF253" s="39"/>
      <c r="AG253" s="39"/>
      <c r="AH253" s="39"/>
      <c r="AI253" s="39"/>
      <c r="AJ253" s="39"/>
      <c r="AK253" s="39"/>
      <c r="AL253" s="16"/>
      <c r="AM253" s="166" t="s">
        <v>274</v>
      </c>
      <c r="AN253" s="166"/>
      <c r="AO253" s="166"/>
      <c r="AP253" s="166"/>
      <c r="AQ253" s="166"/>
      <c r="AR253" s="166"/>
      <c r="AS253" s="166"/>
      <c r="AT253" s="166"/>
      <c r="AU253" s="166"/>
      <c r="AV253" s="166"/>
      <c r="AW253" s="166"/>
      <c r="AX253" s="166"/>
      <c r="AY253" s="166"/>
      <c r="AZ253" s="166"/>
      <c r="BA253" s="166"/>
      <c r="BB253" s="166"/>
      <c r="BC253" s="166"/>
      <c r="BD253" s="166"/>
      <c r="BE253" s="166"/>
      <c r="BF253" s="166"/>
      <c r="BG253" s="166"/>
      <c r="BH253" s="166"/>
      <c r="BI253" s="166"/>
      <c r="BJ253" s="166"/>
      <c r="BK253" s="166"/>
      <c r="BL253" s="166"/>
      <c r="BM253" s="166"/>
      <c r="BN253" s="16"/>
      <c r="BS253" s="103"/>
      <c r="BT253" s="8"/>
      <c r="BU253" s="8"/>
      <c r="BV253" s="8"/>
      <c r="BW253" s="8"/>
      <c r="BX253" s="8"/>
      <c r="BY253" s="3" t="s">
        <v>38</v>
      </c>
    </row>
    <row r="254" spans="3:77" ht="15" customHeight="1" x14ac:dyDescent="0.2">
      <c r="C254" s="37"/>
      <c r="V254" s="17" t="s">
        <v>201</v>
      </c>
      <c r="W254" s="217">
        <f>IF(Mat.Rebar_f.y&lt;=60,MIN(0.002,Mat.Rebar_f.y/29000),IF(Mat.Rebar_f.y=100,0.004,IF(AND(60&lt;Mat.Rebar_f.y,Mat.Rebar_f.y&lt;100),0.004-0.002*(100-Mat.Rebar_f.y)/40,"OUT OF SCOPE")))</f>
        <v>2E-3</v>
      </c>
      <c r="X254" s="217"/>
      <c r="Y254" s="217"/>
      <c r="Z254" s="217"/>
      <c r="AA254" s="217"/>
      <c r="AB254" s="217"/>
      <c r="AD254" s="45"/>
      <c r="AL254" s="16"/>
      <c r="AM254" s="166"/>
      <c r="AN254" s="166"/>
      <c r="AO254" s="166"/>
      <c r="AP254" s="166"/>
      <c r="AQ254" s="166"/>
      <c r="AR254" s="166"/>
      <c r="AS254" s="166"/>
      <c r="AT254" s="166"/>
      <c r="AU254" s="166"/>
      <c r="AV254" s="166"/>
      <c r="AW254" s="166"/>
      <c r="AX254" s="166"/>
      <c r="AY254" s="166"/>
      <c r="AZ254" s="166"/>
      <c r="BA254" s="166"/>
      <c r="BB254" s="166"/>
      <c r="BC254" s="166"/>
      <c r="BD254" s="166"/>
      <c r="BE254" s="166"/>
      <c r="BF254" s="166"/>
      <c r="BG254" s="166"/>
      <c r="BH254" s="166"/>
      <c r="BI254" s="166"/>
      <c r="BJ254" s="166"/>
      <c r="BK254" s="166"/>
      <c r="BL254" s="166"/>
      <c r="BM254" s="166"/>
      <c r="BN254" s="16"/>
      <c r="BS254" s="8"/>
      <c r="BT254" s="8"/>
      <c r="BU254" s="8"/>
      <c r="BV254" s="8"/>
      <c r="BW254" s="8"/>
      <c r="BX254" s="8"/>
      <c r="BY254" s="3" t="s">
        <v>309</v>
      </c>
    </row>
    <row r="255" spans="3:77" ht="15" customHeight="1" x14ac:dyDescent="0.2">
      <c r="C255" s="5"/>
      <c r="V255" s="2" t="s">
        <v>122</v>
      </c>
      <c r="W255" s="176">
        <f>2*(1.04-Mat.PT_f.py/Mat.PT_f.pu)</f>
        <v>0.28000000000000003</v>
      </c>
      <c r="X255" s="176"/>
      <c r="Y255" s="176"/>
      <c r="Z255" s="176"/>
      <c r="AA255" s="176"/>
      <c r="AB255" s="176"/>
      <c r="AC255" s="45"/>
      <c r="AH255" s="90"/>
      <c r="AI255" s="90"/>
      <c r="AJ255" s="90"/>
      <c r="AK255" s="90"/>
      <c r="BS255" s="103"/>
      <c r="BT255" s="8"/>
      <c r="BU255" s="8"/>
      <c r="BV255" s="8"/>
      <c r="BW255" s="8"/>
      <c r="BX255" s="8"/>
      <c r="BY255" s="3" t="s">
        <v>36</v>
      </c>
    </row>
    <row r="256" spans="3:77" ht="15" customHeight="1" x14ac:dyDescent="0.2">
      <c r="C256" s="5"/>
      <c r="V256" s="17" t="s">
        <v>124</v>
      </c>
      <c r="W256" s="219">
        <f>IF(Mat.Conc_f.c&lt;=4,0.85,IF(Mat.Conc_f.c&gt;=8,0.65,0.85-(0.05*(Mat.Conc_f.c-4))))</f>
        <v>0.79999999999999993</v>
      </c>
      <c r="X256" s="220"/>
      <c r="Y256" s="220"/>
      <c r="Z256" s="220"/>
      <c r="AA256" s="220"/>
      <c r="AB256" s="221"/>
      <c r="AC256" s="91"/>
      <c r="AD256" s="39"/>
      <c r="AE256" s="39"/>
      <c r="AF256" s="39"/>
      <c r="AG256" s="39"/>
      <c r="AL256" s="16"/>
      <c r="AM256" s="166" t="s">
        <v>275</v>
      </c>
      <c r="AN256" s="166"/>
      <c r="AO256" s="166"/>
      <c r="AP256" s="166"/>
      <c r="AQ256" s="166"/>
      <c r="AR256" s="166"/>
      <c r="AS256" s="166"/>
      <c r="AT256" s="166"/>
      <c r="AU256" s="166"/>
      <c r="AV256" s="166"/>
      <c r="AW256" s="166"/>
      <c r="AX256" s="166"/>
      <c r="AY256" s="166"/>
      <c r="AZ256" s="166"/>
      <c r="BA256" s="166"/>
      <c r="BB256" s="166"/>
      <c r="BC256" s="166"/>
      <c r="BD256" s="166"/>
      <c r="BE256" s="166"/>
      <c r="BF256" s="166"/>
      <c r="BG256" s="166"/>
      <c r="BH256" s="166"/>
      <c r="BI256" s="166"/>
      <c r="BJ256" s="166"/>
      <c r="BK256" s="166"/>
      <c r="BL256" s="166"/>
      <c r="BM256" s="166"/>
      <c r="BN256" s="16"/>
      <c r="BS256" s="103"/>
      <c r="BT256" s="8"/>
      <c r="BU256" s="8"/>
      <c r="BV256" s="8"/>
      <c r="BW256" s="8"/>
      <c r="BX256" s="8"/>
      <c r="BY256" s="3" t="s">
        <v>41</v>
      </c>
    </row>
    <row r="257" spans="3:77" ht="15" customHeight="1" x14ac:dyDescent="0.2">
      <c r="C257" s="5"/>
      <c r="V257" s="17" t="s">
        <v>125</v>
      </c>
      <c r="W257" s="222">
        <f>IF(Mat.Conc_f.c&lt;=10,0.85,
 IF(Mat.Conc_f.c&gt;=10,MAX(0.85-(0.02*(Mat.Conc_f.c-10)),0.75),"Error"))</f>
        <v>0.85</v>
      </c>
      <c r="X257" s="223"/>
      <c r="Y257" s="223"/>
      <c r="Z257" s="223"/>
      <c r="AA257" s="223"/>
      <c r="AB257" s="223"/>
      <c r="AC257" s="87"/>
      <c r="AL257" s="16"/>
      <c r="AM257" s="166"/>
      <c r="AN257" s="166"/>
      <c r="AO257" s="166"/>
      <c r="AP257" s="166"/>
      <c r="AQ257" s="166"/>
      <c r="AR257" s="166"/>
      <c r="AS257" s="166"/>
      <c r="AT257" s="166"/>
      <c r="AU257" s="166"/>
      <c r="AV257" s="166"/>
      <c r="AW257" s="166"/>
      <c r="AX257" s="166"/>
      <c r="AY257" s="166"/>
      <c r="AZ257" s="166"/>
      <c r="BA257" s="166"/>
      <c r="BB257" s="166"/>
      <c r="BC257" s="166"/>
      <c r="BD257" s="166"/>
      <c r="BE257" s="166"/>
      <c r="BF257" s="166"/>
      <c r="BG257" s="166"/>
      <c r="BH257" s="166"/>
      <c r="BI257" s="166"/>
      <c r="BJ257" s="166"/>
      <c r="BK257" s="166"/>
      <c r="BL257" s="166"/>
      <c r="BM257" s="166"/>
      <c r="BN257" s="16"/>
      <c r="BS257" s="103"/>
      <c r="BT257" s="8"/>
      <c r="BU257" s="8"/>
      <c r="BV257" s="8"/>
      <c r="BW257" s="8"/>
      <c r="BX257" s="8"/>
      <c r="BY257" s="3" t="s">
        <v>41</v>
      </c>
    </row>
    <row r="258" spans="3:77" ht="15" customHeight="1" x14ac:dyDescent="0.2">
      <c r="C258" s="37"/>
      <c r="V258" s="17"/>
      <c r="W258" s="88"/>
      <c r="X258" s="104"/>
      <c r="Y258" s="104"/>
      <c r="Z258" s="104"/>
      <c r="AA258" s="104"/>
      <c r="AB258" s="104"/>
      <c r="BS258" s="103"/>
      <c r="BT258" s="8"/>
      <c r="BU258" s="8"/>
      <c r="BV258" s="8"/>
      <c r="BW258" s="8"/>
      <c r="BX258" s="8"/>
      <c r="BY258" s="3"/>
    </row>
    <row r="259" spans="3:77" ht="15" customHeight="1" x14ac:dyDescent="0.2">
      <c r="C259" s="105"/>
      <c r="V259" s="17"/>
      <c r="W259" s="89"/>
      <c r="X259" s="94"/>
      <c r="Y259" s="94"/>
      <c r="Z259" s="94"/>
      <c r="AA259" s="94"/>
      <c r="AB259" s="94"/>
      <c r="BS259" s="103"/>
      <c r="BT259" s="8"/>
      <c r="BU259" s="8"/>
      <c r="BV259" s="8"/>
      <c r="BW259" s="8"/>
      <c r="BX259" s="8"/>
      <c r="BY259" s="3"/>
    </row>
    <row r="260" spans="3:77" ht="15" customHeight="1" x14ac:dyDescent="0.2">
      <c r="C260" s="105"/>
      <c r="V260" s="17"/>
      <c r="W260" s="89"/>
      <c r="X260" s="94"/>
      <c r="Y260" s="94"/>
      <c r="Z260" s="94"/>
      <c r="AA260" s="94"/>
      <c r="AB260" s="94"/>
      <c r="BS260" s="103"/>
      <c r="BT260" s="8"/>
      <c r="BU260" s="8"/>
      <c r="BV260" s="8"/>
      <c r="BW260" s="8"/>
      <c r="BX260" s="8"/>
      <c r="BY260" s="3"/>
    </row>
    <row r="261" spans="3:77" ht="15" customHeight="1" x14ac:dyDescent="0.2">
      <c r="C261" s="105"/>
      <c r="V261" s="17"/>
      <c r="W261" s="89"/>
      <c r="X261" s="94"/>
      <c r="Y261" s="94"/>
      <c r="Z261" s="94"/>
      <c r="AA261" s="94"/>
      <c r="AB261" s="94"/>
      <c r="BS261" s="103"/>
      <c r="BT261" s="8"/>
      <c r="BU261" s="8"/>
      <c r="BV261" s="8"/>
      <c r="BW261" s="8"/>
      <c r="BX261" s="8"/>
      <c r="BY261" s="3"/>
    </row>
    <row r="262" spans="3:77" ht="15" customHeight="1" x14ac:dyDescent="0.2">
      <c r="C262" s="105"/>
      <c r="V262" s="17"/>
      <c r="W262" s="89"/>
      <c r="X262" s="94"/>
      <c r="Y262" s="94"/>
      <c r="Z262" s="94"/>
      <c r="AA262" s="94"/>
      <c r="AB262" s="94"/>
      <c r="BS262" s="103"/>
      <c r="BT262" s="8"/>
      <c r="BU262" s="8"/>
      <c r="BV262" s="8"/>
      <c r="BW262" s="8"/>
      <c r="BX262" s="8"/>
      <c r="BY262" s="3"/>
    </row>
    <row r="263" spans="3:77" ht="15" customHeight="1" x14ac:dyDescent="0.2">
      <c r="C263" s="37"/>
      <c r="V263" s="17"/>
      <c r="W263" s="89"/>
      <c r="X263" s="94"/>
      <c r="Y263" s="94"/>
      <c r="Z263" s="94"/>
      <c r="AA263" s="94"/>
      <c r="AB263" s="94"/>
      <c r="BS263" s="103"/>
      <c r="BT263" s="8"/>
      <c r="BU263" s="8"/>
      <c r="BV263" s="8"/>
      <c r="BW263" s="8"/>
      <c r="BX263" s="8"/>
      <c r="BY263" s="3"/>
    </row>
    <row r="264" spans="3:77" ht="15" customHeight="1" x14ac:dyDescent="0.2">
      <c r="C264" s="105"/>
      <c r="V264" s="17"/>
      <c r="W264" s="89"/>
      <c r="X264" s="94"/>
      <c r="Y264" s="94"/>
      <c r="Z264" s="94"/>
      <c r="AA264" s="94"/>
      <c r="AB264" s="94"/>
      <c r="BS264" s="103"/>
      <c r="BT264" s="8"/>
      <c r="BU264" s="8"/>
      <c r="BV264" s="8"/>
      <c r="BW264" s="8"/>
      <c r="BX264" s="8"/>
      <c r="BY264" s="3"/>
    </row>
    <row r="265" spans="3:77" ht="15" customHeight="1" x14ac:dyDescent="0.2">
      <c r="C265" s="105"/>
      <c r="V265" s="17"/>
      <c r="W265" s="89"/>
      <c r="X265" s="94"/>
      <c r="Y265" s="94"/>
      <c r="Z265" s="94"/>
      <c r="AA265" s="94"/>
      <c r="AB265" s="94"/>
      <c r="BS265" s="103"/>
      <c r="BT265" s="8"/>
      <c r="BU265" s="8"/>
      <c r="BV265" s="8"/>
      <c r="BW265" s="8"/>
      <c r="BX265" s="8"/>
      <c r="BY265" s="3"/>
    </row>
    <row r="266" spans="3:77" ht="15" customHeight="1" x14ac:dyDescent="0.2">
      <c r="C266" s="105"/>
      <c r="V266" s="17"/>
      <c r="W266" s="89"/>
      <c r="X266" s="94"/>
      <c r="Y266" s="94"/>
      <c r="Z266" s="94"/>
      <c r="AA266" s="94"/>
      <c r="AB266" s="94"/>
      <c r="BS266" s="103"/>
      <c r="BT266" s="8"/>
      <c r="BU266" s="8"/>
      <c r="BV266" s="8"/>
      <c r="BW266" s="8"/>
      <c r="BX266" s="8"/>
      <c r="BY266" s="3"/>
    </row>
    <row r="267" spans="3:77" ht="15" customHeight="1" x14ac:dyDescent="0.2">
      <c r="C267" s="105"/>
      <c r="V267" s="17"/>
      <c r="W267" s="89"/>
      <c r="X267" s="94"/>
      <c r="Y267" s="94"/>
      <c r="Z267" s="94"/>
      <c r="AA267" s="94"/>
      <c r="AB267" s="94"/>
      <c r="BS267" s="103"/>
      <c r="BT267" s="8"/>
      <c r="BU267" s="8"/>
      <c r="BV267" s="8"/>
      <c r="BW267" s="8"/>
      <c r="BX267" s="8"/>
      <c r="BY267" s="3"/>
    </row>
    <row r="268" spans="3:77" s="141" customFormat="1" ht="15" customHeight="1" x14ac:dyDescent="0.2">
      <c r="C268" s="148"/>
      <c r="V268" s="147"/>
      <c r="W268" s="146"/>
      <c r="X268" s="145"/>
      <c r="Y268" s="145"/>
      <c r="Z268" s="145"/>
      <c r="AA268" s="145"/>
      <c r="AB268" s="145"/>
      <c r="BS268" s="144"/>
      <c r="BT268" s="143"/>
      <c r="BU268" s="143"/>
      <c r="BV268" s="143"/>
      <c r="BW268" s="143"/>
      <c r="BX268" s="143"/>
      <c r="BY268" s="142"/>
    </row>
    <row r="269" spans="3:77" ht="15" customHeight="1" x14ac:dyDescent="0.2">
      <c r="C269" s="105"/>
      <c r="V269" s="17"/>
      <c r="W269" s="89"/>
      <c r="X269" s="94"/>
      <c r="Y269" s="94"/>
      <c r="Z269" s="94"/>
      <c r="AA269" s="94"/>
      <c r="AB269" s="94"/>
      <c r="BS269" s="103"/>
      <c r="BT269" s="8"/>
      <c r="BU269" s="8"/>
      <c r="BV269" s="8"/>
      <c r="BW269" s="8"/>
      <c r="BX269" s="8"/>
      <c r="BY269" s="3"/>
    </row>
    <row r="270" spans="3:77" ht="15" customHeight="1" x14ac:dyDescent="0.2">
      <c r="C270" s="105"/>
      <c r="V270" s="17"/>
      <c r="W270" s="89"/>
      <c r="X270" s="94"/>
      <c r="Y270" s="94"/>
      <c r="Z270" s="94"/>
      <c r="AA270" s="94"/>
      <c r="AB270" s="94"/>
      <c r="BS270" s="103"/>
      <c r="BT270" s="8"/>
      <c r="BU270" s="8"/>
      <c r="BV270" s="8"/>
      <c r="BW270" s="8"/>
      <c r="BX270" s="8"/>
      <c r="BY270" s="3"/>
    </row>
    <row r="271" spans="3:77" ht="15" customHeight="1" x14ac:dyDescent="0.2">
      <c r="C271" s="105"/>
      <c r="V271" s="17"/>
      <c r="W271" s="89"/>
      <c r="X271" s="94"/>
      <c r="Y271" s="94"/>
      <c r="Z271" s="94"/>
      <c r="AA271" s="94"/>
      <c r="AB271" s="94"/>
      <c r="BS271" s="103"/>
      <c r="BT271" s="8"/>
      <c r="BU271" s="8"/>
      <c r="BV271" s="8"/>
      <c r="BW271" s="8"/>
      <c r="BX271" s="8"/>
      <c r="BY271" s="3"/>
    </row>
    <row r="272" spans="3:77" ht="15" customHeight="1" x14ac:dyDescent="0.2">
      <c r="C272" s="37"/>
      <c r="G272" s="266" t="str">
        <f>"Table "&amp;Inputs!B14&amp;"-1.  Equilibrium of Horizontal Force Iteration to Determine Neutral Axis"</f>
        <v>Table C.1-1.  Equilibrium of Horizontal Force Iteration to Determine Neutral Axis</v>
      </c>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S272" s="103"/>
      <c r="BT272" s="8"/>
      <c r="BU272" s="8"/>
      <c r="BV272" s="8"/>
      <c r="BW272" s="8"/>
      <c r="BX272" s="8"/>
    </row>
    <row r="273" spans="3:76" ht="15" customHeight="1" x14ac:dyDescent="0.2">
      <c r="C273" s="37"/>
      <c r="G273" s="231" t="s">
        <v>197</v>
      </c>
      <c r="H273" s="231"/>
      <c r="I273" s="231"/>
      <c r="J273" s="241" t="s">
        <v>212</v>
      </c>
      <c r="K273" s="236"/>
      <c r="L273" s="237"/>
      <c r="M273" s="278" t="s">
        <v>206</v>
      </c>
      <c r="N273" s="279"/>
      <c r="O273" s="279"/>
      <c r="P273" s="279"/>
      <c r="Q273" s="279"/>
      <c r="R273" s="279"/>
      <c r="S273" s="279"/>
      <c r="T273" s="279"/>
      <c r="U273" s="279"/>
      <c r="V273" s="279"/>
      <c r="W273" s="279"/>
      <c r="X273" s="280"/>
      <c r="Y273" s="272" t="s">
        <v>207</v>
      </c>
      <c r="Z273" s="273"/>
      <c r="AA273" s="273"/>
      <c r="AB273" s="273"/>
      <c r="AC273" s="273"/>
      <c r="AD273" s="273"/>
      <c r="AE273" s="273"/>
      <c r="AF273" s="273"/>
      <c r="AG273" s="273"/>
      <c r="AH273" s="273"/>
      <c r="AI273" s="273"/>
      <c r="AJ273" s="273"/>
      <c r="AK273" s="273"/>
      <c r="AL273" s="273"/>
      <c r="AM273" s="273"/>
      <c r="AN273" s="273"/>
      <c r="AO273" s="273"/>
      <c r="AP273" s="273"/>
      <c r="AQ273" s="273"/>
      <c r="AR273" s="274"/>
      <c r="AS273" s="272" t="s">
        <v>208</v>
      </c>
      <c r="AT273" s="273"/>
      <c r="AU273" s="273"/>
      <c r="AV273" s="273"/>
      <c r="AW273" s="273"/>
      <c r="AX273" s="273"/>
      <c r="AY273" s="273"/>
      <c r="AZ273" s="273"/>
      <c r="BA273" s="274"/>
      <c r="BB273" s="278" t="s">
        <v>209</v>
      </c>
      <c r="BC273" s="279"/>
      <c r="BD273" s="279"/>
      <c r="BE273" s="279"/>
      <c r="BF273" s="279"/>
      <c r="BG273" s="279"/>
      <c r="BH273" s="279"/>
      <c r="BI273" s="279"/>
      <c r="BJ273" s="279"/>
      <c r="BK273" s="279"/>
      <c r="BL273" s="279"/>
      <c r="BM273" s="280"/>
      <c r="BN273" s="275" t="s">
        <v>226</v>
      </c>
      <c r="BO273" s="231"/>
      <c r="BP273" s="231"/>
      <c r="BQ273" s="231"/>
      <c r="BS273" s="103"/>
      <c r="BT273" s="8"/>
      <c r="BU273" s="8"/>
      <c r="BV273" s="8"/>
      <c r="BW273" s="8"/>
      <c r="BX273" s="8"/>
    </row>
    <row r="274" spans="3:76" ht="15" customHeight="1" x14ac:dyDescent="0.2">
      <c r="C274" s="37"/>
      <c r="G274" s="231"/>
      <c r="H274" s="231"/>
      <c r="I274" s="231"/>
      <c r="J274" s="269"/>
      <c r="K274" s="270"/>
      <c r="L274" s="271"/>
      <c r="M274" s="245" t="s">
        <v>213</v>
      </c>
      <c r="N274" s="231"/>
      <c r="O274" s="231"/>
      <c r="P274" s="231"/>
      <c r="Q274" s="231" t="s">
        <v>214</v>
      </c>
      <c r="R274" s="231"/>
      <c r="S274" s="231"/>
      <c r="T274" s="231"/>
      <c r="U274" s="231" t="s">
        <v>215</v>
      </c>
      <c r="V274" s="231"/>
      <c r="W274" s="231"/>
      <c r="X274" s="247"/>
      <c r="Y274" s="292" t="s">
        <v>216</v>
      </c>
      <c r="Z274" s="225"/>
      <c r="AA274" s="225"/>
      <c r="AB274" s="225"/>
      <c r="AC274" s="225" t="s">
        <v>217</v>
      </c>
      <c r="AD274" s="225"/>
      <c r="AE274" s="225"/>
      <c r="AF274" s="225"/>
      <c r="AG274" s="225" t="s">
        <v>218</v>
      </c>
      <c r="AH274" s="225"/>
      <c r="AI274" s="225"/>
      <c r="AJ274" s="225"/>
      <c r="AK274" s="227" t="s">
        <v>219</v>
      </c>
      <c r="AL274" s="228"/>
      <c r="AM274" s="228"/>
      <c r="AN274" s="228"/>
      <c r="AO274" s="231" t="s">
        <v>220</v>
      </c>
      <c r="AP274" s="231"/>
      <c r="AQ274" s="231"/>
      <c r="AR274" s="232"/>
      <c r="AS274" s="235" t="s">
        <v>221</v>
      </c>
      <c r="AT274" s="236"/>
      <c r="AU274" s="237"/>
      <c r="AV274" s="241" t="s">
        <v>222</v>
      </c>
      <c r="AW274" s="236"/>
      <c r="AX274" s="237"/>
      <c r="AY274" s="241" t="s">
        <v>223</v>
      </c>
      <c r="AZ274" s="236"/>
      <c r="BA274" s="243"/>
      <c r="BB274" s="245" t="s">
        <v>224</v>
      </c>
      <c r="BC274" s="231"/>
      <c r="BD274" s="231"/>
      <c r="BE274" s="231"/>
      <c r="BF274" s="231" t="s">
        <v>225</v>
      </c>
      <c r="BG274" s="231"/>
      <c r="BH274" s="231"/>
      <c r="BI274" s="231"/>
      <c r="BJ274" s="231" t="s">
        <v>227</v>
      </c>
      <c r="BK274" s="231"/>
      <c r="BL274" s="231"/>
      <c r="BM274" s="247"/>
      <c r="BN274" s="275"/>
      <c r="BO274" s="231"/>
      <c r="BP274" s="231"/>
      <c r="BQ274" s="231"/>
      <c r="BV274" s="86"/>
      <c r="BW274" s="8"/>
      <c r="BX274" s="8"/>
    </row>
    <row r="275" spans="3:76" ht="15" customHeight="1" thickBot="1" x14ac:dyDescent="0.25">
      <c r="C275" s="37"/>
      <c r="G275" s="233"/>
      <c r="H275" s="233"/>
      <c r="I275" s="233"/>
      <c r="J275" s="242"/>
      <c r="K275" s="239"/>
      <c r="L275" s="240"/>
      <c r="M275" s="246"/>
      <c r="N275" s="233"/>
      <c r="O275" s="233"/>
      <c r="P275" s="233"/>
      <c r="Q275" s="233"/>
      <c r="R275" s="233"/>
      <c r="S275" s="233"/>
      <c r="T275" s="233"/>
      <c r="U275" s="233"/>
      <c r="V275" s="233"/>
      <c r="W275" s="233"/>
      <c r="X275" s="248"/>
      <c r="Y275" s="293"/>
      <c r="Z275" s="226"/>
      <c r="AA275" s="226"/>
      <c r="AB275" s="226"/>
      <c r="AC275" s="226"/>
      <c r="AD275" s="226"/>
      <c r="AE275" s="226"/>
      <c r="AF275" s="226"/>
      <c r="AG275" s="226"/>
      <c r="AH275" s="226"/>
      <c r="AI275" s="226"/>
      <c r="AJ275" s="226"/>
      <c r="AK275" s="229"/>
      <c r="AL275" s="230"/>
      <c r="AM275" s="230"/>
      <c r="AN275" s="230"/>
      <c r="AO275" s="233"/>
      <c r="AP275" s="233"/>
      <c r="AQ275" s="233"/>
      <c r="AR275" s="234"/>
      <c r="AS275" s="238"/>
      <c r="AT275" s="239"/>
      <c r="AU275" s="240"/>
      <c r="AV275" s="242"/>
      <c r="AW275" s="239"/>
      <c r="AX275" s="240"/>
      <c r="AY275" s="242"/>
      <c r="AZ275" s="239"/>
      <c r="BA275" s="244"/>
      <c r="BB275" s="246"/>
      <c r="BC275" s="233"/>
      <c r="BD275" s="233"/>
      <c r="BE275" s="233"/>
      <c r="BF275" s="233"/>
      <c r="BG275" s="233"/>
      <c r="BH275" s="233"/>
      <c r="BI275" s="233"/>
      <c r="BJ275" s="233"/>
      <c r="BK275" s="233"/>
      <c r="BL275" s="233"/>
      <c r="BM275" s="248"/>
      <c r="BN275" s="276"/>
      <c r="BO275" s="233"/>
      <c r="BP275" s="233"/>
      <c r="BQ275" s="233"/>
      <c r="BV275" s="86"/>
    </row>
    <row r="276" spans="3:76" ht="15" customHeight="1" thickTop="1" x14ac:dyDescent="0.2">
      <c r="C276" s="37"/>
      <c r="G276" s="257" t="e">
        <f>IF(ABS(BB276)&lt;0.01,"",1)</f>
        <v>#N/A</v>
      </c>
      <c r="H276" s="257"/>
      <c r="I276" s="257"/>
      <c r="J276" s="258" t="e">
        <f>Geometry_h.f.Positive</f>
        <v>#N/A</v>
      </c>
      <c r="K276" s="259"/>
      <c r="L276" s="260"/>
      <c r="M276" s="186" t="e">
        <f t="shared" ref="M276:M285" si="0">IF(J276="--","--",Mat.Rebar_epsilon.cl*(Geometry_d.s.Positive-J276)/J276)</f>
        <v>#N/A</v>
      </c>
      <c r="N276" s="187"/>
      <c r="O276" s="187"/>
      <c r="P276" s="187"/>
      <c r="Q276" s="249" t="e">
        <f t="shared" ref="Q276:Q285" si="1">IF(J276="--","--",MIN(Mat.Rebar_f.y,M276*Mat.PT_E.s))</f>
        <v>#N/A</v>
      </c>
      <c r="R276" s="249"/>
      <c r="S276" s="249"/>
      <c r="T276" s="249"/>
      <c r="U276" s="249" t="e">
        <f t="shared" ref="U276:U285" si="2">IF(J276="--","--",Mat.Rebar_A.s.Positive*Q276)</f>
        <v>#N/A</v>
      </c>
      <c r="V276" s="249"/>
      <c r="W276" s="249"/>
      <c r="X276" s="250"/>
      <c r="Y276" s="187" t="e">
        <f t="shared" ref="Y276:Y285" si="3">IF(J276="--","--",Mat.PT_f.pe/Mat.PT_E.ps)</f>
        <v>#N/A</v>
      </c>
      <c r="Z276" s="187"/>
      <c r="AA276" s="187"/>
      <c r="AB276" s="187"/>
      <c r="AC276" s="187" t="e">
        <f t="shared" ref="AC276:AC285" si="4">IF(J276="--","--",Mat.Rebar_epsilon.cl*((Geometry_d.p.Positive-J276)/J276))</f>
        <v>#N/A</v>
      </c>
      <c r="AD276" s="187"/>
      <c r="AE276" s="187"/>
      <c r="AF276" s="187"/>
      <c r="AG276" s="187" t="e">
        <f>IF(J276="--","--",Y276+AC276)</f>
        <v>#N/A</v>
      </c>
      <c r="AH276" s="187"/>
      <c r="AI276" s="187"/>
      <c r="AJ276" s="187"/>
      <c r="AK276" s="261" t="e">
        <f t="shared" ref="AK276:AK285" si="5">IF(J276="--","--",Mat.PT_f.pu*(1-Mat.PT_k*J276/Geometry_d.p.Positive))</f>
        <v>#N/A</v>
      </c>
      <c r="AL276" s="249"/>
      <c r="AM276" s="249"/>
      <c r="AN276" s="249"/>
      <c r="AO276" s="249" t="e">
        <f t="shared" ref="AO276:AO285" si="6">IF(J276="--","--",Mat.PT_A.ps*AK276)</f>
        <v>#N/A</v>
      </c>
      <c r="AP276" s="249"/>
      <c r="AQ276" s="249"/>
      <c r="AR276" s="262"/>
      <c r="AS276" s="263" t="e">
        <f>IF(J276="--","--",J276*Mat.Conc_Beta.1)</f>
        <v>#N/A</v>
      </c>
      <c r="AT276" s="264"/>
      <c r="AU276" s="265"/>
      <c r="AV276" s="253" t="e">
        <f>IF(J276="--","--",Mat.Conc_Alpha.1*Mat.Conc_f.c*Geometry_b.Positive*MIN(AS276,Geometry_h.f.Positive))</f>
        <v>#N/A</v>
      </c>
      <c r="AW276" s="254"/>
      <c r="AX276" s="255"/>
      <c r="AY276" s="253" t="e">
        <f>IF(J276="--","--",Mat.Conc_Alpha.1*Mat.Conc_f.c*Geometry_b.w*MAX(0,AS276-Geometry_h.f.Positive))</f>
        <v>#N/A</v>
      </c>
      <c r="AZ276" s="254"/>
      <c r="BA276" s="255"/>
      <c r="BB276" s="256" t="e">
        <f t="shared" ref="BB276:BB285" si="7">IF(J276="--","--",SUM(AV276:BA276))</f>
        <v>#N/A</v>
      </c>
      <c r="BC276" s="249"/>
      <c r="BD276" s="249"/>
      <c r="BE276" s="249"/>
      <c r="BF276" s="249" t="e">
        <f t="shared" ref="BF276:BF285" si="8">IF(J276="--","--",U276+AO276)</f>
        <v>#N/A</v>
      </c>
      <c r="BG276" s="249"/>
      <c r="BH276" s="249"/>
      <c r="BI276" s="249"/>
      <c r="BJ276" s="249" t="e">
        <f>IF(J276="--","--",BB276-BF276)</f>
        <v>#N/A</v>
      </c>
      <c r="BK276" s="249"/>
      <c r="BL276" s="249"/>
      <c r="BM276" s="250"/>
      <c r="BN276" s="251" t="e">
        <f>IF(ABS(BJ276)&lt;=0.001,"Solved",IF(BJ276&gt;0,0.85*J276,1.15*J276))</f>
        <v>#N/A</v>
      </c>
      <c r="BO276" s="252"/>
      <c r="BP276" s="252"/>
      <c r="BQ276" s="252"/>
      <c r="BV276" s="86"/>
    </row>
    <row r="277" spans="3:76" ht="15" customHeight="1" x14ac:dyDescent="0.2">
      <c r="C277" s="37"/>
      <c r="G277" s="182">
        <v>2</v>
      </c>
      <c r="H277" s="182"/>
      <c r="I277" s="182"/>
      <c r="J277" s="183" t="e">
        <f t="shared" ref="J277:J285" si="9">IF(BN276="Solved","--",BN276)</f>
        <v>#N/A</v>
      </c>
      <c r="K277" s="184"/>
      <c r="L277" s="185"/>
      <c r="M277" s="277" t="e">
        <f t="shared" si="0"/>
        <v>#N/A</v>
      </c>
      <c r="N277" s="224"/>
      <c r="O277" s="224"/>
      <c r="P277" s="224"/>
      <c r="Q277" s="188" t="e">
        <f t="shared" si="1"/>
        <v>#N/A</v>
      </c>
      <c r="R277" s="188"/>
      <c r="S277" s="188"/>
      <c r="T277" s="188"/>
      <c r="U277" s="188" t="e">
        <f t="shared" si="2"/>
        <v>#N/A</v>
      </c>
      <c r="V277" s="188"/>
      <c r="W277" s="188"/>
      <c r="X277" s="193"/>
      <c r="Y277" s="224" t="e">
        <f t="shared" si="3"/>
        <v>#N/A</v>
      </c>
      <c r="Z277" s="224"/>
      <c r="AA277" s="224"/>
      <c r="AB277" s="224"/>
      <c r="AC277" s="224" t="e">
        <f t="shared" si="4"/>
        <v>#N/A</v>
      </c>
      <c r="AD277" s="224"/>
      <c r="AE277" s="224"/>
      <c r="AF277" s="224"/>
      <c r="AG277" s="224" t="e">
        <f t="shared" ref="AG277:AG285" si="10">IF(J277="--","--",Y277+AC277)</f>
        <v>#N/A</v>
      </c>
      <c r="AH277" s="224"/>
      <c r="AI277" s="224"/>
      <c r="AJ277" s="224"/>
      <c r="AK277" s="195" t="e">
        <f t="shared" si="5"/>
        <v>#N/A</v>
      </c>
      <c r="AL277" s="188"/>
      <c r="AM277" s="188"/>
      <c r="AN277" s="188"/>
      <c r="AO277" s="188" t="e">
        <f t="shared" si="6"/>
        <v>#N/A</v>
      </c>
      <c r="AP277" s="188"/>
      <c r="AQ277" s="188"/>
      <c r="AR277" s="196"/>
      <c r="AS277" s="197" t="e">
        <f t="shared" ref="AS277:AS285" si="11">IF(J277="--","--",J277*Mat.Conc_Beta.1)</f>
        <v>#N/A</v>
      </c>
      <c r="AT277" s="184"/>
      <c r="AU277" s="185"/>
      <c r="AV277" s="189" t="e">
        <f t="shared" ref="AV277:AV285" si="12">IF(J277="--","--",Mat.Conc_Alpha.1*Mat.Conc_f.c*Geometry_b.Positive*MIN(AS277,Geometry_h.f.Positive))</f>
        <v>#N/A</v>
      </c>
      <c r="AW277" s="190"/>
      <c r="AX277" s="191"/>
      <c r="AY277" s="189" t="e">
        <f t="shared" ref="AY277:AY285" si="13">IF(J277="--","--",Mat.Conc_Alpha.1*Mat.Conc_f.c*Geometry_b.w*MAX(0,AS277-Geometry_h.f.Positive))</f>
        <v>#N/A</v>
      </c>
      <c r="AZ277" s="190"/>
      <c r="BA277" s="191"/>
      <c r="BB277" s="192" t="e">
        <f t="shared" si="7"/>
        <v>#N/A</v>
      </c>
      <c r="BC277" s="188"/>
      <c r="BD277" s="188"/>
      <c r="BE277" s="188"/>
      <c r="BF277" s="188" t="e">
        <f t="shared" si="8"/>
        <v>#N/A</v>
      </c>
      <c r="BG277" s="188"/>
      <c r="BH277" s="188"/>
      <c r="BI277" s="188"/>
      <c r="BJ277" s="188" t="e">
        <f t="shared" ref="BJ277:BJ285" si="14">IF(J277="--","--",BB277-BF277)</f>
        <v>#N/A</v>
      </c>
      <c r="BK277" s="188"/>
      <c r="BL277" s="188"/>
      <c r="BM277" s="193"/>
      <c r="BN277" s="185" t="e">
        <f t="shared" ref="BN277:BN285" si="15">IF(BJ277="--","Solved",
 IF(ABS(BJ277)&lt;=0.001,"Solved",J277-BJ277*(J277-J276)/(BJ277-BJ276)))</f>
        <v>#N/A</v>
      </c>
      <c r="BO277" s="194"/>
      <c r="BP277" s="194"/>
      <c r="BQ277" s="194"/>
      <c r="BV277" s="86"/>
    </row>
    <row r="278" spans="3:76" ht="15" customHeight="1" x14ac:dyDescent="0.2">
      <c r="C278" s="37"/>
      <c r="G278" s="182">
        <v>3</v>
      </c>
      <c r="H278" s="182"/>
      <c r="I278" s="182"/>
      <c r="J278" s="183" t="e">
        <f t="shared" si="9"/>
        <v>#N/A</v>
      </c>
      <c r="K278" s="184"/>
      <c r="L278" s="185"/>
      <c r="M278" s="277" t="e">
        <f t="shared" si="0"/>
        <v>#N/A</v>
      </c>
      <c r="N278" s="224"/>
      <c r="O278" s="224"/>
      <c r="P278" s="224"/>
      <c r="Q278" s="188" t="e">
        <f t="shared" si="1"/>
        <v>#N/A</v>
      </c>
      <c r="R278" s="188"/>
      <c r="S278" s="188"/>
      <c r="T278" s="188"/>
      <c r="U278" s="188" t="e">
        <f t="shared" si="2"/>
        <v>#N/A</v>
      </c>
      <c r="V278" s="188"/>
      <c r="W278" s="188"/>
      <c r="X278" s="193"/>
      <c r="Y278" s="224" t="e">
        <f t="shared" si="3"/>
        <v>#N/A</v>
      </c>
      <c r="Z278" s="224"/>
      <c r="AA278" s="224"/>
      <c r="AB278" s="224"/>
      <c r="AC278" s="224" t="e">
        <f t="shared" si="4"/>
        <v>#N/A</v>
      </c>
      <c r="AD278" s="224"/>
      <c r="AE278" s="224"/>
      <c r="AF278" s="224"/>
      <c r="AG278" s="224" t="e">
        <f t="shared" si="10"/>
        <v>#N/A</v>
      </c>
      <c r="AH278" s="224"/>
      <c r="AI278" s="224"/>
      <c r="AJ278" s="224"/>
      <c r="AK278" s="195" t="e">
        <f t="shared" si="5"/>
        <v>#N/A</v>
      </c>
      <c r="AL278" s="188"/>
      <c r="AM278" s="188"/>
      <c r="AN278" s="188"/>
      <c r="AO278" s="188" t="e">
        <f t="shared" si="6"/>
        <v>#N/A</v>
      </c>
      <c r="AP278" s="188"/>
      <c r="AQ278" s="188"/>
      <c r="AR278" s="196"/>
      <c r="AS278" s="197" t="e">
        <f t="shared" si="11"/>
        <v>#N/A</v>
      </c>
      <c r="AT278" s="184"/>
      <c r="AU278" s="185"/>
      <c r="AV278" s="189" t="e">
        <f t="shared" si="12"/>
        <v>#N/A</v>
      </c>
      <c r="AW278" s="190"/>
      <c r="AX278" s="191"/>
      <c r="AY278" s="189" t="e">
        <f t="shared" si="13"/>
        <v>#N/A</v>
      </c>
      <c r="AZ278" s="190"/>
      <c r="BA278" s="191"/>
      <c r="BB278" s="192" t="e">
        <f t="shared" si="7"/>
        <v>#N/A</v>
      </c>
      <c r="BC278" s="188"/>
      <c r="BD278" s="188"/>
      <c r="BE278" s="188"/>
      <c r="BF278" s="188" t="e">
        <f t="shared" si="8"/>
        <v>#N/A</v>
      </c>
      <c r="BG278" s="188"/>
      <c r="BH278" s="188"/>
      <c r="BI278" s="188"/>
      <c r="BJ278" s="188" t="e">
        <f t="shared" si="14"/>
        <v>#N/A</v>
      </c>
      <c r="BK278" s="188"/>
      <c r="BL278" s="188"/>
      <c r="BM278" s="193"/>
      <c r="BN278" s="185" t="e">
        <f t="shared" si="15"/>
        <v>#N/A</v>
      </c>
      <c r="BO278" s="194"/>
      <c r="BP278" s="194"/>
      <c r="BQ278" s="194"/>
      <c r="BV278" s="86"/>
    </row>
    <row r="279" spans="3:76" ht="15" customHeight="1" x14ac:dyDescent="0.2">
      <c r="C279" s="37"/>
      <c r="G279" s="182">
        <v>4</v>
      </c>
      <c r="H279" s="182"/>
      <c r="I279" s="182"/>
      <c r="J279" s="183" t="e">
        <f t="shared" si="9"/>
        <v>#N/A</v>
      </c>
      <c r="K279" s="184"/>
      <c r="L279" s="185"/>
      <c r="M279" s="277" t="e">
        <f t="shared" si="0"/>
        <v>#N/A</v>
      </c>
      <c r="N279" s="224"/>
      <c r="O279" s="224"/>
      <c r="P279" s="224"/>
      <c r="Q279" s="188" t="e">
        <f t="shared" si="1"/>
        <v>#N/A</v>
      </c>
      <c r="R279" s="188"/>
      <c r="S279" s="188"/>
      <c r="T279" s="188"/>
      <c r="U279" s="188" t="e">
        <f t="shared" si="2"/>
        <v>#N/A</v>
      </c>
      <c r="V279" s="188"/>
      <c r="W279" s="188"/>
      <c r="X279" s="193"/>
      <c r="Y279" s="224" t="e">
        <f t="shared" si="3"/>
        <v>#N/A</v>
      </c>
      <c r="Z279" s="224"/>
      <c r="AA279" s="224"/>
      <c r="AB279" s="224"/>
      <c r="AC279" s="224" t="e">
        <f t="shared" si="4"/>
        <v>#N/A</v>
      </c>
      <c r="AD279" s="224"/>
      <c r="AE279" s="224"/>
      <c r="AF279" s="224"/>
      <c r="AG279" s="224" t="e">
        <f t="shared" si="10"/>
        <v>#N/A</v>
      </c>
      <c r="AH279" s="224"/>
      <c r="AI279" s="224"/>
      <c r="AJ279" s="224"/>
      <c r="AK279" s="195" t="e">
        <f t="shared" si="5"/>
        <v>#N/A</v>
      </c>
      <c r="AL279" s="188"/>
      <c r="AM279" s="188"/>
      <c r="AN279" s="188"/>
      <c r="AO279" s="188" t="e">
        <f t="shared" si="6"/>
        <v>#N/A</v>
      </c>
      <c r="AP279" s="188"/>
      <c r="AQ279" s="188"/>
      <c r="AR279" s="196"/>
      <c r="AS279" s="197" t="e">
        <f t="shared" si="11"/>
        <v>#N/A</v>
      </c>
      <c r="AT279" s="184"/>
      <c r="AU279" s="185"/>
      <c r="AV279" s="189" t="e">
        <f t="shared" si="12"/>
        <v>#N/A</v>
      </c>
      <c r="AW279" s="190"/>
      <c r="AX279" s="191"/>
      <c r="AY279" s="189" t="e">
        <f t="shared" si="13"/>
        <v>#N/A</v>
      </c>
      <c r="AZ279" s="190"/>
      <c r="BA279" s="191"/>
      <c r="BB279" s="192" t="e">
        <f t="shared" si="7"/>
        <v>#N/A</v>
      </c>
      <c r="BC279" s="188"/>
      <c r="BD279" s="188"/>
      <c r="BE279" s="188"/>
      <c r="BF279" s="188" t="e">
        <f t="shared" si="8"/>
        <v>#N/A</v>
      </c>
      <c r="BG279" s="188"/>
      <c r="BH279" s="188"/>
      <c r="BI279" s="188"/>
      <c r="BJ279" s="188" t="e">
        <f t="shared" si="14"/>
        <v>#N/A</v>
      </c>
      <c r="BK279" s="188"/>
      <c r="BL279" s="188"/>
      <c r="BM279" s="193"/>
      <c r="BN279" s="185" t="e">
        <f t="shared" si="15"/>
        <v>#N/A</v>
      </c>
      <c r="BO279" s="194"/>
      <c r="BP279" s="194"/>
      <c r="BQ279" s="194"/>
      <c r="BV279" s="86"/>
    </row>
    <row r="280" spans="3:76" ht="15" customHeight="1" x14ac:dyDescent="0.2">
      <c r="C280" s="37"/>
      <c r="G280" s="182">
        <v>5</v>
      </c>
      <c r="H280" s="182"/>
      <c r="I280" s="182"/>
      <c r="J280" s="183" t="e">
        <f t="shared" si="9"/>
        <v>#N/A</v>
      </c>
      <c r="K280" s="184"/>
      <c r="L280" s="185"/>
      <c r="M280" s="277" t="e">
        <f>IF(J280="--","--",Mat.Rebar_epsilon.cl*(Geometry_d.s.Positive-J280)/J280)</f>
        <v>#N/A</v>
      </c>
      <c r="N280" s="224"/>
      <c r="O280" s="224"/>
      <c r="P280" s="224"/>
      <c r="Q280" s="188" t="e">
        <f>IF(J280="--","--",MIN(Mat.Rebar_f.y,M280*Mat.PT_E.s))</f>
        <v>#N/A</v>
      </c>
      <c r="R280" s="188"/>
      <c r="S280" s="188"/>
      <c r="T280" s="188"/>
      <c r="U280" s="188" t="e">
        <f>IF(J280="--","--",Mat.Rebar_A.s.Positive*Q280)</f>
        <v>#N/A</v>
      </c>
      <c r="V280" s="188"/>
      <c r="W280" s="188"/>
      <c r="X280" s="193"/>
      <c r="Y280" s="224" t="e">
        <f>IF(J280="--","--",Mat.PT_f.pe/Mat.PT_E.ps)</f>
        <v>#N/A</v>
      </c>
      <c r="Z280" s="224"/>
      <c r="AA280" s="224"/>
      <c r="AB280" s="224"/>
      <c r="AC280" s="224" t="e">
        <f>IF(J280="--","--",Mat.Rebar_epsilon.cl*((Geometry_d.p.Positive-J280)/J280))</f>
        <v>#N/A</v>
      </c>
      <c r="AD280" s="224"/>
      <c r="AE280" s="224"/>
      <c r="AF280" s="224"/>
      <c r="AG280" s="224" t="e">
        <f>IF(J280="--","--",Y280+AC280)</f>
        <v>#N/A</v>
      </c>
      <c r="AH280" s="224"/>
      <c r="AI280" s="224"/>
      <c r="AJ280" s="224"/>
      <c r="AK280" s="195" t="e">
        <f>IF(J280="--","--",Mat.PT_f.pu*(1-Mat.PT_k*J280/Geometry_d.p.Positive))</f>
        <v>#N/A</v>
      </c>
      <c r="AL280" s="188"/>
      <c r="AM280" s="188"/>
      <c r="AN280" s="188"/>
      <c r="AO280" s="188" t="e">
        <f t="shared" si="6"/>
        <v>#N/A</v>
      </c>
      <c r="AP280" s="188"/>
      <c r="AQ280" s="188"/>
      <c r="AR280" s="196"/>
      <c r="AS280" s="197" t="e">
        <f t="shared" si="11"/>
        <v>#N/A</v>
      </c>
      <c r="AT280" s="184"/>
      <c r="AU280" s="185"/>
      <c r="AV280" s="189" t="e">
        <f t="shared" si="12"/>
        <v>#N/A</v>
      </c>
      <c r="AW280" s="190"/>
      <c r="AX280" s="191"/>
      <c r="AY280" s="189" t="e">
        <f t="shared" si="13"/>
        <v>#N/A</v>
      </c>
      <c r="AZ280" s="190"/>
      <c r="BA280" s="191"/>
      <c r="BB280" s="192" t="e">
        <f t="shared" si="7"/>
        <v>#N/A</v>
      </c>
      <c r="BC280" s="188"/>
      <c r="BD280" s="188"/>
      <c r="BE280" s="188"/>
      <c r="BF280" s="188" t="e">
        <f t="shared" si="8"/>
        <v>#N/A</v>
      </c>
      <c r="BG280" s="188"/>
      <c r="BH280" s="188"/>
      <c r="BI280" s="188"/>
      <c r="BJ280" s="188" t="e">
        <f t="shared" si="14"/>
        <v>#N/A</v>
      </c>
      <c r="BK280" s="188"/>
      <c r="BL280" s="188"/>
      <c r="BM280" s="193"/>
      <c r="BN280" s="185" t="e">
        <f t="shared" si="15"/>
        <v>#N/A</v>
      </c>
      <c r="BO280" s="194"/>
      <c r="BP280" s="194"/>
      <c r="BQ280" s="194"/>
      <c r="BV280" s="86"/>
    </row>
    <row r="281" spans="3:76" ht="15" customHeight="1" x14ac:dyDescent="0.2">
      <c r="C281" s="37"/>
      <c r="G281" s="182">
        <v>6</v>
      </c>
      <c r="H281" s="182"/>
      <c r="I281" s="182"/>
      <c r="J281" s="183" t="e">
        <f t="shared" si="9"/>
        <v>#N/A</v>
      </c>
      <c r="K281" s="184"/>
      <c r="L281" s="185"/>
      <c r="M281" s="277" t="e">
        <f t="shared" si="0"/>
        <v>#N/A</v>
      </c>
      <c r="N281" s="224"/>
      <c r="O281" s="224"/>
      <c r="P281" s="224"/>
      <c r="Q281" s="188" t="e">
        <f t="shared" si="1"/>
        <v>#N/A</v>
      </c>
      <c r="R281" s="188"/>
      <c r="S281" s="188"/>
      <c r="T281" s="188"/>
      <c r="U281" s="188" t="e">
        <f t="shared" si="2"/>
        <v>#N/A</v>
      </c>
      <c r="V281" s="188"/>
      <c r="W281" s="188"/>
      <c r="X281" s="193"/>
      <c r="Y281" s="224" t="e">
        <f t="shared" si="3"/>
        <v>#N/A</v>
      </c>
      <c r="Z281" s="224"/>
      <c r="AA281" s="224"/>
      <c r="AB281" s="224"/>
      <c r="AC281" s="224" t="e">
        <f t="shared" si="4"/>
        <v>#N/A</v>
      </c>
      <c r="AD281" s="224"/>
      <c r="AE281" s="224"/>
      <c r="AF281" s="224"/>
      <c r="AG281" s="224" t="e">
        <f t="shared" si="10"/>
        <v>#N/A</v>
      </c>
      <c r="AH281" s="224"/>
      <c r="AI281" s="224"/>
      <c r="AJ281" s="224"/>
      <c r="AK281" s="195" t="e">
        <f t="shared" si="5"/>
        <v>#N/A</v>
      </c>
      <c r="AL281" s="188"/>
      <c r="AM281" s="188"/>
      <c r="AN281" s="188"/>
      <c r="AO281" s="188" t="e">
        <f t="shared" si="6"/>
        <v>#N/A</v>
      </c>
      <c r="AP281" s="188"/>
      <c r="AQ281" s="188"/>
      <c r="AR281" s="196"/>
      <c r="AS281" s="197" t="e">
        <f t="shared" si="11"/>
        <v>#N/A</v>
      </c>
      <c r="AT281" s="184"/>
      <c r="AU281" s="185"/>
      <c r="AV281" s="189" t="e">
        <f t="shared" si="12"/>
        <v>#N/A</v>
      </c>
      <c r="AW281" s="190"/>
      <c r="AX281" s="191"/>
      <c r="AY281" s="189" t="e">
        <f t="shared" si="13"/>
        <v>#N/A</v>
      </c>
      <c r="AZ281" s="190"/>
      <c r="BA281" s="191"/>
      <c r="BB281" s="192" t="e">
        <f t="shared" si="7"/>
        <v>#N/A</v>
      </c>
      <c r="BC281" s="188"/>
      <c r="BD281" s="188"/>
      <c r="BE281" s="188"/>
      <c r="BF281" s="188" t="e">
        <f t="shared" si="8"/>
        <v>#N/A</v>
      </c>
      <c r="BG281" s="188"/>
      <c r="BH281" s="188"/>
      <c r="BI281" s="188"/>
      <c r="BJ281" s="188" t="e">
        <f t="shared" si="14"/>
        <v>#N/A</v>
      </c>
      <c r="BK281" s="188"/>
      <c r="BL281" s="188"/>
      <c r="BM281" s="193"/>
      <c r="BN281" s="185" t="e">
        <f t="shared" si="15"/>
        <v>#N/A</v>
      </c>
      <c r="BO281" s="194"/>
      <c r="BP281" s="194"/>
      <c r="BQ281" s="194"/>
      <c r="BV281" s="86"/>
    </row>
    <row r="282" spans="3:76" ht="15" customHeight="1" x14ac:dyDescent="0.2">
      <c r="C282" s="37"/>
      <c r="G282" s="182">
        <v>7</v>
      </c>
      <c r="H282" s="182"/>
      <c r="I282" s="182"/>
      <c r="J282" s="183" t="e">
        <f t="shared" si="9"/>
        <v>#N/A</v>
      </c>
      <c r="K282" s="184"/>
      <c r="L282" s="185"/>
      <c r="M282" s="277" t="e">
        <f t="shared" si="0"/>
        <v>#N/A</v>
      </c>
      <c r="N282" s="224"/>
      <c r="O282" s="224"/>
      <c r="P282" s="224"/>
      <c r="Q282" s="188" t="e">
        <f t="shared" si="1"/>
        <v>#N/A</v>
      </c>
      <c r="R282" s="188"/>
      <c r="S282" s="188"/>
      <c r="T282" s="188"/>
      <c r="U282" s="188" t="e">
        <f t="shared" si="2"/>
        <v>#N/A</v>
      </c>
      <c r="V282" s="188"/>
      <c r="W282" s="188"/>
      <c r="X282" s="193"/>
      <c r="Y282" s="224" t="e">
        <f t="shared" si="3"/>
        <v>#N/A</v>
      </c>
      <c r="Z282" s="224"/>
      <c r="AA282" s="224"/>
      <c r="AB282" s="224"/>
      <c r="AC282" s="224" t="e">
        <f t="shared" si="4"/>
        <v>#N/A</v>
      </c>
      <c r="AD282" s="224"/>
      <c r="AE282" s="224"/>
      <c r="AF282" s="224"/>
      <c r="AG282" s="224" t="e">
        <f t="shared" si="10"/>
        <v>#N/A</v>
      </c>
      <c r="AH282" s="224"/>
      <c r="AI282" s="224"/>
      <c r="AJ282" s="224"/>
      <c r="AK282" s="195" t="e">
        <f t="shared" si="5"/>
        <v>#N/A</v>
      </c>
      <c r="AL282" s="188"/>
      <c r="AM282" s="188"/>
      <c r="AN282" s="188"/>
      <c r="AO282" s="188" t="e">
        <f t="shared" si="6"/>
        <v>#N/A</v>
      </c>
      <c r="AP282" s="188"/>
      <c r="AQ282" s="188"/>
      <c r="AR282" s="196"/>
      <c r="AS282" s="197" t="e">
        <f t="shared" si="11"/>
        <v>#N/A</v>
      </c>
      <c r="AT282" s="184"/>
      <c r="AU282" s="185"/>
      <c r="AV282" s="189" t="e">
        <f t="shared" si="12"/>
        <v>#N/A</v>
      </c>
      <c r="AW282" s="190"/>
      <c r="AX282" s="191"/>
      <c r="AY282" s="189" t="e">
        <f t="shared" si="13"/>
        <v>#N/A</v>
      </c>
      <c r="AZ282" s="190"/>
      <c r="BA282" s="191"/>
      <c r="BB282" s="192" t="e">
        <f t="shared" si="7"/>
        <v>#N/A</v>
      </c>
      <c r="BC282" s="188"/>
      <c r="BD282" s="188"/>
      <c r="BE282" s="188"/>
      <c r="BF282" s="188" t="e">
        <f t="shared" si="8"/>
        <v>#N/A</v>
      </c>
      <c r="BG282" s="188"/>
      <c r="BH282" s="188"/>
      <c r="BI282" s="188"/>
      <c r="BJ282" s="188" t="e">
        <f t="shared" si="14"/>
        <v>#N/A</v>
      </c>
      <c r="BK282" s="188"/>
      <c r="BL282" s="188"/>
      <c r="BM282" s="193"/>
      <c r="BN282" s="185" t="e">
        <f t="shared" si="15"/>
        <v>#N/A</v>
      </c>
      <c r="BO282" s="194"/>
      <c r="BP282" s="194"/>
      <c r="BQ282" s="194"/>
      <c r="BV282" s="86"/>
    </row>
    <row r="283" spans="3:76" ht="15" customHeight="1" x14ac:dyDescent="0.2">
      <c r="C283" s="37"/>
      <c r="G283" s="182">
        <v>8</v>
      </c>
      <c r="H283" s="182"/>
      <c r="I283" s="182"/>
      <c r="J283" s="183" t="e">
        <f t="shared" si="9"/>
        <v>#N/A</v>
      </c>
      <c r="K283" s="184"/>
      <c r="L283" s="185"/>
      <c r="M283" s="277" t="e">
        <f t="shared" si="0"/>
        <v>#N/A</v>
      </c>
      <c r="N283" s="224"/>
      <c r="O283" s="224"/>
      <c r="P283" s="224"/>
      <c r="Q283" s="188" t="e">
        <f t="shared" si="1"/>
        <v>#N/A</v>
      </c>
      <c r="R283" s="188"/>
      <c r="S283" s="188"/>
      <c r="T283" s="188"/>
      <c r="U283" s="188" t="e">
        <f t="shared" si="2"/>
        <v>#N/A</v>
      </c>
      <c r="V283" s="188"/>
      <c r="W283" s="188"/>
      <c r="X283" s="193"/>
      <c r="Y283" s="224" t="e">
        <f t="shared" si="3"/>
        <v>#N/A</v>
      </c>
      <c r="Z283" s="224"/>
      <c r="AA283" s="224"/>
      <c r="AB283" s="224"/>
      <c r="AC283" s="224" t="e">
        <f t="shared" si="4"/>
        <v>#N/A</v>
      </c>
      <c r="AD283" s="224"/>
      <c r="AE283" s="224"/>
      <c r="AF283" s="224"/>
      <c r="AG283" s="224" t="e">
        <f t="shared" si="10"/>
        <v>#N/A</v>
      </c>
      <c r="AH283" s="224"/>
      <c r="AI283" s="224"/>
      <c r="AJ283" s="224"/>
      <c r="AK283" s="195" t="e">
        <f t="shared" si="5"/>
        <v>#N/A</v>
      </c>
      <c r="AL283" s="188"/>
      <c r="AM283" s="188"/>
      <c r="AN283" s="188"/>
      <c r="AO283" s="188" t="e">
        <f t="shared" si="6"/>
        <v>#N/A</v>
      </c>
      <c r="AP283" s="188"/>
      <c r="AQ283" s="188"/>
      <c r="AR283" s="196"/>
      <c r="AS283" s="197" t="e">
        <f t="shared" si="11"/>
        <v>#N/A</v>
      </c>
      <c r="AT283" s="184"/>
      <c r="AU283" s="185"/>
      <c r="AV283" s="189" t="e">
        <f t="shared" si="12"/>
        <v>#N/A</v>
      </c>
      <c r="AW283" s="190"/>
      <c r="AX283" s="191"/>
      <c r="AY283" s="189" t="e">
        <f t="shared" si="13"/>
        <v>#N/A</v>
      </c>
      <c r="AZ283" s="190"/>
      <c r="BA283" s="191"/>
      <c r="BB283" s="192" t="e">
        <f t="shared" si="7"/>
        <v>#N/A</v>
      </c>
      <c r="BC283" s="188"/>
      <c r="BD283" s="188"/>
      <c r="BE283" s="188"/>
      <c r="BF283" s="188" t="e">
        <f t="shared" si="8"/>
        <v>#N/A</v>
      </c>
      <c r="BG283" s="188"/>
      <c r="BH283" s="188"/>
      <c r="BI283" s="188"/>
      <c r="BJ283" s="188" t="e">
        <f t="shared" si="14"/>
        <v>#N/A</v>
      </c>
      <c r="BK283" s="188"/>
      <c r="BL283" s="188"/>
      <c r="BM283" s="193"/>
      <c r="BN283" s="185" t="e">
        <f t="shared" si="15"/>
        <v>#N/A</v>
      </c>
      <c r="BO283" s="194"/>
      <c r="BP283" s="194"/>
      <c r="BQ283" s="194"/>
      <c r="BV283" s="86"/>
    </row>
    <row r="284" spans="3:76" ht="15" customHeight="1" x14ac:dyDescent="0.2">
      <c r="C284" s="37"/>
      <c r="G284" s="182">
        <v>9</v>
      </c>
      <c r="H284" s="182"/>
      <c r="I284" s="182"/>
      <c r="J284" s="183" t="e">
        <f t="shared" si="9"/>
        <v>#N/A</v>
      </c>
      <c r="K284" s="184"/>
      <c r="L284" s="185"/>
      <c r="M284" s="277" t="e">
        <f t="shared" si="0"/>
        <v>#N/A</v>
      </c>
      <c r="N284" s="224"/>
      <c r="O284" s="224"/>
      <c r="P284" s="224"/>
      <c r="Q284" s="188" t="e">
        <f t="shared" si="1"/>
        <v>#N/A</v>
      </c>
      <c r="R284" s="188"/>
      <c r="S284" s="188"/>
      <c r="T284" s="188"/>
      <c r="U284" s="188" t="e">
        <f t="shared" si="2"/>
        <v>#N/A</v>
      </c>
      <c r="V284" s="188"/>
      <c r="W284" s="188"/>
      <c r="X284" s="193"/>
      <c r="Y284" s="224" t="e">
        <f t="shared" si="3"/>
        <v>#N/A</v>
      </c>
      <c r="Z284" s="224"/>
      <c r="AA284" s="224"/>
      <c r="AB284" s="224"/>
      <c r="AC284" s="224" t="e">
        <f t="shared" si="4"/>
        <v>#N/A</v>
      </c>
      <c r="AD284" s="224"/>
      <c r="AE284" s="224"/>
      <c r="AF284" s="224"/>
      <c r="AG284" s="224" t="e">
        <f t="shared" si="10"/>
        <v>#N/A</v>
      </c>
      <c r="AH284" s="224"/>
      <c r="AI284" s="224"/>
      <c r="AJ284" s="224"/>
      <c r="AK284" s="195" t="e">
        <f t="shared" si="5"/>
        <v>#N/A</v>
      </c>
      <c r="AL284" s="188"/>
      <c r="AM284" s="188"/>
      <c r="AN284" s="188"/>
      <c r="AO284" s="188" t="e">
        <f t="shared" si="6"/>
        <v>#N/A</v>
      </c>
      <c r="AP284" s="188"/>
      <c r="AQ284" s="188"/>
      <c r="AR284" s="196"/>
      <c r="AS284" s="197" t="e">
        <f t="shared" si="11"/>
        <v>#N/A</v>
      </c>
      <c r="AT284" s="184"/>
      <c r="AU284" s="185"/>
      <c r="AV284" s="189" t="e">
        <f t="shared" si="12"/>
        <v>#N/A</v>
      </c>
      <c r="AW284" s="190"/>
      <c r="AX284" s="191"/>
      <c r="AY284" s="189" t="e">
        <f t="shared" si="13"/>
        <v>#N/A</v>
      </c>
      <c r="AZ284" s="190"/>
      <c r="BA284" s="191"/>
      <c r="BB284" s="192" t="e">
        <f t="shared" si="7"/>
        <v>#N/A</v>
      </c>
      <c r="BC284" s="188"/>
      <c r="BD284" s="188"/>
      <c r="BE284" s="188"/>
      <c r="BF284" s="188" t="e">
        <f t="shared" si="8"/>
        <v>#N/A</v>
      </c>
      <c r="BG284" s="188"/>
      <c r="BH284" s="188"/>
      <c r="BI284" s="188"/>
      <c r="BJ284" s="188" t="e">
        <f t="shared" si="14"/>
        <v>#N/A</v>
      </c>
      <c r="BK284" s="188"/>
      <c r="BL284" s="188"/>
      <c r="BM284" s="193"/>
      <c r="BN284" s="185" t="e">
        <f t="shared" si="15"/>
        <v>#N/A</v>
      </c>
      <c r="BO284" s="194"/>
      <c r="BP284" s="194"/>
      <c r="BQ284" s="194"/>
      <c r="BV284" s="86"/>
    </row>
    <row r="285" spans="3:76" ht="15" customHeight="1" x14ac:dyDescent="0.2">
      <c r="C285" s="37"/>
      <c r="G285" s="182">
        <v>10</v>
      </c>
      <c r="H285" s="182"/>
      <c r="I285" s="182"/>
      <c r="J285" s="183" t="e">
        <f t="shared" si="9"/>
        <v>#N/A</v>
      </c>
      <c r="K285" s="184"/>
      <c r="L285" s="185"/>
      <c r="M285" s="277" t="e">
        <f t="shared" si="0"/>
        <v>#N/A</v>
      </c>
      <c r="N285" s="224"/>
      <c r="O285" s="224"/>
      <c r="P285" s="224"/>
      <c r="Q285" s="188" t="e">
        <f t="shared" si="1"/>
        <v>#N/A</v>
      </c>
      <c r="R285" s="188"/>
      <c r="S285" s="188"/>
      <c r="T285" s="188"/>
      <c r="U285" s="188" t="e">
        <f t="shared" si="2"/>
        <v>#N/A</v>
      </c>
      <c r="V285" s="188"/>
      <c r="W285" s="188"/>
      <c r="X285" s="193"/>
      <c r="Y285" s="224" t="e">
        <f t="shared" si="3"/>
        <v>#N/A</v>
      </c>
      <c r="Z285" s="224"/>
      <c r="AA285" s="224"/>
      <c r="AB285" s="224"/>
      <c r="AC285" s="224" t="e">
        <f t="shared" si="4"/>
        <v>#N/A</v>
      </c>
      <c r="AD285" s="224"/>
      <c r="AE285" s="224"/>
      <c r="AF285" s="224"/>
      <c r="AG285" s="224" t="e">
        <f t="shared" si="10"/>
        <v>#N/A</v>
      </c>
      <c r="AH285" s="224"/>
      <c r="AI285" s="224"/>
      <c r="AJ285" s="224"/>
      <c r="AK285" s="195" t="e">
        <f t="shared" si="5"/>
        <v>#N/A</v>
      </c>
      <c r="AL285" s="188"/>
      <c r="AM285" s="188"/>
      <c r="AN285" s="188"/>
      <c r="AO285" s="188" t="e">
        <f t="shared" si="6"/>
        <v>#N/A</v>
      </c>
      <c r="AP285" s="188"/>
      <c r="AQ285" s="188"/>
      <c r="AR285" s="196"/>
      <c r="AS285" s="197" t="e">
        <f t="shared" si="11"/>
        <v>#N/A</v>
      </c>
      <c r="AT285" s="184"/>
      <c r="AU285" s="185"/>
      <c r="AV285" s="189" t="e">
        <f t="shared" si="12"/>
        <v>#N/A</v>
      </c>
      <c r="AW285" s="190"/>
      <c r="AX285" s="191"/>
      <c r="AY285" s="189" t="e">
        <f t="shared" si="13"/>
        <v>#N/A</v>
      </c>
      <c r="AZ285" s="190"/>
      <c r="BA285" s="191"/>
      <c r="BB285" s="192" t="e">
        <f t="shared" si="7"/>
        <v>#N/A</v>
      </c>
      <c r="BC285" s="188"/>
      <c r="BD285" s="188"/>
      <c r="BE285" s="188"/>
      <c r="BF285" s="188" t="e">
        <f t="shared" si="8"/>
        <v>#N/A</v>
      </c>
      <c r="BG285" s="188"/>
      <c r="BH285" s="188"/>
      <c r="BI285" s="188"/>
      <c r="BJ285" s="188" t="e">
        <f t="shared" si="14"/>
        <v>#N/A</v>
      </c>
      <c r="BK285" s="188"/>
      <c r="BL285" s="188"/>
      <c r="BM285" s="193"/>
      <c r="BN285" s="185" t="e">
        <f t="shared" si="15"/>
        <v>#N/A</v>
      </c>
      <c r="BO285" s="194"/>
      <c r="BP285" s="194"/>
      <c r="BQ285" s="194"/>
      <c r="BV285" s="86"/>
    </row>
    <row r="286" spans="3:76" ht="15" customHeight="1" x14ac:dyDescent="0.2">
      <c r="C286" s="105"/>
      <c r="G286" s="118"/>
      <c r="H286" s="118"/>
      <c r="I286" s="118"/>
      <c r="J286" s="117"/>
      <c r="K286" s="117"/>
      <c r="L286" s="117"/>
      <c r="M286" s="119"/>
      <c r="N286" s="119"/>
      <c r="O286" s="119"/>
      <c r="P286" s="119"/>
      <c r="Q286" s="120"/>
      <c r="R286" s="120"/>
      <c r="S286" s="120"/>
      <c r="T286" s="120"/>
      <c r="U286" s="120"/>
      <c r="V286" s="120"/>
      <c r="W286" s="120"/>
      <c r="X286" s="120"/>
      <c r="Y286" s="119"/>
      <c r="Z286" s="119"/>
      <c r="AA286" s="119"/>
      <c r="AB286" s="119"/>
      <c r="AC286" s="119"/>
      <c r="AD286" s="119"/>
      <c r="AE286" s="119"/>
      <c r="AF286" s="119"/>
      <c r="AG286" s="119"/>
      <c r="AH286" s="119"/>
      <c r="AI286" s="119"/>
      <c r="AJ286" s="119"/>
      <c r="AK286" s="120"/>
      <c r="AL286" s="120"/>
      <c r="AM286" s="120"/>
      <c r="AN286" s="120"/>
      <c r="AO286" s="120"/>
      <c r="AP286" s="120"/>
      <c r="AQ286" s="120"/>
      <c r="AR286" s="120"/>
      <c r="AS286" s="117"/>
      <c r="AT286" s="117"/>
      <c r="AU286" s="117"/>
      <c r="AV286" s="121"/>
      <c r="AW286" s="121"/>
      <c r="AX286" s="121"/>
      <c r="AY286" s="121"/>
      <c r="AZ286" s="121"/>
      <c r="BA286" s="121"/>
      <c r="BB286" s="120"/>
      <c r="BC286" s="120"/>
      <c r="BD286" s="120"/>
      <c r="BE286" s="120"/>
      <c r="BF286" s="120"/>
      <c r="BG286" s="120"/>
      <c r="BH286" s="120"/>
      <c r="BI286" s="120"/>
      <c r="BJ286" s="120"/>
      <c r="BK286" s="120"/>
      <c r="BL286" s="120"/>
      <c r="BM286" s="120"/>
      <c r="BN286" s="117"/>
      <c r="BO286" s="117"/>
      <c r="BP286" s="117"/>
      <c r="BQ286" s="117"/>
      <c r="BV286" s="86"/>
    </row>
    <row r="287" spans="3:76" ht="15" customHeight="1" x14ac:dyDescent="0.2">
      <c r="C287" s="105"/>
      <c r="G287" s="118"/>
      <c r="H287" s="118"/>
      <c r="I287" s="118"/>
      <c r="J287" s="117"/>
      <c r="K287" s="117"/>
      <c r="L287" s="117"/>
      <c r="M287" s="119"/>
      <c r="N287" s="119"/>
      <c r="O287" s="119"/>
      <c r="P287" s="119"/>
      <c r="Q287" s="120"/>
      <c r="R287" s="120"/>
      <c r="S287" s="120"/>
      <c r="T287" s="120"/>
      <c r="U287" s="120"/>
      <c r="V287" s="120"/>
      <c r="W287" s="120"/>
      <c r="X287" s="120"/>
      <c r="Y287" s="119"/>
      <c r="Z287" s="119"/>
      <c r="AA287" s="119"/>
      <c r="AB287" s="119"/>
      <c r="AC287" s="119"/>
      <c r="AD287" s="119"/>
      <c r="AE287" s="119"/>
      <c r="AF287" s="119"/>
      <c r="AG287" s="119"/>
      <c r="AH287" s="119"/>
      <c r="AI287" s="119"/>
      <c r="AJ287" s="119"/>
      <c r="AK287" s="120"/>
      <c r="AL287" s="120"/>
      <c r="AM287" s="120"/>
      <c r="AN287" s="120"/>
      <c r="AO287" s="120"/>
      <c r="AP287" s="120"/>
      <c r="AQ287" s="120"/>
      <c r="AR287" s="120"/>
      <c r="AS287" s="117"/>
      <c r="AT287" s="117"/>
      <c r="AU287" s="117"/>
      <c r="AV287" s="121"/>
      <c r="AW287" s="121"/>
      <c r="AX287" s="121"/>
      <c r="AY287" s="121"/>
      <c r="AZ287" s="121"/>
      <c r="BA287" s="121"/>
      <c r="BB287" s="120"/>
      <c r="BC287" s="120"/>
      <c r="BD287" s="120"/>
      <c r="BE287" s="120"/>
      <c r="BF287" s="120"/>
      <c r="BG287" s="120"/>
      <c r="BH287" s="120"/>
      <c r="BI287" s="120"/>
      <c r="BJ287" s="120"/>
      <c r="BK287" s="120"/>
      <c r="BL287" s="120"/>
      <c r="BM287" s="120"/>
      <c r="BN287" s="117"/>
      <c r="BO287" s="117"/>
      <c r="BP287" s="117"/>
      <c r="BQ287" s="117"/>
      <c r="BV287" s="86"/>
    </row>
    <row r="288" spans="3:76" ht="15" customHeight="1" x14ac:dyDescent="0.2">
      <c r="C288" s="37"/>
      <c r="G288" s="174" t="s">
        <v>210</v>
      </c>
      <c r="H288" s="174"/>
      <c r="I288" s="174"/>
      <c r="J288" s="174"/>
      <c r="K288" s="174"/>
      <c r="L288" s="174"/>
      <c r="M288" s="174"/>
      <c r="N288" s="174"/>
      <c r="O288" s="174"/>
      <c r="P288" s="174"/>
      <c r="Q288" s="174"/>
      <c r="R288" s="174"/>
      <c r="S288" s="174"/>
      <c r="T288" s="174"/>
      <c r="U288" s="174"/>
      <c r="V288" s="174"/>
      <c r="W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S288" s="103"/>
      <c r="BT288" s="8"/>
      <c r="BU288" s="8"/>
      <c r="BV288" s="8"/>
      <c r="BW288" s="8"/>
      <c r="BX288" s="8"/>
    </row>
    <row r="289" spans="3:77" ht="15" customHeight="1" x14ac:dyDescent="0.2">
      <c r="C289" s="37"/>
      <c r="G289" s="92"/>
      <c r="V289" s="18" t="s">
        <v>211</v>
      </c>
      <c r="W289" s="177" t="e" cm="1" vm="1">
        <f t="array" ref="W289">_xlfn.TAKE(_xlfn._xlws.FILTER(G276:G285,ISNUMBER(J276:J285)),-1)</f>
        <v>#VALUE!</v>
      </c>
      <c r="X289" s="177"/>
      <c r="Y289" s="177"/>
      <c r="Z289" s="177"/>
      <c r="BS289" s="103"/>
      <c r="BT289" s="8"/>
      <c r="BU289" s="8"/>
      <c r="BV289" s="8"/>
      <c r="BW289" s="8"/>
      <c r="BX289" s="8"/>
    </row>
    <row r="290" spans="3:77" ht="15" customHeight="1" x14ac:dyDescent="0.2">
      <c r="C290" s="37"/>
      <c r="V290" s="18" t="s">
        <v>229</v>
      </c>
      <c r="W290" s="169" t="e" cm="1" vm="2">
        <f t="array" ref="W290">INDEX(J276:J285,$W$289)</f>
        <v>#VALUE!</v>
      </c>
      <c r="X290" s="169"/>
      <c r="Y290" s="169"/>
      <c r="Z290" s="169"/>
      <c r="BS290" s="103"/>
      <c r="BT290" s="8"/>
      <c r="BU290" s="8"/>
      <c r="BV290" s="8"/>
      <c r="BW290" s="8"/>
      <c r="BX290" s="8"/>
      <c r="BY290" s="10" t="s">
        <v>34</v>
      </c>
    </row>
    <row r="291" spans="3:77" ht="15" customHeight="1" x14ac:dyDescent="0.2">
      <c r="C291" s="37"/>
      <c r="V291" s="18" t="s">
        <v>236</v>
      </c>
      <c r="W291" s="169" t="e" cm="1" vm="2">
        <f t="array" ref="W291">INDEX(AS276:AS285,$W$289)</f>
        <v>#VALUE!</v>
      </c>
      <c r="X291" s="169"/>
      <c r="Y291" s="169"/>
      <c r="Z291" s="169"/>
      <c r="BS291" s="103"/>
      <c r="BT291" s="8"/>
      <c r="BU291" s="8"/>
      <c r="BV291" s="8"/>
      <c r="BW291" s="8"/>
      <c r="BX291" s="8"/>
    </row>
    <row r="292" spans="3:77" ht="15" customHeight="1" x14ac:dyDescent="0.2">
      <c r="C292" s="37"/>
      <c r="V292" s="18" t="s">
        <v>230</v>
      </c>
      <c r="W292" s="178" t="e" cm="1" vm="2">
        <f t="array" ref="W292">INDEX(AG276:AG285,$W$289)</f>
        <v>#VALUE!</v>
      </c>
      <c r="X292" s="178"/>
      <c r="Y292" s="178"/>
      <c r="Z292" s="178"/>
      <c r="BS292" s="103"/>
      <c r="BT292" s="8"/>
      <c r="BU292" s="8"/>
      <c r="BV292" s="8"/>
      <c r="BW292" s="8"/>
      <c r="BX292" s="8"/>
    </row>
    <row r="293" spans="3:77" ht="15" customHeight="1" x14ac:dyDescent="0.2">
      <c r="C293" s="37"/>
      <c r="V293" s="18" t="s">
        <v>233</v>
      </c>
      <c r="W293" s="179" t="e" cm="1" vm="2">
        <f t="array" ref="W293">INDEX(AV276:AV285,$W$289)</f>
        <v>#VALUE!</v>
      </c>
      <c r="X293" s="179"/>
      <c r="Y293" s="179"/>
      <c r="Z293" s="179"/>
      <c r="BS293" s="103"/>
      <c r="BT293" s="8"/>
      <c r="BU293" s="8"/>
      <c r="BV293" s="8"/>
      <c r="BW293" s="8"/>
      <c r="BX293" s="8"/>
    </row>
    <row r="294" spans="3:77" ht="15" customHeight="1" x14ac:dyDescent="0.2">
      <c r="C294" s="37"/>
      <c r="V294" s="18" t="s">
        <v>234</v>
      </c>
      <c r="W294" s="179" t="e" cm="1" vm="2">
        <f t="array" ref="W294">INDEX(AY276:AY285,$W$289)</f>
        <v>#VALUE!</v>
      </c>
      <c r="X294" s="179"/>
      <c r="Y294" s="179"/>
      <c r="Z294" s="179"/>
      <c r="BS294" s="103"/>
      <c r="BT294" s="8"/>
      <c r="BU294" s="8"/>
      <c r="BV294" s="8"/>
      <c r="BW294" s="8"/>
      <c r="BX294" s="8"/>
    </row>
    <row r="295" spans="3:77" ht="15" customHeight="1" x14ac:dyDescent="0.2">
      <c r="C295" s="37"/>
      <c r="V295" s="18" t="s">
        <v>231</v>
      </c>
      <c r="W295" s="179" t="e" cm="1" vm="2">
        <f t="array" ref="W295">INDEX(U276:U285,$W$289)</f>
        <v>#VALUE!</v>
      </c>
      <c r="X295" s="179"/>
      <c r="Y295" s="179"/>
      <c r="Z295" s="179"/>
      <c r="BS295" s="103"/>
      <c r="BT295" s="8"/>
      <c r="BU295" s="8"/>
      <c r="BV295" s="8"/>
      <c r="BW295" s="8"/>
      <c r="BX295" s="8"/>
    </row>
    <row r="296" spans="3:77" ht="15" customHeight="1" x14ac:dyDescent="0.2">
      <c r="C296" s="37"/>
      <c r="V296" s="18" t="s">
        <v>232</v>
      </c>
      <c r="W296" s="179" t="e" cm="1" vm="2">
        <f t="array" ref="W296">INDEX(AO276:AO285,$W$289)</f>
        <v>#VALUE!</v>
      </c>
      <c r="X296" s="179"/>
      <c r="Y296" s="179"/>
      <c r="Z296" s="179"/>
      <c r="BS296" s="103"/>
      <c r="BT296" s="8"/>
      <c r="BU296" s="8"/>
      <c r="BV296" s="8"/>
      <c r="BW296" s="8"/>
      <c r="BX296" s="8"/>
    </row>
    <row r="297" spans="3:77" ht="15" customHeight="1" x14ac:dyDescent="0.2">
      <c r="C297" s="37"/>
      <c r="BS297" s="103"/>
      <c r="BT297" s="8"/>
      <c r="BU297" s="8"/>
      <c r="BV297" s="8"/>
      <c r="BW297" s="8"/>
      <c r="BX297" s="8"/>
    </row>
    <row r="298" spans="3:77" ht="15" customHeight="1" x14ac:dyDescent="0.2">
      <c r="C298" s="37"/>
      <c r="G298" s="174" t="s">
        <v>228</v>
      </c>
      <c r="H298" s="174"/>
      <c r="I298" s="174"/>
      <c r="J298" s="174"/>
      <c r="K298" s="174"/>
      <c r="L298" s="174"/>
      <c r="M298" s="174"/>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S298" s="103"/>
      <c r="BT298" s="8"/>
      <c r="BU298" s="8"/>
      <c r="BV298" s="8"/>
      <c r="BW298" s="8"/>
      <c r="BX298" s="8"/>
    </row>
    <row r="299" spans="3:77" ht="15" customHeight="1" x14ac:dyDescent="0.2">
      <c r="C299" s="37"/>
      <c r="G299" s="92"/>
      <c r="V299" s="17" t="s">
        <v>201</v>
      </c>
      <c r="W299" s="178">
        <f>Mat.Rebar_epsilon.cl</f>
        <v>2E-3</v>
      </c>
      <c r="X299" s="178"/>
      <c r="Y299" s="178"/>
      <c r="Z299" s="178"/>
      <c r="AA299" s="178"/>
      <c r="AB299" s="178"/>
      <c r="BS299" s="103"/>
      <c r="BT299" s="8"/>
      <c r="BU299" s="8"/>
      <c r="BV299" s="8"/>
      <c r="BW299" s="8"/>
      <c r="BX299" s="8"/>
    </row>
    <row r="300" spans="3:77" ht="15" customHeight="1" x14ac:dyDescent="0.2">
      <c r="C300" s="37"/>
      <c r="V300" s="17" t="s">
        <v>132</v>
      </c>
      <c r="W300" s="178">
        <f>IF(Mat.Rebar_f.y&lt;=75,0.005,IF(Mat.Rebar_f.y&lt;100,0.008-((100-Mat.Rebar_f.y)*0.003/25),IF(Mat.Rebar_f.y=100,0.008,"OUT OF SCOPE")))</f>
        <v>5.0000000000000001E-3</v>
      </c>
      <c r="X300" s="178"/>
      <c r="Y300" s="178"/>
      <c r="Z300" s="178"/>
      <c r="AA300" s="178"/>
      <c r="AB300" s="178"/>
      <c r="BS300" s="103"/>
      <c r="BT300" s="8"/>
      <c r="BU300" s="8"/>
      <c r="BV300" s="8"/>
      <c r="BW300" s="8"/>
      <c r="BX300" s="8"/>
    </row>
    <row r="301" spans="3:77" ht="15" customHeight="1" x14ac:dyDescent="0.2">
      <c r="C301" s="37"/>
      <c r="V301" s="18" t="s">
        <v>230</v>
      </c>
      <c r="W301" s="178" t="e" vm="2">
        <f>W292</f>
        <v>#VALUE!</v>
      </c>
      <c r="X301" s="178"/>
      <c r="Y301" s="178"/>
      <c r="Z301" s="178"/>
      <c r="AA301" s="178"/>
      <c r="AB301" s="178"/>
      <c r="BS301" s="103"/>
      <c r="BT301" s="8"/>
      <c r="BU301" s="8"/>
      <c r="BV301" s="8"/>
      <c r="BW301" s="8"/>
      <c r="BX301" s="8"/>
    </row>
    <row r="302" spans="3:77" ht="15" customHeight="1" x14ac:dyDescent="0.2">
      <c r="C302" s="37"/>
      <c r="V302" s="2" t="s">
        <v>126</v>
      </c>
      <c r="W302" s="176" t="e" vm="2">
        <f>MAX(0.75,MIN(1,0.75+0.25*(W301-W299)/(Mat.Rebar_epsilon.tl-W299)))</f>
        <v>#VALUE!</v>
      </c>
      <c r="X302" s="176"/>
      <c r="Y302" s="176"/>
      <c r="Z302" s="176"/>
      <c r="AA302" s="176"/>
      <c r="AB302" s="176"/>
      <c r="BS302" s="103"/>
      <c r="BT302" s="8"/>
      <c r="BU302" s="8"/>
      <c r="BV302" s="8"/>
      <c r="BW302" s="8"/>
      <c r="BX302" s="8"/>
      <c r="BY302" s="10" t="s">
        <v>44</v>
      </c>
    </row>
    <row r="303" spans="3:77" ht="15" customHeight="1" x14ac:dyDescent="0.2">
      <c r="C303" s="37"/>
      <c r="V303" s="2"/>
      <c r="W303" s="80"/>
      <c r="X303" s="80"/>
      <c r="Y303" s="80"/>
      <c r="Z303" s="80"/>
      <c r="AA303" s="80"/>
      <c r="AB303" s="80"/>
      <c r="BS303" s="103"/>
      <c r="BT303" s="8"/>
      <c r="BU303" s="8"/>
      <c r="BV303" s="8"/>
      <c r="BW303" s="8"/>
      <c r="BX303" s="8"/>
    </row>
    <row r="304" spans="3:77" ht="15" customHeight="1" x14ac:dyDescent="0.2">
      <c r="C304" s="37"/>
      <c r="G304" s="174" t="s">
        <v>235</v>
      </c>
      <c r="H304" s="174"/>
      <c r="I304" s="174"/>
      <c r="J304" s="174"/>
      <c r="K304" s="174"/>
      <c r="L304" s="174"/>
      <c r="M304" s="174"/>
      <c r="N304" s="174"/>
      <c r="O304" s="174"/>
      <c r="P304" s="174"/>
      <c r="Q304" s="174"/>
      <c r="R304" s="174"/>
      <c r="S304" s="174"/>
      <c r="T304" s="174"/>
      <c r="U304" s="174"/>
      <c r="V304" s="174"/>
      <c r="W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S304" s="103"/>
      <c r="BT304" s="8"/>
      <c r="BU304" s="8"/>
      <c r="BV304" s="8"/>
      <c r="BW304" s="8"/>
      <c r="BX304" s="8"/>
    </row>
    <row r="305" spans="3:77" ht="15" customHeight="1" x14ac:dyDescent="0.2">
      <c r="C305" s="37"/>
      <c r="V305" s="2" t="s">
        <v>276</v>
      </c>
      <c r="W305" s="180" t="e" vm="2">
        <f>0.5*MIN(W291,Geometry_h.f.Positive)</f>
        <v>#VALUE!</v>
      </c>
      <c r="X305" s="180"/>
      <c r="Y305" s="180"/>
      <c r="Z305" s="180"/>
      <c r="AA305" s="80"/>
      <c r="AB305" s="80"/>
      <c r="BS305" s="103"/>
      <c r="BT305" s="8"/>
      <c r="BU305" s="8"/>
      <c r="BV305" s="8"/>
      <c r="BW305" s="8"/>
      <c r="BX305" s="8"/>
    </row>
    <row r="306" spans="3:77" ht="15" customHeight="1" x14ac:dyDescent="0.2">
      <c r="C306" s="37"/>
      <c r="V306" s="2" t="s">
        <v>277</v>
      </c>
      <c r="W306" s="169" t="e" vm="2">
        <f>IF(W294=0,0,Geometry_h.f.Positive+0.5*MAX(0,W291-Geometry_h.f.Positive))</f>
        <v>#VALUE!</v>
      </c>
      <c r="X306" s="169"/>
      <c r="Y306" s="169"/>
      <c r="Z306" s="169"/>
      <c r="AA306" s="80"/>
      <c r="AB306" s="80"/>
      <c r="BS306" s="103"/>
      <c r="BT306" s="8"/>
      <c r="BU306" s="8"/>
      <c r="BV306" s="8"/>
      <c r="BW306" s="8"/>
      <c r="BX306" s="8"/>
    </row>
    <row r="307" spans="3:77" ht="15" customHeight="1" x14ac:dyDescent="0.2">
      <c r="C307" s="37"/>
      <c r="V307" s="2" t="s">
        <v>278</v>
      </c>
      <c r="W307" s="170" t="e">
        <f>Geometry_d.s.Positive</f>
        <v>#N/A</v>
      </c>
      <c r="X307" s="170"/>
      <c r="Y307" s="170"/>
      <c r="Z307" s="170"/>
      <c r="AA307" s="80"/>
      <c r="AB307" s="80"/>
      <c r="BS307" s="103"/>
      <c r="BT307" s="8"/>
      <c r="BU307" s="8"/>
      <c r="BV307" s="8"/>
      <c r="BW307" s="8"/>
      <c r="BX307" s="8"/>
    </row>
    <row r="308" spans="3:77" ht="15" customHeight="1" x14ac:dyDescent="0.2">
      <c r="C308" s="37"/>
      <c r="V308" s="2" t="s">
        <v>279</v>
      </c>
      <c r="W308" s="170" t="e">
        <f>Geometry_d.p.Positive</f>
        <v>#N/A</v>
      </c>
      <c r="X308" s="170"/>
      <c r="Y308" s="170"/>
      <c r="Z308" s="170"/>
      <c r="AC308" s="78"/>
      <c r="AD308" s="93"/>
      <c r="AE308" s="93"/>
      <c r="AF308" s="93"/>
      <c r="AG308" s="93"/>
      <c r="AH308" s="93"/>
      <c r="AI308" s="93"/>
      <c r="AJ308" s="93"/>
      <c r="AK308" s="93"/>
      <c r="AL308" s="16"/>
      <c r="AM308" s="166" t="s">
        <v>133</v>
      </c>
      <c r="AN308" s="166"/>
      <c r="AO308" s="166"/>
      <c r="AP308" s="166"/>
      <c r="AQ308" s="166"/>
      <c r="AR308" s="166"/>
      <c r="AS308" s="166"/>
      <c r="AT308" s="166"/>
      <c r="AU308" s="166"/>
      <c r="AV308" s="166"/>
      <c r="AW308" s="16"/>
      <c r="BS308" s="103"/>
      <c r="BT308" s="8"/>
      <c r="BU308" s="8"/>
      <c r="BV308" s="8"/>
      <c r="BW308" s="8"/>
      <c r="BX308" s="8"/>
    </row>
    <row r="309" spans="3:77" ht="15" customHeight="1" x14ac:dyDescent="0.2">
      <c r="C309" s="69"/>
      <c r="V309" s="2" t="s">
        <v>238</v>
      </c>
      <c r="W309" s="171" t="e">
        <f>(W308*W296+W307*W295-W306*W294-W305*W293)/12</f>
        <v>#N/A</v>
      </c>
      <c r="X309" s="172"/>
      <c r="Y309" s="172"/>
      <c r="Z309" s="172"/>
      <c r="AA309" s="172"/>
      <c r="AB309" s="173"/>
      <c r="AL309" s="16"/>
      <c r="AM309" s="166"/>
      <c r="AN309" s="166"/>
      <c r="AO309" s="166"/>
      <c r="AP309" s="166"/>
      <c r="AQ309" s="166"/>
      <c r="AR309" s="166"/>
      <c r="AS309" s="166"/>
      <c r="AT309" s="166"/>
      <c r="AU309" s="166"/>
      <c r="AV309" s="166"/>
      <c r="AW309" s="16"/>
      <c r="BS309" s="103"/>
      <c r="BT309" s="8"/>
      <c r="BU309" s="8"/>
      <c r="BV309" s="8"/>
      <c r="BW309" s="8"/>
      <c r="BX309" s="8"/>
    </row>
    <row r="310" spans="3:77" ht="15" customHeight="1" x14ac:dyDescent="0.2">
      <c r="C310" s="69"/>
      <c r="BS310" s="103"/>
      <c r="BT310" s="8"/>
      <c r="BU310" s="8"/>
      <c r="BV310" s="8"/>
      <c r="BW310" s="8"/>
      <c r="BX310" s="8"/>
    </row>
    <row r="311" spans="3:77" ht="15" customHeight="1" x14ac:dyDescent="0.2">
      <c r="C311" s="69"/>
      <c r="G311" s="174" t="s">
        <v>237</v>
      </c>
      <c r="H311" s="174"/>
      <c r="I311" s="174"/>
      <c r="J311" s="174"/>
      <c r="K311" s="174"/>
      <c r="L311" s="174"/>
      <c r="M311" s="174"/>
      <c r="N311" s="174"/>
      <c r="O311" s="174"/>
      <c r="P311" s="174"/>
      <c r="Q311" s="174"/>
      <c r="R311" s="174"/>
      <c r="S311" s="174"/>
      <c r="T311" s="174"/>
      <c r="U311" s="174"/>
      <c r="V311" s="174"/>
      <c r="W311" s="174"/>
      <c r="X311" s="174"/>
      <c r="Y311" s="174"/>
      <c r="Z311" s="174"/>
      <c r="AA311" s="174"/>
      <c r="AB311" s="174"/>
      <c r="AC311" s="175"/>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S311" s="103"/>
      <c r="BT311" s="8"/>
      <c r="BU311" s="8"/>
      <c r="BV311" s="8"/>
      <c r="BW311" s="8"/>
      <c r="BX311" s="8"/>
    </row>
    <row r="312" spans="3:77" ht="15" customHeight="1" x14ac:dyDescent="0.2">
      <c r="C312" s="106"/>
      <c r="D312" s="107"/>
      <c r="E312" s="107"/>
      <c r="F312" s="107"/>
      <c r="G312" s="107"/>
      <c r="H312" s="107"/>
      <c r="I312" s="107"/>
      <c r="J312" s="107"/>
      <c r="K312" s="107"/>
      <c r="L312" s="107"/>
      <c r="M312" s="107"/>
      <c r="N312" s="107"/>
      <c r="O312" s="107"/>
      <c r="P312" s="107"/>
      <c r="Q312" s="107"/>
      <c r="R312" s="107"/>
      <c r="S312" s="107"/>
      <c r="T312" s="107"/>
      <c r="U312" s="107"/>
      <c r="V312" s="2" t="s">
        <v>239</v>
      </c>
      <c r="W312" s="171" t="e" vm="2">
        <f>W302*W309</f>
        <v>#VALUE!</v>
      </c>
      <c r="X312" s="172"/>
      <c r="Y312" s="172"/>
      <c r="Z312" s="172"/>
      <c r="AA312" s="172"/>
      <c r="AB312" s="172"/>
      <c r="AC312" s="124"/>
      <c r="AD312" s="39"/>
      <c r="AE312" s="39"/>
      <c r="AF312" s="39"/>
      <c r="AG312" s="39"/>
      <c r="AH312" s="39"/>
      <c r="AI312" s="39"/>
      <c r="AJ312" s="39"/>
      <c r="AK312" s="39"/>
      <c r="BS312" s="103"/>
      <c r="BT312" s="8"/>
      <c r="BU312" s="8"/>
      <c r="BV312" s="8"/>
      <c r="BW312" s="8"/>
      <c r="BX312" s="8"/>
    </row>
    <row r="313" spans="3:77" ht="15" customHeight="1" x14ac:dyDescent="0.2">
      <c r="C313" s="106"/>
      <c r="D313" s="107"/>
      <c r="E313" s="107"/>
      <c r="F313" s="107"/>
      <c r="G313" s="107"/>
      <c r="H313" s="107"/>
      <c r="I313" s="107"/>
      <c r="J313" s="107"/>
      <c r="K313" s="107"/>
      <c r="L313" s="107"/>
      <c r="M313" s="107"/>
      <c r="N313" s="107"/>
      <c r="O313" s="107"/>
      <c r="P313" s="107"/>
      <c r="Q313" s="107"/>
      <c r="R313" s="107"/>
      <c r="S313" s="107"/>
      <c r="T313" s="107"/>
      <c r="U313" s="107"/>
      <c r="V313" s="2" t="s">
        <v>123</v>
      </c>
      <c r="W313" s="176" t="e" vm="2">
        <f>W237/W312</f>
        <v>#VALUE!</v>
      </c>
      <c r="X313" s="176"/>
      <c r="Y313" s="176"/>
      <c r="Z313" s="176"/>
      <c r="AA313" s="176"/>
      <c r="AB313" s="176"/>
      <c r="AD313" s="39"/>
      <c r="AE313" s="39"/>
      <c r="AF313" s="39"/>
      <c r="AG313" s="39"/>
      <c r="AH313" s="39"/>
      <c r="AI313" s="39"/>
      <c r="AJ313" s="39"/>
      <c r="AK313" s="39"/>
      <c r="AL313" s="16"/>
      <c r="AM313" s="166" t="s">
        <v>133</v>
      </c>
      <c r="AN313" s="166"/>
      <c r="AO313" s="166"/>
      <c r="AP313" s="166"/>
      <c r="AQ313" s="166"/>
      <c r="AR313" s="166"/>
      <c r="AS313" s="166"/>
      <c r="AT313" s="166"/>
      <c r="AU313" s="166"/>
      <c r="AV313" s="166"/>
      <c r="AW313" s="16"/>
      <c r="BS313" s="103"/>
      <c r="BT313" s="8"/>
      <c r="BU313" s="8"/>
      <c r="BV313" s="8"/>
      <c r="BW313" s="8"/>
      <c r="BX313" s="8"/>
    </row>
    <row r="314" spans="3:77" ht="15" customHeight="1" x14ac:dyDescent="0.2">
      <c r="C314" s="69"/>
      <c r="AL314" s="16"/>
      <c r="AM314" s="166"/>
      <c r="AN314" s="166"/>
      <c r="AO314" s="166"/>
      <c r="AP314" s="166"/>
      <c r="AQ314" s="166"/>
      <c r="AR314" s="166"/>
      <c r="AS314" s="166"/>
      <c r="AT314" s="166"/>
      <c r="AU314" s="166"/>
      <c r="AV314" s="166"/>
      <c r="AW314" s="16"/>
      <c r="BS314" s="103"/>
      <c r="BT314" s="8"/>
      <c r="BU314" s="8"/>
      <c r="BV314" s="8"/>
      <c r="BW314" s="8"/>
      <c r="BX314" s="8"/>
    </row>
    <row r="315" spans="3:77" ht="15" customHeight="1" x14ac:dyDescent="0.25">
      <c r="C315" s="294" t="s">
        <v>153</v>
      </c>
      <c r="D315" s="295"/>
      <c r="E315" s="295"/>
      <c r="F315" s="295"/>
      <c r="G315" s="289" t="s">
        <v>47</v>
      </c>
      <c r="H315" s="289"/>
      <c r="I315" s="289"/>
      <c r="J315" s="289"/>
      <c r="K315" s="289"/>
      <c r="L315" s="289"/>
      <c r="M315" s="289"/>
      <c r="N315" s="289"/>
      <c r="O315" s="289"/>
      <c r="P315" s="289"/>
      <c r="Q315" s="289"/>
      <c r="R315" s="289"/>
      <c r="S315" s="289"/>
      <c r="T315" s="289"/>
      <c r="U315" s="289"/>
      <c r="V315" s="289"/>
      <c r="W315" s="289"/>
      <c r="X315" s="289"/>
      <c r="Y315" s="289"/>
      <c r="Z315" s="289"/>
      <c r="AA315" s="289"/>
      <c r="AB315" s="289"/>
      <c r="AC315" s="289"/>
      <c r="AD315" s="289"/>
      <c r="AE315" s="289"/>
      <c r="AF315" s="289"/>
      <c r="AG315" s="289"/>
      <c r="AH315" s="289"/>
      <c r="AI315" s="289"/>
      <c r="AJ315" s="289"/>
      <c r="AK315" s="289"/>
      <c r="AL315" s="289"/>
      <c r="AM315" s="289"/>
      <c r="AN315" s="289"/>
      <c r="AO315" s="289"/>
      <c r="AP315" s="289"/>
      <c r="AQ315" s="289"/>
      <c r="AR315" s="289"/>
      <c r="AS315" s="289"/>
      <c r="AT315" s="289"/>
      <c r="AU315" s="289"/>
      <c r="AV315" s="289"/>
      <c r="AW315" s="289"/>
      <c r="AX315" s="289"/>
      <c r="AY315" s="289"/>
      <c r="AZ315" s="289"/>
      <c r="BA315" s="289"/>
      <c r="BB315" s="289"/>
      <c r="BC315" s="289"/>
      <c r="BD315" s="289"/>
      <c r="BE315" s="289"/>
      <c r="BF315" s="289"/>
      <c r="BG315" s="289"/>
      <c r="BH315" s="289"/>
      <c r="BI315" s="289"/>
      <c r="BJ315" s="289"/>
      <c r="BK315" s="289"/>
      <c r="BL315" s="289"/>
      <c r="BM315" s="289"/>
      <c r="BN315" s="289"/>
      <c r="BO315" s="289"/>
      <c r="BP315" s="289"/>
      <c r="BQ315" s="59"/>
      <c r="BR315" s="59"/>
      <c r="BS315" s="8"/>
      <c r="BT315" s="8"/>
      <c r="BU315" s="8"/>
      <c r="BV315" s="8"/>
      <c r="BW315" s="8"/>
      <c r="BX315" s="8"/>
      <c r="BY315" s="10"/>
    </row>
    <row r="316" spans="3:77" ht="15" customHeight="1" x14ac:dyDescent="0.25">
      <c r="C316" s="294"/>
      <c r="D316" s="295"/>
      <c r="E316" s="295"/>
      <c r="F316" s="295"/>
      <c r="G316" s="289"/>
      <c r="H316" s="289"/>
      <c r="I316" s="289"/>
      <c r="J316" s="289"/>
      <c r="K316" s="289"/>
      <c r="L316" s="289"/>
      <c r="M316" s="289"/>
      <c r="N316" s="289"/>
      <c r="O316" s="289"/>
      <c r="P316" s="289"/>
      <c r="Q316" s="289"/>
      <c r="R316" s="289"/>
      <c r="S316" s="289"/>
      <c r="T316" s="289"/>
      <c r="U316" s="289"/>
      <c r="V316" s="289"/>
      <c r="W316" s="289"/>
      <c r="X316" s="289"/>
      <c r="Y316" s="289"/>
      <c r="Z316" s="289"/>
      <c r="AA316" s="289"/>
      <c r="AB316" s="289"/>
      <c r="AC316" s="289"/>
      <c r="AD316" s="289"/>
      <c r="AE316" s="289"/>
      <c r="AF316" s="289"/>
      <c r="AG316" s="289"/>
      <c r="AH316" s="289"/>
      <c r="AI316" s="289"/>
      <c r="AJ316" s="289"/>
      <c r="AK316" s="289"/>
      <c r="AL316" s="289"/>
      <c r="AM316" s="289"/>
      <c r="AN316" s="289"/>
      <c r="AO316" s="289"/>
      <c r="AP316" s="289"/>
      <c r="AQ316" s="289"/>
      <c r="AR316" s="289"/>
      <c r="AS316" s="289"/>
      <c r="AT316" s="289"/>
      <c r="AU316" s="289"/>
      <c r="AV316" s="289"/>
      <c r="AW316" s="289"/>
      <c r="AX316" s="289"/>
      <c r="AY316" s="289"/>
      <c r="AZ316" s="289"/>
      <c r="BA316" s="289"/>
      <c r="BB316" s="289"/>
      <c r="BC316" s="289"/>
      <c r="BD316" s="289"/>
      <c r="BE316" s="289"/>
      <c r="BF316" s="289"/>
      <c r="BG316" s="289"/>
      <c r="BH316" s="289"/>
      <c r="BI316" s="289"/>
      <c r="BJ316" s="289"/>
      <c r="BK316" s="289"/>
      <c r="BL316" s="289"/>
      <c r="BM316" s="289"/>
      <c r="BN316" s="289"/>
      <c r="BO316" s="289"/>
      <c r="BP316" s="289"/>
      <c r="BQ316" s="59"/>
      <c r="BR316" s="59"/>
      <c r="BS316" s="8"/>
      <c r="BT316" s="8"/>
      <c r="BU316" s="8"/>
      <c r="BV316" s="8"/>
      <c r="BW316" s="8"/>
      <c r="BX316" s="8"/>
      <c r="BY316" s="10"/>
    </row>
    <row r="317" spans="3:77" ht="15" customHeight="1" x14ac:dyDescent="0.25">
      <c r="C317" s="57"/>
      <c r="D317" s="58"/>
      <c r="E317" s="58"/>
      <c r="F317" s="58"/>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BO317" s="59"/>
      <c r="BP317" s="59"/>
      <c r="BQ317" s="59"/>
      <c r="BR317" s="59"/>
      <c r="BS317" s="8"/>
      <c r="BT317" s="8"/>
      <c r="BU317" s="8"/>
      <c r="BV317" s="8"/>
      <c r="BW317" s="8"/>
      <c r="BX317" s="8"/>
      <c r="BY317" s="10"/>
    </row>
    <row r="318" spans="3:77" ht="15" customHeight="1" x14ac:dyDescent="0.2">
      <c r="C318" s="5"/>
      <c r="V318" s="2" t="s">
        <v>134</v>
      </c>
      <c r="W318" s="198" t="e">
        <f>_xlfn.XLOOKUP(Demand_M.u.Negative,Inputs!C25:C124,Inputs!B25:B124)</f>
        <v>#N/A</v>
      </c>
      <c r="X318" s="199"/>
      <c r="Y318" s="199"/>
      <c r="Z318" s="199"/>
      <c r="AA318" s="199"/>
      <c r="AB318" s="199"/>
      <c r="BS318" s="8"/>
      <c r="BT318" s="8"/>
      <c r="BU318" s="8"/>
      <c r="BV318" s="8"/>
      <c r="BW318" s="8"/>
      <c r="BX318" s="8"/>
      <c r="BY318" s="8"/>
    </row>
    <row r="319" spans="3:77" ht="15" customHeight="1" x14ac:dyDescent="0.2">
      <c r="C319" s="5"/>
      <c r="V319" s="2" t="s">
        <v>135</v>
      </c>
      <c r="W319" s="200">
        <f>MIN(Inputs!C25:C124)</f>
        <v>0</v>
      </c>
      <c r="X319" s="201"/>
      <c r="Y319" s="201"/>
      <c r="Z319" s="201"/>
      <c r="AA319" s="201"/>
      <c r="AB319" s="201"/>
      <c r="AC319" s="39"/>
      <c r="AD319" s="39"/>
      <c r="AE319" s="39"/>
      <c r="AF319" s="39"/>
      <c r="AG319" s="39"/>
      <c r="AH319" s="39"/>
      <c r="AI319" s="39"/>
      <c r="AJ319" s="39"/>
      <c r="AK319" s="39"/>
      <c r="AL319" s="16"/>
      <c r="AM319" s="166" t="s">
        <v>120</v>
      </c>
      <c r="AN319" s="166"/>
      <c r="AO319" s="166"/>
      <c r="AP319" s="166"/>
      <c r="AQ319" s="166"/>
      <c r="AR319" s="166"/>
      <c r="AS319" s="166"/>
      <c r="AT319" s="166"/>
      <c r="AU319" s="166"/>
      <c r="AV319" s="166"/>
      <c r="AW319" s="16"/>
      <c r="AX319" s="44"/>
      <c r="AY319" s="44"/>
      <c r="AZ319" s="44"/>
      <c r="BA319" s="44"/>
      <c r="BB319" s="44"/>
      <c r="BC319" s="44"/>
      <c r="BD319" s="44"/>
      <c r="BE319" s="44"/>
      <c r="BF319" s="44"/>
      <c r="BS319" s="8"/>
      <c r="BT319" s="8"/>
      <c r="BU319" s="8"/>
      <c r="BV319" s="8"/>
      <c r="BW319" s="8"/>
      <c r="BX319" s="8"/>
      <c r="BY319" s="10"/>
    </row>
    <row r="320" spans="3:77" ht="15" customHeight="1" x14ac:dyDescent="0.2">
      <c r="C320" s="5"/>
      <c r="V320" s="2" t="s">
        <v>203</v>
      </c>
      <c r="W320" s="202">
        <f>Inputs!B6</f>
        <v>29000</v>
      </c>
      <c r="X320" s="202"/>
      <c r="Y320" s="202"/>
      <c r="Z320" s="202"/>
      <c r="AA320" s="202"/>
      <c r="AB320" s="202"/>
      <c r="AL320" s="16"/>
      <c r="AM320" s="166"/>
      <c r="AN320" s="166"/>
      <c r="AO320" s="166"/>
      <c r="AP320" s="166"/>
      <c r="AQ320" s="166"/>
      <c r="AR320" s="166"/>
      <c r="AS320" s="166"/>
      <c r="AT320" s="166"/>
      <c r="AU320" s="166"/>
      <c r="AV320" s="166"/>
      <c r="AW320" s="16"/>
      <c r="AX320" s="44"/>
      <c r="AY320" s="44"/>
      <c r="AZ320" s="44"/>
      <c r="BA320" s="44"/>
      <c r="BB320" s="44"/>
      <c r="BC320" s="44"/>
      <c r="BD320" s="44"/>
      <c r="BE320" s="44"/>
      <c r="BF320" s="44"/>
      <c r="BS320" s="8"/>
      <c r="BT320" s="8"/>
      <c r="BU320" s="8"/>
      <c r="BV320" s="8"/>
      <c r="BW320" s="8"/>
      <c r="BX320" s="8"/>
      <c r="BY320" s="8"/>
    </row>
    <row r="321" spans="3:77" ht="15" customHeight="1" x14ac:dyDescent="0.2">
      <c r="C321" s="5"/>
      <c r="V321" s="2" t="s">
        <v>362</v>
      </c>
      <c r="W321" s="202">
        <f>Inputs!B7</f>
        <v>28500</v>
      </c>
      <c r="X321" s="202"/>
      <c r="Y321" s="202"/>
      <c r="Z321" s="202"/>
      <c r="AA321" s="202"/>
      <c r="AB321" s="202"/>
      <c r="AM321" s="44"/>
      <c r="AN321" s="44"/>
      <c r="AO321" s="44"/>
      <c r="AP321" s="44"/>
      <c r="AQ321" s="44"/>
      <c r="AR321" s="44"/>
      <c r="AS321" s="44"/>
      <c r="AT321" s="44"/>
      <c r="AU321" s="44"/>
      <c r="AV321" s="44"/>
      <c r="AX321" s="44"/>
      <c r="AY321" s="44"/>
      <c r="AZ321" s="44"/>
      <c r="BA321" s="44"/>
      <c r="BB321" s="44"/>
      <c r="BC321" s="44"/>
      <c r="BD321" s="44"/>
      <c r="BE321" s="44"/>
      <c r="BF321" s="44"/>
      <c r="BS321" s="8"/>
      <c r="BT321" s="8"/>
      <c r="BU321" s="8"/>
      <c r="BV321" s="8"/>
      <c r="BW321" s="8"/>
      <c r="BX321" s="8"/>
      <c r="BY321" s="8"/>
    </row>
    <row r="322" spans="3:77" ht="15" customHeight="1" x14ac:dyDescent="0.2">
      <c r="C322" s="5"/>
      <c r="V322" s="2" t="s">
        <v>199</v>
      </c>
      <c r="W322" s="203" t="e">
        <f>_xlfn.XLOOKUP(Demand_M.u.Negative,Inputs!C25:C124,Inputs!D25:D124)</f>
        <v>#N/A</v>
      </c>
      <c r="X322" s="204"/>
      <c r="Y322" s="204"/>
      <c r="Z322" s="204"/>
      <c r="AA322" s="204"/>
      <c r="AB322" s="204"/>
      <c r="BS322" s="8"/>
      <c r="BT322" s="8"/>
      <c r="BU322" s="8"/>
      <c r="BV322" s="8"/>
      <c r="BW322" s="8"/>
      <c r="BX322" s="8"/>
      <c r="BY322" s="8"/>
    </row>
    <row r="323" spans="3:77" ht="15" customHeight="1" x14ac:dyDescent="0.2">
      <c r="C323" s="5"/>
      <c r="V323" s="2" t="s">
        <v>200</v>
      </c>
      <c r="W323" s="322" t="e">
        <f>_xlfn.XLOOKUP(Demand_M.u.Negative,Inputs!C25:C124,Inputs!K25:K124)</f>
        <v>#N/A</v>
      </c>
      <c r="X323" s="322"/>
      <c r="Y323" s="322"/>
      <c r="Z323" s="322"/>
      <c r="AA323" s="322"/>
      <c r="AB323" s="322"/>
      <c r="BS323" s="8"/>
      <c r="BT323" s="8"/>
      <c r="BU323" s="8"/>
      <c r="BV323" s="8"/>
      <c r="BW323" s="8"/>
      <c r="BX323" s="8"/>
      <c r="BY323" s="8"/>
    </row>
    <row r="324" spans="3:77" ht="15" customHeight="1" x14ac:dyDescent="0.2">
      <c r="C324" s="5"/>
      <c r="V324" s="2" t="s">
        <v>136</v>
      </c>
      <c r="W324" s="202">
        <f>Inputs!B1</f>
        <v>270</v>
      </c>
      <c r="X324" s="205"/>
      <c r="Y324" s="205"/>
      <c r="Z324" s="205"/>
      <c r="AA324" s="205"/>
      <c r="AB324" s="205"/>
      <c r="BS324" s="8"/>
      <c r="BT324" s="8"/>
      <c r="BU324" s="8"/>
      <c r="BV324" s="8"/>
      <c r="BW324" s="8"/>
      <c r="BX324" s="8"/>
      <c r="BY324" s="3" t="s">
        <v>37</v>
      </c>
    </row>
    <row r="325" spans="3:77" ht="15" customHeight="1" x14ac:dyDescent="0.2">
      <c r="C325" s="105"/>
      <c r="V325" s="2" t="s">
        <v>205</v>
      </c>
      <c r="W325" s="202">
        <f>Inputs!B2</f>
        <v>233</v>
      </c>
      <c r="X325" s="206"/>
      <c r="Y325" s="206"/>
      <c r="Z325" s="206"/>
      <c r="AA325" s="206"/>
      <c r="AB325" s="206"/>
      <c r="BS325" s="8"/>
      <c r="BT325" s="8"/>
      <c r="BU325" s="8"/>
      <c r="BV325" s="8"/>
      <c r="BW325" s="8"/>
      <c r="BX325" s="8"/>
      <c r="BY325" s="3"/>
    </row>
    <row r="326" spans="3:77" ht="15" customHeight="1" x14ac:dyDescent="0.2">
      <c r="C326" s="5"/>
      <c r="V326" s="2" t="s">
        <v>83</v>
      </c>
      <c r="W326" s="202">
        <f>Inputs!B3</f>
        <v>243</v>
      </c>
      <c r="X326" s="205"/>
      <c r="Y326" s="205"/>
      <c r="Z326" s="205"/>
      <c r="AA326" s="205"/>
      <c r="AB326" s="205"/>
      <c r="BO326" s="79"/>
      <c r="BP326" s="79"/>
      <c r="BS326" s="8"/>
      <c r="BT326" s="8"/>
      <c r="BU326" s="8"/>
      <c r="BV326" s="8"/>
      <c r="BW326" s="8"/>
      <c r="BX326" s="8"/>
      <c r="BY326" s="3" t="s">
        <v>37</v>
      </c>
    </row>
    <row r="327" spans="3:77" ht="15" customHeight="1" x14ac:dyDescent="0.2">
      <c r="C327" s="5"/>
      <c r="V327" s="2" t="s">
        <v>121</v>
      </c>
      <c r="W327" s="207">
        <f>Inputs!B4</f>
        <v>5</v>
      </c>
      <c r="X327" s="208"/>
      <c r="Y327" s="208"/>
      <c r="Z327" s="208"/>
      <c r="AA327" s="208"/>
      <c r="AB327" s="208"/>
      <c r="BO327" s="79"/>
      <c r="BP327" s="79"/>
      <c r="BS327" s="8"/>
      <c r="BT327" s="8"/>
      <c r="BU327" s="8"/>
      <c r="BV327" s="8"/>
      <c r="BW327" s="8"/>
      <c r="BX327" s="8"/>
      <c r="BY327" s="10"/>
    </row>
    <row r="328" spans="3:77" ht="15" customHeight="1" x14ac:dyDescent="0.2">
      <c r="C328" s="105"/>
      <c r="V328" s="2" t="s">
        <v>317</v>
      </c>
      <c r="W328" s="209">
        <f>Inputs!B10</f>
        <v>100</v>
      </c>
      <c r="X328" s="210"/>
      <c r="Y328" s="210"/>
      <c r="Z328" s="210"/>
      <c r="AA328" s="210"/>
      <c r="AB328" s="210"/>
      <c r="BO328" s="79"/>
      <c r="BP328" s="79"/>
      <c r="BS328" s="8"/>
      <c r="BT328" s="8"/>
      <c r="BU328" s="8"/>
      <c r="BV328" s="8"/>
      <c r="BW328" s="8"/>
      <c r="BX328" s="8"/>
      <c r="BY328" s="10"/>
    </row>
    <row r="329" spans="3:77" ht="15" customHeight="1" x14ac:dyDescent="0.2">
      <c r="C329" s="5"/>
      <c r="V329" s="2" t="s">
        <v>318</v>
      </c>
      <c r="W329" s="181" t="e">
        <f>W328-_xlfn.XLOOKUP(Demand_M.u.Negative,Inputs!C25:C124,Inputs!F25:F124)</f>
        <v>#N/A</v>
      </c>
      <c r="X329" s="181"/>
      <c r="Y329" s="181"/>
      <c r="Z329" s="181"/>
      <c r="AA329" s="181"/>
      <c r="AB329" s="181"/>
      <c r="BS329" s="8"/>
      <c r="BT329" s="8"/>
      <c r="BU329" s="8"/>
      <c r="BV329" s="8"/>
      <c r="BW329" s="8"/>
      <c r="BX329" s="8"/>
      <c r="BY329" s="8"/>
    </row>
    <row r="330" spans="3:77" ht="15" customHeight="1" x14ac:dyDescent="0.2">
      <c r="C330" s="5"/>
      <c r="V330" s="18" t="s">
        <v>320</v>
      </c>
      <c r="W330" s="218" t="e">
        <f>_xlfn.XLOOKUP(Demand_M.u.Negative,Inputs!C25:C124,Inputs!L25:L124)</f>
        <v>#N/A</v>
      </c>
      <c r="X330" s="218"/>
      <c r="Y330" s="218"/>
      <c r="Z330" s="218"/>
      <c r="AA330" s="218"/>
      <c r="AB330" s="218"/>
      <c r="BS330" s="8"/>
      <c r="BT330" s="8"/>
      <c r="BU330" s="8"/>
      <c r="BV330" s="8"/>
      <c r="BW330" s="8"/>
      <c r="BX330" s="8"/>
      <c r="BY330" s="8"/>
    </row>
    <row r="331" spans="3:77" ht="15" customHeight="1" x14ac:dyDescent="0.2">
      <c r="C331" s="5"/>
      <c r="V331" s="2" t="s">
        <v>84</v>
      </c>
      <c r="W331" s="209" t="e">
        <f>_xlfn.XLOOKUP(Demand_M.u.Negative,Inputs!C25:C124,Inputs!E25:E124)</f>
        <v>#N/A</v>
      </c>
      <c r="X331" s="210"/>
      <c r="Y331" s="210"/>
      <c r="Z331" s="210"/>
      <c r="AA331" s="210"/>
      <c r="AB331" s="210"/>
      <c r="BJ331" s="44"/>
      <c r="BK331" s="44"/>
      <c r="BL331" s="44"/>
      <c r="BM331" s="44"/>
      <c r="BS331" s="8"/>
      <c r="BT331" s="8"/>
      <c r="BU331" s="8"/>
      <c r="BV331" s="8"/>
      <c r="BW331" s="8"/>
      <c r="BX331" s="8"/>
      <c r="BY331" s="8"/>
    </row>
    <row r="332" spans="3:77" ht="15" customHeight="1" x14ac:dyDescent="0.2">
      <c r="C332" s="5"/>
      <c r="V332" s="2" t="s">
        <v>314</v>
      </c>
      <c r="W332" s="181" t="e">
        <f>_xlfn.XLOOKUP(Demand_M.u.Negative,Inputs!C25:C124,Inputs!M25:M124)</f>
        <v>#N/A</v>
      </c>
      <c r="X332" s="211"/>
      <c r="Y332" s="211"/>
      <c r="Z332" s="211"/>
      <c r="AA332" s="211"/>
      <c r="AB332" s="211"/>
      <c r="BS332" s="8"/>
      <c r="BT332" s="8"/>
      <c r="BU332" s="8"/>
      <c r="BV332" s="8"/>
      <c r="BW332" s="8"/>
      <c r="BX332" s="8"/>
      <c r="BY332" s="8"/>
    </row>
    <row r="333" spans="3:77" ht="15" customHeight="1" x14ac:dyDescent="0.2">
      <c r="C333" s="5"/>
      <c r="V333" s="18" t="s">
        <v>138</v>
      </c>
      <c r="W333" s="212">
        <f>Inputs!B5</f>
        <v>60</v>
      </c>
      <c r="X333" s="212"/>
      <c r="Y333" s="212"/>
      <c r="Z333" s="212"/>
      <c r="AA333" s="212"/>
      <c r="AB333" s="212"/>
      <c r="AE333" s="45"/>
      <c r="AF333" s="39"/>
      <c r="AG333" s="39"/>
      <c r="AH333" s="39"/>
      <c r="AI333" s="39"/>
      <c r="AJ333" s="39"/>
      <c r="AK333" s="39"/>
      <c r="AL333" s="16"/>
      <c r="AM333" s="166" t="s">
        <v>162</v>
      </c>
      <c r="AN333" s="166"/>
      <c r="AO333" s="166"/>
      <c r="AP333" s="166"/>
      <c r="AQ333" s="166"/>
      <c r="AR333" s="166"/>
      <c r="AS333" s="166"/>
      <c r="AT333" s="166"/>
      <c r="AU333" s="166"/>
      <c r="AV333" s="166"/>
      <c r="AW333" s="166"/>
      <c r="AX333" s="166"/>
      <c r="AY333" s="166"/>
      <c r="AZ333" s="166"/>
      <c r="BA333" s="166"/>
      <c r="BB333" s="166"/>
      <c r="BC333" s="166"/>
      <c r="BD333" s="166"/>
      <c r="BE333" s="166"/>
      <c r="BF333" s="166"/>
      <c r="BG333" s="166"/>
      <c r="BH333" s="166"/>
      <c r="BI333" s="166"/>
      <c r="BJ333" s="16"/>
      <c r="BS333" s="8"/>
      <c r="BT333" s="8"/>
      <c r="BU333" s="8"/>
      <c r="BV333" s="8"/>
      <c r="BW333" s="8"/>
      <c r="BX333" s="8"/>
      <c r="BY333" s="8"/>
    </row>
    <row r="334" spans="3:77" ht="15" customHeight="1" x14ac:dyDescent="0.2">
      <c r="C334" s="37"/>
      <c r="V334" s="18" t="s">
        <v>171</v>
      </c>
      <c r="W334" s="213">
        <f>Inputs!B8</f>
        <v>8</v>
      </c>
      <c r="X334" s="214"/>
      <c r="Y334" s="214"/>
      <c r="Z334" s="214"/>
      <c r="AA334" s="214"/>
      <c r="AB334" s="214"/>
      <c r="AD334" s="45"/>
      <c r="AL334" s="16"/>
      <c r="AM334" s="166"/>
      <c r="AN334" s="166"/>
      <c r="AO334" s="166"/>
      <c r="AP334" s="166"/>
      <c r="AQ334" s="166"/>
      <c r="AR334" s="166"/>
      <c r="AS334" s="166"/>
      <c r="AT334" s="166"/>
      <c r="AU334" s="166"/>
      <c r="AV334" s="166"/>
      <c r="AW334" s="166"/>
      <c r="AX334" s="166"/>
      <c r="AY334" s="166"/>
      <c r="AZ334" s="166"/>
      <c r="BA334" s="166"/>
      <c r="BB334" s="166"/>
      <c r="BC334" s="166"/>
      <c r="BD334" s="166"/>
      <c r="BE334" s="166"/>
      <c r="BF334" s="166"/>
      <c r="BG334" s="166"/>
      <c r="BH334" s="166"/>
      <c r="BI334" s="166"/>
      <c r="BJ334" s="16"/>
      <c r="BK334" s="44"/>
      <c r="BL334" s="44"/>
      <c r="BM334" s="44"/>
      <c r="BS334" s="8"/>
      <c r="BT334" s="8"/>
      <c r="BU334" s="8"/>
      <c r="BV334" s="8"/>
      <c r="BW334" s="8"/>
      <c r="BX334" s="8"/>
      <c r="BY334" s="8"/>
    </row>
    <row r="335" spans="3:77" ht="15" customHeight="1" x14ac:dyDescent="0.2">
      <c r="C335" s="5"/>
      <c r="V335" s="18" t="s">
        <v>172</v>
      </c>
      <c r="W335" s="213">
        <f>Inputs!B9</f>
        <v>3.5</v>
      </c>
      <c r="X335" s="214"/>
      <c r="Y335" s="214"/>
      <c r="Z335" s="214"/>
      <c r="AA335" s="214"/>
      <c r="AB335" s="214"/>
      <c r="AC335" s="45"/>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K335" s="44"/>
      <c r="BL335" s="44"/>
      <c r="BM335" s="44"/>
      <c r="BS335" s="8"/>
      <c r="BT335" s="8"/>
      <c r="BU335" s="8"/>
      <c r="BV335" s="8"/>
      <c r="BW335" s="8"/>
      <c r="BX335" s="8"/>
      <c r="BY335" s="8"/>
    </row>
    <row r="336" spans="3:77" ht="15" customHeight="1" x14ac:dyDescent="0.2">
      <c r="C336" s="105"/>
      <c r="V336" s="2" t="s">
        <v>315</v>
      </c>
      <c r="W336" s="215" t="e">
        <f>_xlfn.XLOOKUP(Demand_M.u.Negative,Inputs!C25:C124,Inputs!N25:N124)</f>
        <v>#N/A</v>
      </c>
      <c r="X336" s="216"/>
      <c r="Y336" s="216"/>
      <c r="Z336" s="216"/>
      <c r="AA336" s="216"/>
      <c r="AB336" s="216"/>
      <c r="AC336" s="87"/>
      <c r="AE336" s="45"/>
      <c r="AF336" s="39"/>
      <c r="AG336" s="39"/>
      <c r="AH336" s="39"/>
      <c r="AI336" s="39"/>
      <c r="AJ336" s="39"/>
      <c r="AK336" s="39"/>
      <c r="AL336" s="16"/>
      <c r="AM336" s="166" t="s">
        <v>274</v>
      </c>
      <c r="AN336" s="166"/>
      <c r="AO336" s="166"/>
      <c r="AP336" s="166"/>
      <c r="AQ336" s="166"/>
      <c r="AR336" s="166"/>
      <c r="AS336" s="166"/>
      <c r="AT336" s="166"/>
      <c r="AU336" s="166"/>
      <c r="AV336" s="166"/>
      <c r="AW336" s="166"/>
      <c r="AX336" s="166"/>
      <c r="AY336" s="166"/>
      <c r="AZ336" s="166"/>
      <c r="BA336" s="166"/>
      <c r="BB336" s="166"/>
      <c r="BC336" s="166"/>
      <c r="BD336" s="166"/>
      <c r="BE336" s="166"/>
      <c r="BF336" s="166"/>
      <c r="BG336" s="166"/>
      <c r="BH336" s="166"/>
      <c r="BI336" s="166"/>
      <c r="BJ336" s="166"/>
      <c r="BK336" s="166"/>
      <c r="BL336" s="166"/>
      <c r="BM336" s="166"/>
      <c r="BN336" s="16"/>
      <c r="BS336" s="8"/>
      <c r="BT336" s="8"/>
      <c r="BU336" s="8"/>
      <c r="BV336" s="8"/>
      <c r="BW336" s="8"/>
      <c r="BX336" s="8"/>
      <c r="BY336" s="3" t="s">
        <v>38</v>
      </c>
    </row>
    <row r="337" spans="3:77" ht="15" customHeight="1" x14ac:dyDescent="0.2">
      <c r="C337" s="105"/>
      <c r="V337" s="17" t="s">
        <v>201</v>
      </c>
      <c r="W337" s="217">
        <f>IF(Mat.Rebar_f.y&lt;=60,MIN(0.002,Mat.Rebar_f.y/29000),IF(Mat.Rebar_f.y=100,0.004,IF(AND(60&lt;Mat.Rebar_f.y,Mat.Rebar_f.y&lt;100),0.004-0.002*(100-Mat.Rebar_f.y)/40,"OUT OF SCOPE")))</f>
        <v>2E-3</v>
      </c>
      <c r="X337" s="217"/>
      <c r="Y337" s="217"/>
      <c r="Z337" s="217"/>
      <c r="AA337" s="217"/>
      <c r="AB337" s="217"/>
      <c r="AD337" s="45"/>
      <c r="AL337" s="16"/>
      <c r="AM337" s="166"/>
      <c r="AN337" s="166"/>
      <c r="AO337" s="166"/>
      <c r="AP337" s="166"/>
      <c r="AQ337" s="166"/>
      <c r="AR337" s="166"/>
      <c r="AS337" s="166"/>
      <c r="AT337" s="166"/>
      <c r="AU337" s="166"/>
      <c r="AV337" s="166"/>
      <c r="AW337" s="166"/>
      <c r="AX337" s="166"/>
      <c r="AY337" s="166"/>
      <c r="AZ337" s="166"/>
      <c r="BA337" s="166"/>
      <c r="BB337" s="166"/>
      <c r="BC337" s="166"/>
      <c r="BD337" s="166"/>
      <c r="BE337" s="166"/>
      <c r="BF337" s="166"/>
      <c r="BG337" s="166"/>
      <c r="BH337" s="166"/>
      <c r="BI337" s="166"/>
      <c r="BJ337" s="166"/>
      <c r="BK337" s="166"/>
      <c r="BL337" s="166"/>
      <c r="BM337" s="166"/>
      <c r="BN337" s="16"/>
      <c r="BS337" s="8"/>
      <c r="BT337" s="8"/>
      <c r="BU337" s="8"/>
      <c r="BV337" s="8"/>
      <c r="BW337" s="8"/>
      <c r="BX337" s="8"/>
      <c r="BY337" s="3" t="s">
        <v>309</v>
      </c>
    </row>
    <row r="338" spans="3:77" ht="15" customHeight="1" x14ac:dyDescent="0.2">
      <c r="C338" s="105"/>
      <c r="V338" s="2" t="s">
        <v>122</v>
      </c>
      <c r="W338" s="176">
        <f>2*(1.04-Mat.PT_f.py/Mat.PT_f.pu)</f>
        <v>0.28000000000000003</v>
      </c>
      <c r="X338" s="176"/>
      <c r="Y338" s="176"/>
      <c r="Z338" s="176"/>
      <c r="AA338" s="176"/>
      <c r="AB338" s="176"/>
      <c r="AC338" s="45"/>
      <c r="AH338" s="90"/>
      <c r="AI338" s="90"/>
      <c r="AJ338" s="90"/>
      <c r="AK338" s="90"/>
      <c r="BS338" s="8"/>
      <c r="BT338" s="8"/>
      <c r="BU338" s="8"/>
      <c r="BV338" s="8"/>
      <c r="BW338" s="8"/>
      <c r="BX338" s="8"/>
      <c r="BY338" s="3" t="s">
        <v>36</v>
      </c>
    </row>
    <row r="339" spans="3:77" ht="15" customHeight="1" x14ac:dyDescent="0.2">
      <c r="C339" s="105"/>
      <c r="V339" s="17" t="s">
        <v>124</v>
      </c>
      <c r="W339" s="219">
        <f>IF(Mat.Conc_f.c&lt;=4,0.85,IF(Mat.Conc_f.c&gt;=8,0.65,0.85-(0.05*(Mat.Conc_f.c-4))))</f>
        <v>0.79999999999999993</v>
      </c>
      <c r="X339" s="220"/>
      <c r="Y339" s="220"/>
      <c r="Z339" s="220"/>
      <c r="AA339" s="220"/>
      <c r="AB339" s="221"/>
      <c r="AC339" s="91"/>
      <c r="AD339" s="39"/>
      <c r="AE339" s="39"/>
      <c r="AF339" s="39"/>
      <c r="AG339" s="39"/>
      <c r="AL339" s="16"/>
      <c r="AM339" s="166" t="s">
        <v>275</v>
      </c>
      <c r="AN339" s="166"/>
      <c r="AO339" s="166"/>
      <c r="AP339" s="166"/>
      <c r="AQ339" s="166"/>
      <c r="AR339" s="166"/>
      <c r="AS339" s="166"/>
      <c r="AT339" s="166"/>
      <c r="AU339" s="166"/>
      <c r="AV339" s="166"/>
      <c r="AW339" s="166"/>
      <c r="AX339" s="166"/>
      <c r="AY339" s="166"/>
      <c r="AZ339" s="166"/>
      <c r="BA339" s="166"/>
      <c r="BB339" s="166"/>
      <c r="BC339" s="166"/>
      <c r="BD339" s="166"/>
      <c r="BE339" s="166"/>
      <c r="BF339" s="166"/>
      <c r="BG339" s="166"/>
      <c r="BH339" s="166"/>
      <c r="BI339" s="166"/>
      <c r="BJ339" s="166"/>
      <c r="BK339" s="166"/>
      <c r="BL339" s="166"/>
      <c r="BM339" s="166"/>
      <c r="BN339" s="16"/>
      <c r="BS339" s="8"/>
      <c r="BT339" s="8"/>
      <c r="BU339" s="8"/>
      <c r="BV339" s="8"/>
      <c r="BW339" s="8"/>
      <c r="BX339" s="8"/>
      <c r="BY339" s="3" t="s">
        <v>41</v>
      </c>
    </row>
    <row r="340" spans="3:77" ht="15" customHeight="1" x14ac:dyDescent="0.2">
      <c r="C340" s="105"/>
      <c r="V340" s="17" t="s">
        <v>125</v>
      </c>
      <c r="W340" s="222">
        <f>IF(Mat.Conc_f.c&lt;=10,0.85,
 IF(Mat.Conc_f.c&gt;=10,MAX(0.85-(0.02*(Mat.Conc_f.c-10)),0.75),"Error"))</f>
        <v>0.85</v>
      </c>
      <c r="X340" s="223"/>
      <c r="Y340" s="223"/>
      <c r="Z340" s="223"/>
      <c r="AA340" s="223"/>
      <c r="AB340" s="223"/>
      <c r="AC340" s="87"/>
      <c r="AL340" s="16"/>
      <c r="AM340" s="166"/>
      <c r="AN340" s="166"/>
      <c r="AO340" s="166"/>
      <c r="AP340" s="166"/>
      <c r="AQ340" s="166"/>
      <c r="AR340" s="166"/>
      <c r="AS340" s="166"/>
      <c r="AT340" s="166"/>
      <c r="AU340" s="166"/>
      <c r="AV340" s="166"/>
      <c r="AW340" s="166"/>
      <c r="AX340" s="166"/>
      <c r="AY340" s="166"/>
      <c r="AZ340" s="166"/>
      <c r="BA340" s="166"/>
      <c r="BB340" s="166"/>
      <c r="BC340" s="166"/>
      <c r="BD340" s="166"/>
      <c r="BE340" s="166"/>
      <c r="BF340" s="166"/>
      <c r="BG340" s="166"/>
      <c r="BH340" s="166"/>
      <c r="BI340" s="166"/>
      <c r="BJ340" s="166"/>
      <c r="BK340" s="166"/>
      <c r="BL340" s="166"/>
      <c r="BM340" s="166"/>
      <c r="BN340" s="16"/>
      <c r="BS340" s="8"/>
      <c r="BT340" s="8"/>
      <c r="BU340" s="8"/>
      <c r="BV340" s="8"/>
      <c r="BW340" s="8"/>
      <c r="BX340" s="8"/>
      <c r="BY340" s="3" t="s">
        <v>41</v>
      </c>
    </row>
    <row r="341" spans="3:77" ht="15" customHeight="1" x14ac:dyDescent="0.2">
      <c r="C341" s="105"/>
      <c r="V341" s="2"/>
      <c r="W341" s="80"/>
      <c r="X341" s="80"/>
      <c r="Y341" s="80"/>
      <c r="Z341" s="80"/>
      <c r="AA341" s="80"/>
      <c r="AB341" s="80"/>
      <c r="BS341" s="8"/>
      <c r="BT341" s="8"/>
      <c r="BU341" s="8"/>
      <c r="BV341" s="8"/>
      <c r="BW341" s="8"/>
      <c r="BX341" s="8"/>
      <c r="BY341" s="8"/>
    </row>
    <row r="342" spans="3:77" ht="15" customHeight="1" x14ac:dyDescent="0.2">
      <c r="C342" s="105"/>
      <c r="V342" s="2"/>
      <c r="W342" s="80"/>
      <c r="X342" s="80"/>
      <c r="Y342" s="80"/>
      <c r="Z342" s="80"/>
      <c r="AA342" s="80"/>
      <c r="AB342" s="80"/>
      <c r="BS342" s="8"/>
      <c r="BT342" s="8"/>
      <c r="BU342" s="8"/>
      <c r="BV342" s="8"/>
      <c r="BW342" s="8"/>
      <c r="BX342" s="8"/>
      <c r="BY342" s="8"/>
    </row>
    <row r="343" spans="3:77" ht="15" customHeight="1" x14ac:dyDescent="0.2">
      <c r="C343" s="105"/>
      <c r="V343" s="2"/>
      <c r="W343" s="80"/>
      <c r="X343" s="80"/>
      <c r="Y343" s="80"/>
      <c r="Z343" s="80"/>
      <c r="AA343" s="80"/>
      <c r="AB343" s="80"/>
      <c r="BS343" s="8"/>
      <c r="BT343" s="8"/>
      <c r="BU343" s="8"/>
      <c r="BV343" s="8"/>
      <c r="BW343" s="8"/>
      <c r="BX343" s="8"/>
      <c r="BY343" s="8"/>
    </row>
    <row r="344" spans="3:77" ht="15" customHeight="1" x14ac:dyDescent="0.2">
      <c r="C344" s="105"/>
      <c r="V344" s="2"/>
      <c r="W344" s="80"/>
      <c r="X344" s="80"/>
      <c r="Y344" s="80"/>
      <c r="Z344" s="80"/>
      <c r="AA344" s="80"/>
      <c r="AB344" s="80"/>
      <c r="BS344" s="8"/>
      <c r="BT344" s="8"/>
      <c r="BU344" s="8"/>
      <c r="BV344" s="8"/>
      <c r="BW344" s="8"/>
      <c r="BX344" s="8"/>
      <c r="BY344" s="8"/>
    </row>
    <row r="345" spans="3:77" ht="15" customHeight="1" x14ac:dyDescent="0.2">
      <c r="C345" s="105"/>
      <c r="BS345" s="8"/>
      <c r="BT345" s="8"/>
      <c r="BU345" s="8"/>
      <c r="BV345" s="8"/>
      <c r="BW345" s="8"/>
      <c r="BX345" s="8"/>
      <c r="BY345" s="8"/>
    </row>
    <row r="346" spans="3:77" ht="15" customHeight="1" x14ac:dyDescent="0.2">
      <c r="C346" s="105"/>
      <c r="BS346" s="8"/>
      <c r="BT346" s="8"/>
      <c r="BU346" s="8"/>
      <c r="BV346" s="8"/>
      <c r="BW346" s="8"/>
      <c r="BX346" s="8"/>
      <c r="BY346" s="8"/>
    </row>
    <row r="347" spans="3:77" ht="15" customHeight="1" x14ac:dyDescent="0.2">
      <c r="C347" s="105"/>
      <c r="BS347" s="8"/>
      <c r="BT347" s="8"/>
      <c r="BU347" s="8"/>
      <c r="BV347" s="8"/>
      <c r="BW347" s="8"/>
      <c r="BX347" s="8"/>
      <c r="BY347" s="8"/>
    </row>
    <row r="348" spans="3:77" ht="15" customHeight="1" x14ac:dyDescent="0.2">
      <c r="C348" s="105"/>
      <c r="BS348" s="8"/>
      <c r="BT348" s="8"/>
      <c r="BU348" s="8"/>
      <c r="BV348" s="8"/>
      <c r="BW348" s="8"/>
      <c r="BX348" s="8"/>
      <c r="BY348" s="8"/>
    </row>
    <row r="349" spans="3:77" ht="15" customHeight="1" x14ac:dyDescent="0.2">
      <c r="C349" s="105"/>
      <c r="BS349" s="8"/>
      <c r="BT349" s="8"/>
      <c r="BU349" s="8"/>
      <c r="BV349" s="8"/>
      <c r="BW349" s="8"/>
      <c r="BX349" s="8"/>
      <c r="BY349" s="8"/>
    </row>
    <row r="350" spans="3:77" ht="15" customHeight="1" x14ac:dyDescent="0.2">
      <c r="C350" s="105"/>
      <c r="BS350" s="8"/>
      <c r="BT350" s="8"/>
      <c r="BU350" s="8"/>
      <c r="BV350" s="8"/>
      <c r="BW350" s="8"/>
      <c r="BX350" s="8"/>
      <c r="BY350" s="8"/>
    </row>
    <row r="351" spans="3:77" ht="15" customHeight="1" x14ac:dyDescent="0.2">
      <c r="C351" s="105"/>
      <c r="BS351" s="8"/>
      <c r="BT351" s="8"/>
      <c r="BU351" s="8"/>
      <c r="BV351" s="8"/>
      <c r="BW351" s="8"/>
      <c r="BX351" s="8"/>
      <c r="BY351" s="8"/>
    </row>
    <row r="352" spans="3:77" ht="15" customHeight="1" x14ac:dyDescent="0.2">
      <c r="C352" s="105"/>
      <c r="BS352" s="8"/>
      <c r="BT352" s="8"/>
      <c r="BU352" s="8"/>
      <c r="BV352" s="8"/>
      <c r="BW352" s="8"/>
      <c r="BX352" s="8"/>
      <c r="BY352" s="8"/>
    </row>
    <row r="353" spans="3:77" ht="15" customHeight="1" x14ac:dyDescent="0.2">
      <c r="C353" s="105"/>
      <c r="BS353" s="8"/>
      <c r="BT353" s="8"/>
      <c r="BU353" s="8"/>
      <c r="BV353" s="8"/>
      <c r="BW353" s="8"/>
      <c r="BX353" s="8"/>
      <c r="BY353" s="8"/>
    </row>
    <row r="354" spans="3:77" ht="15" customHeight="1" x14ac:dyDescent="0.2">
      <c r="C354" s="105"/>
      <c r="BS354" s="8"/>
      <c r="BT354" s="8"/>
      <c r="BU354" s="8"/>
      <c r="BV354" s="8"/>
      <c r="BW354" s="8"/>
      <c r="BX354" s="8"/>
      <c r="BY354" s="8"/>
    </row>
    <row r="355" spans="3:77" ht="15" customHeight="1" x14ac:dyDescent="0.2">
      <c r="C355" s="105"/>
      <c r="BS355" s="8"/>
      <c r="BT355" s="8"/>
      <c r="BU355" s="8"/>
      <c r="BV355" s="8"/>
      <c r="BW355" s="8"/>
      <c r="BX355" s="8"/>
      <c r="BY355" s="8"/>
    </row>
    <row r="356" spans="3:77" ht="15" customHeight="1" x14ac:dyDescent="0.2">
      <c r="C356" s="105"/>
      <c r="BS356" s="8"/>
      <c r="BT356" s="8"/>
      <c r="BU356" s="8"/>
      <c r="BV356" s="8"/>
      <c r="BW356" s="8"/>
      <c r="BX356" s="8"/>
      <c r="BY356" s="8"/>
    </row>
    <row r="357" spans="3:77" ht="15" customHeight="1" x14ac:dyDescent="0.2">
      <c r="C357" s="105"/>
      <c r="V357" s="2"/>
      <c r="W357" s="80"/>
      <c r="X357" s="80"/>
      <c r="Y357" s="80"/>
      <c r="Z357" s="80"/>
      <c r="AA357" s="80"/>
      <c r="AB357" s="80"/>
      <c r="AI357" s="79"/>
      <c r="AJ357" s="79"/>
      <c r="AK357" s="79"/>
      <c r="AL357" s="79"/>
      <c r="BS357" s="8"/>
      <c r="BT357" s="8"/>
      <c r="BU357" s="8"/>
      <c r="BV357" s="8"/>
      <c r="BW357" s="8"/>
      <c r="BX357" s="8"/>
      <c r="BY357" s="8"/>
    </row>
    <row r="358" spans="3:77" ht="15" customHeight="1" x14ac:dyDescent="0.2">
      <c r="C358" s="105"/>
      <c r="V358" s="2"/>
      <c r="W358" s="80"/>
      <c r="X358" s="80"/>
      <c r="Y358" s="80"/>
      <c r="Z358" s="80"/>
      <c r="AA358" s="80"/>
      <c r="AB358" s="80"/>
      <c r="AI358" s="79"/>
      <c r="AJ358" s="79"/>
      <c r="AK358" s="79"/>
      <c r="AL358" s="79"/>
      <c r="BS358" s="8"/>
      <c r="BT358" s="8"/>
      <c r="BU358" s="8"/>
      <c r="BV358" s="8"/>
      <c r="BW358" s="8"/>
      <c r="BX358" s="8"/>
      <c r="BY358" s="8"/>
    </row>
    <row r="359" spans="3:77" ht="15" customHeight="1" x14ac:dyDescent="0.2">
      <c r="C359" s="105"/>
      <c r="V359" s="2"/>
      <c r="W359" s="80"/>
      <c r="X359" s="80"/>
      <c r="Y359" s="80"/>
      <c r="Z359" s="80"/>
      <c r="AA359" s="80"/>
      <c r="AB359" s="80"/>
      <c r="AI359" s="79"/>
      <c r="AJ359" s="79"/>
      <c r="AK359" s="79"/>
      <c r="AL359" s="79"/>
      <c r="BS359" s="8"/>
      <c r="BT359" s="8"/>
      <c r="BU359" s="8"/>
      <c r="BV359" s="8"/>
      <c r="BW359" s="8"/>
      <c r="BX359" s="8"/>
      <c r="BY359" s="8"/>
    </row>
    <row r="360" spans="3:77" ht="15" customHeight="1" x14ac:dyDescent="0.2">
      <c r="C360" s="37"/>
      <c r="G360" s="266" t="str">
        <f>"Table "&amp;Inputs!B14&amp;"-2.  Equilibrium of Horizontal Force Iteration to Determine Neutral Axis"</f>
        <v>Table C.1-2.  Equilibrium of Horizontal Force Iteration to Determine Neutral Axis</v>
      </c>
      <c r="H360" s="266"/>
      <c r="I360" s="266"/>
      <c r="J360" s="266"/>
      <c r="K360" s="266"/>
      <c r="L360" s="266"/>
      <c r="M360" s="266"/>
      <c r="N360" s="266"/>
      <c r="O360" s="266"/>
      <c r="P360" s="266"/>
      <c r="Q360" s="266"/>
      <c r="R360" s="266"/>
      <c r="S360" s="266"/>
      <c r="T360" s="266"/>
      <c r="U360" s="266"/>
      <c r="V360" s="266"/>
      <c r="W360" s="266"/>
      <c r="X360" s="266"/>
      <c r="Y360" s="266"/>
      <c r="Z360" s="266"/>
      <c r="AA360" s="266"/>
      <c r="AB360" s="266"/>
      <c r="AC360" s="266"/>
      <c r="AD360" s="266"/>
      <c r="AE360" s="266"/>
      <c r="AF360" s="266"/>
      <c r="AG360" s="266"/>
      <c r="AH360" s="266"/>
      <c r="AI360" s="266"/>
      <c r="AJ360" s="266"/>
      <c r="AK360" s="266"/>
      <c r="AL360" s="266"/>
      <c r="AM360" s="266"/>
      <c r="AN360" s="266"/>
      <c r="AO360" s="266"/>
      <c r="AP360" s="266"/>
      <c r="AQ360" s="266"/>
      <c r="AR360" s="266"/>
      <c r="AS360" s="266"/>
      <c r="AT360" s="266"/>
      <c r="AU360" s="266"/>
      <c r="AV360" s="266"/>
      <c r="AW360" s="266"/>
      <c r="AX360" s="266"/>
      <c r="AY360" s="266"/>
      <c r="AZ360" s="266"/>
      <c r="BA360" s="266"/>
      <c r="BB360" s="266"/>
      <c r="BC360" s="266"/>
      <c r="BD360" s="266"/>
      <c r="BE360" s="266"/>
      <c r="BF360" s="266"/>
      <c r="BG360" s="266"/>
      <c r="BH360" s="266"/>
      <c r="BI360" s="266"/>
      <c r="BJ360" s="266"/>
      <c r="BK360" s="266"/>
      <c r="BL360" s="266"/>
      <c r="BM360" s="266"/>
      <c r="BN360" s="266"/>
      <c r="BO360" s="266"/>
      <c r="BP360" s="266"/>
      <c r="BQ360" s="266"/>
      <c r="BS360" s="8"/>
      <c r="BT360" s="8"/>
      <c r="BU360" s="8"/>
      <c r="BV360" s="8"/>
      <c r="BW360" s="8"/>
      <c r="BX360" s="8"/>
      <c r="BY360" s="8"/>
    </row>
    <row r="361" spans="3:77" ht="15" customHeight="1" x14ac:dyDescent="0.2">
      <c r="C361" s="37"/>
      <c r="G361" s="231" t="s">
        <v>197</v>
      </c>
      <c r="H361" s="231"/>
      <c r="I361" s="231"/>
      <c r="J361" s="241" t="s">
        <v>212</v>
      </c>
      <c r="K361" s="236"/>
      <c r="L361" s="237"/>
      <c r="M361" s="278" t="s">
        <v>206</v>
      </c>
      <c r="N361" s="279"/>
      <c r="O361" s="279"/>
      <c r="P361" s="279"/>
      <c r="Q361" s="279"/>
      <c r="R361" s="279"/>
      <c r="S361" s="279"/>
      <c r="T361" s="279"/>
      <c r="U361" s="279"/>
      <c r="V361" s="279"/>
      <c r="W361" s="279"/>
      <c r="X361" s="280"/>
      <c r="Y361" s="272" t="s">
        <v>207</v>
      </c>
      <c r="Z361" s="273"/>
      <c r="AA361" s="273"/>
      <c r="AB361" s="273"/>
      <c r="AC361" s="273"/>
      <c r="AD361" s="273"/>
      <c r="AE361" s="273"/>
      <c r="AF361" s="273"/>
      <c r="AG361" s="273"/>
      <c r="AH361" s="273"/>
      <c r="AI361" s="273"/>
      <c r="AJ361" s="273"/>
      <c r="AK361" s="273"/>
      <c r="AL361" s="273"/>
      <c r="AM361" s="273"/>
      <c r="AN361" s="273"/>
      <c r="AO361" s="273"/>
      <c r="AP361" s="273"/>
      <c r="AQ361" s="273"/>
      <c r="AR361" s="274"/>
      <c r="AS361" s="272" t="s">
        <v>208</v>
      </c>
      <c r="AT361" s="273"/>
      <c r="AU361" s="273"/>
      <c r="AV361" s="273"/>
      <c r="AW361" s="273"/>
      <c r="AX361" s="273"/>
      <c r="AY361" s="273"/>
      <c r="AZ361" s="273"/>
      <c r="BA361" s="274"/>
      <c r="BB361" s="278" t="s">
        <v>209</v>
      </c>
      <c r="BC361" s="279"/>
      <c r="BD361" s="279"/>
      <c r="BE361" s="279"/>
      <c r="BF361" s="279"/>
      <c r="BG361" s="279"/>
      <c r="BH361" s="279"/>
      <c r="BI361" s="279"/>
      <c r="BJ361" s="279"/>
      <c r="BK361" s="279"/>
      <c r="BL361" s="279"/>
      <c r="BM361" s="280"/>
      <c r="BN361" s="275" t="s">
        <v>226</v>
      </c>
      <c r="BO361" s="231"/>
      <c r="BP361" s="231"/>
      <c r="BQ361" s="231"/>
      <c r="BS361" s="8"/>
      <c r="BT361" s="8"/>
      <c r="BU361" s="8"/>
      <c r="BV361" s="8"/>
      <c r="BW361" s="8"/>
      <c r="BX361" s="8"/>
      <c r="BY361" s="8"/>
    </row>
    <row r="362" spans="3:77" ht="15" customHeight="1" x14ac:dyDescent="0.2">
      <c r="C362" s="37"/>
      <c r="G362" s="231"/>
      <c r="H362" s="231"/>
      <c r="I362" s="231"/>
      <c r="J362" s="269"/>
      <c r="K362" s="270"/>
      <c r="L362" s="271"/>
      <c r="M362" s="245" t="s">
        <v>213</v>
      </c>
      <c r="N362" s="231"/>
      <c r="O362" s="231"/>
      <c r="P362" s="231"/>
      <c r="Q362" s="231" t="s">
        <v>214</v>
      </c>
      <c r="R362" s="231"/>
      <c r="S362" s="231"/>
      <c r="T362" s="231"/>
      <c r="U362" s="231" t="s">
        <v>215</v>
      </c>
      <c r="V362" s="231"/>
      <c r="W362" s="231"/>
      <c r="X362" s="247"/>
      <c r="Y362" s="292" t="s">
        <v>216</v>
      </c>
      <c r="Z362" s="225"/>
      <c r="AA362" s="225"/>
      <c r="AB362" s="225"/>
      <c r="AC362" s="225" t="s">
        <v>217</v>
      </c>
      <c r="AD362" s="225"/>
      <c r="AE362" s="225"/>
      <c r="AF362" s="225"/>
      <c r="AG362" s="225" t="s">
        <v>218</v>
      </c>
      <c r="AH362" s="225"/>
      <c r="AI362" s="225"/>
      <c r="AJ362" s="225"/>
      <c r="AK362" s="227" t="s">
        <v>219</v>
      </c>
      <c r="AL362" s="228"/>
      <c r="AM362" s="228"/>
      <c r="AN362" s="228"/>
      <c r="AO362" s="231" t="s">
        <v>220</v>
      </c>
      <c r="AP362" s="231"/>
      <c r="AQ362" s="231"/>
      <c r="AR362" s="232"/>
      <c r="AS362" s="235" t="s">
        <v>221</v>
      </c>
      <c r="AT362" s="236"/>
      <c r="AU362" s="237"/>
      <c r="AV362" s="241" t="s">
        <v>222</v>
      </c>
      <c r="AW362" s="236"/>
      <c r="AX362" s="237"/>
      <c r="AY362" s="241" t="s">
        <v>223</v>
      </c>
      <c r="AZ362" s="236"/>
      <c r="BA362" s="243"/>
      <c r="BB362" s="245" t="s">
        <v>224</v>
      </c>
      <c r="BC362" s="231"/>
      <c r="BD362" s="231"/>
      <c r="BE362" s="231"/>
      <c r="BF362" s="231" t="s">
        <v>225</v>
      </c>
      <c r="BG362" s="231"/>
      <c r="BH362" s="231"/>
      <c r="BI362" s="231"/>
      <c r="BJ362" s="231" t="s">
        <v>227</v>
      </c>
      <c r="BK362" s="231"/>
      <c r="BL362" s="231"/>
      <c r="BM362" s="247"/>
      <c r="BN362" s="275"/>
      <c r="BO362" s="231"/>
      <c r="BP362" s="231"/>
      <c r="BQ362" s="231"/>
      <c r="BS362" s="8"/>
      <c r="BT362" s="8"/>
      <c r="BU362" s="8"/>
      <c r="BV362" s="8"/>
      <c r="BW362" s="8"/>
      <c r="BX362" s="8"/>
      <c r="BY362" s="8"/>
    </row>
    <row r="363" spans="3:77" ht="15" customHeight="1" thickBot="1" x14ac:dyDescent="0.25">
      <c r="C363" s="37"/>
      <c r="G363" s="233"/>
      <c r="H363" s="233"/>
      <c r="I363" s="233"/>
      <c r="J363" s="242"/>
      <c r="K363" s="239"/>
      <c r="L363" s="240"/>
      <c r="M363" s="246"/>
      <c r="N363" s="233"/>
      <c r="O363" s="233"/>
      <c r="P363" s="233"/>
      <c r="Q363" s="233"/>
      <c r="R363" s="233"/>
      <c r="S363" s="233"/>
      <c r="T363" s="233"/>
      <c r="U363" s="233"/>
      <c r="V363" s="233"/>
      <c r="W363" s="233"/>
      <c r="X363" s="248"/>
      <c r="Y363" s="293"/>
      <c r="Z363" s="226"/>
      <c r="AA363" s="226"/>
      <c r="AB363" s="226"/>
      <c r="AC363" s="226"/>
      <c r="AD363" s="226"/>
      <c r="AE363" s="226"/>
      <c r="AF363" s="226"/>
      <c r="AG363" s="226"/>
      <c r="AH363" s="226"/>
      <c r="AI363" s="226"/>
      <c r="AJ363" s="226"/>
      <c r="AK363" s="229"/>
      <c r="AL363" s="230"/>
      <c r="AM363" s="230"/>
      <c r="AN363" s="230"/>
      <c r="AO363" s="233"/>
      <c r="AP363" s="233"/>
      <c r="AQ363" s="233"/>
      <c r="AR363" s="234"/>
      <c r="AS363" s="238"/>
      <c r="AT363" s="239"/>
      <c r="AU363" s="240"/>
      <c r="AV363" s="242"/>
      <c r="AW363" s="239"/>
      <c r="AX363" s="240"/>
      <c r="AY363" s="242"/>
      <c r="AZ363" s="239"/>
      <c r="BA363" s="244"/>
      <c r="BB363" s="246"/>
      <c r="BC363" s="233"/>
      <c r="BD363" s="233"/>
      <c r="BE363" s="233"/>
      <c r="BF363" s="233"/>
      <c r="BG363" s="233"/>
      <c r="BH363" s="233"/>
      <c r="BI363" s="233"/>
      <c r="BJ363" s="233"/>
      <c r="BK363" s="233"/>
      <c r="BL363" s="233"/>
      <c r="BM363" s="248"/>
      <c r="BN363" s="276"/>
      <c r="BO363" s="233"/>
      <c r="BP363" s="233"/>
      <c r="BQ363" s="233"/>
      <c r="BS363" s="8"/>
      <c r="BT363" s="8"/>
      <c r="BU363" s="8"/>
      <c r="BV363" s="8"/>
      <c r="BW363" s="8"/>
      <c r="BX363" s="8"/>
      <c r="BY363" s="8"/>
    </row>
    <row r="364" spans="3:77" ht="15" customHeight="1" thickTop="1" x14ac:dyDescent="0.2">
      <c r="C364" s="37"/>
      <c r="G364" s="257" t="e">
        <f>IF(ABS(BB364)&lt;0.01,"",1)</f>
        <v>#N/A</v>
      </c>
      <c r="H364" s="257"/>
      <c r="I364" s="257"/>
      <c r="J364" s="258" t="e">
        <f>Geometry_h.f.Negative</f>
        <v>#N/A</v>
      </c>
      <c r="K364" s="259"/>
      <c r="L364" s="260"/>
      <c r="M364" s="186" t="e">
        <f t="shared" ref="M364:M373" si="16">IF(J364="--","--",$W$337*(Geometry_d.s.Negative-J364)/J364)</f>
        <v>#N/A</v>
      </c>
      <c r="N364" s="187"/>
      <c r="O364" s="187"/>
      <c r="P364" s="187"/>
      <c r="Q364" s="249" t="e">
        <f t="shared" ref="Q364:Q373" si="17">IF(J364="--","--",MIN($W$333,M364*$W$320))</f>
        <v>#N/A</v>
      </c>
      <c r="R364" s="249"/>
      <c r="S364" s="249"/>
      <c r="T364" s="249"/>
      <c r="U364" s="249" t="e">
        <f>IF(J364="--","--",$W$323*Q364)</f>
        <v>#N/A</v>
      </c>
      <c r="V364" s="249"/>
      <c r="W364" s="249"/>
      <c r="X364" s="250"/>
      <c r="Y364" s="187" t="e">
        <f>IF(J364="--","--",Mat.PT_f.pe/Mat.PT_E.ps)</f>
        <v>#N/A</v>
      </c>
      <c r="Z364" s="187"/>
      <c r="AA364" s="187"/>
      <c r="AB364" s="187"/>
      <c r="AC364" s="187" t="e">
        <f>IF(J364="--","--",Mat.Rebar_epsilon.cl*((Geometry_d.p.Negative-J364)/J364))</f>
        <v>#N/A</v>
      </c>
      <c r="AD364" s="187"/>
      <c r="AE364" s="187"/>
      <c r="AF364" s="187"/>
      <c r="AG364" s="187" t="e">
        <f>IF(J364="--","--",Y364+AC364)</f>
        <v>#N/A</v>
      </c>
      <c r="AH364" s="187"/>
      <c r="AI364" s="187"/>
      <c r="AJ364" s="187"/>
      <c r="AK364" s="261" t="e">
        <f>IF(J364="--","--",Mat.PT_f.pu*(1-Mat.PT_k*J364/Geometry_d.p.Negative))</f>
        <v>#N/A</v>
      </c>
      <c r="AL364" s="249"/>
      <c r="AM364" s="249"/>
      <c r="AN364" s="249"/>
      <c r="AO364" s="249" t="e">
        <f>IF(J364="--","--",Mat.PT_A.ps*AK364)</f>
        <v>#N/A</v>
      </c>
      <c r="AP364" s="249"/>
      <c r="AQ364" s="249"/>
      <c r="AR364" s="262"/>
      <c r="AS364" s="263" t="e">
        <f>IF(J364="--","--",J364*Mat.Conc_Beta.1)</f>
        <v>#N/A</v>
      </c>
      <c r="AT364" s="264"/>
      <c r="AU364" s="265"/>
      <c r="AV364" s="253" t="e">
        <f t="shared" ref="AV364:AV373" si="18">IF(J364="--","--",Mat.Conc_Alpha.1*Mat.Conc_f.c*Geometry_b.Negative*MIN(AS364,Geometry_h.f.Negative))</f>
        <v>#N/A</v>
      </c>
      <c r="AW364" s="254"/>
      <c r="AX364" s="255"/>
      <c r="AY364" s="253" t="e">
        <f t="shared" ref="AY364:AY373" si="19">IF(J364="--","--",Mat.Conc_Alpha.1*Mat.Conc_f.c*$W$331*MAX(0,AS364-Geometry_h.f.Negative))</f>
        <v>#N/A</v>
      </c>
      <c r="AZ364" s="254"/>
      <c r="BA364" s="255"/>
      <c r="BB364" s="256" t="e">
        <f t="shared" ref="BB364:BB373" si="20">IF(J364="--","--",SUM(AV364:BA364))</f>
        <v>#N/A</v>
      </c>
      <c r="BC364" s="249"/>
      <c r="BD364" s="249"/>
      <c r="BE364" s="249"/>
      <c r="BF364" s="249" t="e">
        <f t="shared" ref="BF364:BF373" si="21">IF(J364="--","--",U364+AO364)</f>
        <v>#N/A</v>
      </c>
      <c r="BG364" s="249"/>
      <c r="BH364" s="249"/>
      <c r="BI364" s="249"/>
      <c r="BJ364" s="249" t="e">
        <f>IF(J364="--","--",BB364-BF364)</f>
        <v>#N/A</v>
      </c>
      <c r="BK364" s="249"/>
      <c r="BL364" s="249"/>
      <c r="BM364" s="250"/>
      <c r="BN364" s="251" t="e">
        <f>IF(ABS(BJ364)&lt;=0.001,"Solved",IF(BJ364&gt;0,0.85*J364,1.15*J364))</f>
        <v>#N/A</v>
      </c>
      <c r="BO364" s="252"/>
      <c r="BP364" s="252"/>
      <c r="BQ364" s="252"/>
      <c r="BS364" s="8"/>
      <c r="BT364" s="8"/>
      <c r="BU364" s="8"/>
      <c r="BV364" s="8"/>
      <c r="BW364" s="8"/>
      <c r="BX364" s="8"/>
      <c r="BY364" s="8"/>
    </row>
    <row r="365" spans="3:77" ht="15" customHeight="1" x14ac:dyDescent="0.2">
      <c r="C365" s="37"/>
      <c r="G365" s="182">
        <v>2</v>
      </c>
      <c r="H365" s="182"/>
      <c r="I365" s="182"/>
      <c r="J365" s="183" t="e">
        <f>IF(BN364="Solved","--",BN364)</f>
        <v>#N/A</v>
      </c>
      <c r="K365" s="184"/>
      <c r="L365" s="185"/>
      <c r="M365" s="186" t="e">
        <f t="shared" si="16"/>
        <v>#N/A</v>
      </c>
      <c r="N365" s="187"/>
      <c r="O365" s="187"/>
      <c r="P365" s="187"/>
      <c r="Q365" s="188" t="e">
        <f t="shared" si="17"/>
        <v>#N/A</v>
      </c>
      <c r="R365" s="188"/>
      <c r="S365" s="188"/>
      <c r="T365" s="188"/>
      <c r="U365" s="188" t="e">
        <f>IF(J365="--","--",$W$323*Q365)</f>
        <v>#N/A</v>
      </c>
      <c r="V365" s="188"/>
      <c r="W365" s="188"/>
      <c r="X365" s="193"/>
      <c r="Y365" s="224" t="e">
        <f t="shared" ref="Y365:Y367" si="22">IF(J365="--","--",Mat.PT_f.pe/Mat.PT_E.ps)</f>
        <v>#N/A</v>
      </c>
      <c r="Z365" s="224"/>
      <c r="AA365" s="224"/>
      <c r="AB365" s="224"/>
      <c r="AC365" s="187" t="e">
        <f t="shared" ref="AC365:AC373" si="23">IF(J365="--","--",Mat.Rebar_epsilon.cl*((Geometry_d.p.Negative-J365)/J365))</f>
        <v>#N/A</v>
      </c>
      <c r="AD365" s="187"/>
      <c r="AE365" s="187"/>
      <c r="AF365" s="187"/>
      <c r="AG365" s="224" t="e">
        <f t="shared" ref="AG365:AG367" si="24">IF(J365="--","--",Y365+AC365)</f>
        <v>#N/A</v>
      </c>
      <c r="AH365" s="224"/>
      <c r="AI365" s="224"/>
      <c r="AJ365" s="224"/>
      <c r="AK365" s="195" t="e">
        <f t="shared" ref="AK365:AK373" si="25">IF(J365="--","--",Mat.PT_f.pu*(1-Mat.PT_k*J365/Geometry_d.p.Negative))</f>
        <v>#N/A</v>
      </c>
      <c r="AL365" s="188"/>
      <c r="AM365" s="188"/>
      <c r="AN365" s="188"/>
      <c r="AO365" s="188" t="e">
        <f t="shared" ref="AO365:AO373" si="26">IF(J365="--","--",Mat.PT_A.ps*AK365)</f>
        <v>#N/A</v>
      </c>
      <c r="AP365" s="188"/>
      <c r="AQ365" s="188"/>
      <c r="AR365" s="196"/>
      <c r="AS365" s="197" t="e">
        <f t="shared" ref="AS365:AS373" si="27">IF(J365="--","--",J365*Mat.Conc_Beta.1)</f>
        <v>#N/A</v>
      </c>
      <c r="AT365" s="184"/>
      <c r="AU365" s="185"/>
      <c r="AV365" s="189" t="e">
        <f t="shared" si="18"/>
        <v>#N/A</v>
      </c>
      <c r="AW365" s="190"/>
      <c r="AX365" s="191"/>
      <c r="AY365" s="189" t="e">
        <f t="shared" si="19"/>
        <v>#N/A</v>
      </c>
      <c r="AZ365" s="190"/>
      <c r="BA365" s="191"/>
      <c r="BB365" s="192" t="e">
        <f t="shared" si="20"/>
        <v>#N/A</v>
      </c>
      <c r="BC365" s="188"/>
      <c r="BD365" s="188"/>
      <c r="BE365" s="188"/>
      <c r="BF365" s="188" t="e">
        <f t="shared" si="21"/>
        <v>#N/A</v>
      </c>
      <c r="BG365" s="188"/>
      <c r="BH365" s="188"/>
      <c r="BI365" s="188"/>
      <c r="BJ365" s="188" t="e">
        <f t="shared" ref="BJ365:BJ373" si="28">IF(J365="--","--",BB365-BF365)</f>
        <v>#N/A</v>
      </c>
      <c r="BK365" s="188"/>
      <c r="BL365" s="188"/>
      <c r="BM365" s="193"/>
      <c r="BN365" s="185" t="e">
        <f>IF(BJ365="--","Solved",
 IF(ABS(BJ365)&lt;=0.001,"Solved",J365-BJ365*(J365-J364)/(BJ365-BJ364)))</f>
        <v>#N/A</v>
      </c>
      <c r="BO365" s="194"/>
      <c r="BP365" s="194"/>
      <c r="BQ365" s="194"/>
      <c r="BS365" s="8"/>
      <c r="BT365" s="8"/>
      <c r="BU365" s="8"/>
      <c r="BV365" s="8"/>
      <c r="BW365" s="8"/>
      <c r="BX365" s="8"/>
      <c r="BY365" s="8"/>
    </row>
    <row r="366" spans="3:77" ht="15" customHeight="1" x14ac:dyDescent="0.2">
      <c r="C366" s="37"/>
      <c r="G366" s="182">
        <v>3</v>
      </c>
      <c r="H366" s="182"/>
      <c r="I366" s="182"/>
      <c r="J366" s="183" t="e">
        <f>IF(BN365="Solved","--",BN365)</f>
        <v>#N/A</v>
      </c>
      <c r="K366" s="184"/>
      <c r="L366" s="185"/>
      <c r="M366" s="186" t="e">
        <f t="shared" si="16"/>
        <v>#N/A</v>
      </c>
      <c r="N366" s="187"/>
      <c r="O366" s="187"/>
      <c r="P366" s="187"/>
      <c r="Q366" s="188" t="e">
        <f t="shared" si="17"/>
        <v>#N/A</v>
      </c>
      <c r="R366" s="188"/>
      <c r="S366" s="188"/>
      <c r="T366" s="188"/>
      <c r="U366" s="188" t="e">
        <f>IF(J366="--","--",$W$323*Q366)</f>
        <v>#N/A</v>
      </c>
      <c r="V366" s="188"/>
      <c r="W366" s="188"/>
      <c r="X366" s="193"/>
      <c r="Y366" s="224" t="e">
        <f t="shared" si="22"/>
        <v>#N/A</v>
      </c>
      <c r="Z366" s="224"/>
      <c r="AA366" s="224"/>
      <c r="AB366" s="224"/>
      <c r="AC366" s="187" t="e">
        <f t="shared" si="23"/>
        <v>#N/A</v>
      </c>
      <c r="AD366" s="187"/>
      <c r="AE366" s="187"/>
      <c r="AF366" s="187"/>
      <c r="AG366" s="224" t="e">
        <f t="shared" si="24"/>
        <v>#N/A</v>
      </c>
      <c r="AH366" s="224"/>
      <c r="AI366" s="224"/>
      <c r="AJ366" s="224"/>
      <c r="AK366" s="195" t="e">
        <f t="shared" si="25"/>
        <v>#N/A</v>
      </c>
      <c r="AL366" s="188"/>
      <c r="AM366" s="188"/>
      <c r="AN366" s="188"/>
      <c r="AO366" s="188" t="e">
        <f t="shared" si="26"/>
        <v>#N/A</v>
      </c>
      <c r="AP366" s="188"/>
      <c r="AQ366" s="188"/>
      <c r="AR366" s="196"/>
      <c r="AS366" s="197" t="e">
        <f t="shared" si="27"/>
        <v>#N/A</v>
      </c>
      <c r="AT366" s="184"/>
      <c r="AU366" s="185"/>
      <c r="AV366" s="189" t="e">
        <f t="shared" si="18"/>
        <v>#N/A</v>
      </c>
      <c r="AW366" s="190"/>
      <c r="AX366" s="191"/>
      <c r="AY366" s="189" t="e">
        <f t="shared" si="19"/>
        <v>#N/A</v>
      </c>
      <c r="AZ366" s="190"/>
      <c r="BA366" s="191"/>
      <c r="BB366" s="192" t="e">
        <f t="shared" si="20"/>
        <v>#N/A</v>
      </c>
      <c r="BC366" s="188"/>
      <c r="BD366" s="188"/>
      <c r="BE366" s="188"/>
      <c r="BF366" s="188" t="e">
        <f t="shared" si="21"/>
        <v>#N/A</v>
      </c>
      <c r="BG366" s="188"/>
      <c r="BH366" s="188"/>
      <c r="BI366" s="188"/>
      <c r="BJ366" s="188" t="e">
        <f t="shared" si="28"/>
        <v>#N/A</v>
      </c>
      <c r="BK366" s="188"/>
      <c r="BL366" s="188"/>
      <c r="BM366" s="193"/>
      <c r="BN366" s="185" t="e">
        <f>IF(BJ366="--","Solved",
 IF(ABS(BJ366)&lt;=0.001,"Solved",J366-BJ366*(J366-J365)/(BJ366-BJ365)))</f>
        <v>#N/A</v>
      </c>
      <c r="BO366" s="194"/>
      <c r="BP366" s="194"/>
      <c r="BQ366" s="194"/>
      <c r="BS366" s="8"/>
      <c r="BT366" s="8"/>
      <c r="BU366" s="8"/>
      <c r="BV366" s="8"/>
      <c r="BW366" s="8"/>
      <c r="BX366" s="8"/>
      <c r="BY366" s="8"/>
    </row>
    <row r="367" spans="3:77" ht="15" customHeight="1" x14ac:dyDescent="0.2">
      <c r="C367" s="37"/>
      <c r="G367" s="182">
        <v>4</v>
      </c>
      <c r="H367" s="182"/>
      <c r="I367" s="182"/>
      <c r="J367" s="183" t="e">
        <f t="shared" ref="J367:J373" si="29">IF(BN366="Solved","--",BN366)</f>
        <v>#N/A</v>
      </c>
      <c r="K367" s="184"/>
      <c r="L367" s="185"/>
      <c r="M367" s="186" t="e">
        <f t="shared" si="16"/>
        <v>#N/A</v>
      </c>
      <c r="N367" s="187"/>
      <c r="O367" s="187"/>
      <c r="P367" s="187"/>
      <c r="Q367" s="188" t="e">
        <f t="shared" si="17"/>
        <v>#N/A</v>
      </c>
      <c r="R367" s="188"/>
      <c r="S367" s="188"/>
      <c r="T367" s="188"/>
      <c r="U367" s="188" t="e">
        <f t="shared" ref="U367:U373" si="30">IF(J367="--","--",$W$323*Q367)</f>
        <v>#N/A</v>
      </c>
      <c r="V367" s="188"/>
      <c r="W367" s="188"/>
      <c r="X367" s="193"/>
      <c r="Y367" s="224" t="e">
        <f t="shared" si="22"/>
        <v>#N/A</v>
      </c>
      <c r="Z367" s="224"/>
      <c r="AA367" s="224"/>
      <c r="AB367" s="224"/>
      <c r="AC367" s="187" t="e">
        <f t="shared" si="23"/>
        <v>#N/A</v>
      </c>
      <c r="AD367" s="187"/>
      <c r="AE367" s="187"/>
      <c r="AF367" s="187"/>
      <c r="AG367" s="224" t="e">
        <f t="shared" si="24"/>
        <v>#N/A</v>
      </c>
      <c r="AH367" s="224"/>
      <c r="AI367" s="224"/>
      <c r="AJ367" s="224"/>
      <c r="AK367" s="195" t="e">
        <f t="shared" si="25"/>
        <v>#N/A</v>
      </c>
      <c r="AL367" s="188"/>
      <c r="AM367" s="188"/>
      <c r="AN367" s="188"/>
      <c r="AO367" s="188" t="e">
        <f t="shared" si="26"/>
        <v>#N/A</v>
      </c>
      <c r="AP367" s="188"/>
      <c r="AQ367" s="188"/>
      <c r="AR367" s="196"/>
      <c r="AS367" s="197" t="e">
        <f t="shared" si="27"/>
        <v>#N/A</v>
      </c>
      <c r="AT367" s="184"/>
      <c r="AU367" s="185"/>
      <c r="AV367" s="189" t="e">
        <f t="shared" si="18"/>
        <v>#N/A</v>
      </c>
      <c r="AW367" s="190"/>
      <c r="AX367" s="191"/>
      <c r="AY367" s="189" t="e">
        <f t="shared" si="19"/>
        <v>#N/A</v>
      </c>
      <c r="AZ367" s="190"/>
      <c r="BA367" s="191"/>
      <c r="BB367" s="192" t="e">
        <f t="shared" si="20"/>
        <v>#N/A</v>
      </c>
      <c r="BC367" s="188"/>
      <c r="BD367" s="188"/>
      <c r="BE367" s="188"/>
      <c r="BF367" s="188" t="e">
        <f t="shared" si="21"/>
        <v>#N/A</v>
      </c>
      <c r="BG367" s="188"/>
      <c r="BH367" s="188"/>
      <c r="BI367" s="188"/>
      <c r="BJ367" s="188" t="e">
        <f t="shared" si="28"/>
        <v>#N/A</v>
      </c>
      <c r="BK367" s="188"/>
      <c r="BL367" s="188"/>
      <c r="BM367" s="193"/>
      <c r="BN367" s="185" t="e">
        <f>IF(BJ367="--","Solved",
 IF(ABS(BJ367)&lt;=0.001,"Solved",J367-BJ367*(J367-J366)/(BJ367-BJ366)))</f>
        <v>#N/A</v>
      </c>
      <c r="BO367" s="194"/>
      <c r="BP367" s="194"/>
      <c r="BQ367" s="194"/>
      <c r="BS367" s="8"/>
      <c r="BT367" s="8"/>
      <c r="BU367" s="8"/>
      <c r="BV367" s="8"/>
      <c r="BW367" s="8"/>
      <c r="BX367" s="8"/>
      <c r="BY367" s="8"/>
    </row>
    <row r="368" spans="3:77" ht="15" customHeight="1" x14ac:dyDescent="0.2">
      <c r="C368" s="37"/>
      <c r="G368" s="182">
        <v>5</v>
      </c>
      <c r="H368" s="182"/>
      <c r="I368" s="182"/>
      <c r="J368" s="183" t="e">
        <f t="shared" si="29"/>
        <v>#N/A</v>
      </c>
      <c r="K368" s="184"/>
      <c r="L368" s="185"/>
      <c r="M368" s="186" t="e">
        <f t="shared" si="16"/>
        <v>#N/A</v>
      </c>
      <c r="N368" s="187"/>
      <c r="O368" s="187"/>
      <c r="P368" s="187"/>
      <c r="Q368" s="188" t="e">
        <f t="shared" si="17"/>
        <v>#N/A</v>
      </c>
      <c r="R368" s="188"/>
      <c r="S368" s="188"/>
      <c r="T368" s="188"/>
      <c r="U368" s="188" t="e">
        <f t="shared" si="30"/>
        <v>#N/A</v>
      </c>
      <c r="V368" s="188"/>
      <c r="W368" s="188"/>
      <c r="X368" s="193"/>
      <c r="Y368" s="224" t="e">
        <f>IF(J368="--","--",Mat.PT_f.pe/Mat.PT_E.ps)</f>
        <v>#N/A</v>
      </c>
      <c r="Z368" s="224"/>
      <c r="AA368" s="224"/>
      <c r="AB368" s="224"/>
      <c r="AC368" s="187" t="e">
        <f t="shared" si="23"/>
        <v>#N/A</v>
      </c>
      <c r="AD368" s="187"/>
      <c r="AE368" s="187"/>
      <c r="AF368" s="187"/>
      <c r="AG368" s="224" t="e">
        <f>IF(J368="--","--",Y368+AC368)</f>
        <v>#N/A</v>
      </c>
      <c r="AH368" s="224"/>
      <c r="AI368" s="224"/>
      <c r="AJ368" s="224"/>
      <c r="AK368" s="195" t="e">
        <f t="shared" si="25"/>
        <v>#N/A</v>
      </c>
      <c r="AL368" s="188"/>
      <c r="AM368" s="188"/>
      <c r="AN368" s="188"/>
      <c r="AO368" s="188" t="e">
        <f t="shared" si="26"/>
        <v>#N/A</v>
      </c>
      <c r="AP368" s="188"/>
      <c r="AQ368" s="188"/>
      <c r="AR368" s="196"/>
      <c r="AS368" s="197" t="e">
        <f t="shared" si="27"/>
        <v>#N/A</v>
      </c>
      <c r="AT368" s="184"/>
      <c r="AU368" s="185"/>
      <c r="AV368" s="189" t="e">
        <f t="shared" si="18"/>
        <v>#N/A</v>
      </c>
      <c r="AW368" s="190"/>
      <c r="AX368" s="191"/>
      <c r="AY368" s="189" t="e">
        <f t="shared" si="19"/>
        <v>#N/A</v>
      </c>
      <c r="AZ368" s="190"/>
      <c r="BA368" s="191"/>
      <c r="BB368" s="192" t="e">
        <f t="shared" si="20"/>
        <v>#N/A</v>
      </c>
      <c r="BC368" s="188"/>
      <c r="BD368" s="188"/>
      <c r="BE368" s="188"/>
      <c r="BF368" s="188" t="e">
        <f t="shared" si="21"/>
        <v>#N/A</v>
      </c>
      <c r="BG368" s="188"/>
      <c r="BH368" s="188"/>
      <c r="BI368" s="188"/>
      <c r="BJ368" s="188" t="e">
        <f t="shared" si="28"/>
        <v>#N/A</v>
      </c>
      <c r="BK368" s="188"/>
      <c r="BL368" s="188"/>
      <c r="BM368" s="193"/>
      <c r="BN368" s="185" t="e">
        <f>IF(BJ368="--","Solved",
 IF(ABS(BJ368)&lt;=0.001,"Solved",J368-BJ368*(J368-J367)/(BJ368-BJ367)))</f>
        <v>#N/A</v>
      </c>
      <c r="BO368" s="194"/>
      <c r="BP368" s="194"/>
      <c r="BQ368" s="194"/>
      <c r="BS368" s="8"/>
      <c r="BT368" s="8"/>
      <c r="BU368" s="8"/>
      <c r="BV368" s="8"/>
      <c r="BW368" s="8"/>
      <c r="BX368" s="8"/>
      <c r="BY368" s="8"/>
    </row>
    <row r="369" spans="3:77" ht="15" customHeight="1" x14ac:dyDescent="0.2">
      <c r="C369" s="37"/>
      <c r="G369" s="182">
        <v>6</v>
      </c>
      <c r="H369" s="182"/>
      <c r="I369" s="182"/>
      <c r="J369" s="183" t="e">
        <f t="shared" si="29"/>
        <v>#N/A</v>
      </c>
      <c r="K369" s="184"/>
      <c r="L369" s="185"/>
      <c r="M369" s="186" t="e">
        <f t="shared" si="16"/>
        <v>#N/A</v>
      </c>
      <c r="N369" s="187"/>
      <c r="O369" s="187"/>
      <c r="P369" s="187"/>
      <c r="Q369" s="188" t="e">
        <f t="shared" si="17"/>
        <v>#N/A</v>
      </c>
      <c r="R369" s="188"/>
      <c r="S369" s="188"/>
      <c r="T369" s="188"/>
      <c r="U369" s="188" t="e">
        <f t="shared" si="30"/>
        <v>#N/A</v>
      </c>
      <c r="V369" s="188"/>
      <c r="W369" s="188"/>
      <c r="X369" s="193"/>
      <c r="Y369" s="224" t="e">
        <f t="shared" ref="Y369:Y373" si="31">IF(J369="--","--",Mat.PT_f.pe/Mat.PT_E.ps)</f>
        <v>#N/A</v>
      </c>
      <c r="Z369" s="224"/>
      <c r="AA369" s="224"/>
      <c r="AB369" s="224"/>
      <c r="AC369" s="187" t="e">
        <f t="shared" si="23"/>
        <v>#N/A</v>
      </c>
      <c r="AD369" s="187"/>
      <c r="AE369" s="187"/>
      <c r="AF369" s="187"/>
      <c r="AG369" s="224" t="e">
        <f t="shared" ref="AG369:AG373" si="32">IF(J369="--","--",Y369+AC369)</f>
        <v>#N/A</v>
      </c>
      <c r="AH369" s="224"/>
      <c r="AI369" s="224"/>
      <c r="AJ369" s="224"/>
      <c r="AK369" s="195" t="e">
        <f t="shared" si="25"/>
        <v>#N/A</v>
      </c>
      <c r="AL369" s="188"/>
      <c r="AM369" s="188"/>
      <c r="AN369" s="188"/>
      <c r="AO369" s="188" t="e">
        <f>IF(J369="--","--",Mat.PT_A.ps*AK369)</f>
        <v>#N/A</v>
      </c>
      <c r="AP369" s="188"/>
      <c r="AQ369" s="188"/>
      <c r="AR369" s="196"/>
      <c r="AS369" s="197" t="e">
        <f t="shared" si="27"/>
        <v>#N/A</v>
      </c>
      <c r="AT369" s="184"/>
      <c r="AU369" s="185"/>
      <c r="AV369" s="189" t="e">
        <f t="shared" si="18"/>
        <v>#N/A</v>
      </c>
      <c r="AW369" s="190"/>
      <c r="AX369" s="191"/>
      <c r="AY369" s="189" t="e">
        <f t="shared" si="19"/>
        <v>#N/A</v>
      </c>
      <c r="AZ369" s="190"/>
      <c r="BA369" s="191"/>
      <c r="BB369" s="192" t="e">
        <f t="shared" si="20"/>
        <v>#N/A</v>
      </c>
      <c r="BC369" s="188"/>
      <c r="BD369" s="188"/>
      <c r="BE369" s="188"/>
      <c r="BF369" s="188" t="e">
        <f t="shared" si="21"/>
        <v>#N/A</v>
      </c>
      <c r="BG369" s="188"/>
      <c r="BH369" s="188"/>
      <c r="BI369" s="188"/>
      <c r="BJ369" s="188" t="e">
        <f t="shared" si="28"/>
        <v>#N/A</v>
      </c>
      <c r="BK369" s="188"/>
      <c r="BL369" s="188"/>
      <c r="BM369" s="193"/>
      <c r="BN369" s="185" t="e">
        <f t="shared" ref="BN369:BN373" si="33">IF(BJ369="--","Solved",
 IF(ABS(BJ369)&lt;=0.001,"Solved",J369-BJ369*(J369-J368)/(BJ369-BJ368)))</f>
        <v>#N/A</v>
      </c>
      <c r="BO369" s="194"/>
      <c r="BP369" s="194"/>
      <c r="BQ369" s="194"/>
      <c r="BS369" s="8"/>
      <c r="BT369" s="8"/>
      <c r="BU369" s="8"/>
      <c r="BV369" s="8"/>
      <c r="BW369" s="8"/>
      <c r="BX369" s="8"/>
      <c r="BY369" s="8"/>
    </row>
    <row r="370" spans="3:77" ht="15" customHeight="1" x14ac:dyDescent="0.2">
      <c r="C370" s="37"/>
      <c r="G370" s="182">
        <v>7</v>
      </c>
      <c r="H370" s="182"/>
      <c r="I370" s="182"/>
      <c r="J370" s="183" t="e">
        <f t="shared" si="29"/>
        <v>#N/A</v>
      </c>
      <c r="K370" s="184"/>
      <c r="L370" s="185"/>
      <c r="M370" s="186" t="e">
        <f t="shared" si="16"/>
        <v>#N/A</v>
      </c>
      <c r="N370" s="187"/>
      <c r="O370" s="187"/>
      <c r="P370" s="187"/>
      <c r="Q370" s="188" t="e">
        <f t="shared" si="17"/>
        <v>#N/A</v>
      </c>
      <c r="R370" s="188"/>
      <c r="S370" s="188"/>
      <c r="T370" s="188"/>
      <c r="U370" s="188" t="e">
        <f>IF(J370="--","--",$W$323*Q370)</f>
        <v>#N/A</v>
      </c>
      <c r="V370" s="188"/>
      <c r="W370" s="188"/>
      <c r="X370" s="193"/>
      <c r="Y370" s="224" t="e">
        <f t="shared" si="31"/>
        <v>#N/A</v>
      </c>
      <c r="Z370" s="224"/>
      <c r="AA370" s="224"/>
      <c r="AB370" s="224"/>
      <c r="AC370" s="187" t="e">
        <f t="shared" si="23"/>
        <v>#N/A</v>
      </c>
      <c r="AD370" s="187"/>
      <c r="AE370" s="187"/>
      <c r="AF370" s="187"/>
      <c r="AG370" s="224" t="e">
        <f t="shared" si="32"/>
        <v>#N/A</v>
      </c>
      <c r="AH370" s="224"/>
      <c r="AI370" s="224"/>
      <c r="AJ370" s="224"/>
      <c r="AK370" s="195" t="e">
        <f t="shared" si="25"/>
        <v>#N/A</v>
      </c>
      <c r="AL370" s="188"/>
      <c r="AM370" s="188"/>
      <c r="AN370" s="188"/>
      <c r="AO370" s="188" t="e">
        <f t="shared" si="26"/>
        <v>#N/A</v>
      </c>
      <c r="AP370" s="188"/>
      <c r="AQ370" s="188"/>
      <c r="AR370" s="196"/>
      <c r="AS370" s="197" t="e">
        <f t="shared" si="27"/>
        <v>#N/A</v>
      </c>
      <c r="AT370" s="184"/>
      <c r="AU370" s="185"/>
      <c r="AV370" s="189" t="e">
        <f>IF(J370="--","--",Mat.Conc_Alpha.1*Mat.Conc_f.c*Geometry_b.Negative*MIN(AS370,Geometry_h.f.Negative))</f>
        <v>#N/A</v>
      </c>
      <c r="AW370" s="190"/>
      <c r="AX370" s="191"/>
      <c r="AY370" s="189" t="e">
        <f t="shared" si="19"/>
        <v>#N/A</v>
      </c>
      <c r="AZ370" s="190"/>
      <c r="BA370" s="191"/>
      <c r="BB370" s="192" t="e">
        <f t="shared" si="20"/>
        <v>#N/A</v>
      </c>
      <c r="BC370" s="188"/>
      <c r="BD370" s="188"/>
      <c r="BE370" s="188"/>
      <c r="BF370" s="188" t="e">
        <f t="shared" si="21"/>
        <v>#N/A</v>
      </c>
      <c r="BG370" s="188"/>
      <c r="BH370" s="188"/>
      <c r="BI370" s="188"/>
      <c r="BJ370" s="188" t="e">
        <f t="shared" si="28"/>
        <v>#N/A</v>
      </c>
      <c r="BK370" s="188"/>
      <c r="BL370" s="188"/>
      <c r="BM370" s="193"/>
      <c r="BN370" s="185" t="e">
        <f t="shared" si="33"/>
        <v>#N/A</v>
      </c>
      <c r="BO370" s="194"/>
      <c r="BP370" s="194"/>
      <c r="BQ370" s="194"/>
      <c r="BS370" s="8"/>
      <c r="BT370" s="8"/>
      <c r="BU370" s="8"/>
      <c r="BV370" s="8"/>
      <c r="BW370" s="8"/>
      <c r="BX370" s="8"/>
      <c r="BY370" s="8"/>
    </row>
    <row r="371" spans="3:77" ht="15" customHeight="1" x14ac:dyDescent="0.2">
      <c r="C371" s="37"/>
      <c r="G371" s="182">
        <v>8</v>
      </c>
      <c r="H371" s="182"/>
      <c r="I371" s="182"/>
      <c r="J371" s="183" t="e">
        <f t="shared" si="29"/>
        <v>#N/A</v>
      </c>
      <c r="K371" s="184"/>
      <c r="L371" s="185"/>
      <c r="M371" s="186" t="e">
        <f t="shared" si="16"/>
        <v>#N/A</v>
      </c>
      <c r="N371" s="187"/>
      <c r="O371" s="187"/>
      <c r="P371" s="187"/>
      <c r="Q371" s="188" t="e">
        <f t="shared" si="17"/>
        <v>#N/A</v>
      </c>
      <c r="R371" s="188"/>
      <c r="S371" s="188"/>
      <c r="T371" s="188"/>
      <c r="U371" s="188" t="e">
        <f t="shared" si="30"/>
        <v>#N/A</v>
      </c>
      <c r="V371" s="188"/>
      <c r="W371" s="188"/>
      <c r="X371" s="193"/>
      <c r="Y371" s="224" t="e">
        <f t="shared" si="31"/>
        <v>#N/A</v>
      </c>
      <c r="Z371" s="224"/>
      <c r="AA371" s="224"/>
      <c r="AB371" s="224"/>
      <c r="AC371" s="187" t="e">
        <f t="shared" si="23"/>
        <v>#N/A</v>
      </c>
      <c r="AD371" s="187"/>
      <c r="AE371" s="187"/>
      <c r="AF371" s="187"/>
      <c r="AG371" s="224" t="e">
        <f t="shared" si="32"/>
        <v>#N/A</v>
      </c>
      <c r="AH371" s="224"/>
      <c r="AI371" s="224"/>
      <c r="AJ371" s="224"/>
      <c r="AK371" s="195" t="e">
        <f t="shared" si="25"/>
        <v>#N/A</v>
      </c>
      <c r="AL371" s="188"/>
      <c r="AM371" s="188"/>
      <c r="AN371" s="188"/>
      <c r="AO371" s="188" t="e">
        <f t="shared" si="26"/>
        <v>#N/A</v>
      </c>
      <c r="AP371" s="188"/>
      <c r="AQ371" s="188"/>
      <c r="AR371" s="196"/>
      <c r="AS371" s="197" t="e">
        <f t="shared" si="27"/>
        <v>#N/A</v>
      </c>
      <c r="AT371" s="184"/>
      <c r="AU371" s="185"/>
      <c r="AV371" s="189" t="e">
        <f t="shared" si="18"/>
        <v>#N/A</v>
      </c>
      <c r="AW371" s="190"/>
      <c r="AX371" s="191"/>
      <c r="AY371" s="189" t="e">
        <f t="shared" si="19"/>
        <v>#N/A</v>
      </c>
      <c r="AZ371" s="190"/>
      <c r="BA371" s="191"/>
      <c r="BB371" s="192" t="e">
        <f t="shared" si="20"/>
        <v>#N/A</v>
      </c>
      <c r="BC371" s="188"/>
      <c r="BD371" s="188"/>
      <c r="BE371" s="188"/>
      <c r="BF371" s="188" t="e">
        <f t="shared" si="21"/>
        <v>#N/A</v>
      </c>
      <c r="BG371" s="188"/>
      <c r="BH371" s="188"/>
      <c r="BI371" s="188"/>
      <c r="BJ371" s="188" t="e">
        <f t="shared" si="28"/>
        <v>#N/A</v>
      </c>
      <c r="BK371" s="188"/>
      <c r="BL371" s="188"/>
      <c r="BM371" s="193"/>
      <c r="BN371" s="185" t="e">
        <f t="shared" si="33"/>
        <v>#N/A</v>
      </c>
      <c r="BO371" s="194"/>
      <c r="BP371" s="194"/>
      <c r="BQ371" s="194"/>
      <c r="BS371" s="8"/>
      <c r="BT371" s="8"/>
      <c r="BU371" s="8"/>
      <c r="BV371" s="8"/>
      <c r="BW371" s="8"/>
      <c r="BX371" s="8"/>
      <c r="BY371" s="8"/>
    </row>
    <row r="372" spans="3:77" ht="15" customHeight="1" x14ac:dyDescent="0.2">
      <c r="C372" s="37"/>
      <c r="G372" s="182">
        <v>9</v>
      </c>
      <c r="H372" s="182"/>
      <c r="I372" s="182"/>
      <c r="J372" s="183" t="e">
        <f t="shared" si="29"/>
        <v>#N/A</v>
      </c>
      <c r="K372" s="184"/>
      <c r="L372" s="185"/>
      <c r="M372" s="186" t="e">
        <f t="shared" si="16"/>
        <v>#N/A</v>
      </c>
      <c r="N372" s="187"/>
      <c r="O372" s="187"/>
      <c r="P372" s="187"/>
      <c r="Q372" s="188" t="e">
        <f t="shared" si="17"/>
        <v>#N/A</v>
      </c>
      <c r="R372" s="188"/>
      <c r="S372" s="188"/>
      <c r="T372" s="188"/>
      <c r="U372" s="188" t="e">
        <f t="shared" si="30"/>
        <v>#N/A</v>
      </c>
      <c r="V372" s="188"/>
      <c r="W372" s="188"/>
      <c r="X372" s="193"/>
      <c r="Y372" s="224" t="e">
        <f t="shared" si="31"/>
        <v>#N/A</v>
      </c>
      <c r="Z372" s="224"/>
      <c r="AA372" s="224"/>
      <c r="AB372" s="224"/>
      <c r="AC372" s="187" t="e">
        <f t="shared" si="23"/>
        <v>#N/A</v>
      </c>
      <c r="AD372" s="187"/>
      <c r="AE372" s="187"/>
      <c r="AF372" s="187"/>
      <c r="AG372" s="224" t="e">
        <f t="shared" si="32"/>
        <v>#N/A</v>
      </c>
      <c r="AH372" s="224"/>
      <c r="AI372" s="224"/>
      <c r="AJ372" s="224"/>
      <c r="AK372" s="195" t="e">
        <f t="shared" si="25"/>
        <v>#N/A</v>
      </c>
      <c r="AL372" s="188"/>
      <c r="AM372" s="188"/>
      <c r="AN372" s="188"/>
      <c r="AO372" s="188" t="e">
        <f t="shared" si="26"/>
        <v>#N/A</v>
      </c>
      <c r="AP372" s="188"/>
      <c r="AQ372" s="188"/>
      <c r="AR372" s="196"/>
      <c r="AS372" s="197" t="e">
        <f t="shared" si="27"/>
        <v>#N/A</v>
      </c>
      <c r="AT372" s="184"/>
      <c r="AU372" s="185"/>
      <c r="AV372" s="189" t="e">
        <f t="shared" si="18"/>
        <v>#N/A</v>
      </c>
      <c r="AW372" s="190"/>
      <c r="AX372" s="191"/>
      <c r="AY372" s="189" t="e">
        <f t="shared" si="19"/>
        <v>#N/A</v>
      </c>
      <c r="AZ372" s="190"/>
      <c r="BA372" s="191"/>
      <c r="BB372" s="192" t="e">
        <f t="shared" si="20"/>
        <v>#N/A</v>
      </c>
      <c r="BC372" s="188"/>
      <c r="BD372" s="188"/>
      <c r="BE372" s="188"/>
      <c r="BF372" s="188" t="e">
        <f t="shared" si="21"/>
        <v>#N/A</v>
      </c>
      <c r="BG372" s="188"/>
      <c r="BH372" s="188"/>
      <c r="BI372" s="188"/>
      <c r="BJ372" s="188" t="e">
        <f t="shared" si="28"/>
        <v>#N/A</v>
      </c>
      <c r="BK372" s="188"/>
      <c r="BL372" s="188"/>
      <c r="BM372" s="193"/>
      <c r="BN372" s="185" t="e">
        <f t="shared" si="33"/>
        <v>#N/A</v>
      </c>
      <c r="BO372" s="194"/>
      <c r="BP372" s="194"/>
      <c r="BQ372" s="194"/>
      <c r="BS372" s="8"/>
      <c r="BT372" s="8"/>
      <c r="BU372" s="8"/>
      <c r="BV372" s="8"/>
      <c r="BW372" s="8"/>
      <c r="BX372" s="8"/>
      <c r="BY372" s="8"/>
    </row>
    <row r="373" spans="3:77" ht="15" customHeight="1" x14ac:dyDescent="0.2">
      <c r="C373" s="37"/>
      <c r="G373" s="182">
        <v>10</v>
      </c>
      <c r="H373" s="182"/>
      <c r="I373" s="182"/>
      <c r="J373" s="183" t="e">
        <f t="shared" si="29"/>
        <v>#N/A</v>
      </c>
      <c r="K373" s="184"/>
      <c r="L373" s="185"/>
      <c r="M373" s="186" t="e">
        <f t="shared" si="16"/>
        <v>#N/A</v>
      </c>
      <c r="N373" s="187"/>
      <c r="O373" s="187"/>
      <c r="P373" s="187"/>
      <c r="Q373" s="188" t="e">
        <f t="shared" si="17"/>
        <v>#N/A</v>
      </c>
      <c r="R373" s="188"/>
      <c r="S373" s="188"/>
      <c r="T373" s="188"/>
      <c r="U373" s="188" t="e">
        <f t="shared" si="30"/>
        <v>#N/A</v>
      </c>
      <c r="V373" s="188"/>
      <c r="W373" s="188"/>
      <c r="X373" s="193"/>
      <c r="Y373" s="224" t="e">
        <f t="shared" si="31"/>
        <v>#N/A</v>
      </c>
      <c r="Z373" s="224"/>
      <c r="AA373" s="224"/>
      <c r="AB373" s="224"/>
      <c r="AC373" s="187" t="e">
        <f t="shared" si="23"/>
        <v>#N/A</v>
      </c>
      <c r="AD373" s="187"/>
      <c r="AE373" s="187"/>
      <c r="AF373" s="187"/>
      <c r="AG373" s="224" t="e">
        <f t="shared" si="32"/>
        <v>#N/A</v>
      </c>
      <c r="AH373" s="224"/>
      <c r="AI373" s="224"/>
      <c r="AJ373" s="224"/>
      <c r="AK373" s="195" t="e">
        <f t="shared" si="25"/>
        <v>#N/A</v>
      </c>
      <c r="AL373" s="188"/>
      <c r="AM373" s="188"/>
      <c r="AN373" s="188"/>
      <c r="AO373" s="188" t="e">
        <f t="shared" si="26"/>
        <v>#N/A</v>
      </c>
      <c r="AP373" s="188"/>
      <c r="AQ373" s="188"/>
      <c r="AR373" s="196"/>
      <c r="AS373" s="197" t="e">
        <f t="shared" si="27"/>
        <v>#N/A</v>
      </c>
      <c r="AT373" s="184"/>
      <c r="AU373" s="185"/>
      <c r="AV373" s="189" t="e">
        <f t="shared" si="18"/>
        <v>#N/A</v>
      </c>
      <c r="AW373" s="190"/>
      <c r="AX373" s="191"/>
      <c r="AY373" s="189" t="e">
        <f t="shared" si="19"/>
        <v>#N/A</v>
      </c>
      <c r="AZ373" s="190"/>
      <c r="BA373" s="191"/>
      <c r="BB373" s="192" t="e">
        <f t="shared" si="20"/>
        <v>#N/A</v>
      </c>
      <c r="BC373" s="188"/>
      <c r="BD373" s="188"/>
      <c r="BE373" s="188"/>
      <c r="BF373" s="188" t="e">
        <f t="shared" si="21"/>
        <v>#N/A</v>
      </c>
      <c r="BG373" s="188"/>
      <c r="BH373" s="188"/>
      <c r="BI373" s="188"/>
      <c r="BJ373" s="188" t="e">
        <f t="shared" si="28"/>
        <v>#N/A</v>
      </c>
      <c r="BK373" s="188"/>
      <c r="BL373" s="188"/>
      <c r="BM373" s="193"/>
      <c r="BN373" s="185" t="e">
        <f t="shared" si="33"/>
        <v>#N/A</v>
      </c>
      <c r="BO373" s="194"/>
      <c r="BP373" s="194"/>
      <c r="BQ373" s="194"/>
      <c r="BS373" s="8"/>
      <c r="BT373" s="8"/>
      <c r="BU373" s="8"/>
      <c r="BV373" s="8"/>
      <c r="BW373" s="8"/>
      <c r="BX373" s="8"/>
      <c r="BY373" s="8"/>
    </row>
    <row r="374" spans="3:77" ht="15" customHeight="1" x14ac:dyDescent="0.2">
      <c r="C374" s="105"/>
      <c r="G374" s="118"/>
      <c r="H374" s="118"/>
      <c r="I374" s="118"/>
      <c r="J374" s="117"/>
      <c r="K374" s="117"/>
      <c r="L374" s="117"/>
      <c r="M374" s="119"/>
      <c r="N374" s="119"/>
      <c r="O374" s="119"/>
      <c r="P374" s="119"/>
      <c r="Q374" s="120"/>
      <c r="R374" s="120"/>
      <c r="S374" s="120"/>
      <c r="T374" s="120"/>
      <c r="U374" s="120"/>
      <c r="V374" s="120"/>
      <c r="W374" s="120"/>
      <c r="X374" s="120"/>
      <c r="Y374" s="119"/>
      <c r="Z374" s="119"/>
      <c r="AA374" s="119"/>
      <c r="AB374" s="119"/>
      <c r="AC374" s="119"/>
      <c r="AD374" s="119"/>
      <c r="AE374" s="119"/>
      <c r="AF374" s="119"/>
      <c r="AG374" s="119"/>
      <c r="AH374" s="119"/>
      <c r="AI374" s="119"/>
      <c r="AJ374" s="119"/>
      <c r="AK374" s="120"/>
      <c r="AL374" s="120"/>
      <c r="AM374" s="120"/>
      <c r="AN374" s="120"/>
      <c r="AO374" s="120"/>
      <c r="AP374" s="120"/>
      <c r="AQ374" s="120"/>
      <c r="AR374" s="120"/>
      <c r="AS374" s="117"/>
      <c r="AT374" s="117"/>
      <c r="AU374" s="117"/>
      <c r="AV374" s="121"/>
      <c r="AW374" s="121"/>
      <c r="AX374" s="121"/>
      <c r="AY374" s="121"/>
      <c r="AZ374" s="121"/>
      <c r="BA374" s="121"/>
      <c r="BB374" s="120"/>
      <c r="BC374" s="120"/>
      <c r="BD374" s="120"/>
      <c r="BE374" s="120"/>
      <c r="BF374" s="120"/>
      <c r="BG374" s="120"/>
      <c r="BH374" s="120"/>
      <c r="BI374" s="120"/>
      <c r="BJ374" s="120"/>
      <c r="BK374" s="120"/>
      <c r="BL374" s="120"/>
      <c r="BM374" s="120"/>
      <c r="BN374" s="117"/>
      <c r="BO374" s="117"/>
      <c r="BP374" s="117"/>
      <c r="BQ374" s="117"/>
      <c r="BS374" s="8"/>
      <c r="BT374" s="8"/>
      <c r="BU374" s="8"/>
      <c r="BV374" s="8"/>
      <c r="BW374" s="8"/>
      <c r="BX374" s="8"/>
      <c r="BY374" s="8"/>
    </row>
    <row r="375" spans="3:77" ht="15" customHeight="1" x14ac:dyDescent="0.2">
      <c r="C375" s="105"/>
      <c r="G375" s="118"/>
      <c r="H375" s="118"/>
      <c r="I375" s="118"/>
      <c r="J375" s="117"/>
      <c r="K375" s="117"/>
      <c r="L375" s="117"/>
      <c r="M375" s="119"/>
      <c r="N375" s="119"/>
      <c r="O375" s="119"/>
      <c r="P375" s="119"/>
      <c r="Q375" s="120"/>
      <c r="R375" s="120"/>
      <c r="S375" s="120"/>
      <c r="T375" s="120"/>
      <c r="U375" s="120"/>
      <c r="V375" s="120"/>
      <c r="W375" s="120"/>
      <c r="X375" s="120"/>
      <c r="Y375" s="119"/>
      <c r="Z375" s="119"/>
      <c r="AA375" s="119"/>
      <c r="AB375" s="119"/>
      <c r="AC375" s="119"/>
      <c r="AD375" s="119"/>
      <c r="AE375" s="119"/>
      <c r="AF375" s="119"/>
      <c r="AG375" s="119"/>
      <c r="AH375" s="119"/>
      <c r="AI375" s="119"/>
      <c r="AJ375" s="119"/>
      <c r="AK375" s="120"/>
      <c r="AL375" s="120"/>
      <c r="AM375" s="120"/>
      <c r="AN375" s="120"/>
      <c r="AO375" s="120"/>
      <c r="AP375" s="120"/>
      <c r="AQ375" s="120"/>
      <c r="AR375" s="120"/>
      <c r="AS375" s="117"/>
      <c r="AT375" s="117"/>
      <c r="AU375" s="117"/>
      <c r="AV375" s="121"/>
      <c r="AW375" s="121"/>
      <c r="AX375" s="121"/>
      <c r="AY375" s="121"/>
      <c r="AZ375" s="121"/>
      <c r="BA375" s="121"/>
      <c r="BB375" s="121"/>
      <c r="BC375" s="121"/>
      <c r="BD375" s="121"/>
      <c r="BE375" s="120"/>
      <c r="BF375" s="120"/>
      <c r="BG375" s="120"/>
      <c r="BH375" s="120"/>
      <c r="BI375" s="120"/>
      <c r="BJ375" s="120"/>
      <c r="BK375" s="120"/>
      <c r="BL375" s="120"/>
      <c r="BM375" s="120"/>
      <c r="BN375" s="117"/>
      <c r="BO375" s="117"/>
      <c r="BP375" s="117"/>
      <c r="BQ375" s="117"/>
      <c r="BS375" s="8"/>
      <c r="BT375" s="8"/>
      <c r="BU375" s="8"/>
      <c r="BV375" s="8"/>
      <c r="BW375" s="8"/>
      <c r="BX375" s="8"/>
      <c r="BY375" s="8"/>
    </row>
    <row r="376" spans="3:77" ht="15" customHeight="1" x14ac:dyDescent="0.2">
      <c r="C376" s="37"/>
      <c r="G376" s="174" t="s">
        <v>210</v>
      </c>
      <c r="H376" s="174"/>
      <c r="I376" s="174"/>
      <c r="J376" s="174"/>
      <c r="K376" s="174"/>
      <c r="L376" s="174"/>
      <c r="M376" s="174"/>
      <c r="N376" s="174"/>
      <c r="O376" s="174"/>
      <c r="P376" s="174"/>
      <c r="Q376" s="174"/>
      <c r="R376" s="174"/>
      <c r="S376" s="174"/>
      <c r="T376" s="174"/>
      <c r="U376" s="174"/>
      <c r="V376" s="174"/>
      <c r="W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c r="BG376" s="174"/>
      <c r="BH376" s="174"/>
      <c r="BI376" s="174"/>
      <c r="BJ376" s="174"/>
      <c r="BK376" s="174"/>
      <c r="BL376" s="174"/>
      <c r="BM376" s="174"/>
      <c r="BN376" s="174"/>
      <c r="BO376" s="174"/>
      <c r="BP376" s="174"/>
      <c r="BQ376" s="174"/>
      <c r="BS376" s="8"/>
      <c r="BT376" s="8"/>
      <c r="BU376" s="8"/>
      <c r="BV376" s="8"/>
      <c r="BW376" s="8"/>
      <c r="BX376" s="8"/>
      <c r="BY376" s="8"/>
    </row>
    <row r="377" spans="3:77" ht="15" customHeight="1" x14ac:dyDescent="0.2">
      <c r="C377" s="37"/>
      <c r="G377" s="92"/>
      <c r="V377" s="18" t="s">
        <v>211</v>
      </c>
      <c r="W377" s="177" t="e" cm="1" vm="1">
        <f t="array" ref="W377">_xlfn.TAKE(_xlfn._xlws.FILTER(G364:G373,ISNUMBER(J364:J373)),-1)</f>
        <v>#VALUE!</v>
      </c>
      <c r="X377" s="177"/>
      <c r="Y377" s="177"/>
      <c r="Z377" s="177"/>
      <c r="BS377" s="8"/>
      <c r="BT377" s="8"/>
      <c r="BU377" s="8"/>
      <c r="BV377" s="8"/>
      <c r="BW377" s="8"/>
      <c r="BX377" s="8"/>
      <c r="BY377" s="8"/>
    </row>
    <row r="378" spans="3:77" ht="15" customHeight="1" x14ac:dyDescent="0.2">
      <c r="C378" s="37"/>
      <c r="V378" s="18" t="s">
        <v>229</v>
      </c>
      <c r="W378" s="169" t="e" cm="1" vm="2">
        <f t="array" ref="W378">INDEX(J364:J373,$W$289)</f>
        <v>#VALUE!</v>
      </c>
      <c r="X378" s="169"/>
      <c r="Y378" s="169"/>
      <c r="Z378" s="169"/>
      <c r="BS378" s="8"/>
      <c r="BT378" s="8"/>
      <c r="BU378" s="8"/>
      <c r="BV378" s="8"/>
      <c r="BW378" s="8"/>
      <c r="BX378" s="8"/>
      <c r="BY378" s="8"/>
    </row>
    <row r="379" spans="3:77" ht="15" customHeight="1" x14ac:dyDescent="0.2">
      <c r="C379" s="37"/>
      <c r="V379" s="18" t="s">
        <v>236</v>
      </c>
      <c r="W379" s="169" t="e" cm="1" vm="2">
        <f t="array" ref="W379">INDEX(AS364:AS373,$W$289)</f>
        <v>#VALUE!</v>
      </c>
      <c r="X379" s="169"/>
      <c r="Y379" s="169"/>
      <c r="Z379" s="169"/>
      <c r="BS379" s="8"/>
      <c r="BT379" s="8"/>
      <c r="BU379" s="8"/>
      <c r="BV379" s="8"/>
      <c r="BW379" s="8"/>
      <c r="BX379" s="8"/>
      <c r="BY379" s="8"/>
    </row>
    <row r="380" spans="3:77" ht="15" customHeight="1" x14ac:dyDescent="0.2">
      <c r="C380" s="5"/>
      <c r="V380" s="18" t="s">
        <v>230</v>
      </c>
      <c r="W380" s="178" t="e" cm="1" vm="2">
        <f t="array" ref="W380">INDEX(AG364:AG373,$W$289)</f>
        <v>#VALUE!</v>
      </c>
      <c r="X380" s="178"/>
      <c r="Y380" s="178"/>
      <c r="Z380" s="178"/>
      <c r="AE380" s="138"/>
      <c r="AF380" s="138"/>
      <c r="AG380" s="138"/>
      <c r="AH380" s="138"/>
      <c r="AI380" s="138"/>
      <c r="AJ380" s="138"/>
      <c r="AK380" s="138"/>
      <c r="AL380" s="138"/>
      <c r="AM380" s="138"/>
      <c r="AN380" s="138"/>
      <c r="AO380" s="138"/>
      <c r="AP380" s="138"/>
      <c r="BS380" s="8"/>
      <c r="BT380" s="8"/>
      <c r="BU380" s="8"/>
      <c r="BV380" s="8"/>
      <c r="BW380" s="8"/>
      <c r="BX380" s="8"/>
      <c r="BY380" s="8"/>
    </row>
    <row r="381" spans="3:77" ht="15" customHeight="1" x14ac:dyDescent="0.2">
      <c r="C381" s="5"/>
      <c r="V381" s="18" t="s">
        <v>233</v>
      </c>
      <c r="W381" s="179" t="e" cm="1" vm="2">
        <f t="array" ref="W381">INDEX(AV364:AV373,$W$289)</f>
        <v>#VALUE!</v>
      </c>
      <c r="X381" s="179"/>
      <c r="Y381" s="179"/>
      <c r="Z381" s="179"/>
      <c r="AE381" s="138"/>
      <c r="AF381" s="138"/>
      <c r="AG381" s="138"/>
      <c r="AH381" s="138"/>
      <c r="AI381" s="138"/>
      <c r="AJ381" s="138"/>
      <c r="AK381" s="138"/>
      <c r="AL381" s="138"/>
      <c r="AM381" s="138"/>
      <c r="AN381" s="138"/>
      <c r="AO381" s="138"/>
      <c r="AP381" s="138"/>
      <c r="BS381" s="8"/>
      <c r="BT381" s="8"/>
      <c r="BU381" s="8"/>
      <c r="BV381" s="8"/>
      <c r="BW381" s="8"/>
      <c r="BX381" s="8"/>
      <c r="BY381" s="8"/>
    </row>
    <row r="382" spans="3:77" ht="15" customHeight="1" x14ac:dyDescent="0.2">
      <c r="C382" s="5"/>
      <c r="V382" s="18" t="s">
        <v>234</v>
      </c>
      <c r="W382" s="179" t="e" cm="1" vm="2">
        <f t="array" ref="W382">INDEX(AY364:AY373,$W$289)</f>
        <v>#VALUE!</v>
      </c>
      <c r="X382" s="179"/>
      <c r="Y382" s="179"/>
      <c r="Z382" s="179"/>
      <c r="AE382" s="138"/>
      <c r="AF382" s="138"/>
      <c r="AG382" s="138"/>
      <c r="AH382" s="138"/>
      <c r="AI382" s="138"/>
      <c r="AJ382" s="138"/>
      <c r="AK382" s="138"/>
      <c r="AL382" s="138"/>
      <c r="AM382" s="138"/>
      <c r="AN382" s="138"/>
      <c r="AO382" s="138"/>
      <c r="AP382" s="138"/>
      <c r="BS382" s="8"/>
      <c r="BT382" s="8"/>
      <c r="BU382" s="8"/>
      <c r="BV382" s="8"/>
      <c r="BW382" s="8"/>
      <c r="BX382" s="8"/>
      <c r="BY382" s="8"/>
    </row>
    <row r="383" spans="3:77" ht="15" customHeight="1" x14ac:dyDescent="0.2">
      <c r="C383" s="5"/>
      <c r="V383" s="18" t="s">
        <v>231</v>
      </c>
      <c r="W383" s="179" t="e" cm="1" vm="2">
        <f t="array" ref="W383">INDEX(U364:U373,$W$289)</f>
        <v>#VALUE!</v>
      </c>
      <c r="X383" s="179"/>
      <c r="Y383" s="179"/>
      <c r="Z383" s="179"/>
      <c r="AE383" s="138"/>
      <c r="AF383" s="138"/>
      <c r="AG383" s="138"/>
      <c r="AH383" s="138"/>
      <c r="AI383" s="138"/>
      <c r="AJ383" s="138"/>
      <c r="AK383" s="138"/>
      <c r="AL383" s="138"/>
      <c r="AM383" s="138"/>
      <c r="AN383" s="138"/>
      <c r="AO383" s="138"/>
      <c r="AP383" s="138"/>
      <c r="BS383" s="8"/>
      <c r="BT383" s="8"/>
      <c r="BU383" s="8"/>
      <c r="BV383" s="8"/>
      <c r="BW383" s="8"/>
      <c r="BX383" s="8"/>
      <c r="BY383" s="8"/>
    </row>
    <row r="384" spans="3:77" ht="15" customHeight="1" x14ac:dyDescent="0.2">
      <c r="C384" s="5"/>
      <c r="V384" s="18" t="s">
        <v>232</v>
      </c>
      <c r="W384" s="179" t="e" cm="1" vm="2">
        <f t="array" ref="W384">INDEX(AO364:AO373,$W$289)</f>
        <v>#VALUE!</v>
      </c>
      <c r="X384" s="179"/>
      <c r="Y384" s="179"/>
      <c r="Z384" s="179"/>
      <c r="AE384" s="138"/>
      <c r="AF384" s="138"/>
      <c r="AG384" s="138"/>
      <c r="AH384" s="138"/>
      <c r="AI384" s="138"/>
      <c r="AJ384" s="138"/>
      <c r="AK384" s="138"/>
      <c r="AL384" s="138"/>
      <c r="AM384" s="138"/>
      <c r="AN384" s="138"/>
      <c r="AO384" s="138"/>
      <c r="AP384" s="138"/>
      <c r="BS384" s="8"/>
      <c r="BT384" s="8"/>
      <c r="BU384" s="8"/>
      <c r="BV384" s="8"/>
      <c r="BW384" s="8"/>
      <c r="BX384" s="8"/>
      <c r="BY384" s="8"/>
    </row>
    <row r="385" spans="3:77" ht="15" customHeight="1" x14ac:dyDescent="0.2">
      <c r="C385" s="37"/>
      <c r="BS385" s="8"/>
      <c r="BT385" s="8"/>
      <c r="BU385" s="8"/>
      <c r="BV385" s="8"/>
      <c r="BW385" s="8"/>
      <c r="BX385" s="8"/>
      <c r="BY385" s="8"/>
    </row>
    <row r="386" spans="3:77" ht="15" customHeight="1" x14ac:dyDescent="0.2">
      <c r="C386" s="37"/>
      <c r="G386" s="174" t="s">
        <v>228</v>
      </c>
      <c r="H386" s="174"/>
      <c r="I386" s="174"/>
      <c r="J386" s="174"/>
      <c r="K386" s="174"/>
      <c r="L386" s="174"/>
      <c r="M386" s="174"/>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c r="BG386" s="174"/>
      <c r="BH386" s="174"/>
      <c r="BI386" s="174"/>
      <c r="BJ386" s="174"/>
      <c r="BK386" s="174"/>
      <c r="BL386" s="174"/>
      <c r="BM386" s="174"/>
      <c r="BN386" s="174"/>
      <c r="BO386" s="174"/>
      <c r="BP386" s="174"/>
      <c r="BQ386" s="174"/>
      <c r="BS386" s="8"/>
      <c r="BT386" s="8"/>
      <c r="BU386" s="8"/>
      <c r="BV386" s="8"/>
      <c r="BW386" s="8"/>
      <c r="BX386" s="8"/>
      <c r="BY386" s="8"/>
    </row>
    <row r="387" spans="3:77" ht="15" customHeight="1" x14ac:dyDescent="0.2">
      <c r="C387" s="37"/>
      <c r="G387" s="92"/>
      <c r="V387" s="17" t="s">
        <v>201</v>
      </c>
      <c r="W387" s="178">
        <f>Mat.Rebar_epsilon.cl</f>
        <v>2E-3</v>
      </c>
      <c r="X387" s="178"/>
      <c r="Y387" s="178"/>
      <c r="Z387" s="178"/>
      <c r="AA387" s="178"/>
      <c r="AB387" s="178"/>
      <c r="BS387" s="8"/>
      <c r="BT387" s="8"/>
      <c r="BU387" s="8"/>
      <c r="BV387" s="8"/>
      <c r="BW387" s="8"/>
      <c r="BX387" s="8"/>
      <c r="BY387" s="8"/>
    </row>
    <row r="388" spans="3:77" ht="15" customHeight="1" x14ac:dyDescent="0.2">
      <c r="C388" s="37"/>
      <c r="V388" s="17" t="s">
        <v>132</v>
      </c>
      <c r="W388" s="178">
        <f>IF(Mat.Rebar_f.y&lt;=75,0.005,IF(Mat.Rebar_f.y&lt;100,0.008-((100-Mat.Rebar_f.y)*0.003/25),IF(Mat.Rebar_f.y=100,0.008,"OUT OF SCOPE")))</f>
        <v>5.0000000000000001E-3</v>
      </c>
      <c r="X388" s="178"/>
      <c r="Y388" s="178"/>
      <c r="Z388" s="178"/>
      <c r="AA388" s="178"/>
      <c r="AB388" s="178"/>
      <c r="BS388" s="8"/>
      <c r="BT388" s="8"/>
      <c r="BU388" s="8"/>
      <c r="BV388" s="8"/>
      <c r="BW388" s="8"/>
      <c r="BX388" s="8"/>
      <c r="BY388" s="8"/>
    </row>
    <row r="389" spans="3:77" ht="15" customHeight="1" x14ac:dyDescent="0.2">
      <c r="C389" s="37"/>
      <c r="V389" s="18" t="s">
        <v>230</v>
      </c>
      <c r="W389" s="178" t="e" vm="2">
        <f>W380</f>
        <v>#VALUE!</v>
      </c>
      <c r="X389" s="178"/>
      <c r="Y389" s="178"/>
      <c r="Z389" s="178"/>
      <c r="AA389" s="178"/>
      <c r="AB389" s="178"/>
      <c r="BS389" s="8"/>
      <c r="BT389" s="8"/>
      <c r="BU389" s="8"/>
      <c r="BV389" s="8"/>
      <c r="BW389" s="8"/>
      <c r="BX389" s="8"/>
      <c r="BY389" s="8"/>
    </row>
    <row r="390" spans="3:77" ht="15" customHeight="1" x14ac:dyDescent="0.2">
      <c r="C390" s="37"/>
      <c r="V390" s="2" t="s">
        <v>126</v>
      </c>
      <c r="W390" s="176" t="e" vm="2">
        <f>MAX(0.75,MIN(1,0.75+0.25*(W389-W387)/(Mat.Rebar_epsilon.tl-W387)))</f>
        <v>#VALUE!</v>
      </c>
      <c r="X390" s="176"/>
      <c r="Y390" s="176"/>
      <c r="Z390" s="176"/>
      <c r="AA390" s="176"/>
      <c r="AB390" s="176"/>
      <c r="BS390" s="8"/>
      <c r="BT390" s="8"/>
      <c r="BU390" s="8"/>
      <c r="BV390" s="8"/>
      <c r="BW390" s="8"/>
      <c r="BX390" s="8"/>
      <c r="BY390" s="8"/>
    </row>
    <row r="391" spans="3:77" ht="15" customHeight="1" x14ac:dyDescent="0.2">
      <c r="C391" s="37"/>
      <c r="V391" s="2"/>
      <c r="W391" s="80"/>
      <c r="X391" s="80"/>
      <c r="Y391" s="80"/>
      <c r="Z391" s="80"/>
      <c r="AA391" s="80"/>
      <c r="AB391" s="80"/>
      <c r="BS391" s="8"/>
      <c r="BT391" s="8"/>
      <c r="BU391" s="8"/>
      <c r="BV391" s="8"/>
      <c r="BW391" s="8"/>
      <c r="BX391" s="8"/>
      <c r="BY391" s="8"/>
    </row>
    <row r="392" spans="3:77" ht="15" customHeight="1" x14ac:dyDescent="0.2">
      <c r="C392" s="37"/>
      <c r="G392" s="174" t="s">
        <v>235</v>
      </c>
      <c r="H392" s="174"/>
      <c r="I392" s="174"/>
      <c r="J392" s="174"/>
      <c r="K392" s="174"/>
      <c r="L392" s="174"/>
      <c r="M392" s="174"/>
      <c r="N392" s="174"/>
      <c r="O392" s="174"/>
      <c r="P392" s="174"/>
      <c r="Q392" s="174"/>
      <c r="R392" s="174"/>
      <c r="S392" s="174"/>
      <c r="T392" s="174"/>
      <c r="U392" s="174"/>
      <c r="V392" s="174"/>
      <c r="W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c r="BG392" s="174"/>
      <c r="BH392" s="174"/>
      <c r="BI392" s="174"/>
      <c r="BJ392" s="174"/>
      <c r="BK392" s="174"/>
      <c r="BL392" s="174"/>
      <c r="BM392" s="174"/>
      <c r="BN392" s="174"/>
      <c r="BO392" s="174"/>
      <c r="BP392" s="174"/>
      <c r="BQ392" s="174"/>
      <c r="BS392" s="8"/>
      <c r="BT392" s="8"/>
      <c r="BU392" s="8"/>
      <c r="BV392" s="8"/>
      <c r="BW392" s="8"/>
      <c r="BX392" s="8"/>
      <c r="BY392" s="8"/>
    </row>
    <row r="393" spans="3:77" ht="15" customHeight="1" x14ac:dyDescent="0.2">
      <c r="C393" s="37"/>
      <c r="V393" s="2" t="s">
        <v>276</v>
      </c>
      <c r="W393" s="180" t="e" vm="2">
        <f>0.5*MIN(W379,Geometry_h.f.Negative)</f>
        <v>#VALUE!</v>
      </c>
      <c r="X393" s="180"/>
      <c r="Y393" s="180"/>
      <c r="Z393" s="180"/>
      <c r="AA393" s="80"/>
      <c r="AB393" s="80"/>
      <c r="BS393" s="8"/>
      <c r="BT393" s="8"/>
      <c r="BU393" s="8"/>
      <c r="BV393" s="8"/>
      <c r="BW393" s="8"/>
      <c r="BX393" s="8"/>
      <c r="BY393" s="8"/>
    </row>
    <row r="394" spans="3:77" ht="15" customHeight="1" x14ac:dyDescent="0.2">
      <c r="C394" s="37"/>
      <c r="V394" s="2" t="s">
        <v>277</v>
      </c>
      <c r="W394" s="169" t="e" vm="2">
        <f>IF(W382=0,0,Geometry_h.f.Negative+0.5*MAX(0,W379-Geometry_h.f.Negative))</f>
        <v>#VALUE!</v>
      </c>
      <c r="X394" s="169"/>
      <c r="Y394" s="169"/>
      <c r="Z394" s="169"/>
      <c r="AA394" s="80"/>
      <c r="AB394" s="80"/>
      <c r="BS394" s="8"/>
      <c r="BT394" s="8"/>
      <c r="BU394" s="8"/>
      <c r="BV394" s="8"/>
      <c r="BW394" s="8"/>
      <c r="BX394" s="8"/>
      <c r="BY394" s="8"/>
    </row>
    <row r="395" spans="3:77" ht="15" customHeight="1" x14ac:dyDescent="0.2">
      <c r="C395" s="37"/>
      <c r="V395" s="2" t="s">
        <v>278</v>
      </c>
      <c r="W395" s="170" t="e">
        <f>Geometry_d.s.Negative</f>
        <v>#N/A</v>
      </c>
      <c r="X395" s="170"/>
      <c r="Y395" s="170"/>
      <c r="Z395" s="170"/>
      <c r="AA395" s="80"/>
      <c r="AB395" s="80"/>
      <c r="BS395" s="8"/>
      <c r="BT395" s="8"/>
      <c r="BU395" s="8"/>
      <c r="BV395" s="8"/>
      <c r="BW395" s="8"/>
      <c r="BX395" s="8"/>
      <c r="BY395" s="8"/>
    </row>
    <row r="396" spans="3:77" ht="15" customHeight="1" x14ac:dyDescent="0.2">
      <c r="C396" s="37"/>
      <c r="V396" s="2" t="s">
        <v>279</v>
      </c>
      <c r="W396" s="170" t="e">
        <f>Geometry_d.p.Negative</f>
        <v>#N/A</v>
      </c>
      <c r="X396" s="170"/>
      <c r="Y396" s="170"/>
      <c r="Z396" s="170"/>
      <c r="AC396" s="78"/>
      <c r="AD396" s="93"/>
      <c r="AE396" s="93"/>
      <c r="AF396" s="93"/>
      <c r="AG396" s="93"/>
      <c r="AH396" s="93"/>
      <c r="AI396" s="93"/>
      <c r="AJ396" s="93"/>
      <c r="AK396" s="93"/>
      <c r="AL396" s="16"/>
      <c r="AM396" s="166" t="s">
        <v>133</v>
      </c>
      <c r="AN396" s="166"/>
      <c r="AO396" s="166"/>
      <c r="AP396" s="166"/>
      <c r="AQ396" s="166"/>
      <c r="AR396" s="166"/>
      <c r="AS396" s="166"/>
      <c r="AT396" s="166"/>
      <c r="AU396" s="166"/>
      <c r="AV396" s="166"/>
      <c r="AW396" s="16"/>
      <c r="BS396" s="8"/>
      <c r="BT396" s="8"/>
      <c r="BU396" s="8"/>
      <c r="BV396" s="8"/>
      <c r="BW396" s="8"/>
      <c r="BX396" s="8"/>
      <c r="BY396" s="8"/>
    </row>
    <row r="397" spans="3:77" ht="15" customHeight="1" x14ac:dyDescent="0.2">
      <c r="C397" s="37"/>
      <c r="V397" s="2" t="s">
        <v>238</v>
      </c>
      <c r="W397" s="171" t="e">
        <f>(W396*W384+W395*W383-W394*W382-W393*W381)/12</f>
        <v>#N/A</v>
      </c>
      <c r="X397" s="172"/>
      <c r="Y397" s="172"/>
      <c r="Z397" s="172"/>
      <c r="AA397" s="172"/>
      <c r="AB397" s="173"/>
      <c r="AL397" s="16"/>
      <c r="AM397" s="166"/>
      <c r="AN397" s="166"/>
      <c r="AO397" s="166"/>
      <c r="AP397" s="166"/>
      <c r="AQ397" s="166"/>
      <c r="AR397" s="166"/>
      <c r="AS397" s="166"/>
      <c r="AT397" s="166"/>
      <c r="AU397" s="166"/>
      <c r="AV397" s="166"/>
      <c r="AW397" s="16"/>
      <c r="BS397" s="8"/>
      <c r="BT397" s="8"/>
      <c r="BU397" s="8"/>
      <c r="BV397" s="8"/>
      <c r="BW397" s="8"/>
      <c r="BX397" s="8"/>
      <c r="BY397" s="8"/>
    </row>
    <row r="398" spans="3:77" ht="15" customHeight="1" x14ac:dyDescent="0.2">
      <c r="C398" s="37"/>
      <c r="BS398" s="8"/>
      <c r="BT398" s="8"/>
      <c r="BU398" s="8"/>
      <c r="BV398" s="8"/>
      <c r="BW398" s="8"/>
      <c r="BX398" s="8"/>
      <c r="BY398" s="8"/>
    </row>
    <row r="399" spans="3:77" ht="15" customHeight="1" x14ac:dyDescent="0.2">
      <c r="C399" s="37"/>
      <c r="G399" s="174" t="s">
        <v>237</v>
      </c>
      <c r="H399" s="174"/>
      <c r="I399" s="174"/>
      <c r="J399" s="174"/>
      <c r="K399" s="174"/>
      <c r="L399" s="174"/>
      <c r="M399" s="174"/>
      <c r="N399" s="174"/>
      <c r="O399" s="174"/>
      <c r="P399" s="174"/>
      <c r="Q399" s="174"/>
      <c r="R399" s="174"/>
      <c r="S399" s="174"/>
      <c r="T399" s="174"/>
      <c r="U399" s="174"/>
      <c r="V399" s="174"/>
      <c r="W399" s="174"/>
      <c r="X399" s="174"/>
      <c r="Y399" s="174"/>
      <c r="Z399" s="174"/>
      <c r="AA399" s="174"/>
      <c r="AB399" s="174"/>
      <c r="AC399" s="175"/>
      <c r="AD399" s="174"/>
      <c r="AE399" s="174"/>
      <c r="AF399" s="174"/>
      <c r="AG399" s="174"/>
      <c r="AH399" s="174"/>
      <c r="AI399" s="174"/>
      <c r="AJ399" s="174"/>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c r="BG399" s="174"/>
      <c r="BH399" s="174"/>
      <c r="BI399" s="174"/>
      <c r="BJ399" s="174"/>
      <c r="BK399" s="174"/>
      <c r="BL399" s="174"/>
      <c r="BM399" s="174"/>
      <c r="BN399" s="174"/>
      <c r="BO399" s="174"/>
      <c r="BP399" s="174"/>
      <c r="BQ399" s="174"/>
      <c r="BS399" s="8"/>
      <c r="BT399" s="8"/>
      <c r="BU399" s="8"/>
      <c r="BV399" s="8"/>
      <c r="BW399" s="8"/>
      <c r="BX399" s="8"/>
      <c r="BY399" s="8"/>
    </row>
    <row r="400" spans="3:77" ht="15" customHeight="1" x14ac:dyDescent="0.2">
      <c r="C400" s="105"/>
      <c r="G400" s="107"/>
      <c r="H400" s="107"/>
      <c r="I400" s="107"/>
      <c r="J400" s="107"/>
      <c r="K400" s="107"/>
      <c r="L400" s="107"/>
      <c r="M400" s="107"/>
      <c r="N400" s="107"/>
      <c r="O400" s="107"/>
      <c r="P400" s="107"/>
      <c r="Q400" s="107"/>
      <c r="R400" s="107"/>
      <c r="S400" s="107"/>
      <c r="T400" s="107"/>
      <c r="U400" s="107"/>
      <c r="V400" s="2" t="s">
        <v>239</v>
      </c>
      <c r="W400" s="171" t="e" vm="2">
        <f>W390*W397</f>
        <v>#VALUE!</v>
      </c>
      <c r="X400" s="172"/>
      <c r="Y400" s="172"/>
      <c r="Z400" s="172"/>
      <c r="AA400" s="172"/>
      <c r="AB400" s="172"/>
      <c r="AC400" s="124"/>
      <c r="AD400" s="39"/>
      <c r="AE400" s="39"/>
      <c r="AF400" s="39"/>
      <c r="AG400" s="39"/>
      <c r="AH400" s="39"/>
      <c r="AI400" s="39"/>
      <c r="AJ400" s="39"/>
      <c r="AK400" s="39"/>
      <c r="BS400" s="8"/>
      <c r="BT400" s="8"/>
      <c r="BU400" s="8"/>
      <c r="BV400" s="8"/>
      <c r="BW400" s="8"/>
      <c r="BX400" s="8"/>
      <c r="BY400" s="8"/>
    </row>
    <row r="401" spans="3:80" ht="15" customHeight="1" x14ac:dyDescent="0.2">
      <c r="C401" s="37"/>
      <c r="G401" s="107"/>
      <c r="H401" s="107"/>
      <c r="I401" s="107"/>
      <c r="J401" s="107"/>
      <c r="K401" s="107"/>
      <c r="L401" s="107"/>
      <c r="M401" s="107"/>
      <c r="N401" s="107"/>
      <c r="O401" s="107"/>
      <c r="P401" s="107"/>
      <c r="Q401" s="107"/>
      <c r="R401" s="107"/>
      <c r="S401" s="107"/>
      <c r="T401" s="107"/>
      <c r="U401" s="107"/>
      <c r="V401" s="2" t="s">
        <v>123</v>
      </c>
      <c r="W401" s="176" t="e" vm="2">
        <f>ABS(W319)/W400</f>
        <v>#VALUE!</v>
      </c>
      <c r="X401" s="176"/>
      <c r="Y401" s="176"/>
      <c r="Z401" s="176"/>
      <c r="AA401" s="176"/>
      <c r="AB401" s="176"/>
      <c r="AD401" s="39"/>
      <c r="AE401" s="39"/>
      <c r="AF401" s="39"/>
      <c r="AG401" s="39"/>
      <c r="AH401" s="39"/>
      <c r="AI401" s="39"/>
      <c r="AJ401" s="39"/>
      <c r="AK401" s="39"/>
      <c r="AL401" s="16"/>
      <c r="AM401" s="166" t="s">
        <v>133</v>
      </c>
      <c r="AN401" s="166"/>
      <c r="AO401" s="166"/>
      <c r="AP401" s="166"/>
      <c r="AQ401" s="166"/>
      <c r="AR401" s="166"/>
      <c r="AS401" s="166"/>
      <c r="AT401" s="166"/>
      <c r="AU401" s="166"/>
      <c r="AV401" s="166"/>
      <c r="AW401" s="16"/>
      <c r="BS401" s="8"/>
      <c r="BT401" s="8"/>
      <c r="BU401" s="8"/>
      <c r="BV401" s="8"/>
      <c r="BW401" s="8"/>
      <c r="BX401" s="8"/>
      <c r="BY401" s="8"/>
    </row>
    <row r="402" spans="3:80" ht="15" customHeight="1" x14ac:dyDescent="0.2">
      <c r="C402" s="37"/>
      <c r="AL402" s="16"/>
      <c r="AM402" s="166"/>
      <c r="AN402" s="166"/>
      <c r="AO402" s="166"/>
      <c r="AP402" s="166"/>
      <c r="AQ402" s="166"/>
      <c r="AR402" s="166"/>
      <c r="AS402" s="166"/>
      <c r="AT402" s="166"/>
      <c r="AU402" s="166"/>
      <c r="AV402" s="166"/>
      <c r="AW402" s="16"/>
      <c r="BS402" s="8"/>
      <c r="BT402" s="8"/>
      <c r="BU402" s="8"/>
      <c r="BV402" s="8"/>
      <c r="BW402" s="8"/>
      <c r="BX402" s="8"/>
      <c r="BY402" s="8"/>
    </row>
    <row r="403" spans="3:80" ht="15" customHeight="1" x14ac:dyDescent="0.25">
      <c r="C403" s="318">
        <v>4</v>
      </c>
      <c r="D403" s="319"/>
      <c r="E403" s="289" t="s">
        <v>154</v>
      </c>
      <c r="F403" s="289"/>
      <c r="G403" s="289"/>
      <c r="H403" s="289"/>
      <c r="I403" s="289"/>
      <c r="J403" s="289"/>
      <c r="K403" s="289"/>
      <c r="L403" s="289"/>
      <c r="M403" s="289"/>
      <c r="N403" s="289"/>
      <c r="O403" s="289"/>
      <c r="P403" s="289"/>
      <c r="Q403" s="289"/>
      <c r="R403" s="289"/>
      <c r="S403" s="289"/>
      <c r="T403" s="289"/>
      <c r="U403" s="289"/>
      <c r="V403" s="289"/>
      <c r="W403" s="289"/>
      <c r="X403" s="289"/>
      <c r="Y403" s="289"/>
      <c r="Z403" s="289"/>
      <c r="AA403" s="289"/>
      <c r="AB403" s="289"/>
      <c r="AC403" s="289"/>
      <c r="AD403" s="289"/>
      <c r="AE403" s="289"/>
      <c r="AF403" s="289"/>
      <c r="AG403" s="289"/>
      <c r="AH403" s="289"/>
      <c r="AI403" s="289"/>
      <c r="AJ403" s="289"/>
      <c r="AK403" s="289"/>
      <c r="AL403" s="289"/>
      <c r="AM403" s="289"/>
      <c r="AN403" s="289"/>
      <c r="AO403" s="289"/>
      <c r="AP403" s="289"/>
      <c r="AQ403" s="289"/>
      <c r="AR403" s="289"/>
      <c r="AS403" s="289"/>
      <c r="AT403" s="289"/>
      <c r="AU403" s="289"/>
      <c r="AV403" s="289"/>
      <c r="AW403" s="289"/>
      <c r="AX403" s="289"/>
      <c r="AY403" s="289"/>
      <c r="AZ403" s="289"/>
      <c r="BA403" s="289"/>
      <c r="BB403" s="289"/>
      <c r="BC403" s="289"/>
      <c r="BD403" s="289"/>
      <c r="BE403" s="289"/>
      <c r="BF403" s="289"/>
      <c r="BG403" s="289"/>
      <c r="BH403" s="289"/>
      <c r="BI403" s="289"/>
      <c r="BJ403" s="289"/>
      <c r="BK403" s="289"/>
      <c r="BL403" s="289"/>
      <c r="BM403" s="289"/>
      <c r="BN403" s="289"/>
      <c r="BO403" s="289"/>
      <c r="BP403" s="289"/>
      <c r="BQ403" s="289"/>
      <c r="BR403" s="59"/>
      <c r="BS403" s="8"/>
      <c r="BT403" s="8"/>
      <c r="BU403" s="8"/>
      <c r="BV403" s="8"/>
      <c r="BW403" s="8"/>
      <c r="BX403" s="8"/>
      <c r="BY403" s="8"/>
    </row>
    <row r="404" spans="3:80" ht="15" customHeight="1" x14ac:dyDescent="0.25">
      <c r="C404" s="318"/>
      <c r="D404" s="31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c r="AA404" s="289"/>
      <c r="AB404" s="289"/>
      <c r="AC404" s="289"/>
      <c r="AD404" s="289"/>
      <c r="AE404" s="289"/>
      <c r="AF404" s="289"/>
      <c r="AG404" s="289"/>
      <c r="AH404" s="289"/>
      <c r="AI404" s="289"/>
      <c r="AJ404" s="289"/>
      <c r="AK404" s="289"/>
      <c r="AL404" s="289"/>
      <c r="AM404" s="289"/>
      <c r="AN404" s="289"/>
      <c r="AO404" s="289"/>
      <c r="AP404" s="289"/>
      <c r="AQ404" s="289"/>
      <c r="AR404" s="289"/>
      <c r="AS404" s="289"/>
      <c r="AT404" s="289"/>
      <c r="AU404" s="289"/>
      <c r="AV404" s="289"/>
      <c r="AW404" s="289"/>
      <c r="AX404" s="289"/>
      <c r="AY404" s="289"/>
      <c r="AZ404" s="289"/>
      <c r="BA404" s="289"/>
      <c r="BB404" s="289"/>
      <c r="BC404" s="289"/>
      <c r="BD404" s="289"/>
      <c r="BE404" s="289"/>
      <c r="BF404" s="289"/>
      <c r="BG404" s="289"/>
      <c r="BH404" s="289"/>
      <c r="BI404" s="289"/>
      <c r="BJ404" s="289"/>
      <c r="BK404" s="289"/>
      <c r="BL404" s="289"/>
      <c r="BM404" s="289"/>
      <c r="BN404" s="289"/>
      <c r="BO404" s="289"/>
      <c r="BP404" s="289"/>
      <c r="BQ404" s="289"/>
      <c r="BR404" s="59"/>
      <c r="BS404" s="8"/>
      <c r="BT404" s="8"/>
      <c r="BU404" s="8"/>
      <c r="BV404" s="8"/>
      <c r="BW404" s="8"/>
      <c r="BX404" s="8"/>
      <c r="BY404" s="8"/>
    </row>
    <row r="405" spans="3:80" ht="15" customHeight="1" x14ac:dyDescent="0.25">
      <c r="C405" s="65"/>
      <c r="D405" s="66"/>
      <c r="E405" s="268" t="s">
        <v>155</v>
      </c>
      <c r="F405" s="268"/>
      <c r="G405" s="268"/>
      <c r="H405" s="268"/>
      <c r="I405" s="268"/>
      <c r="J405" s="268"/>
      <c r="K405" s="268"/>
      <c r="L405" s="268"/>
      <c r="M405" s="268"/>
      <c r="N405" s="268"/>
      <c r="O405" s="268"/>
      <c r="P405" s="268"/>
      <c r="Q405" s="268"/>
      <c r="R405" s="268"/>
      <c r="S405" s="268"/>
      <c r="T405" s="268"/>
      <c r="U405" s="268"/>
      <c r="V405" s="268"/>
      <c r="W405" s="268"/>
      <c r="X405" s="268"/>
      <c r="Y405" s="268"/>
      <c r="Z405" s="268"/>
      <c r="AA405" s="268"/>
      <c r="AB405" s="268"/>
      <c r="AC405" s="268"/>
      <c r="AD405" s="268"/>
      <c r="AE405" s="268"/>
      <c r="AF405" s="268"/>
      <c r="AG405" s="268"/>
      <c r="AH405" s="268"/>
      <c r="AI405" s="268"/>
      <c r="AJ405" s="268"/>
      <c r="AK405" s="268"/>
      <c r="AL405" s="268"/>
      <c r="AM405" s="268"/>
      <c r="AN405" s="268"/>
      <c r="AO405" s="268"/>
      <c r="AP405" s="268"/>
      <c r="AQ405" s="268"/>
      <c r="AR405" s="268"/>
      <c r="AS405" s="268"/>
      <c r="AT405" s="268"/>
      <c r="AU405" s="268"/>
      <c r="AV405" s="268"/>
      <c r="AW405" s="268"/>
      <c r="AX405" s="268"/>
      <c r="AY405" s="268"/>
      <c r="AZ405" s="268"/>
      <c r="BA405" s="268"/>
      <c r="BB405" s="268"/>
      <c r="BC405" s="268"/>
      <c r="BD405" s="268"/>
      <c r="BE405" s="268"/>
      <c r="BF405" s="268"/>
      <c r="BG405" s="268"/>
      <c r="BH405" s="268"/>
      <c r="BI405" s="268"/>
      <c r="BJ405" s="268"/>
      <c r="BK405" s="268"/>
      <c r="BL405" s="268"/>
      <c r="BM405" s="268"/>
      <c r="BN405" s="268"/>
      <c r="BO405" s="268"/>
      <c r="BP405" s="268"/>
      <c r="BQ405" s="268"/>
      <c r="BR405" s="43"/>
      <c r="BS405" s="8"/>
      <c r="BT405" s="8"/>
      <c r="BU405" s="8"/>
      <c r="BV405" s="8"/>
      <c r="BW405" s="8"/>
      <c r="BX405" s="8"/>
      <c r="BY405" s="8"/>
    </row>
    <row r="406" spans="3:80" ht="15" customHeight="1" x14ac:dyDescent="0.25">
      <c r="C406" s="65"/>
      <c r="D406" s="66"/>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c r="AA406" s="268"/>
      <c r="AB406" s="268"/>
      <c r="AC406" s="268"/>
      <c r="AD406" s="268"/>
      <c r="AE406" s="268"/>
      <c r="AF406" s="268"/>
      <c r="AG406" s="268"/>
      <c r="AH406" s="268"/>
      <c r="AI406" s="268"/>
      <c r="AJ406" s="268"/>
      <c r="AK406" s="268"/>
      <c r="AL406" s="268"/>
      <c r="AM406" s="268"/>
      <c r="AN406" s="268"/>
      <c r="AO406" s="268"/>
      <c r="AP406" s="268"/>
      <c r="AQ406" s="268"/>
      <c r="AR406" s="268"/>
      <c r="AS406" s="268"/>
      <c r="AT406" s="268"/>
      <c r="AU406" s="268"/>
      <c r="AV406" s="268"/>
      <c r="AW406" s="268"/>
      <c r="AX406" s="268"/>
      <c r="AY406" s="268"/>
      <c r="AZ406" s="268"/>
      <c r="BA406" s="268"/>
      <c r="BB406" s="268"/>
      <c r="BC406" s="268"/>
      <c r="BD406" s="268"/>
      <c r="BE406" s="268"/>
      <c r="BF406" s="268"/>
      <c r="BG406" s="268"/>
      <c r="BH406" s="268"/>
      <c r="BI406" s="268"/>
      <c r="BJ406" s="268"/>
      <c r="BK406" s="268"/>
      <c r="BL406" s="268"/>
      <c r="BM406" s="268"/>
      <c r="BN406" s="268"/>
      <c r="BO406" s="268"/>
      <c r="BP406" s="268"/>
      <c r="BQ406" s="268"/>
      <c r="BR406" s="43"/>
      <c r="BS406" s="8"/>
      <c r="BT406" s="8"/>
      <c r="BU406" s="8"/>
      <c r="BV406" s="8"/>
      <c r="BW406" s="8"/>
      <c r="BX406" s="8"/>
      <c r="BY406" s="8"/>
    </row>
    <row r="407" spans="3:80" ht="15" customHeight="1" x14ac:dyDescent="0.25">
      <c r="C407" s="65"/>
      <c r="D407" s="66"/>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c r="AB407" s="268"/>
      <c r="AC407" s="268"/>
      <c r="AD407" s="268"/>
      <c r="AE407" s="268"/>
      <c r="AF407" s="268"/>
      <c r="AG407" s="268"/>
      <c r="AH407" s="268"/>
      <c r="AI407" s="268"/>
      <c r="AJ407" s="268"/>
      <c r="AK407" s="268"/>
      <c r="AL407" s="268"/>
      <c r="AM407" s="268"/>
      <c r="AN407" s="268"/>
      <c r="AO407" s="268"/>
      <c r="AP407" s="268"/>
      <c r="AQ407" s="268"/>
      <c r="AR407" s="268"/>
      <c r="AS407" s="268"/>
      <c r="AT407" s="268"/>
      <c r="AU407" s="268"/>
      <c r="AV407" s="268"/>
      <c r="AW407" s="268"/>
      <c r="AX407" s="268"/>
      <c r="AY407" s="268"/>
      <c r="AZ407" s="268"/>
      <c r="BA407" s="268"/>
      <c r="BB407" s="268"/>
      <c r="BC407" s="268"/>
      <c r="BD407" s="268"/>
      <c r="BE407" s="268"/>
      <c r="BF407" s="268"/>
      <c r="BG407" s="268"/>
      <c r="BH407" s="268"/>
      <c r="BI407" s="268"/>
      <c r="BJ407" s="268"/>
      <c r="BK407" s="268"/>
      <c r="BL407" s="268"/>
      <c r="BM407" s="268"/>
      <c r="BN407" s="268"/>
      <c r="BO407" s="268"/>
      <c r="BP407" s="268"/>
      <c r="BQ407" s="268"/>
      <c r="BR407" s="43"/>
      <c r="BS407" s="8"/>
      <c r="BT407" s="8"/>
      <c r="BU407" s="8"/>
      <c r="BV407" s="8"/>
      <c r="BW407" s="8"/>
      <c r="BX407" s="8"/>
      <c r="BY407" s="8"/>
    </row>
    <row r="408" spans="3:80" ht="15" customHeight="1" x14ac:dyDescent="0.25">
      <c r="C408" s="294" t="s">
        <v>156</v>
      </c>
      <c r="D408" s="295"/>
      <c r="E408" s="295"/>
      <c r="F408" s="295"/>
      <c r="G408" s="289" t="s">
        <v>157</v>
      </c>
      <c r="H408" s="289"/>
      <c r="I408" s="289"/>
      <c r="J408" s="289"/>
      <c r="K408" s="289"/>
      <c r="L408" s="289"/>
      <c r="M408" s="289"/>
      <c r="N408" s="289"/>
      <c r="O408" s="289"/>
      <c r="P408" s="289"/>
      <c r="Q408" s="289"/>
      <c r="R408" s="289"/>
      <c r="S408" s="289"/>
      <c r="T408" s="289"/>
      <c r="U408" s="289"/>
      <c r="V408" s="289"/>
      <c r="W408" s="289"/>
      <c r="X408" s="289"/>
      <c r="Y408" s="289"/>
      <c r="Z408" s="289"/>
      <c r="AA408" s="289"/>
      <c r="AB408" s="289"/>
      <c r="AC408" s="289"/>
      <c r="AD408" s="289"/>
      <c r="AE408" s="289"/>
      <c r="AF408" s="289"/>
      <c r="AG408" s="289"/>
      <c r="AH408" s="289"/>
      <c r="AI408" s="289"/>
      <c r="AJ408" s="289"/>
      <c r="AK408" s="289"/>
      <c r="AL408" s="289"/>
      <c r="AM408" s="289"/>
      <c r="AN408" s="289"/>
      <c r="AO408" s="289"/>
      <c r="AP408" s="289"/>
      <c r="AQ408" s="289"/>
      <c r="AR408" s="289"/>
      <c r="AS408" s="289"/>
      <c r="AT408" s="289"/>
      <c r="AU408" s="289"/>
      <c r="AV408" s="289"/>
      <c r="AW408" s="289"/>
      <c r="AX408" s="289"/>
      <c r="AY408" s="289"/>
      <c r="AZ408" s="289"/>
      <c r="BA408" s="289"/>
      <c r="BB408" s="289"/>
      <c r="BC408" s="289"/>
      <c r="BD408" s="289"/>
      <c r="BE408" s="289"/>
      <c r="BF408" s="289"/>
      <c r="BG408" s="289"/>
      <c r="BH408" s="289"/>
      <c r="BI408" s="289"/>
      <c r="BJ408" s="289"/>
      <c r="BK408" s="289"/>
      <c r="BL408" s="289"/>
      <c r="BM408" s="289"/>
      <c r="BN408" s="289"/>
      <c r="BO408" s="289"/>
      <c r="BP408" s="289"/>
      <c r="BQ408" s="289"/>
      <c r="BR408" s="59"/>
      <c r="BS408" s="8"/>
      <c r="BT408" s="8"/>
      <c r="BU408" s="8"/>
      <c r="BV408" s="8"/>
      <c r="BW408" s="8"/>
      <c r="BX408" s="8"/>
      <c r="BY408" s="10"/>
    </row>
    <row r="409" spans="3:80" ht="15" customHeight="1" x14ac:dyDescent="0.25">
      <c r="C409" s="294"/>
      <c r="D409" s="295"/>
      <c r="E409" s="295"/>
      <c r="F409" s="295"/>
      <c r="G409" s="289"/>
      <c r="H409" s="289"/>
      <c r="I409" s="289"/>
      <c r="J409" s="289"/>
      <c r="K409" s="289"/>
      <c r="L409" s="289"/>
      <c r="M409" s="289"/>
      <c r="N409" s="289"/>
      <c r="O409" s="289"/>
      <c r="P409" s="289"/>
      <c r="Q409" s="289"/>
      <c r="R409" s="289"/>
      <c r="S409" s="289"/>
      <c r="T409" s="289"/>
      <c r="U409" s="289"/>
      <c r="V409" s="289"/>
      <c r="W409" s="289"/>
      <c r="X409" s="289"/>
      <c r="Y409" s="289"/>
      <c r="Z409" s="289"/>
      <c r="AA409" s="289"/>
      <c r="AB409" s="289"/>
      <c r="AC409" s="289"/>
      <c r="AD409" s="289"/>
      <c r="AE409" s="289"/>
      <c r="AF409" s="289"/>
      <c r="AG409" s="289"/>
      <c r="AH409" s="289"/>
      <c r="AI409" s="289"/>
      <c r="AJ409" s="289"/>
      <c r="AK409" s="289"/>
      <c r="AL409" s="289"/>
      <c r="AM409" s="289"/>
      <c r="AN409" s="289"/>
      <c r="AO409" s="289"/>
      <c r="AP409" s="289"/>
      <c r="AQ409" s="289"/>
      <c r="AR409" s="289"/>
      <c r="AS409" s="289"/>
      <c r="AT409" s="289"/>
      <c r="AU409" s="289"/>
      <c r="AV409" s="289"/>
      <c r="AW409" s="289"/>
      <c r="AX409" s="289"/>
      <c r="AY409" s="289"/>
      <c r="AZ409" s="289"/>
      <c r="BA409" s="289"/>
      <c r="BB409" s="289"/>
      <c r="BC409" s="289"/>
      <c r="BD409" s="289"/>
      <c r="BE409" s="289"/>
      <c r="BF409" s="289"/>
      <c r="BG409" s="289"/>
      <c r="BH409" s="289"/>
      <c r="BI409" s="289"/>
      <c r="BJ409" s="289"/>
      <c r="BK409" s="289"/>
      <c r="BL409" s="289"/>
      <c r="BM409" s="289"/>
      <c r="BN409" s="289"/>
      <c r="BO409" s="289"/>
      <c r="BP409" s="289"/>
      <c r="BQ409" s="289"/>
      <c r="BR409" s="59"/>
      <c r="BS409" s="8"/>
      <c r="BT409" s="8"/>
      <c r="BU409" s="8"/>
      <c r="BV409" s="8"/>
      <c r="BW409" s="8"/>
      <c r="BX409" s="8"/>
      <c r="BY409" s="10"/>
    </row>
    <row r="410" spans="3:80" ht="15" customHeight="1" x14ac:dyDescent="0.25">
      <c r="C410" s="69"/>
      <c r="G410" s="58"/>
      <c r="H410" s="58"/>
      <c r="I410" s="58"/>
      <c r="J410" s="58"/>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c r="AY410" s="59"/>
      <c r="AZ410" s="59"/>
      <c r="BA410" s="59"/>
      <c r="BB410" s="59"/>
      <c r="BC410" s="59"/>
      <c r="BD410" s="59"/>
      <c r="BE410" s="59"/>
      <c r="BF410" s="59"/>
      <c r="BG410" s="59"/>
      <c r="BH410" s="59"/>
      <c r="BI410" s="59"/>
      <c r="BJ410" s="59"/>
      <c r="BK410" s="59"/>
      <c r="BL410" s="59"/>
      <c r="BM410" s="59"/>
      <c r="BN410" s="59"/>
      <c r="BO410" s="59"/>
      <c r="BP410" s="59"/>
      <c r="BQ410" s="59"/>
      <c r="BR410" s="59"/>
      <c r="BS410" s="70"/>
      <c r="BT410" s="70"/>
      <c r="BU410" s="70"/>
      <c r="BV410" s="70"/>
      <c r="BW410" s="8"/>
      <c r="BX410" s="8"/>
      <c r="BY410" s="8"/>
      <c r="BZ410" s="8"/>
      <c r="CA410" s="8"/>
      <c r="CB410" s="10"/>
    </row>
    <row r="411" spans="3:80" ht="15" customHeight="1" x14ac:dyDescent="0.25">
      <c r="C411" s="69"/>
      <c r="E411" s="115"/>
      <c r="F411" s="338" t="str">
        <f>"Table "&amp;Inputs!B14&amp;"-3:  Postive Flexure Neutral Axis Iteration Table"</f>
        <v>Table C.1-3:  Postive Flexure Neutral Axis Iteration Table</v>
      </c>
      <c r="G411" s="338"/>
      <c r="H411" s="338"/>
      <c r="I411" s="338"/>
      <c r="J411" s="338"/>
      <c r="K411" s="338"/>
      <c r="L411" s="338"/>
      <c r="M411" s="338"/>
      <c r="N411" s="338"/>
      <c r="O411" s="338"/>
      <c r="P411" s="338"/>
      <c r="Q411" s="338"/>
      <c r="R411" s="338"/>
      <c r="S411" s="338"/>
      <c r="T411" s="338"/>
      <c r="U411" s="338"/>
      <c r="V411" s="338"/>
      <c r="W411" s="338"/>
      <c r="X411" s="338"/>
      <c r="Y411" s="338"/>
      <c r="Z411" s="338"/>
      <c r="AA411" s="338"/>
      <c r="AB411" s="338"/>
      <c r="AC411" s="338"/>
      <c r="AD411" s="338"/>
      <c r="AE411" s="338"/>
      <c r="AF411" s="338"/>
      <c r="AG411" s="338"/>
      <c r="AH411" s="338"/>
      <c r="AI411" s="338"/>
      <c r="AJ411" s="338"/>
      <c r="AK411" s="338"/>
      <c r="AL411" s="338"/>
      <c r="AM411" s="338"/>
      <c r="AN411" s="338"/>
      <c r="AO411" s="338"/>
      <c r="AP411" s="338"/>
      <c r="AQ411" s="338"/>
      <c r="AR411" s="338"/>
      <c r="AS411" s="338"/>
      <c r="AT411" s="338"/>
      <c r="AU411" s="338"/>
      <c r="AV411" s="338"/>
      <c r="AW411" s="338"/>
      <c r="AX411" s="338"/>
      <c r="AY411" s="338"/>
      <c r="AZ411" s="338"/>
      <c r="BA411" s="338"/>
      <c r="BB411" s="338"/>
      <c r="BC411" s="338"/>
      <c r="BD411" s="338"/>
      <c r="BE411" s="338"/>
      <c r="BF411" s="338"/>
      <c r="BG411" s="338"/>
      <c r="BH411" s="338"/>
      <c r="BI411" s="338"/>
      <c r="BJ411" s="338"/>
      <c r="BK411" s="338"/>
      <c r="BL411" s="338"/>
      <c r="BM411" s="338"/>
      <c r="BN411" s="338"/>
      <c r="BO411" s="338"/>
      <c r="BP411" s="338"/>
      <c r="BQ411" s="338"/>
      <c r="BR411" s="338"/>
      <c r="BT411" s="71"/>
      <c r="BU411" s="70"/>
      <c r="BV411" s="70"/>
      <c r="BW411" s="8"/>
      <c r="BX411" s="8"/>
      <c r="BY411" s="8"/>
      <c r="BZ411" s="8"/>
      <c r="CA411" s="8"/>
      <c r="CB411" s="10"/>
    </row>
    <row r="412" spans="3:80" ht="15" customHeight="1" x14ac:dyDescent="0.25">
      <c r="C412" s="69"/>
      <c r="E412" s="115"/>
      <c r="F412" s="334" t="s">
        <v>159</v>
      </c>
      <c r="G412" s="334"/>
      <c r="H412" s="334"/>
      <c r="I412" s="334"/>
      <c r="J412" s="182" t="s">
        <v>253</v>
      </c>
      <c r="K412" s="182"/>
      <c r="L412" s="182"/>
      <c r="M412" s="182"/>
      <c r="N412" s="182"/>
      <c r="O412" s="182"/>
      <c r="P412" s="182"/>
      <c r="Q412" s="182"/>
      <c r="R412" s="182"/>
      <c r="S412" s="182"/>
      <c r="T412" s="182"/>
      <c r="U412" s="182"/>
      <c r="V412" s="182"/>
      <c r="W412" s="182"/>
      <c r="X412" s="182"/>
      <c r="Y412" s="182"/>
      <c r="Z412" s="182"/>
      <c r="AA412" s="182"/>
      <c r="AB412" s="182"/>
      <c r="AC412" s="182"/>
      <c r="AD412" s="182"/>
      <c r="AE412" s="334" t="s">
        <v>242</v>
      </c>
      <c r="AF412" s="334"/>
      <c r="AG412" s="334"/>
      <c r="AH412" s="334"/>
      <c r="AI412" s="334" t="s">
        <v>243</v>
      </c>
      <c r="AJ412" s="334"/>
      <c r="AK412" s="334"/>
      <c r="AL412" s="334"/>
      <c r="AM412" s="334" t="s">
        <v>244</v>
      </c>
      <c r="AN412" s="334"/>
      <c r="AO412" s="334"/>
      <c r="AP412" s="334"/>
      <c r="AQ412" s="334" t="s">
        <v>245</v>
      </c>
      <c r="AR412" s="334"/>
      <c r="AS412" s="334"/>
      <c r="AT412" s="334"/>
      <c r="AU412" s="334" t="s">
        <v>246</v>
      </c>
      <c r="AV412" s="334"/>
      <c r="AW412" s="334"/>
      <c r="AX412" s="334"/>
      <c r="AY412" s="334" t="s">
        <v>247</v>
      </c>
      <c r="AZ412" s="334"/>
      <c r="BA412" s="334"/>
      <c r="BB412" s="334"/>
      <c r="BC412" s="334" t="s">
        <v>248</v>
      </c>
      <c r="BD412" s="334"/>
      <c r="BE412" s="334"/>
      <c r="BF412" s="334"/>
      <c r="BG412" s="334" t="s">
        <v>249</v>
      </c>
      <c r="BH412" s="334"/>
      <c r="BI412" s="334"/>
      <c r="BJ412" s="334"/>
      <c r="BK412" s="334" t="s">
        <v>250</v>
      </c>
      <c r="BL412" s="334"/>
      <c r="BM412" s="334"/>
      <c r="BN412" s="334"/>
      <c r="BO412" s="334" t="s">
        <v>251</v>
      </c>
      <c r="BP412" s="334"/>
      <c r="BQ412" s="334"/>
      <c r="BR412" s="334"/>
      <c r="BT412" s="96"/>
      <c r="BU412" s="70"/>
      <c r="BV412" s="70"/>
      <c r="BW412" s="8"/>
      <c r="BX412" s="8"/>
      <c r="BY412" s="8"/>
      <c r="BZ412" s="8"/>
      <c r="CA412" s="8"/>
      <c r="CB412" s="10"/>
    </row>
    <row r="413" spans="3:80" ht="15" customHeight="1" x14ac:dyDescent="0.25">
      <c r="C413" s="69"/>
      <c r="F413" s="326" t="s">
        <v>50</v>
      </c>
      <c r="G413" s="326"/>
      <c r="H413" s="326" t="s">
        <v>363</v>
      </c>
      <c r="I413" s="326"/>
      <c r="J413" s="335" t="s">
        <v>254</v>
      </c>
      <c r="K413" s="182"/>
      <c r="L413" s="182"/>
      <c r="M413" s="335" t="s">
        <v>255</v>
      </c>
      <c r="N413" s="182"/>
      <c r="O413" s="182"/>
      <c r="P413" s="335" t="s">
        <v>256</v>
      </c>
      <c r="Q413" s="182"/>
      <c r="R413" s="182"/>
      <c r="S413" s="335" t="s">
        <v>257</v>
      </c>
      <c r="T413" s="182"/>
      <c r="U413" s="182"/>
      <c r="V413" s="335" t="s">
        <v>258</v>
      </c>
      <c r="W413" s="182"/>
      <c r="X413" s="182"/>
      <c r="Y413" s="335" t="s">
        <v>259</v>
      </c>
      <c r="Z413" s="182"/>
      <c r="AA413" s="182"/>
      <c r="AB413" s="335" t="s">
        <v>252</v>
      </c>
      <c r="AC413" s="335"/>
      <c r="AD413" s="335"/>
      <c r="AE413" s="326" t="s">
        <v>240</v>
      </c>
      <c r="AF413" s="326"/>
      <c r="AG413" s="326" t="s">
        <v>241</v>
      </c>
      <c r="AH413" s="326"/>
      <c r="AI413" s="326" t="s">
        <v>240</v>
      </c>
      <c r="AJ413" s="326"/>
      <c r="AK413" s="326" t="s">
        <v>241</v>
      </c>
      <c r="AL413" s="326"/>
      <c r="AM413" s="326" t="s">
        <v>240</v>
      </c>
      <c r="AN413" s="326"/>
      <c r="AO413" s="326" t="s">
        <v>241</v>
      </c>
      <c r="AP413" s="326"/>
      <c r="AQ413" s="326" t="s">
        <v>240</v>
      </c>
      <c r="AR413" s="326"/>
      <c r="AS413" s="326" t="s">
        <v>241</v>
      </c>
      <c r="AT413" s="326"/>
      <c r="AU413" s="326" t="s">
        <v>240</v>
      </c>
      <c r="AV413" s="326"/>
      <c r="AW413" s="326" t="s">
        <v>241</v>
      </c>
      <c r="AX413" s="326"/>
      <c r="AY413" s="326" t="s">
        <v>240</v>
      </c>
      <c r="AZ413" s="326"/>
      <c r="BA413" s="326" t="s">
        <v>241</v>
      </c>
      <c r="BB413" s="326"/>
      <c r="BC413" s="326" t="s">
        <v>240</v>
      </c>
      <c r="BD413" s="326"/>
      <c r="BE413" s="326" t="s">
        <v>241</v>
      </c>
      <c r="BF413" s="326"/>
      <c r="BG413" s="326" t="s">
        <v>240</v>
      </c>
      <c r="BH413" s="326"/>
      <c r="BI413" s="326" t="s">
        <v>241</v>
      </c>
      <c r="BJ413" s="326"/>
      <c r="BK413" s="326" t="s">
        <v>240</v>
      </c>
      <c r="BL413" s="326"/>
      <c r="BM413" s="326" t="s">
        <v>241</v>
      </c>
      <c r="BN413" s="326"/>
      <c r="BO413" s="326" t="s">
        <v>240</v>
      </c>
      <c r="BP413" s="326"/>
      <c r="BQ413" s="326" t="s">
        <v>241</v>
      </c>
      <c r="BR413" s="326"/>
      <c r="BT413" s="97"/>
      <c r="BU413" s="70"/>
      <c r="BV413" s="70"/>
      <c r="BW413" s="8"/>
      <c r="BX413" s="8"/>
      <c r="BY413" s="8"/>
      <c r="BZ413" s="8"/>
      <c r="CA413" s="8"/>
      <c r="CB413" s="10"/>
    </row>
    <row r="414" spans="3:80" ht="15" customHeight="1" x14ac:dyDescent="0.25">
      <c r="C414" s="69"/>
      <c r="F414" s="326"/>
      <c r="G414" s="326"/>
      <c r="H414" s="326"/>
      <c r="I414" s="326"/>
      <c r="J414" s="182"/>
      <c r="K414" s="182"/>
      <c r="L414" s="182"/>
      <c r="M414" s="182"/>
      <c r="N414" s="182"/>
      <c r="O414" s="182"/>
      <c r="P414" s="182"/>
      <c r="Q414" s="182"/>
      <c r="R414" s="182"/>
      <c r="S414" s="182"/>
      <c r="T414" s="182"/>
      <c r="U414" s="182"/>
      <c r="V414" s="182"/>
      <c r="W414" s="182"/>
      <c r="X414" s="182"/>
      <c r="Y414" s="182"/>
      <c r="Z414" s="182"/>
      <c r="AA414" s="182"/>
      <c r="AB414" s="335"/>
      <c r="AC414" s="335"/>
      <c r="AD414" s="335"/>
      <c r="AE414" s="326"/>
      <c r="AF414" s="326"/>
      <c r="AG414" s="326"/>
      <c r="AH414" s="326"/>
      <c r="AI414" s="326"/>
      <c r="AJ414" s="326"/>
      <c r="AK414" s="326"/>
      <c r="AL414" s="326"/>
      <c r="AM414" s="326"/>
      <c r="AN414" s="326"/>
      <c r="AO414" s="326"/>
      <c r="AP414" s="326"/>
      <c r="AQ414" s="326"/>
      <c r="AR414" s="326"/>
      <c r="AS414" s="326"/>
      <c r="AT414" s="326"/>
      <c r="AU414" s="326"/>
      <c r="AV414" s="326"/>
      <c r="AW414" s="326"/>
      <c r="AX414" s="326"/>
      <c r="AY414" s="326"/>
      <c r="AZ414" s="326"/>
      <c r="BA414" s="326"/>
      <c r="BB414" s="326"/>
      <c r="BC414" s="326"/>
      <c r="BD414" s="326"/>
      <c r="BE414" s="326"/>
      <c r="BF414" s="326"/>
      <c r="BG414" s="326"/>
      <c r="BH414" s="326"/>
      <c r="BI414" s="326"/>
      <c r="BJ414" s="326"/>
      <c r="BK414" s="326"/>
      <c r="BL414" s="326"/>
      <c r="BM414" s="326"/>
      <c r="BN414" s="326"/>
      <c r="BO414" s="326"/>
      <c r="BP414" s="326"/>
      <c r="BQ414" s="326"/>
      <c r="BR414" s="326"/>
      <c r="BT414" s="97"/>
      <c r="BU414" s="70"/>
      <c r="BV414" s="70"/>
      <c r="BW414" s="8"/>
      <c r="BX414" s="8"/>
      <c r="BY414" s="8"/>
      <c r="BZ414" s="8"/>
      <c r="CA414" s="8"/>
      <c r="CB414" s="10"/>
    </row>
    <row r="415" spans="3:80" ht="15" customHeight="1" x14ac:dyDescent="0.25">
      <c r="C415" s="69"/>
      <c r="F415" s="326"/>
      <c r="G415" s="326"/>
      <c r="H415" s="326"/>
      <c r="I415" s="326"/>
      <c r="J415" s="182"/>
      <c r="K415" s="182"/>
      <c r="L415" s="182"/>
      <c r="M415" s="182"/>
      <c r="N415" s="182"/>
      <c r="O415" s="182"/>
      <c r="P415" s="182"/>
      <c r="Q415" s="182"/>
      <c r="R415" s="182"/>
      <c r="S415" s="182"/>
      <c r="T415" s="182"/>
      <c r="U415" s="182"/>
      <c r="V415" s="182"/>
      <c r="W415" s="182"/>
      <c r="X415" s="182"/>
      <c r="Y415" s="182"/>
      <c r="Z415" s="182"/>
      <c r="AA415" s="182"/>
      <c r="AB415" s="335"/>
      <c r="AC415" s="335"/>
      <c r="AD415" s="335"/>
      <c r="AE415" s="326"/>
      <c r="AF415" s="326"/>
      <c r="AG415" s="326"/>
      <c r="AH415" s="326"/>
      <c r="AI415" s="326"/>
      <c r="AJ415" s="326"/>
      <c r="AK415" s="326"/>
      <c r="AL415" s="326"/>
      <c r="AM415" s="326"/>
      <c r="AN415" s="326"/>
      <c r="AO415" s="326"/>
      <c r="AP415" s="326"/>
      <c r="AQ415" s="326"/>
      <c r="AR415" s="326"/>
      <c r="AS415" s="326"/>
      <c r="AT415" s="326"/>
      <c r="AU415" s="326"/>
      <c r="AV415" s="326"/>
      <c r="AW415" s="326"/>
      <c r="AX415" s="326"/>
      <c r="AY415" s="326"/>
      <c r="AZ415" s="326"/>
      <c r="BA415" s="326"/>
      <c r="BB415" s="326"/>
      <c r="BC415" s="326"/>
      <c r="BD415" s="326"/>
      <c r="BE415" s="326"/>
      <c r="BF415" s="326"/>
      <c r="BG415" s="326"/>
      <c r="BH415" s="326"/>
      <c r="BI415" s="326"/>
      <c r="BJ415" s="326"/>
      <c r="BK415" s="326"/>
      <c r="BL415" s="326"/>
      <c r="BM415" s="326"/>
      <c r="BN415" s="326"/>
      <c r="BO415" s="326"/>
      <c r="BP415" s="326"/>
      <c r="BQ415" s="326"/>
      <c r="BR415" s="326"/>
      <c r="BT415" s="97"/>
      <c r="BU415" s="70"/>
      <c r="BV415" s="70"/>
      <c r="BW415" s="8"/>
      <c r="BX415" s="8"/>
      <c r="BY415" s="8"/>
      <c r="BZ415" s="8"/>
      <c r="CA415" s="8"/>
      <c r="CB415" s="10"/>
    </row>
    <row r="416" spans="3:80" ht="15" customHeight="1" thickBot="1" x14ac:dyDescent="0.3">
      <c r="C416" s="69"/>
      <c r="F416" s="327"/>
      <c r="G416" s="327"/>
      <c r="H416" s="327"/>
      <c r="I416" s="327"/>
      <c r="J416" s="336"/>
      <c r="K416" s="336"/>
      <c r="L416" s="336"/>
      <c r="M416" s="336"/>
      <c r="N416" s="336"/>
      <c r="O416" s="336"/>
      <c r="P416" s="336"/>
      <c r="Q416" s="336"/>
      <c r="R416" s="336"/>
      <c r="S416" s="336"/>
      <c r="T416" s="336"/>
      <c r="U416" s="336"/>
      <c r="V416" s="336"/>
      <c r="W416" s="336"/>
      <c r="X416" s="336"/>
      <c r="Y416" s="336"/>
      <c r="Z416" s="336"/>
      <c r="AA416" s="336"/>
      <c r="AB416" s="337"/>
      <c r="AC416" s="337"/>
      <c r="AD416" s="337"/>
      <c r="AE416" s="327"/>
      <c r="AF416" s="327"/>
      <c r="AG416" s="327"/>
      <c r="AH416" s="327"/>
      <c r="AI416" s="327"/>
      <c r="AJ416" s="327"/>
      <c r="AK416" s="327"/>
      <c r="AL416" s="327"/>
      <c r="AM416" s="327"/>
      <c r="AN416" s="327"/>
      <c r="AO416" s="327"/>
      <c r="AP416" s="327"/>
      <c r="AQ416" s="327"/>
      <c r="AR416" s="327"/>
      <c r="AS416" s="327"/>
      <c r="AT416" s="327"/>
      <c r="AU416" s="327"/>
      <c r="AV416" s="327"/>
      <c r="AW416" s="327"/>
      <c r="AX416" s="327"/>
      <c r="AY416" s="327"/>
      <c r="AZ416" s="327"/>
      <c r="BA416" s="327"/>
      <c r="BB416" s="327"/>
      <c r="BC416" s="327"/>
      <c r="BD416" s="327"/>
      <c r="BE416" s="327"/>
      <c r="BF416" s="327"/>
      <c r="BG416" s="327"/>
      <c r="BH416" s="327"/>
      <c r="BI416" s="327"/>
      <c r="BJ416" s="327"/>
      <c r="BK416" s="327"/>
      <c r="BL416" s="327"/>
      <c r="BM416" s="327"/>
      <c r="BN416" s="327"/>
      <c r="BO416" s="327"/>
      <c r="BP416" s="327"/>
      <c r="BQ416" s="327"/>
      <c r="BR416" s="327"/>
      <c r="BT416" s="97"/>
      <c r="BU416" s="70"/>
      <c r="BV416" s="70"/>
      <c r="BW416" s="8"/>
      <c r="BX416" s="8"/>
      <c r="BY416" s="8"/>
      <c r="BZ416" s="8"/>
      <c r="CA416" s="8"/>
      <c r="CB416" s="10"/>
    </row>
    <row r="417" spans="3:80" ht="15" customHeight="1" thickTop="1" x14ac:dyDescent="0.25">
      <c r="C417" s="69"/>
      <c r="F417" s="328" t="str">
        <f>IF(ISBLANK(Inputs!A25),"",Inputs!A25)</f>
        <v/>
      </c>
      <c r="G417" s="328"/>
      <c r="H417" s="328" t="str">
        <f>IF(ISBLANK(Inputs!B25),"",Inputs!B25)</f>
        <v/>
      </c>
      <c r="I417" s="328"/>
      <c r="J417" s="333" t="str">
        <f>IF(ISBLANK(Inputs!G25),"",Inputs!G25)</f>
        <v/>
      </c>
      <c r="K417" s="333"/>
      <c r="L417" s="333"/>
      <c r="M417" s="333" t="str">
        <f>IF(ISBLANK(Inputs!D25),"",Inputs!D25)</f>
        <v/>
      </c>
      <c r="N417" s="333"/>
      <c r="O417" s="333"/>
      <c r="P417" s="333" t="str">
        <f>IF(ISBLANK(Inputs!F25),"",Inputs!F25)</f>
        <v/>
      </c>
      <c r="Q417" s="333"/>
      <c r="R417" s="333"/>
      <c r="S417" s="333" t="str">
        <f>IF(ISBLANK(Inputs!H25),"",Inputs!H25)</f>
        <v/>
      </c>
      <c r="T417" s="333"/>
      <c r="U417" s="333"/>
      <c r="V417" s="333" t="str">
        <f>IF(ISBLANK(Inputs!E25),"",Inputs!E25)</f>
        <v/>
      </c>
      <c r="W417" s="333"/>
      <c r="X417" s="333"/>
      <c r="Y417" s="333" t="str">
        <f>IF(ISBLANK(Inputs!I25),"",Inputs!I25)</f>
        <v/>
      </c>
      <c r="Z417" s="333"/>
      <c r="AA417" s="333"/>
      <c r="AB417" s="333">
        <f>IF(ISBLANK(Inputs!J25),"",Inputs!J25)</f>
        <v>96</v>
      </c>
      <c r="AC417" s="333"/>
      <c r="AD417" s="333"/>
      <c r="AE417" s="328" t="str">
        <f>IF(ISBLANK(Inputs!A25),"",Y417)</f>
        <v/>
      </c>
      <c r="AF417" s="328"/>
      <c r="AG417" s="332" t="str">
        <f>IF(ISBLANK(Inputs!$A25),"",
IF(OR(AE417="Solved",AE417="--"),"--",
((Mat.Conc_Alpha.1*Mat.Conc_f.c*$AB417*MIN(AE417*Mat.Conc_Beta.1,$Y417))
+(Mat.Conc_Alpha.1*Mat.Conc_f.c*$V417*MAX(0,AE417*Mat.Conc_Beta.1-$Y417)))
-($J417*MIN(Mat.Rebar_f.y,(Mat.Rebar_epsilon.cl*($S417-AE417)/AE417)*Mat.PT_E.s))
-($M417*Mat.PT_f.pu*(1-Mat.PT_k*AE417/$P417))))</f>
        <v/>
      </c>
      <c r="AH417" s="332"/>
      <c r="AI417" s="328" t="str">
        <f>IF(ISBLANK(Inputs!$A25),"",
IF(ABS(AG417)&lt;=0.001,"Solved",IF(AG417&gt;0,0.85*AE417,1.15*AE417)))</f>
        <v/>
      </c>
      <c r="AJ417" s="328"/>
      <c r="AK417" s="332" t="str">
        <f>IF(ISBLANK(Inputs!$A25),"",
IF(OR(AI417="Solved",AI417="--"),"--",
((Mat.Conc_Alpha.1*Mat.Conc_f.c*$AB417*MIN(AI417*Mat.Conc_Beta.1,$Y417))
+(Mat.Conc_Alpha.1*Mat.Conc_f.c*$V417*MAX(0,AI417*Mat.Conc_Beta.1-$Y417)))
-($J417*MIN(Mat.Rebar_f.y,(Mat.Rebar_epsilon.cl*($S417-AI417)/AI417)*Mat.PT_E.s))
-($M417*Mat.PT_f.pu*(1-Mat.PT_k*AI417/$P417))))</f>
        <v/>
      </c>
      <c r="AL417" s="332"/>
      <c r="AM417" s="328" t="str">
        <f>IF(ISBLANK(Inputs!$A25),"",
IF(AK417="--","Solved",
IF(ABS(AK417)&lt;=0.001,"Solved",AI417-AK417*(AI417-AE417)/(AK417-AG417))))</f>
        <v/>
      </c>
      <c r="AN417" s="328"/>
      <c r="AO417" s="332" t="str">
        <f>IF(ISBLANK(Inputs!$A25),"",
IF(OR(AM417="Solved",AM417="--"),"--",
((Mat.Conc_Alpha.1*Mat.Conc_f.c*$AB417*MIN(AM417*Mat.Conc_Beta.1,$Y417))
+(Mat.Conc_Alpha.1*Mat.Conc_f.c*$V417*MAX(0,AM417*Mat.Conc_Beta.1-$Y417)))
-($J417*MIN(Mat.Rebar_f.y,(Mat.Rebar_epsilon.cl*($S417-AM417)/AM417)*Mat.PT_E.s))
-($M417*Mat.PT_f.pu*(1-Mat.PT_k*AM417/$P417))))</f>
        <v/>
      </c>
      <c r="AP417" s="332"/>
      <c r="AQ417" s="328" t="str">
        <f>IF(ISBLANK(Inputs!$A25),"",
IF(AO417="--","Solved",
IF(ABS(AO417)&lt;=0.001,"Solved",AM417-AO417*(AM417-AI417)/(AO417-AK417))))</f>
        <v/>
      </c>
      <c r="AR417" s="328"/>
      <c r="AS417" s="332" t="str">
        <f>IF(ISBLANK(Inputs!$A25),"",
IF(OR(AQ417="Solved",AQ417="--"),"--",
((Mat.Conc_Alpha.1*Mat.Conc_f.c*$AB417*MIN(AQ417*Mat.Conc_Beta.1,$Y417))
+(Mat.Conc_Alpha.1*Mat.Conc_f.c*$V417*MAX(0,AQ417*Mat.Conc_Beta.1-$Y417)))
-($J417*MIN(Mat.Rebar_f.y,(Mat.Rebar_epsilon.cl*($S417-AQ417)/AQ417)*Mat.PT_E.s))
-($M417*Mat.PT_f.pu*(1-Mat.PT_k*AQ417/$P417))))</f>
        <v/>
      </c>
      <c r="AT417" s="332"/>
      <c r="AU417" s="328" t="str">
        <f>IF(ISBLANK(Inputs!$A25),"",
IF(AS417="--","Solved",
IF(ABS(AS417)&lt;=0.001,"Solved",AQ417-AS417*(AQ417-AM417)/(AS417-AO417))))</f>
        <v/>
      </c>
      <c r="AV417" s="328"/>
      <c r="AW417" s="332" t="str">
        <f>IF(ISBLANK(Inputs!$A25),"",
IF(OR(AU417="Solved",AU417="--"),"--",
((Mat.Conc_Alpha.1*Mat.Conc_f.c*$AB417*MIN(AU417*Mat.Conc_Beta.1,$Y417))
+(Mat.Conc_Alpha.1*Mat.Conc_f.c*$V417*MAX(0,AU417*Mat.Conc_Beta.1-$Y417)))
-($J417*MIN(Mat.Rebar_f.y,(Mat.Rebar_epsilon.cl*($S417-AU417)/AU417)*Mat.PT_E.s))
-($M417*Mat.PT_f.pu*(1-Mat.PT_k*AU417/$P417))))</f>
        <v/>
      </c>
      <c r="AX417" s="332"/>
      <c r="AY417" s="328" t="str">
        <f>IF(ISBLANK(Inputs!$A25),"",
IF(AW417="--","Solved",
IF(ABS(AW417)&lt;=0.001,"Solved",AU417-AW417*(AU417-AQ417)/(AW417-AS417))))</f>
        <v/>
      </c>
      <c r="AZ417" s="328"/>
      <c r="BA417" s="332" t="str">
        <f>IF(ISBLANK(Inputs!$A25),"",
IF(OR(AY417="Solved",AY417="--"),"--",
((Mat.Conc_Alpha.1*Mat.Conc_f.c*$AB417*MIN(AY417*Mat.Conc_Beta.1,$Y417))
+(Mat.Conc_Alpha.1*Mat.Conc_f.c*$V417*MAX(0,AY417*Mat.Conc_Beta.1-$Y417)))
-($J417*MIN(Mat.Rebar_f.y,(Mat.Rebar_epsilon.cl*($S417-AY417)/AY417)*Mat.PT_E.s))
-($M417*Mat.PT_f.pu*(1-Mat.PT_k*AY417/$P417))))</f>
        <v/>
      </c>
      <c r="BB417" s="332"/>
      <c r="BC417" s="328" t="str">
        <f>IF(ISBLANK(Inputs!$A25),"",
IF(BA417="--","Solved",
IF(ABS(BA417)&lt;=0.001,"Solved",AY417-BA417*(AY417-AU417)/(BA417-AW417))))</f>
        <v/>
      </c>
      <c r="BD417" s="328"/>
      <c r="BE417" s="332" t="str">
        <f>IF(ISBLANK(Inputs!$A25),"",
IF(OR(BC417="Solved",BC417="--"),"--",
((Mat.Conc_Alpha.1*Mat.Conc_f.c*$AB417*MIN(BC417*Mat.Conc_Beta.1,$Y417))
+(Mat.Conc_Alpha.1*Mat.Conc_f.c*$V417*MAX(0,BC417*Mat.Conc_Beta.1-$Y417)))
-($J417*MIN(Mat.Rebar_f.y,(Mat.Rebar_epsilon.cl*($S417-BC417)/BC417)*Mat.PT_E.s))
-($M417*Mat.PT_f.pu*(1-Mat.PT_k*BC417/$P417))))</f>
        <v/>
      </c>
      <c r="BF417" s="332"/>
      <c r="BG417" s="328" t="str">
        <f>IF(ISBLANK(Inputs!$A25),"",
IF(BE417="--","Solved",
IF(ABS(BE417)&lt;=0.001,"Solved",BC417-BE417*(BC417-AY417)/(BE417-BA417))))</f>
        <v/>
      </c>
      <c r="BH417" s="328"/>
      <c r="BI417" s="332" t="str">
        <f>IF(ISBLANK(Inputs!$A25),"",
IF(OR(BG417="Solved",BG417="--"),"--",
((Mat.Conc_Alpha.1*Mat.Conc_f.c*$AB417*MIN(BG417*Mat.Conc_Beta.1,$Y417))
+(Mat.Conc_Alpha.1*Mat.Conc_f.c*$V417*MAX(0,BG417*Mat.Conc_Beta.1-$Y417)))
-($J417*MIN(Mat.Rebar_f.y,(Mat.Rebar_epsilon.cl*($S417-BG417)/BG417)*Mat.PT_E.s))
-($M417*Mat.PT_f.pu*(1-Mat.PT_k*BG417/$P417))))</f>
        <v/>
      </c>
      <c r="BJ417" s="332"/>
      <c r="BK417" s="328" t="str">
        <f>IF(ISBLANK(Inputs!$A25),"",
IF(BI417="--","Solved",
IF(ABS(BI417)&lt;=0.001,"Solved",BG417-BI417*(BG417-BC417)/(BI417-BE417))))</f>
        <v/>
      </c>
      <c r="BL417" s="328"/>
      <c r="BM417" s="332" t="str">
        <f>IF(ISBLANK(Inputs!$A25),"",
IF(OR(BK417="Solved",BK417="--"),"--",
((Mat.Conc_Alpha.1*Mat.Conc_f.c*$AB417*MIN(BK417*Mat.Conc_Beta.1,$Y417))
+(Mat.Conc_Alpha.1*Mat.Conc_f.c*$V417*MAX(0,BK417*Mat.Conc_Beta.1-$Y417)))
-($J417*MIN(Mat.Rebar_f.y,(Mat.Rebar_epsilon.cl*($S417-BK417)/BK417)*Mat.PT_E.s))
-($M417*Mat.PT_f.pu*(1-Mat.PT_k*BK417/$P417))))</f>
        <v/>
      </c>
      <c r="BN417" s="332"/>
      <c r="BO417" s="328" t="str">
        <f>IF(ISBLANK(Inputs!$A25),"",
IF(BM417="--","Solved",
IF(ABS(BM417)&lt;=0.001,"Solved",BK417-BM417*(BK417-BG417)/(BM417-BI417))))</f>
        <v/>
      </c>
      <c r="BP417" s="328"/>
      <c r="BQ417" s="332" t="str">
        <f>IF(ISBLANK(Inputs!$A25),"",
IF(OR(BO417="Solved",BO417="--"),"--",
((Mat.Conc_Alpha.1*Mat.Conc_f.c*$AB417*MIN(BO417*Mat.Conc_Beta.1,$Y417))
+(Mat.Conc_Alpha.1*Mat.Conc_f.c*$V417*MAX(0,BO417*Mat.Conc_Beta.1-$Y417)))
-($J417*MIN(Mat.Rebar_f.y,(Mat.Rebar_epsilon.cl*($S417-BO417)/BO417)*Mat.PT_E.s))
-($M417*Mat.PT_f.pu*(1-Mat.PT_k*BO417/$P417))))</f>
        <v/>
      </c>
      <c r="BR417" s="332"/>
      <c r="BT417" s="98"/>
      <c r="BU417" s="70"/>
      <c r="BV417" s="70"/>
      <c r="BW417" s="8"/>
      <c r="BX417" s="8"/>
      <c r="BY417" s="8"/>
      <c r="BZ417" s="8"/>
      <c r="CA417" s="8"/>
      <c r="CB417" s="10"/>
    </row>
    <row r="418" spans="3:80" ht="15" customHeight="1" x14ac:dyDescent="0.25">
      <c r="C418" s="69"/>
      <c r="F418" s="167" t="str">
        <f>IF(ISBLANK(Inputs!A26),"",Inputs!A26)</f>
        <v/>
      </c>
      <c r="G418" s="167"/>
      <c r="H418" s="167" t="str">
        <f>IF(ISBLANK(Inputs!B26),"",Inputs!B26)</f>
        <v/>
      </c>
      <c r="I418" s="167"/>
      <c r="J418" s="168" t="str">
        <f>IF(ISBLANK(Inputs!G26),"",Inputs!G26)</f>
        <v/>
      </c>
      <c r="K418" s="168"/>
      <c r="L418" s="168"/>
      <c r="M418" s="168" t="str">
        <f>IF(ISBLANK(Inputs!D26),"",Inputs!D26)</f>
        <v/>
      </c>
      <c r="N418" s="168"/>
      <c r="O418" s="168"/>
      <c r="P418" s="168" t="str">
        <f>IF(ISBLANK(Inputs!F26),"",Inputs!F26)</f>
        <v/>
      </c>
      <c r="Q418" s="168"/>
      <c r="R418" s="168"/>
      <c r="S418" s="168" t="str">
        <f>IF(ISBLANK(Inputs!H26),"",Inputs!H26)</f>
        <v/>
      </c>
      <c r="T418" s="168"/>
      <c r="U418" s="168"/>
      <c r="V418" s="168" t="str">
        <f>IF(ISBLANK(Inputs!E26),"",Inputs!E26)</f>
        <v/>
      </c>
      <c r="W418" s="168"/>
      <c r="X418" s="168"/>
      <c r="Y418" s="168" t="str">
        <f>IF(ISBLANK(Inputs!I26),"",Inputs!I26)</f>
        <v/>
      </c>
      <c r="Z418" s="168"/>
      <c r="AA418" s="168"/>
      <c r="AB418" s="168">
        <f>IF(ISBLANK(Inputs!J26),"",Inputs!J26)</f>
        <v>96</v>
      </c>
      <c r="AC418" s="168"/>
      <c r="AD418" s="168"/>
      <c r="AE418" s="167" t="str">
        <f>IF(ISBLANK(Inputs!A26),"",Y418)</f>
        <v/>
      </c>
      <c r="AF418" s="167"/>
      <c r="AG418" s="329" t="str">
        <f>IF(ISBLANK(Inputs!$A26),"",
IF(OR(AE418="Solved",AE418="--"),"--",
((Mat.Conc_Alpha.1*Mat.Conc_f.c*$AB418*MIN(AE418*Mat.Conc_Beta.1,$Y418))
+(Mat.Conc_Alpha.1*Mat.Conc_f.c*$V418*MAX(0,AE418*Mat.Conc_Beta.1-$Y418)))
-($J418*MIN(Mat.Rebar_f.y,(Mat.Rebar_epsilon.cl*($S418-AE418)/AE418)*Mat.PT_E.s))
-($M418*Mat.PT_f.pu*(1-Mat.PT_k*AE418/$P418))))</f>
        <v/>
      </c>
      <c r="AH418" s="329"/>
      <c r="AI418" s="167" t="str">
        <f>IF(ISBLANK(Inputs!$A26),"",
IF(ABS(AG418)&lt;=0.001,"Solved",IF(AG418&gt;0,0.85*AE418,1.15*AE418)))</f>
        <v/>
      </c>
      <c r="AJ418" s="167"/>
      <c r="AK418" s="329" t="str">
        <f>IF(ISBLANK(Inputs!$A26),"",
IF(OR(AI418="Solved",AI418="--"),"--",
((Mat.Conc_Alpha.1*Mat.Conc_f.c*$AB418*MIN(AI418*Mat.Conc_Beta.1,$Y418))
+(Mat.Conc_Alpha.1*Mat.Conc_f.c*$V418*MAX(0,AI418*Mat.Conc_Beta.1-$Y418)))
-($J418*MIN(Mat.Rebar_f.y,(Mat.Rebar_epsilon.cl*($S418-AI418)/AI418)*Mat.PT_E.s))
-($M418*Mat.PT_f.pu*(1-Mat.PT_k*AI418/$P418))))</f>
        <v/>
      </c>
      <c r="AL418" s="329"/>
      <c r="AM418" s="167" t="str">
        <f>IF(ISBLANK(Inputs!$A26),"",
IF(AK418="--","Solved",
IF(ABS(AK418)&lt;=0.001,"Solved",AI418-AK418*(AI418-AE418)/(AK418-AG418))))</f>
        <v/>
      </c>
      <c r="AN418" s="167"/>
      <c r="AO418" s="329" t="str">
        <f>IF(ISBLANK(Inputs!$A26),"",
IF(OR(AM418="Solved",AM418="--"),"--",
((Mat.Conc_Alpha.1*Mat.Conc_f.c*$AB418*MIN(AM418*Mat.Conc_Beta.1,$Y418))
+(Mat.Conc_Alpha.1*Mat.Conc_f.c*$V418*MAX(0,AM418*Mat.Conc_Beta.1-$Y418)))
-($J418*MIN(Mat.Rebar_f.y,(Mat.Rebar_epsilon.cl*($S418-AM418)/AM418)*Mat.PT_E.s))
-($M418*Mat.PT_f.pu*(1-Mat.PT_k*AM418/$P418))))</f>
        <v/>
      </c>
      <c r="AP418" s="329"/>
      <c r="AQ418" s="167" t="str">
        <f>IF(ISBLANK(Inputs!$A26),"",
IF(AO418="--","Solved",
IF(ABS(AO418)&lt;=0.001,"Solved",AM418-AO418*(AM418-AI418)/(AO418-AK418))))</f>
        <v/>
      </c>
      <c r="AR418" s="167"/>
      <c r="AS418" s="329" t="str">
        <f>IF(ISBLANK(Inputs!$A26),"",
IF(OR(AQ418="Solved",AQ418="--"),"--",
((Mat.Conc_Alpha.1*Mat.Conc_f.c*$AB418*MIN(AQ418*Mat.Conc_Beta.1,$Y418))
+(Mat.Conc_Alpha.1*Mat.Conc_f.c*$V418*MAX(0,AQ418*Mat.Conc_Beta.1-$Y418)))
-($J418*MIN(Mat.Rebar_f.y,(Mat.Rebar_epsilon.cl*($S418-AQ418)/AQ418)*Mat.PT_E.s))
-($M418*Mat.PT_f.pu*(1-Mat.PT_k*AQ418/$P418))))</f>
        <v/>
      </c>
      <c r="AT418" s="329"/>
      <c r="AU418" s="167" t="str">
        <f>IF(ISBLANK(Inputs!$A26),"",
IF(AS418="--","Solved",
IF(ABS(AS418)&lt;=0.001,"Solved",AQ418-AS418*(AQ418-AM418)/(AS418-AO418))))</f>
        <v/>
      </c>
      <c r="AV418" s="167"/>
      <c r="AW418" s="329" t="str">
        <f>IF(ISBLANK(Inputs!$A26),"",
IF(OR(AU418="Solved",AU418="--"),"--",
((Mat.Conc_Alpha.1*Mat.Conc_f.c*$AB418*MIN(AU418*Mat.Conc_Beta.1,$Y418))
+(Mat.Conc_Alpha.1*Mat.Conc_f.c*$V418*MAX(0,AU418*Mat.Conc_Beta.1-$Y418)))
-($J418*MIN(Mat.Rebar_f.y,(Mat.Rebar_epsilon.cl*($S418-AU418)/AU418)*Mat.PT_E.s))
-($M418*Mat.PT_f.pu*(1-Mat.PT_k*AU418/$P418))))</f>
        <v/>
      </c>
      <c r="AX418" s="329"/>
      <c r="AY418" s="167" t="str">
        <f>IF(ISBLANK(Inputs!$A26),"",
IF(AW418="--","Solved",
IF(ABS(AW418)&lt;=0.001,"Solved",AU418-AW418*(AU418-AQ418)/(AW418-AS418))))</f>
        <v/>
      </c>
      <c r="AZ418" s="167"/>
      <c r="BA418" s="329" t="str">
        <f>IF(ISBLANK(Inputs!$A26),"",
IF(OR(AY418="Solved",AY418="--"),"--",
((Mat.Conc_Alpha.1*Mat.Conc_f.c*$AB418*MIN(AY418*Mat.Conc_Beta.1,$Y418))
+(Mat.Conc_Alpha.1*Mat.Conc_f.c*$V418*MAX(0,AY418*Mat.Conc_Beta.1-$Y418)))
-($J418*MIN(Mat.Rebar_f.y,(Mat.Rebar_epsilon.cl*($S418-AY418)/AY418)*Mat.PT_E.s))
-($M418*Mat.PT_f.pu*(1-Mat.PT_k*AY418/$P418))))</f>
        <v/>
      </c>
      <c r="BB418" s="329"/>
      <c r="BC418" s="167" t="str">
        <f>IF(ISBLANK(Inputs!$A26),"",
IF(BA418="--","Solved",
IF(ABS(BA418)&lt;=0.001,"Solved",AY418-BA418*(AY418-AU418)/(BA418-AW418))))</f>
        <v/>
      </c>
      <c r="BD418" s="167"/>
      <c r="BE418" s="329" t="str">
        <f>IF(ISBLANK(Inputs!$A26),"",
IF(OR(BC418="Solved",BC418="--"),"--",
((Mat.Conc_Alpha.1*Mat.Conc_f.c*$AB418*MIN(BC418*Mat.Conc_Beta.1,$Y418))
+(Mat.Conc_Alpha.1*Mat.Conc_f.c*$V418*MAX(0,BC418*Mat.Conc_Beta.1-$Y418)))
-($J418*MIN(Mat.Rebar_f.y,(Mat.Rebar_epsilon.cl*($S418-BC418)/BC418)*Mat.PT_E.s))
-($M418*Mat.PT_f.pu*(1-Mat.PT_k*BC418/$P418))))</f>
        <v/>
      </c>
      <c r="BF418" s="329"/>
      <c r="BG418" s="167" t="str">
        <f>IF(ISBLANK(Inputs!$A26),"",
IF(BE418="--","Solved",
IF(ABS(BE418)&lt;=0.001,"Solved",BC418-BE418*(BC418-AY418)/(BE418-BA418))))</f>
        <v/>
      </c>
      <c r="BH418" s="167"/>
      <c r="BI418" s="329" t="str">
        <f>IF(ISBLANK(Inputs!$A26),"",
IF(OR(BG418="Solved",BG418="--"),"--",
((Mat.Conc_Alpha.1*Mat.Conc_f.c*$AB418*MIN(BG418*Mat.Conc_Beta.1,$Y418))
+(Mat.Conc_Alpha.1*Mat.Conc_f.c*$V418*MAX(0,BG418*Mat.Conc_Beta.1-$Y418)))
-($J418*MIN(Mat.Rebar_f.y,(Mat.Rebar_epsilon.cl*($S418-BG418)/BG418)*Mat.PT_E.s))
-($M418*Mat.PT_f.pu*(1-Mat.PT_k*BG418/$P418))))</f>
        <v/>
      </c>
      <c r="BJ418" s="329"/>
      <c r="BK418" s="167" t="str">
        <f>IF(ISBLANK(Inputs!$A26),"",
IF(BI418="--","Solved",
IF(ABS(BI418)&lt;=0.001,"Solved",BG418-BI418*(BG418-BC418)/(BI418-BE418))))</f>
        <v/>
      </c>
      <c r="BL418" s="167"/>
      <c r="BM418" s="329" t="str">
        <f>IF(ISBLANK(Inputs!$A26),"",
IF(OR(BK418="Solved",BK418="--"),"--",
((Mat.Conc_Alpha.1*Mat.Conc_f.c*$AB418*MIN(BK418*Mat.Conc_Beta.1,$Y418))
+(Mat.Conc_Alpha.1*Mat.Conc_f.c*$V418*MAX(0,BK418*Mat.Conc_Beta.1-$Y418)))
-($J418*MIN(Mat.Rebar_f.y,(Mat.Rebar_epsilon.cl*($S418-BK418)/BK418)*Mat.PT_E.s))
-($M418*Mat.PT_f.pu*(1-Mat.PT_k*BK418/$P418))))</f>
        <v/>
      </c>
      <c r="BN418" s="329"/>
      <c r="BO418" s="167" t="str">
        <f>IF(ISBLANK(Inputs!$A26),"",
IF(BM418="--","Solved",
IF(ABS(BM418)&lt;=0.001,"Solved",BK418-BM418*(BK418-BG418)/(BM418-BI418))))</f>
        <v/>
      </c>
      <c r="BP418" s="167"/>
      <c r="BQ418" s="329" t="str">
        <f>IF(ISBLANK(Inputs!$A26),"",
IF(OR(BO418="Solved",BO418="--"),"--",
((Mat.Conc_Alpha.1*Mat.Conc_f.c*$AB418*MIN(BO418*Mat.Conc_Beta.1,$Y418))
+(Mat.Conc_Alpha.1*Mat.Conc_f.c*$V418*MAX(0,BO418*Mat.Conc_Beta.1-$Y418)))
-($J418*MIN(Mat.Rebar_f.y,(Mat.Rebar_epsilon.cl*($S418-BO418)/BO418)*Mat.PT_E.s))
-($M418*Mat.PT_f.pu*(1-Mat.PT_k*BO418/$P418))))</f>
        <v/>
      </c>
      <c r="BR418" s="329"/>
      <c r="BT418" s="98"/>
      <c r="BU418" s="70"/>
      <c r="BV418" s="70"/>
      <c r="BW418" s="8"/>
      <c r="BX418" s="8"/>
      <c r="BY418" s="8"/>
      <c r="BZ418" s="8"/>
      <c r="CA418" s="8"/>
      <c r="CB418" s="10"/>
    </row>
    <row r="419" spans="3:80" ht="15" customHeight="1" x14ac:dyDescent="0.25">
      <c r="C419" s="69"/>
      <c r="F419" s="167" t="str">
        <f>IF(ISBLANK(Inputs!A27),"",Inputs!A27)</f>
        <v/>
      </c>
      <c r="G419" s="167"/>
      <c r="H419" s="167" t="str">
        <f>IF(ISBLANK(Inputs!B27),"",Inputs!B27)</f>
        <v/>
      </c>
      <c r="I419" s="167"/>
      <c r="J419" s="168" t="str">
        <f>IF(ISBLANK(Inputs!G27),"",Inputs!G27)</f>
        <v/>
      </c>
      <c r="K419" s="168"/>
      <c r="L419" s="168"/>
      <c r="M419" s="168" t="str">
        <f>IF(ISBLANK(Inputs!D27),"",Inputs!D27)</f>
        <v/>
      </c>
      <c r="N419" s="168"/>
      <c r="O419" s="168"/>
      <c r="P419" s="168" t="str">
        <f>IF(ISBLANK(Inputs!F27),"",Inputs!F27)</f>
        <v/>
      </c>
      <c r="Q419" s="168"/>
      <c r="R419" s="168"/>
      <c r="S419" s="168" t="str">
        <f>IF(ISBLANK(Inputs!H27),"",Inputs!H27)</f>
        <v/>
      </c>
      <c r="T419" s="168"/>
      <c r="U419" s="168"/>
      <c r="V419" s="168" t="str">
        <f>IF(ISBLANK(Inputs!E27),"",Inputs!E27)</f>
        <v/>
      </c>
      <c r="W419" s="168"/>
      <c r="X419" s="168"/>
      <c r="Y419" s="168" t="str">
        <f>IF(ISBLANK(Inputs!I27),"",Inputs!I27)</f>
        <v/>
      </c>
      <c r="Z419" s="168"/>
      <c r="AA419" s="168"/>
      <c r="AB419" s="168">
        <f>IF(ISBLANK(Inputs!J27),"",Inputs!J27)</f>
        <v>96</v>
      </c>
      <c r="AC419" s="168"/>
      <c r="AD419" s="168"/>
      <c r="AE419" s="167" t="str">
        <f>IF(ISBLANK(Inputs!A27),"",Y419)</f>
        <v/>
      </c>
      <c r="AF419" s="167"/>
      <c r="AG419" s="329" t="str">
        <f>IF(ISBLANK(Inputs!$A27),"",
IF(OR(AE419="Solved",AE419="--"),"--",
((Mat.Conc_Alpha.1*Mat.Conc_f.c*$AB419*MIN(AE419*Mat.Conc_Beta.1,$Y419))
+(Mat.Conc_Alpha.1*Mat.Conc_f.c*$V419*MAX(0,AE419*Mat.Conc_Beta.1-$Y419)))
-($J419*MIN(Mat.Rebar_f.y,(Mat.Rebar_epsilon.cl*($S419-AE419)/AE419)*Mat.PT_E.s))
-($M419*Mat.PT_f.pu*(1-Mat.PT_k*AE419/$P419))))</f>
        <v/>
      </c>
      <c r="AH419" s="329"/>
      <c r="AI419" s="167" t="str">
        <f>IF(ISBLANK(Inputs!$A27),"",
IF(ABS(AG419)&lt;=0.001,"Solved",IF(AG419&gt;0,0.85*AE419,1.15*AE419)))</f>
        <v/>
      </c>
      <c r="AJ419" s="167"/>
      <c r="AK419" s="329" t="str">
        <f>IF(ISBLANK(Inputs!$A27),"",
IF(OR(AI419="Solved",AI419="--"),"--",
((Mat.Conc_Alpha.1*Mat.Conc_f.c*$AB419*MIN(AI419*Mat.Conc_Beta.1,$Y419))
+(Mat.Conc_Alpha.1*Mat.Conc_f.c*$V419*MAX(0,AI419*Mat.Conc_Beta.1-$Y419)))
-($J419*MIN(Mat.Rebar_f.y,(Mat.Rebar_epsilon.cl*($S419-AI419)/AI419)*Mat.PT_E.s))
-($M419*Mat.PT_f.pu*(1-Mat.PT_k*AI419/$P419))))</f>
        <v/>
      </c>
      <c r="AL419" s="329"/>
      <c r="AM419" s="167" t="str">
        <f>IF(ISBLANK(Inputs!$A27),"",
IF(AK419="--","Solved",
IF(ABS(AK419)&lt;=0.001,"Solved",AI419-AK419*(AI419-AE419)/(AK419-AG419))))</f>
        <v/>
      </c>
      <c r="AN419" s="167"/>
      <c r="AO419" s="329" t="str">
        <f>IF(ISBLANK(Inputs!$A27),"",
IF(OR(AM419="Solved",AM419="--"),"--",
((Mat.Conc_Alpha.1*Mat.Conc_f.c*$AB419*MIN(AM419*Mat.Conc_Beta.1,$Y419))
+(Mat.Conc_Alpha.1*Mat.Conc_f.c*$V419*MAX(0,AM419*Mat.Conc_Beta.1-$Y419)))
-($J419*MIN(Mat.Rebar_f.y,(Mat.Rebar_epsilon.cl*($S419-AM419)/AM419)*Mat.PT_E.s))
-($M419*Mat.PT_f.pu*(1-Mat.PT_k*AM419/$P419))))</f>
        <v/>
      </c>
      <c r="AP419" s="329"/>
      <c r="AQ419" s="167" t="str">
        <f>IF(ISBLANK(Inputs!$A27),"",
IF(AO419="--","Solved",
IF(ABS(AO419)&lt;=0.001,"Solved",AM419-AO419*(AM419-AI419)/(AO419-AK419))))</f>
        <v/>
      </c>
      <c r="AR419" s="167"/>
      <c r="AS419" s="329" t="str">
        <f>IF(ISBLANK(Inputs!$A27),"",
IF(OR(AQ419="Solved",AQ419="--"),"--",
((Mat.Conc_Alpha.1*Mat.Conc_f.c*$AB419*MIN(AQ419*Mat.Conc_Beta.1,$Y419))
+(Mat.Conc_Alpha.1*Mat.Conc_f.c*$V419*MAX(0,AQ419*Mat.Conc_Beta.1-$Y419)))
-($J419*MIN(Mat.Rebar_f.y,(Mat.Rebar_epsilon.cl*($S419-AQ419)/AQ419)*Mat.PT_E.s))
-($M419*Mat.PT_f.pu*(1-Mat.PT_k*AQ419/$P419))))</f>
        <v/>
      </c>
      <c r="AT419" s="329"/>
      <c r="AU419" s="167" t="str">
        <f>IF(ISBLANK(Inputs!$A27),"",
IF(AS419="--","Solved",
IF(ABS(AS419)&lt;=0.001,"Solved",AQ419-AS419*(AQ419-AM419)/(AS419-AO419))))</f>
        <v/>
      </c>
      <c r="AV419" s="167"/>
      <c r="AW419" s="329" t="str">
        <f>IF(ISBLANK(Inputs!$A27),"",
IF(OR(AU419="Solved",AU419="--"),"--",
((Mat.Conc_Alpha.1*Mat.Conc_f.c*$AB419*MIN(AU419*Mat.Conc_Beta.1,$Y419))
+(Mat.Conc_Alpha.1*Mat.Conc_f.c*$V419*MAX(0,AU419*Mat.Conc_Beta.1-$Y419)))
-($J419*MIN(Mat.Rebar_f.y,(Mat.Rebar_epsilon.cl*($S419-AU419)/AU419)*Mat.PT_E.s))
-($M419*Mat.PT_f.pu*(1-Mat.PT_k*AU419/$P419))))</f>
        <v/>
      </c>
      <c r="AX419" s="329"/>
      <c r="AY419" s="167" t="str">
        <f>IF(ISBLANK(Inputs!$A27),"",
IF(AW419="--","Solved",
IF(ABS(AW419)&lt;=0.001,"Solved",AU419-AW419*(AU419-AQ419)/(AW419-AS419))))</f>
        <v/>
      </c>
      <c r="AZ419" s="167"/>
      <c r="BA419" s="329" t="str">
        <f>IF(ISBLANK(Inputs!$A27),"",
IF(OR(AY419="Solved",AY419="--"),"--",
((Mat.Conc_Alpha.1*Mat.Conc_f.c*$AB419*MIN(AY419*Mat.Conc_Beta.1,$Y419))
+(Mat.Conc_Alpha.1*Mat.Conc_f.c*$V419*MAX(0,AY419*Mat.Conc_Beta.1-$Y419)))
-($J419*MIN(Mat.Rebar_f.y,(Mat.Rebar_epsilon.cl*($S419-AY419)/AY419)*Mat.PT_E.s))
-($M419*Mat.PT_f.pu*(1-Mat.PT_k*AY419/$P419))))</f>
        <v/>
      </c>
      <c r="BB419" s="329"/>
      <c r="BC419" s="167" t="str">
        <f>IF(ISBLANK(Inputs!$A27),"",
IF(BA419="--","Solved",
IF(ABS(BA419)&lt;=0.001,"Solved",AY419-BA419*(AY419-AU419)/(BA419-AW419))))</f>
        <v/>
      </c>
      <c r="BD419" s="167"/>
      <c r="BE419" s="329" t="str">
        <f>IF(ISBLANK(Inputs!$A27),"",
IF(OR(BC419="Solved",BC419="--"),"--",
((Mat.Conc_Alpha.1*Mat.Conc_f.c*$AB419*MIN(BC419*Mat.Conc_Beta.1,$Y419))
+(Mat.Conc_Alpha.1*Mat.Conc_f.c*$V419*MAX(0,BC419*Mat.Conc_Beta.1-$Y419)))
-($J419*MIN(Mat.Rebar_f.y,(Mat.Rebar_epsilon.cl*($S419-BC419)/BC419)*Mat.PT_E.s))
-($M419*Mat.PT_f.pu*(1-Mat.PT_k*BC419/$P419))))</f>
        <v/>
      </c>
      <c r="BF419" s="329"/>
      <c r="BG419" s="167" t="str">
        <f>IF(ISBLANK(Inputs!$A27),"",
IF(BE419="--","Solved",
IF(ABS(BE419)&lt;=0.001,"Solved",BC419-BE419*(BC419-AY419)/(BE419-BA419))))</f>
        <v/>
      </c>
      <c r="BH419" s="167"/>
      <c r="BI419" s="329" t="str">
        <f>IF(ISBLANK(Inputs!$A27),"",
IF(OR(BG419="Solved",BG419="--"),"--",
((Mat.Conc_Alpha.1*Mat.Conc_f.c*$AB419*MIN(BG419*Mat.Conc_Beta.1,$Y419))
+(Mat.Conc_Alpha.1*Mat.Conc_f.c*$V419*MAX(0,BG419*Mat.Conc_Beta.1-$Y419)))
-($J419*MIN(Mat.Rebar_f.y,(Mat.Rebar_epsilon.cl*($S419-BG419)/BG419)*Mat.PT_E.s))
-($M419*Mat.PT_f.pu*(1-Mat.PT_k*BG419/$P419))))</f>
        <v/>
      </c>
      <c r="BJ419" s="329"/>
      <c r="BK419" s="167" t="str">
        <f>IF(ISBLANK(Inputs!$A27),"",
IF(BI419="--","Solved",
IF(ABS(BI419)&lt;=0.001,"Solved",BG419-BI419*(BG419-BC419)/(BI419-BE419))))</f>
        <v/>
      </c>
      <c r="BL419" s="167"/>
      <c r="BM419" s="329" t="str">
        <f>IF(ISBLANK(Inputs!$A27),"",
IF(OR(BK419="Solved",BK419="--"),"--",
((Mat.Conc_Alpha.1*Mat.Conc_f.c*$AB419*MIN(BK419*Mat.Conc_Beta.1,$Y419))
+(Mat.Conc_Alpha.1*Mat.Conc_f.c*$V419*MAX(0,BK419*Mat.Conc_Beta.1-$Y419)))
-($J419*MIN(Mat.Rebar_f.y,(Mat.Rebar_epsilon.cl*($S419-BK419)/BK419)*Mat.PT_E.s))
-($M419*Mat.PT_f.pu*(1-Mat.PT_k*BK419/$P419))))</f>
        <v/>
      </c>
      <c r="BN419" s="329"/>
      <c r="BO419" s="167" t="str">
        <f>IF(ISBLANK(Inputs!$A27),"",
IF(BM419="--","Solved",
IF(ABS(BM419)&lt;=0.001,"Solved",BK419-BM419*(BK419-BG419)/(BM419-BI419))))</f>
        <v/>
      </c>
      <c r="BP419" s="167"/>
      <c r="BQ419" s="329" t="str">
        <f>IF(ISBLANK(Inputs!$A27),"",
IF(OR(BO419="Solved",BO419="--"),"--",
((Mat.Conc_Alpha.1*Mat.Conc_f.c*$AB419*MIN(BO419*Mat.Conc_Beta.1,$Y419))
+(Mat.Conc_Alpha.1*Mat.Conc_f.c*$V419*MAX(0,BO419*Mat.Conc_Beta.1-$Y419)))
-($J419*MIN(Mat.Rebar_f.y,(Mat.Rebar_epsilon.cl*($S419-BO419)/BO419)*Mat.PT_E.s))
-($M419*Mat.PT_f.pu*(1-Mat.PT_k*BO419/$P419))))</f>
        <v/>
      </c>
      <c r="BR419" s="329"/>
      <c r="BT419" s="98"/>
      <c r="BU419" s="70"/>
      <c r="BV419" s="70"/>
      <c r="BW419" s="8"/>
      <c r="BX419" s="8"/>
      <c r="BY419" s="8"/>
      <c r="BZ419" s="8"/>
      <c r="CA419" s="8"/>
      <c r="CB419" s="10"/>
    </row>
    <row r="420" spans="3:80" ht="15" customHeight="1" x14ac:dyDescent="0.25">
      <c r="C420" s="69"/>
      <c r="F420" s="167" t="str">
        <f>IF(ISBLANK(Inputs!A28),"",Inputs!A28)</f>
        <v/>
      </c>
      <c r="G420" s="167"/>
      <c r="H420" s="167" t="str">
        <f>IF(ISBLANK(Inputs!B28),"",Inputs!B28)</f>
        <v/>
      </c>
      <c r="I420" s="167"/>
      <c r="J420" s="168" t="str">
        <f>IF(ISBLANK(Inputs!G28),"",Inputs!G28)</f>
        <v/>
      </c>
      <c r="K420" s="168"/>
      <c r="L420" s="168"/>
      <c r="M420" s="168" t="str">
        <f>IF(ISBLANK(Inputs!D28),"",Inputs!D28)</f>
        <v/>
      </c>
      <c r="N420" s="168"/>
      <c r="O420" s="168"/>
      <c r="P420" s="168" t="str">
        <f>IF(ISBLANK(Inputs!F28),"",Inputs!F28)</f>
        <v/>
      </c>
      <c r="Q420" s="168"/>
      <c r="R420" s="168"/>
      <c r="S420" s="168" t="str">
        <f>IF(ISBLANK(Inputs!H28),"",Inputs!H28)</f>
        <v/>
      </c>
      <c r="T420" s="168"/>
      <c r="U420" s="168"/>
      <c r="V420" s="168" t="str">
        <f>IF(ISBLANK(Inputs!E28),"",Inputs!E28)</f>
        <v/>
      </c>
      <c r="W420" s="168"/>
      <c r="X420" s="168"/>
      <c r="Y420" s="168" t="str">
        <f>IF(ISBLANK(Inputs!I28),"",Inputs!I28)</f>
        <v/>
      </c>
      <c r="Z420" s="168"/>
      <c r="AA420" s="168"/>
      <c r="AB420" s="168">
        <f>IF(ISBLANK(Inputs!J28),"",Inputs!J28)</f>
        <v>96</v>
      </c>
      <c r="AC420" s="168"/>
      <c r="AD420" s="168"/>
      <c r="AE420" s="167" t="str">
        <f>IF(ISBLANK(Inputs!A28),"",Y420)</f>
        <v/>
      </c>
      <c r="AF420" s="167"/>
      <c r="AG420" s="329" t="str">
        <f>IF(ISBLANK(Inputs!$A28),"",
IF(OR(AE420="Solved",AE420="--"),"--",
((Mat.Conc_Alpha.1*Mat.Conc_f.c*$AB420*MIN(AE420*Mat.Conc_Beta.1,$Y420))
+(Mat.Conc_Alpha.1*Mat.Conc_f.c*$V420*MAX(0,AE420*Mat.Conc_Beta.1-$Y420)))
-($J420*MIN(Mat.Rebar_f.y,(Mat.Rebar_epsilon.cl*($S420-AE420)/AE420)*Mat.PT_E.s))
-($M420*Mat.PT_f.pu*(1-Mat.PT_k*AE420/$P420))))</f>
        <v/>
      </c>
      <c r="AH420" s="329"/>
      <c r="AI420" s="167" t="str">
        <f>IF(ISBLANK(Inputs!$A28),"",
IF(ABS(AG420)&lt;=0.001,"Solved",IF(AG420&gt;0,0.85*AE420,1.15*AE420)))</f>
        <v/>
      </c>
      <c r="AJ420" s="167"/>
      <c r="AK420" s="329" t="str">
        <f>IF(ISBLANK(Inputs!$A28),"",
IF(OR(AI420="Solved",AI420="--"),"--",
((Mat.Conc_Alpha.1*Mat.Conc_f.c*$AB420*MIN(AI420*Mat.Conc_Beta.1,$Y420))
+(Mat.Conc_Alpha.1*Mat.Conc_f.c*$V420*MAX(0,AI420*Mat.Conc_Beta.1-$Y420)))
-($J420*MIN(Mat.Rebar_f.y,(Mat.Rebar_epsilon.cl*($S420-AI420)/AI420)*Mat.PT_E.s))
-($M420*Mat.PT_f.pu*(1-Mat.PT_k*AI420/$P420))))</f>
        <v/>
      </c>
      <c r="AL420" s="329"/>
      <c r="AM420" s="167" t="str">
        <f>IF(ISBLANK(Inputs!$A28),"",
IF(AK420="--","Solved",
IF(ABS(AK420)&lt;=0.001,"Solved",AI420-AK420*(AI420-AE420)/(AK420-AG420))))</f>
        <v/>
      </c>
      <c r="AN420" s="167"/>
      <c r="AO420" s="329" t="str">
        <f>IF(ISBLANK(Inputs!$A28),"",
IF(OR(AM420="Solved",AM420="--"),"--",
((Mat.Conc_Alpha.1*Mat.Conc_f.c*$AB420*MIN(AM420*Mat.Conc_Beta.1,$Y420))
+(Mat.Conc_Alpha.1*Mat.Conc_f.c*$V420*MAX(0,AM420*Mat.Conc_Beta.1-$Y420)))
-($J420*MIN(Mat.Rebar_f.y,(Mat.Rebar_epsilon.cl*($S420-AM420)/AM420)*Mat.PT_E.s))
-($M420*Mat.PT_f.pu*(1-Mat.PT_k*AM420/$P420))))</f>
        <v/>
      </c>
      <c r="AP420" s="329"/>
      <c r="AQ420" s="167" t="str">
        <f>IF(ISBLANK(Inputs!$A28),"",
IF(AO420="--","Solved",
IF(ABS(AO420)&lt;=0.001,"Solved",AM420-AO420*(AM420-AI420)/(AO420-AK420))))</f>
        <v/>
      </c>
      <c r="AR420" s="167"/>
      <c r="AS420" s="329" t="str">
        <f>IF(ISBLANK(Inputs!$A28),"",
IF(OR(AQ420="Solved",AQ420="--"),"--",
((Mat.Conc_Alpha.1*Mat.Conc_f.c*$AB420*MIN(AQ420*Mat.Conc_Beta.1,$Y420))
+(Mat.Conc_Alpha.1*Mat.Conc_f.c*$V420*MAX(0,AQ420*Mat.Conc_Beta.1-$Y420)))
-($J420*MIN(Mat.Rebar_f.y,(Mat.Rebar_epsilon.cl*($S420-AQ420)/AQ420)*Mat.PT_E.s))
-($M420*Mat.PT_f.pu*(1-Mat.PT_k*AQ420/$P420))))</f>
        <v/>
      </c>
      <c r="AT420" s="329"/>
      <c r="AU420" s="167" t="str">
        <f>IF(ISBLANK(Inputs!$A28),"",
IF(AS420="--","Solved",
IF(ABS(AS420)&lt;=0.001,"Solved",AQ420-AS420*(AQ420-AM420)/(AS420-AO420))))</f>
        <v/>
      </c>
      <c r="AV420" s="167"/>
      <c r="AW420" s="329" t="str">
        <f>IF(ISBLANK(Inputs!$A28),"",
IF(OR(AU420="Solved",AU420="--"),"--",
((Mat.Conc_Alpha.1*Mat.Conc_f.c*$AB420*MIN(AU420*Mat.Conc_Beta.1,$Y420))
+(Mat.Conc_Alpha.1*Mat.Conc_f.c*$V420*MAX(0,AU420*Mat.Conc_Beta.1-$Y420)))
-($J420*MIN(Mat.Rebar_f.y,(Mat.Rebar_epsilon.cl*($S420-AU420)/AU420)*Mat.PT_E.s))
-($M420*Mat.PT_f.pu*(1-Mat.PT_k*AU420/$P420))))</f>
        <v/>
      </c>
      <c r="AX420" s="329"/>
      <c r="AY420" s="167" t="str">
        <f>IF(ISBLANK(Inputs!$A28),"",
IF(AW420="--","Solved",
IF(ABS(AW420)&lt;=0.001,"Solved",AU420-AW420*(AU420-AQ420)/(AW420-AS420))))</f>
        <v/>
      </c>
      <c r="AZ420" s="167"/>
      <c r="BA420" s="329" t="str">
        <f>IF(ISBLANK(Inputs!$A28),"",
IF(OR(AY420="Solved",AY420="--"),"--",
((Mat.Conc_Alpha.1*Mat.Conc_f.c*$AB420*MIN(AY420*Mat.Conc_Beta.1,$Y420))
+(Mat.Conc_Alpha.1*Mat.Conc_f.c*$V420*MAX(0,AY420*Mat.Conc_Beta.1-$Y420)))
-($J420*MIN(Mat.Rebar_f.y,(Mat.Rebar_epsilon.cl*($S420-AY420)/AY420)*Mat.PT_E.s))
-($M420*Mat.PT_f.pu*(1-Mat.PT_k*AY420/$P420))))</f>
        <v/>
      </c>
      <c r="BB420" s="329"/>
      <c r="BC420" s="167" t="str">
        <f>IF(ISBLANK(Inputs!$A28),"",
IF(BA420="--","Solved",
IF(ABS(BA420)&lt;=0.001,"Solved",AY420-BA420*(AY420-AU420)/(BA420-AW420))))</f>
        <v/>
      </c>
      <c r="BD420" s="167"/>
      <c r="BE420" s="329" t="str">
        <f>IF(ISBLANK(Inputs!$A28),"",
IF(OR(BC420="Solved",BC420="--"),"--",
((Mat.Conc_Alpha.1*Mat.Conc_f.c*$AB420*MIN(BC420*Mat.Conc_Beta.1,$Y420))
+(Mat.Conc_Alpha.1*Mat.Conc_f.c*$V420*MAX(0,BC420*Mat.Conc_Beta.1-$Y420)))
-($J420*MIN(Mat.Rebar_f.y,(Mat.Rebar_epsilon.cl*($S420-BC420)/BC420)*Mat.PT_E.s))
-($M420*Mat.PT_f.pu*(1-Mat.PT_k*BC420/$P420))))</f>
        <v/>
      </c>
      <c r="BF420" s="329"/>
      <c r="BG420" s="167" t="str">
        <f>IF(ISBLANK(Inputs!$A28),"",
IF(BE420="--","Solved",
IF(ABS(BE420)&lt;=0.001,"Solved",BC420-BE420*(BC420-AY420)/(BE420-BA420))))</f>
        <v/>
      </c>
      <c r="BH420" s="167"/>
      <c r="BI420" s="329" t="str">
        <f>IF(ISBLANK(Inputs!$A28),"",
IF(OR(BG420="Solved",BG420="--"),"--",
((Mat.Conc_Alpha.1*Mat.Conc_f.c*$AB420*MIN(BG420*Mat.Conc_Beta.1,$Y420))
+(Mat.Conc_Alpha.1*Mat.Conc_f.c*$V420*MAX(0,BG420*Mat.Conc_Beta.1-$Y420)))
-($J420*MIN(Mat.Rebar_f.y,(Mat.Rebar_epsilon.cl*($S420-BG420)/BG420)*Mat.PT_E.s))
-($M420*Mat.PT_f.pu*(1-Mat.PT_k*BG420/$P420))))</f>
        <v/>
      </c>
      <c r="BJ420" s="329"/>
      <c r="BK420" s="167" t="str">
        <f>IF(ISBLANK(Inputs!$A28),"",
IF(BI420="--","Solved",
IF(ABS(BI420)&lt;=0.001,"Solved",BG420-BI420*(BG420-BC420)/(BI420-BE420))))</f>
        <v/>
      </c>
      <c r="BL420" s="167"/>
      <c r="BM420" s="329" t="str">
        <f>IF(ISBLANK(Inputs!$A28),"",
IF(OR(BK420="Solved",BK420="--"),"--",
((Mat.Conc_Alpha.1*Mat.Conc_f.c*$AB420*MIN(BK420*Mat.Conc_Beta.1,$Y420))
+(Mat.Conc_Alpha.1*Mat.Conc_f.c*$V420*MAX(0,BK420*Mat.Conc_Beta.1-$Y420)))
-($J420*MIN(Mat.Rebar_f.y,(Mat.Rebar_epsilon.cl*($S420-BK420)/BK420)*Mat.PT_E.s))
-($M420*Mat.PT_f.pu*(1-Mat.PT_k*BK420/$P420))))</f>
        <v/>
      </c>
      <c r="BN420" s="329"/>
      <c r="BO420" s="167" t="str">
        <f>IF(ISBLANK(Inputs!$A28),"",
IF(BM420="--","Solved",
IF(ABS(BM420)&lt;=0.001,"Solved",BK420-BM420*(BK420-BG420)/(BM420-BI420))))</f>
        <v/>
      </c>
      <c r="BP420" s="167"/>
      <c r="BQ420" s="329" t="str">
        <f>IF(ISBLANK(Inputs!$A28),"",
IF(OR(BO420="Solved",BO420="--"),"--",
((Mat.Conc_Alpha.1*Mat.Conc_f.c*$AB420*MIN(BO420*Mat.Conc_Beta.1,$Y420))
+(Mat.Conc_Alpha.1*Mat.Conc_f.c*$V420*MAX(0,BO420*Mat.Conc_Beta.1-$Y420)))
-($J420*MIN(Mat.Rebar_f.y,(Mat.Rebar_epsilon.cl*($S420-BO420)/BO420)*Mat.PT_E.s))
-($M420*Mat.PT_f.pu*(1-Mat.PT_k*BO420/$P420))))</f>
        <v/>
      </c>
      <c r="BR420" s="329"/>
      <c r="BT420" s="98"/>
      <c r="BU420" s="70"/>
      <c r="BV420" s="70"/>
      <c r="BW420" s="8"/>
      <c r="BX420" s="8"/>
      <c r="BY420" s="8"/>
      <c r="BZ420" s="8"/>
      <c r="CA420" s="8"/>
      <c r="CB420" s="10"/>
    </row>
    <row r="421" spans="3:80" ht="15" customHeight="1" x14ac:dyDescent="0.25">
      <c r="C421" s="69"/>
      <c r="F421" s="167" t="str">
        <f>IF(ISBLANK(Inputs!A29),"",Inputs!A29)</f>
        <v/>
      </c>
      <c r="G421" s="167"/>
      <c r="H421" s="167" t="str">
        <f>IF(ISBLANK(Inputs!B29),"",Inputs!B29)</f>
        <v/>
      </c>
      <c r="I421" s="167"/>
      <c r="J421" s="168" t="str">
        <f>IF(ISBLANK(Inputs!G29),"",Inputs!G29)</f>
        <v/>
      </c>
      <c r="K421" s="168"/>
      <c r="L421" s="168"/>
      <c r="M421" s="168" t="str">
        <f>IF(ISBLANK(Inputs!D29),"",Inputs!D29)</f>
        <v/>
      </c>
      <c r="N421" s="168"/>
      <c r="O421" s="168"/>
      <c r="P421" s="168" t="str">
        <f>IF(ISBLANK(Inputs!F29),"",Inputs!F29)</f>
        <v/>
      </c>
      <c r="Q421" s="168"/>
      <c r="R421" s="168"/>
      <c r="S421" s="168" t="str">
        <f>IF(ISBLANK(Inputs!H29),"",Inputs!H29)</f>
        <v/>
      </c>
      <c r="T421" s="168"/>
      <c r="U421" s="168"/>
      <c r="V421" s="168" t="str">
        <f>IF(ISBLANK(Inputs!E29),"",Inputs!E29)</f>
        <v/>
      </c>
      <c r="W421" s="168"/>
      <c r="X421" s="168"/>
      <c r="Y421" s="168" t="str">
        <f>IF(ISBLANK(Inputs!I29),"",Inputs!I29)</f>
        <v/>
      </c>
      <c r="Z421" s="168"/>
      <c r="AA421" s="168"/>
      <c r="AB421" s="168">
        <f>IF(ISBLANK(Inputs!J29),"",Inputs!J29)</f>
        <v>96</v>
      </c>
      <c r="AC421" s="168"/>
      <c r="AD421" s="168"/>
      <c r="AE421" s="167" t="str">
        <f>IF(ISBLANK(Inputs!A29),"",Y421)</f>
        <v/>
      </c>
      <c r="AF421" s="167"/>
      <c r="AG421" s="329" t="str">
        <f>IF(ISBLANK(Inputs!$A29),"",
IF(OR(AE421="Solved",AE421="--"),"--",
((Mat.Conc_Alpha.1*Mat.Conc_f.c*$AB421*MIN(AE421*Mat.Conc_Beta.1,$Y421))
+(Mat.Conc_Alpha.1*Mat.Conc_f.c*$V421*MAX(0,AE421*Mat.Conc_Beta.1-$Y421)))
-($J421*MIN(Mat.Rebar_f.y,(Mat.Rebar_epsilon.cl*($S421-AE421)/AE421)*Mat.PT_E.s))
-($M421*Mat.PT_f.pu*(1-Mat.PT_k*AE421/$P421))))</f>
        <v/>
      </c>
      <c r="AH421" s="329"/>
      <c r="AI421" s="167" t="str">
        <f>IF(ISBLANK(Inputs!$A29),"",
IF(ABS(AG421)&lt;=0.001,"Solved",IF(AG421&gt;0,0.85*AE421,1.15*AE421)))</f>
        <v/>
      </c>
      <c r="AJ421" s="167"/>
      <c r="AK421" s="329" t="str">
        <f>IF(ISBLANK(Inputs!$A29),"",
IF(OR(AI421="Solved",AI421="--"),"--",
((Mat.Conc_Alpha.1*Mat.Conc_f.c*$AB421*MIN(AI421*Mat.Conc_Beta.1,$Y421))
+(Mat.Conc_Alpha.1*Mat.Conc_f.c*$V421*MAX(0,AI421*Mat.Conc_Beta.1-$Y421)))
-($J421*MIN(Mat.Rebar_f.y,(Mat.Rebar_epsilon.cl*($S421-AI421)/AI421)*Mat.PT_E.s))
-($M421*Mat.PT_f.pu*(1-Mat.PT_k*AI421/$P421))))</f>
        <v/>
      </c>
      <c r="AL421" s="329"/>
      <c r="AM421" s="167" t="str">
        <f>IF(ISBLANK(Inputs!$A29),"",
IF(AK421="--","Solved",
IF(ABS(AK421)&lt;=0.001,"Solved",AI421-AK421*(AI421-AE421)/(AK421-AG421))))</f>
        <v/>
      </c>
      <c r="AN421" s="167"/>
      <c r="AO421" s="329" t="str">
        <f>IF(ISBLANK(Inputs!$A29),"",
IF(OR(AM421="Solved",AM421="--"),"--",
((Mat.Conc_Alpha.1*Mat.Conc_f.c*$AB421*MIN(AM421*Mat.Conc_Beta.1,$Y421))
+(Mat.Conc_Alpha.1*Mat.Conc_f.c*$V421*MAX(0,AM421*Mat.Conc_Beta.1-$Y421)))
-($J421*MIN(Mat.Rebar_f.y,(Mat.Rebar_epsilon.cl*($S421-AM421)/AM421)*Mat.PT_E.s))
-($M421*Mat.PT_f.pu*(1-Mat.PT_k*AM421/$P421))))</f>
        <v/>
      </c>
      <c r="AP421" s="329"/>
      <c r="AQ421" s="167" t="str">
        <f>IF(ISBLANK(Inputs!$A29),"",
IF(AO421="--","Solved",
IF(ABS(AO421)&lt;=0.001,"Solved",AM421-AO421*(AM421-AI421)/(AO421-AK421))))</f>
        <v/>
      </c>
      <c r="AR421" s="167"/>
      <c r="AS421" s="329" t="str">
        <f>IF(ISBLANK(Inputs!$A29),"",
IF(OR(AQ421="Solved",AQ421="--"),"--",
((Mat.Conc_Alpha.1*Mat.Conc_f.c*$AB421*MIN(AQ421*Mat.Conc_Beta.1,$Y421))
+(Mat.Conc_Alpha.1*Mat.Conc_f.c*$V421*MAX(0,AQ421*Mat.Conc_Beta.1-$Y421)))
-($J421*MIN(Mat.Rebar_f.y,(Mat.Rebar_epsilon.cl*($S421-AQ421)/AQ421)*Mat.PT_E.s))
-($M421*Mat.PT_f.pu*(1-Mat.PT_k*AQ421/$P421))))</f>
        <v/>
      </c>
      <c r="AT421" s="329"/>
      <c r="AU421" s="167" t="str">
        <f>IF(ISBLANK(Inputs!$A29),"",
IF(AS421="--","Solved",
IF(ABS(AS421)&lt;=0.001,"Solved",AQ421-AS421*(AQ421-AM421)/(AS421-AO421))))</f>
        <v/>
      </c>
      <c r="AV421" s="167"/>
      <c r="AW421" s="329" t="str">
        <f>IF(ISBLANK(Inputs!$A29),"",
IF(OR(AU421="Solved",AU421="--"),"--",
((Mat.Conc_Alpha.1*Mat.Conc_f.c*$AB421*MIN(AU421*Mat.Conc_Beta.1,$Y421))
+(Mat.Conc_Alpha.1*Mat.Conc_f.c*$V421*MAX(0,AU421*Mat.Conc_Beta.1-$Y421)))
-($J421*MIN(Mat.Rebar_f.y,(Mat.Rebar_epsilon.cl*($S421-AU421)/AU421)*Mat.PT_E.s))
-($M421*Mat.PT_f.pu*(1-Mat.PT_k*AU421/$P421))))</f>
        <v/>
      </c>
      <c r="AX421" s="329"/>
      <c r="AY421" s="167" t="str">
        <f>IF(ISBLANK(Inputs!$A29),"",
IF(AW421="--","Solved",
IF(ABS(AW421)&lt;=0.001,"Solved",AU421-AW421*(AU421-AQ421)/(AW421-AS421))))</f>
        <v/>
      </c>
      <c r="AZ421" s="167"/>
      <c r="BA421" s="329" t="str">
        <f>IF(ISBLANK(Inputs!$A29),"",
IF(OR(AY421="Solved",AY421="--"),"--",
((Mat.Conc_Alpha.1*Mat.Conc_f.c*$AB421*MIN(AY421*Mat.Conc_Beta.1,$Y421))
+(Mat.Conc_Alpha.1*Mat.Conc_f.c*$V421*MAX(0,AY421*Mat.Conc_Beta.1-$Y421)))
-($J421*MIN(Mat.Rebar_f.y,(Mat.Rebar_epsilon.cl*($S421-AY421)/AY421)*Mat.PT_E.s))
-($M421*Mat.PT_f.pu*(1-Mat.PT_k*AY421/$P421))))</f>
        <v/>
      </c>
      <c r="BB421" s="329"/>
      <c r="BC421" s="167" t="str">
        <f>IF(ISBLANK(Inputs!$A29),"",
IF(BA421="--","Solved",
IF(ABS(BA421)&lt;=0.001,"Solved",AY421-BA421*(AY421-AU421)/(BA421-AW421))))</f>
        <v/>
      </c>
      <c r="BD421" s="167"/>
      <c r="BE421" s="329" t="str">
        <f>IF(ISBLANK(Inputs!$A29),"",
IF(OR(BC421="Solved",BC421="--"),"--",
((Mat.Conc_Alpha.1*Mat.Conc_f.c*$AB421*MIN(BC421*Mat.Conc_Beta.1,$Y421))
+(Mat.Conc_Alpha.1*Mat.Conc_f.c*$V421*MAX(0,BC421*Mat.Conc_Beta.1-$Y421)))
-($J421*MIN(Mat.Rebar_f.y,(Mat.Rebar_epsilon.cl*($S421-BC421)/BC421)*Mat.PT_E.s))
-($M421*Mat.PT_f.pu*(1-Mat.PT_k*BC421/$P421))))</f>
        <v/>
      </c>
      <c r="BF421" s="329"/>
      <c r="BG421" s="167" t="str">
        <f>IF(ISBLANK(Inputs!$A29),"",
IF(BE421="--","Solved",
IF(ABS(BE421)&lt;=0.001,"Solved",BC421-BE421*(BC421-AY421)/(BE421-BA421))))</f>
        <v/>
      </c>
      <c r="BH421" s="167"/>
      <c r="BI421" s="329" t="str">
        <f>IF(ISBLANK(Inputs!$A29),"",
IF(OR(BG421="Solved",BG421="--"),"--",
((Mat.Conc_Alpha.1*Mat.Conc_f.c*$AB421*MIN(BG421*Mat.Conc_Beta.1,$Y421))
+(Mat.Conc_Alpha.1*Mat.Conc_f.c*$V421*MAX(0,BG421*Mat.Conc_Beta.1-$Y421)))
-($J421*MIN(Mat.Rebar_f.y,(Mat.Rebar_epsilon.cl*($S421-BG421)/BG421)*Mat.PT_E.s))
-($M421*Mat.PT_f.pu*(1-Mat.PT_k*BG421/$P421))))</f>
        <v/>
      </c>
      <c r="BJ421" s="329"/>
      <c r="BK421" s="167" t="str">
        <f>IF(ISBLANK(Inputs!$A29),"",
IF(BI421="--","Solved",
IF(ABS(BI421)&lt;=0.001,"Solved",BG421-BI421*(BG421-BC421)/(BI421-BE421))))</f>
        <v/>
      </c>
      <c r="BL421" s="167"/>
      <c r="BM421" s="329" t="str">
        <f>IF(ISBLANK(Inputs!$A29),"",
IF(OR(BK421="Solved",BK421="--"),"--",
((Mat.Conc_Alpha.1*Mat.Conc_f.c*$AB421*MIN(BK421*Mat.Conc_Beta.1,$Y421))
+(Mat.Conc_Alpha.1*Mat.Conc_f.c*$V421*MAX(0,BK421*Mat.Conc_Beta.1-$Y421)))
-($J421*MIN(Mat.Rebar_f.y,(Mat.Rebar_epsilon.cl*($S421-BK421)/BK421)*Mat.PT_E.s))
-($M421*Mat.PT_f.pu*(1-Mat.PT_k*BK421/$P421))))</f>
        <v/>
      </c>
      <c r="BN421" s="329"/>
      <c r="BO421" s="167" t="str">
        <f>IF(ISBLANK(Inputs!$A29),"",
IF(BM421="--","Solved",
IF(ABS(BM421)&lt;=0.001,"Solved",BK421-BM421*(BK421-BG421)/(BM421-BI421))))</f>
        <v/>
      </c>
      <c r="BP421" s="167"/>
      <c r="BQ421" s="329" t="str">
        <f>IF(ISBLANK(Inputs!$A29),"",
IF(OR(BO421="Solved",BO421="--"),"--",
((Mat.Conc_Alpha.1*Mat.Conc_f.c*$AB421*MIN(BO421*Mat.Conc_Beta.1,$Y421))
+(Mat.Conc_Alpha.1*Mat.Conc_f.c*$V421*MAX(0,BO421*Mat.Conc_Beta.1-$Y421)))
-($J421*MIN(Mat.Rebar_f.y,(Mat.Rebar_epsilon.cl*($S421-BO421)/BO421)*Mat.PT_E.s))
-($M421*Mat.PT_f.pu*(1-Mat.PT_k*BO421/$P421))))</f>
        <v/>
      </c>
      <c r="BR421" s="329"/>
      <c r="BT421" s="98"/>
      <c r="BU421" s="70"/>
      <c r="BV421" s="70"/>
      <c r="BW421" s="8"/>
      <c r="BX421" s="8"/>
      <c r="BY421" s="8"/>
      <c r="BZ421" s="8"/>
      <c r="CA421" s="8"/>
      <c r="CB421" s="10"/>
    </row>
    <row r="422" spans="3:80" ht="15" customHeight="1" x14ac:dyDescent="0.25">
      <c r="C422" s="69"/>
      <c r="F422" s="167" t="str">
        <f>IF(ISBLANK(Inputs!A30),"",Inputs!A30)</f>
        <v/>
      </c>
      <c r="G422" s="167"/>
      <c r="H422" s="167" t="str">
        <f>IF(ISBLANK(Inputs!B30),"",Inputs!B30)</f>
        <v/>
      </c>
      <c r="I422" s="167"/>
      <c r="J422" s="168" t="str">
        <f>IF(ISBLANK(Inputs!G30),"",Inputs!G30)</f>
        <v/>
      </c>
      <c r="K422" s="168"/>
      <c r="L422" s="168"/>
      <c r="M422" s="168" t="str">
        <f>IF(ISBLANK(Inputs!D30),"",Inputs!D30)</f>
        <v/>
      </c>
      <c r="N422" s="168"/>
      <c r="O422" s="168"/>
      <c r="P422" s="168" t="str">
        <f>IF(ISBLANK(Inputs!F30),"",Inputs!F30)</f>
        <v/>
      </c>
      <c r="Q422" s="168"/>
      <c r="R422" s="168"/>
      <c r="S422" s="168" t="str">
        <f>IF(ISBLANK(Inputs!H30),"",Inputs!H30)</f>
        <v/>
      </c>
      <c r="T422" s="168"/>
      <c r="U422" s="168"/>
      <c r="V422" s="168" t="str">
        <f>IF(ISBLANK(Inputs!E30),"",Inputs!E30)</f>
        <v/>
      </c>
      <c r="W422" s="168"/>
      <c r="X422" s="168"/>
      <c r="Y422" s="168" t="str">
        <f>IF(ISBLANK(Inputs!I30),"",Inputs!I30)</f>
        <v/>
      </c>
      <c r="Z422" s="168"/>
      <c r="AA422" s="168"/>
      <c r="AB422" s="168">
        <f>IF(ISBLANK(Inputs!J30),"",Inputs!J30)</f>
        <v>96</v>
      </c>
      <c r="AC422" s="168"/>
      <c r="AD422" s="168"/>
      <c r="AE422" s="167" t="str">
        <f>IF(ISBLANK(Inputs!A30),"",Y422)</f>
        <v/>
      </c>
      <c r="AF422" s="167"/>
      <c r="AG422" s="329" t="str">
        <f>IF(ISBLANK(Inputs!$A30),"",
IF(OR(AE422="Solved",AE422="--"),"--",
((Mat.Conc_Alpha.1*Mat.Conc_f.c*$AB422*MIN(AE422*Mat.Conc_Beta.1,$Y422))
+(Mat.Conc_Alpha.1*Mat.Conc_f.c*$V422*MAX(0,AE422*Mat.Conc_Beta.1-$Y422)))
-($J422*MIN(Mat.Rebar_f.y,(Mat.Rebar_epsilon.cl*($S422-AE422)/AE422)*Mat.PT_E.s))
-($M422*Mat.PT_f.pu*(1-Mat.PT_k*AE422/$P422))))</f>
        <v/>
      </c>
      <c r="AH422" s="329"/>
      <c r="AI422" s="167" t="str">
        <f>IF(ISBLANK(Inputs!$A30),"",
IF(ABS(AG422)&lt;=0.001,"Solved",IF(AG422&gt;0,0.85*AE422,1.15*AE422)))</f>
        <v/>
      </c>
      <c r="AJ422" s="167"/>
      <c r="AK422" s="329" t="str">
        <f>IF(ISBLANK(Inputs!$A30),"",
IF(OR(AI422="Solved",AI422="--"),"--",
((Mat.Conc_Alpha.1*Mat.Conc_f.c*$AB422*MIN(AI422*Mat.Conc_Beta.1,$Y422))
+(Mat.Conc_Alpha.1*Mat.Conc_f.c*$V422*MAX(0,AI422*Mat.Conc_Beta.1-$Y422)))
-($J422*MIN(Mat.Rebar_f.y,(Mat.Rebar_epsilon.cl*($S422-AI422)/AI422)*Mat.PT_E.s))
-($M422*Mat.PT_f.pu*(1-Mat.PT_k*AI422/$P422))))</f>
        <v/>
      </c>
      <c r="AL422" s="329"/>
      <c r="AM422" s="167" t="str">
        <f>IF(ISBLANK(Inputs!$A30),"",
IF(AK422="--","Solved",
IF(ABS(AK422)&lt;=0.001,"Solved",AI422-AK422*(AI422-AE422)/(AK422-AG422))))</f>
        <v/>
      </c>
      <c r="AN422" s="167"/>
      <c r="AO422" s="329" t="str">
        <f>IF(ISBLANK(Inputs!$A30),"",
IF(OR(AM422="Solved",AM422="--"),"--",
((Mat.Conc_Alpha.1*Mat.Conc_f.c*$AB422*MIN(AM422*Mat.Conc_Beta.1,$Y422))
+(Mat.Conc_Alpha.1*Mat.Conc_f.c*$V422*MAX(0,AM422*Mat.Conc_Beta.1-$Y422)))
-($J422*MIN(Mat.Rebar_f.y,(Mat.Rebar_epsilon.cl*($S422-AM422)/AM422)*Mat.PT_E.s))
-($M422*Mat.PT_f.pu*(1-Mat.PT_k*AM422/$P422))))</f>
        <v/>
      </c>
      <c r="AP422" s="329"/>
      <c r="AQ422" s="167" t="str">
        <f>IF(ISBLANK(Inputs!$A30),"",
IF(AO422="--","Solved",
IF(ABS(AO422)&lt;=0.001,"Solved",AM422-AO422*(AM422-AI422)/(AO422-AK422))))</f>
        <v/>
      </c>
      <c r="AR422" s="167"/>
      <c r="AS422" s="329" t="str">
        <f>IF(ISBLANK(Inputs!$A30),"",
IF(OR(AQ422="Solved",AQ422="--"),"--",
((Mat.Conc_Alpha.1*Mat.Conc_f.c*$AB422*MIN(AQ422*Mat.Conc_Beta.1,$Y422))
+(Mat.Conc_Alpha.1*Mat.Conc_f.c*$V422*MAX(0,AQ422*Mat.Conc_Beta.1-$Y422)))
-($J422*MIN(Mat.Rebar_f.y,(Mat.Rebar_epsilon.cl*($S422-AQ422)/AQ422)*Mat.PT_E.s))
-($M422*Mat.PT_f.pu*(1-Mat.PT_k*AQ422/$P422))))</f>
        <v/>
      </c>
      <c r="AT422" s="329"/>
      <c r="AU422" s="167" t="str">
        <f>IF(ISBLANK(Inputs!$A30),"",
IF(AS422="--","Solved",
IF(ABS(AS422)&lt;=0.001,"Solved",AQ422-AS422*(AQ422-AM422)/(AS422-AO422))))</f>
        <v/>
      </c>
      <c r="AV422" s="167"/>
      <c r="AW422" s="329" t="str">
        <f>IF(ISBLANK(Inputs!$A30),"",
IF(OR(AU422="Solved",AU422="--"),"--",
((Mat.Conc_Alpha.1*Mat.Conc_f.c*$AB422*MIN(AU422*Mat.Conc_Beta.1,$Y422))
+(Mat.Conc_Alpha.1*Mat.Conc_f.c*$V422*MAX(0,AU422*Mat.Conc_Beta.1-$Y422)))
-($J422*MIN(Mat.Rebar_f.y,(Mat.Rebar_epsilon.cl*($S422-AU422)/AU422)*Mat.PT_E.s))
-($M422*Mat.PT_f.pu*(1-Mat.PT_k*AU422/$P422))))</f>
        <v/>
      </c>
      <c r="AX422" s="329"/>
      <c r="AY422" s="167" t="str">
        <f>IF(ISBLANK(Inputs!$A30),"",
IF(AW422="--","Solved",
IF(ABS(AW422)&lt;=0.001,"Solved",AU422-AW422*(AU422-AQ422)/(AW422-AS422))))</f>
        <v/>
      </c>
      <c r="AZ422" s="167"/>
      <c r="BA422" s="329" t="str">
        <f>IF(ISBLANK(Inputs!$A30),"",
IF(OR(AY422="Solved",AY422="--"),"--",
((Mat.Conc_Alpha.1*Mat.Conc_f.c*$AB422*MIN(AY422*Mat.Conc_Beta.1,$Y422))
+(Mat.Conc_Alpha.1*Mat.Conc_f.c*$V422*MAX(0,AY422*Mat.Conc_Beta.1-$Y422)))
-($J422*MIN(Mat.Rebar_f.y,(Mat.Rebar_epsilon.cl*($S422-AY422)/AY422)*Mat.PT_E.s))
-($M422*Mat.PT_f.pu*(1-Mat.PT_k*AY422/$P422))))</f>
        <v/>
      </c>
      <c r="BB422" s="329"/>
      <c r="BC422" s="167" t="str">
        <f>IF(ISBLANK(Inputs!$A30),"",
IF(BA422="--","Solved",
IF(ABS(BA422)&lt;=0.001,"Solved",AY422-BA422*(AY422-AU422)/(BA422-AW422))))</f>
        <v/>
      </c>
      <c r="BD422" s="167"/>
      <c r="BE422" s="329" t="str">
        <f>IF(ISBLANK(Inputs!$A30),"",
IF(OR(BC422="Solved",BC422="--"),"--",
((Mat.Conc_Alpha.1*Mat.Conc_f.c*$AB422*MIN(BC422*Mat.Conc_Beta.1,$Y422))
+(Mat.Conc_Alpha.1*Mat.Conc_f.c*$V422*MAX(0,BC422*Mat.Conc_Beta.1-$Y422)))
-($J422*MIN(Mat.Rebar_f.y,(Mat.Rebar_epsilon.cl*($S422-BC422)/BC422)*Mat.PT_E.s))
-($M422*Mat.PT_f.pu*(1-Mat.PT_k*BC422/$P422))))</f>
        <v/>
      </c>
      <c r="BF422" s="329"/>
      <c r="BG422" s="167" t="str">
        <f>IF(ISBLANK(Inputs!$A30),"",
IF(BE422="--","Solved",
IF(ABS(BE422)&lt;=0.001,"Solved",BC422-BE422*(BC422-AY422)/(BE422-BA422))))</f>
        <v/>
      </c>
      <c r="BH422" s="167"/>
      <c r="BI422" s="329" t="str">
        <f>IF(ISBLANK(Inputs!$A30),"",
IF(OR(BG422="Solved",BG422="--"),"--",
((Mat.Conc_Alpha.1*Mat.Conc_f.c*$AB422*MIN(BG422*Mat.Conc_Beta.1,$Y422))
+(Mat.Conc_Alpha.1*Mat.Conc_f.c*$V422*MAX(0,BG422*Mat.Conc_Beta.1-$Y422)))
-($J422*MIN(Mat.Rebar_f.y,(Mat.Rebar_epsilon.cl*($S422-BG422)/BG422)*Mat.PT_E.s))
-($M422*Mat.PT_f.pu*(1-Mat.PT_k*BG422/$P422))))</f>
        <v/>
      </c>
      <c r="BJ422" s="329"/>
      <c r="BK422" s="167" t="str">
        <f>IF(ISBLANK(Inputs!$A30),"",
IF(BI422="--","Solved",
IF(ABS(BI422)&lt;=0.001,"Solved",BG422-BI422*(BG422-BC422)/(BI422-BE422))))</f>
        <v/>
      </c>
      <c r="BL422" s="167"/>
      <c r="BM422" s="329" t="str">
        <f>IF(ISBLANK(Inputs!$A30),"",
IF(OR(BK422="Solved",BK422="--"),"--",
((Mat.Conc_Alpha.1*Mat.Conc_f.c*$AB422*MIN(BK422*Mat.Conc_Beta.1,$Y422))
+(Mat.Conc_Alpha.1*Mat.Conc_f.c*$V422*MAX(0,BK422*Mat.Conc_Beta.1-$Y422)))
-($J422*MIN(Mat.Rebar_f.y,(Mat.Rebar_epsilon.cl*($S422-BK422)/BK422)*Mat.PT_E.s))
-($M422*Mat.PT_f.pu*(1-Mat.PT_k*BK422/$P422))))</f>
        <v/>
      </c>
      <c r="BN422" s="329"/>
      <c r="BO422" s="167" t="str">
        <f>IF(ISBLANK(Inputs!$A30),"",
IF(BM422="--","Solved",
IF(ABS(BM422)&lt;=0.001,"Solved",BK422-BM422*(BK422-BG422)/(BM422-BI422))))</f>
        <v/>
      </c>
      <c r="BP422" s="167"/>
      <c r="BQ422" s="329" t="str">
        <f>IF(ISBLANK(Inputs!$A30),"",
IF(OR(BO422="Solved",BO422="--"),"--",
((Mat.Conc_Alpha.1*Mat.Conc_f.c*$AB422*MIN(BO422*Mat.Conc_Beta.1,$Y422))
+(Mat.Conc_Alpha.1*Mat.Conc_f.c*$V422*MAX(0,BO422*Mat.Conc_Beta.1-$Y422)))
-($J422*MIN(Mat.Rebar_f.y,(Mat.Rebar_epsilon.cl*($S422-BO422)/BO422)*Mat.PT_E.s))
-($M422*Mat.PT_f.pu*(1-Mat.PT_k*BO422/$P422))))</f>
        <v/>
      </c>
      <c r="BR422" s="329"/>
      <c r="BT422" s="98"/>
      <c r="BU422" s="70"/>
      <c r="BV422" s="70"/>
      <c r="BW422" s="8"/>
      <c r="BX422" s="8"/>
      <c r="BY422" s="8"/>
      <c r="BZ422" s="8"/>
      <c r="CA422" s="8"/>
      <c r="CB422" s="10"/>
    </row>
    <row r="423" spans="3:80" ht="15" customHeight="1" x14ac:dyDescent="0.25">
      <c r="C423" s="69"/>
      <c r="F423" s="167" t="str">
        <f>IF(ISBLANK(Inputs!A31),"",Inputs!A31)</f>
        <v/>
      </c>
      <c r="G423" s="167"/>
      <c r="H423" s="167" t="str">
        <f>IF(ISBLANK(Inputs!B31),"",Inputs!B31)</f>
        <v/>
      </c>
      <c r="I423" s="167"/>
      <c r="J423" s="168" t="str">
        <f>IF(ISBLANK(Inputs!G31),"",Inputs!G31)</f>
        <v/>
      </c>
      <c r="K423" s="168"/>
      <c r="L423" s="168"/>
      <c r="M423" s="168" t="str">
        <f>IF(ISBLANK(Inputs!D31),"",Inputs!D31)</f>
        <v/>
      </c>
      <c r="N423" s="168"/>
      <c r="O423" s="168"/>
      <c r="P423" s="168" t="str">
        <f>IF(ISBLANK(Inputs!F31),"",Inputs!F31)</f>
        <v/>
      </c>
      <c r="Q423" s="168"/>
      <c r="R423" s="168"/>
      <c r="S423" s="168" t="str">
        <f>IF(ISBLANK(Inputs!H31),"",Inputs!H31)</f>
        <v/>
      </c>
      <c r="T423" s="168"/>
      <c r="U423" s="168"/>
      <c r="V423" s="168" t="str">
        <f>IF(ISBLANK(Inputs!E31),"",Inputs!E31)</f>
        <v/>
      </c>
      <c r="W423" s="168"/>
      <c r="X423" s="168"/>
      <c r="Y423" s="168" t="str">
        <f>IF(ISBLANK(Inputs!I31),"",Inputs!I31)</f>
        <v/>
      </c>
      <c r="Z423" s="168"/>
      <c r="AA423" s="168"/>
      <c r="AB423" s="168">
        <f>IF(ISBLANK(Inputs!J31),"",Inputs!J31)</f>
        <v>96</v>
      </c>
      <c r="AC423" s="168"/>
      <c r="AD423" s="168"/>
      <c r="AE423" s="167" t="str">
        <f>IF(ISBLANK(Inputs!A31),"",Y423)</f>
        <v/>
      </c>
      <c r="AF423" s="167"/>
      <c r="AG423" s="329" t="str">
        <f>IF(ISBLANK(Inputs!$A31),"",
IF(OR(AE423="Solved",AE423="--"),"--",
((Mat.Conc_Alpha.1*Mat.Conc_f.c*$AB423*MIN(AE423*Mat.Conc_Beta.1,$Y423))
+(Mat.Conc_Alpha.1*Mat.Conc_f.c*$V423*MAX(0,AE423*Mat.Conc_Beta.1-$Y423)))
-($J423*MIN(Mat.Rebar_f.y,(Mat.Rebar_epsilon.cl*($S423-AE423)/AE423)*Mat.PT_E.s))
-($M423*Mat.PT_f.pu*(1-Mat.PT_k*AE423/$P423))))</f>
        <v/>
      </c>
      <c r="AH423" s="329"/>
      <c r="AI423" s="167" t="str">
        <f>IF(ISBLANK(Inputs!$A31),"",
IF(ABS(AG423)&lt;=0.001,"Solved",IF(AG423&gt;0,0.85*AE423,1.15*AE423)))</f>
        <v/>
      </c>
      <c r="AJ423" s="167"/>
      <c r="AK423" s="329" t="str">
        <f>IF(ISBLANK(Inputs!$A31),"",
IF(OR(AI423="Solved",AI423="--"),"--",
((Mat.Conc_Alpha.1*Mat.Conc_f.c*$AB423*MIN(AI423*Mat.Conc_Beta.1,$Y423))
+(Mat.Conc_Alpha.1*Mat.Conc_f.c*$V423*MAX(0,AI423*Mat.Conc_Beta.1-$Y423)))
-($J423*MIN(Mat.Rebar_f.y,(Mat.Rebar_epsilon.cl*($S423-AI423)/AI423)*Mat.PT_E.s))
-($M423*Mat.PT_f.pu*(1-Mat.PT_k*AI423/$P423))))</f>
        <v/>
      </c>
      <c r="AL423" s="329"/>
      <c r="AM423" s="167" t="str">
        <f>IF(ISBLANK(Inputs!$A31),"",
IF(AK423="--","Solved",
IF(ABS(AK423)&lt;=0.001,"Solved",AI423-AK423*(AI423-AE423)/(AK423-AG423))))</f>
        <v/>
      </c>
      <c r="AN423" s="167"/>
      <c r="AO423" s="329" t="str">
        <f>IF(ISBLANK(Inputs!$A31),"",
IF(OR(AM423="Solved",AM423="--"),"--",
((Mat.Conc_Alpha.1*Mat.Conc_f.c*$AB423*MIN(AM423*Mat.Conc_Beta.1,$Y423))
+(Mat.Conc_Alpha.1*Mat.Conc_f.c*$V423*MAX(0,AM423*Mat.Conc_Beta.1-$Y423)))
-($J423*MIN(Mat.Rebar_f.y,(Mat.Rebar_epsilon.cl*($S423-AM423)/AM423)*Mat.PT_E.s))
-($M423*Mat.PT_f.pu*(1-Mat.PT_k*AM423/$P423))))</f>
        <v/>
      </c>
      <c r="AP423" s="329"/>
      <c r="AQ423" s="167" t="str">
        <f>IF(ISBLANK(Inputs!$A31),"",
IF(AO423="--","Solved",
IF(ABS(AO423)&lt;=0.001,"Solved",AM423-AO423*(AM423-AI423)/(AO423-AK423))))</f>
        <v/>
      </c>
      <c r="AR423" s="167"/>
      <c r="AS423" s="329" t="str">
        <f>IF(ISBLANK(Inputs!$A31),"",
IF(OR(AQ423="Solved",AQ423="--"),"--",
((Mat.Conc_Alpha.1*Mat.Conc_f.c*$AB423*MIN(AQ423*Mat.Conc_Beta.1,$Y423))
+(Mat.Conc_Alpha.1*Mat.Conc_f.c*$V423*MAX(0,AQ423*Mat.Conc_Beta.1-$Y423)))
-($J423*MIN(Mat.Rebar_f.y,(Mat.Rebar_epsilon.cl*($S423-AQ423)/AQ423)*Mat.PT_E.s))
-($M423*Mat.PT_f.pu*(1-Mat.PT_k*AQ423/$P423))))</f>
        <v/>
      </c>
      <c r="AT423" s="329"/>
      <c r="AU423" s="167" t="str">
        <f>IF(ISBLANK(Inputs!$A31),"",
IF(AS423="--","Solved",
IF(ABS(AS423)&lt;=0.001,"Solved",AQ423-AS423*(AQ423-AM423)/(AS423-AO423))))</f>
        <v/>
      </c>
      <c r="AV423" s="167"/>
      <c r="AW423" s="329" t="str">
        <f>IF(ISBLANK(Inputs!$A31),"",
IF(OR(AU423="Solved",AU423="--"),"--",
((Mat.Conc_Alpha.1*Mat.Conc_f.c*$AB423*MIN(AU423*Mat.Conc_Beta.1,$Y423))
+(Mat.Conc_Alpha.1*Mat.Conc_f.c*$V423*MAX(0,AU423*Mat.Conc_Beta.1-$Y423)))
-($J423*MIN(Mat.Rebar_f.y,(Mat.Rebar_epsilon.cl*($S423-AU423)/AU423)*Mat.PT_E.s))
-($M423*Mat.PT_f.pu*(1-Mat.PT_k*AU423/$P423))))</f>
        <v/>
      </c>
      <c r="AX423" s="329"/>
      <c r="AY423" s="167" t="str">
        <f>IF(ISBLANK(Inputs!$A31),"",
IF(AW423="--","Solved",
IF(ABS(AW423)&lt;=0.001,"Solved",AU423-AW423*(AU423-AQ423)/(AW423-AS423))))</f>
        <v/>
      </c>
      <c r="AZ423" s="167"/>
      <c r="BA423" s="329" t="str">
        <f>IF(ISBLANK(Inputs!$A31),"",
IF(OR(AY423="Solved",AY423="--"),"--",
((Mat.Conc_Alpha.1*Mat.Conc_f.c*$AB423*MIN(AY423*Mat.Conc_Beta.1,$Y423))
+(Mat.Conc_Alpha.1*Mat.Conc_f.c*$V423*MAX(0,AY423*Mat.Conc_Beta.1-$Y423)))
-($J423*MIN(Mat.Rebar_f.y,(Mat.Rebar_epsilon.cl*($S423-AY423)/AY423)*Mat.PT_E.s))
-($M423*Mat.PT_f.pu*(1-Mat.PT_k*AY423/$P423))))</f>
        <v/>
      </c>
      <c r="BB423" s="329"/>
      <c r="BC423" s="167" t="str">
        <f>IF(ISBLANK(Inputs!$A31),"",
IF(BA423="--","Solved",
IF(ABS(BA423)&lt;=0.001,"Solved",AY423-BA423*(AY423-AU423)/(BA423-AW423))))</f>
        <v/>
      </c>
      <c r="BD423" s="167"/>
      <c r="BE423" s="329" t="str">
        <f>IF(ISBLANK(Inputs!$A31),"",
IF(OR(BC423="Solved",BC423="--"),"--",
((Mat.Conc_Alpha.1*Mat.Conc_f.c*$AB423*MIN(BC423*Mat.Conc_Beta.1,$Y423))
+(Mat.Conc_Alpha.1*Mat.Conc_f.c*$V423*MAX(0,BC423*Mat.Conc_Beta.1-$Y423)))
-($J423*MIN(Mat.Rebar_f.y,(Mat.Rebar_epsilon.cl*($S423-BC423)/BC423)*Mat.PT_E.s))
-($M423*Mat.PT_f.pu*(1-Mat.PT_k*BC423/$P423))))</f>
        <v/>
      </c>
      <c r="BF423" s="329"/>
      <c r="BG423" s="167" t="str">
        <f>IF(ISBLANK(Inputs!$A31),"",
IF(BE423="--","Solved",
IF(ABS(BE423)&lt;=0.001,"Solved",BC423-BE423*(BC423-AY423)/(BE423-BA423))))</f>
        <v/>
      </c>
      <c r="BH423" s="167"/>
      <c r="BI423" s="329" t="str">
        <f>IF(ISBLANK(Inputs!$A31),"",
IF(OR(BG423="Solved",BG423="--"),"--",
((Mat.Conc_Alpha.1*Mat.Conc_f.c*$AB423*MIN(BG423*Mat.Conc_Beta.1,$Y423))
+(Mat.Conc_Alpha.1*Mat.Conc_f.c*$V423*MAX(0,BG423*Mat.Conc_Beta.1-$Y423)))
-($J423*MIN(Mat.Rebar_f.y,(Mat.Rebar_epsilon.cl*($S423-BG423)/BG423)*Mat.PT_E.s))
-($M423*Mat.PT_f.pu*(1-Mat.PT_k*BG423/$P423))))</f>
        <v/>
      </c>
      <c r="BJ423" s="329"/>
      <c r="BK423" s="167" t="str">
        <f>IF(ISBLANK(Inputs!$A31),"",
IF(BI423="--","Solved",
IF(ABS(BI423)&lt;=0.001,"Solved",BG423-BI423*(BG423-BC423)/(BI423-BE423))))</f>
        <v/>
      </c>
      <c r="BL423" s="167"/>
      <c r="BM423" s="329" t="str">
        <f>IF(ISBLANK(Inputs!$A31),"",
IF(OR(BK423="Solved",BK423="--"),"--",
((Mat.Conc_Alpha.1*Mat.Conc_f.c*$AB423*MIN(BK423*Mat.Conc_Beta.1,$Y423))
+(Mat.Conc_Alpha.1*Mat.Conc_f.c*$V423*MAX(0,BK423*Mat.Conc_Beta.1-$Y423)))
-($J423*MIN(Mat.Rebar_f.y,(Mat.Rebar_epsilon.cl*($S423-BK423)/BK423)*Mat.PT_E.s))
-($M423*Mat.PT_f.pu*(1-Mat.PT_k*BK423/$P423))))</f>
        <v/>
      </c>
      <c r="BN423" s="329"/>
      <c r="BO423" s="167" t="str">
        <f>IF(ISBLANK(Inputs!$A31),"",
IF(BM423="--","Solved",
IF(ABS(BM423)&lt;=0.001,"Solved",BK423-BM423*(BK423-BG423)/(BM423-BI423))))</f>
        <v/>
      </c>
      <c r="BP423" s="167"/>
      <c r="BQ423" s="329" t="str">
        <f>IF(ISBLANK(Inputs!$A31),"",
IF(OR(BO423="Solved",BO423="--"),"--",
((Mat.Conc_Alpha.1*Mat.Conc_f.c*$AB423*MIN(BO423*Mat.Conc_Beta.1,$Y423))
+(Mat.Conc_Alpha.1*Mat.Conc_f.c*$V423*MAX(0,BO423*Mat.Conc_Beta.1-$Y423)))
-($J423*MIN(Mat.Rebar_f.y,(Mat.Rebar_epsilon.cl*($S423-BO423)/BO423)*Mat.PT_E.s))
-($M423*Mat.PT_f.pu*(1-Mat.PT_k*BO423/$P423))))</f>
        <v/>
      </c>
      <c r="BR423" s="329"/>
      <c r="BT423" s="98"/>
      <c r="BU423" s="70"/>
      <c r="BV423" s="70"/>
      <c r="BW423" s="8"/>
      <c r="BX423" s="8"/>
      <c r="BY423" s="8"/>
      <c r="BZ423" s="8"/>
      <c r="CA423" s="8"/>
      <c r="CB423" s="10"/>
    </row>
    <row r="424" spans="3:80" ht="15" customHeight="1" x14ac:dyDescent="0.25">
      <c r="C424" s="69"/>
      <c r="F424" s="167" t="str">
        <f>IF(ISBLANK(Inputs!A32),"",Inputs!A32)</f>
        <v/>
      </c>
      <c r="G424" s="167"/>
      <c r="H424" s="167" t="str">
        <f>IF(ISBLANK(Inputs!B32),"",Inputs!B32)</f>
        <v/>
      </c>
      <c r="I424" s="167"/>
      <c r="J424" s="168" t="str">
        <f>IF(ISBLANK(Inputs!G32),"",Inputs!G32)</f>
        <v/>
      </c>
      <c r="K424" s="168"/>
      <c r="L424" s="168"/>
      <c r="M424" s="168" t="str">
        <f>IF(ISBLANK(Inputs!D32),"",Inputs!D32)</f>
        <v/>
      </c>
      <c r="N424" s="168"/>
      <c r="O424" s="168"/>
      <c r="P424" s="168" t="str">
        <f>IF(ISBLANK(Inputs!F32),"",Inputs!F32)</f>
        <v/>
      </c>
      <c r="Q424" s="168"/>
      <c r="R424" s="168"/>
      <c r="S424" s="168" t="str">
        <f>IF(ISBLANK(Inputs!H32),"",Inputs!H32)</f>
        <v/>
      </c>
      <c r="T424" s="168"/>
      <c r="U424" s="168"/>
      <c r="V424" s="168" t="str">
        <f>IF(ISBLANK(Inputs!E32),"",Inputs!E32)</f>
        <v/>
      </c>
      <c r="W424" s="168"/>
      <c r="X424" s="168"/>
      <c r="Y424" s="168" t="str">
        <f>IF(ISBLANK(Inputs!I32),"",Inputs!I32)</f>
        <v/>
      </c>
      <c r="Z424" s="168"/>
      <c r="AA424" s="168"/>
      <c r="AB424" s="168">
        <f>IF(ISBLANK(Inputs!J32),"",Inputs!J32)</f>
        <v>96</v>
      </c>
      <c r="AC424" s="168"/>
      <c r="AD424" s="168"/>
      <c r="AE424" s="167" t="str">
        <f>IF(ISBLANK(Inputs!A32),"",Y424)</f>
        <v/>
      </c>
      <c r="AF424" s="167"/>
      <c r="AG424" s="329" t="str">
        <f>IF(ISBLANK(Inputs!$A32),"",
IF(OR(AE424="Solved",AE424="--"),"--",
((Mat.Conc_Alpha.1*Mat.Conc_f.c*$AB424*MIN(AE424*Mat.Conc_Beta.1,$Y424))
+(Mat.Conc_Alpha.1*Mat.Conc_f.c*$V424*MAX(0,AE424*Mat.Conc_Beta.1-$Y424)))
-($J424*MIN(Mat.Rebar_f.y,(Mat.Rebar_epsilon.cl*($S424-AE424)/AE424)*Mat.PT_E.s))
-($M424*Mat.PT_f.pu*(1-Mat.PT_k*AE424/$P424))))</f>
        <v/>
      </c>
      <c r="AH424" s="329"/>
      <c r="AI424" s="167" t="str">
        <f>IF(ISBLANK(Inputs!$A32),"",
IF(ABS(AG424)&lt;=0.001,"Solved",IF(AG424&gt;0,0.85*AE424,1.15*AE424)))</f>
        <v/>
      </c>
      <c r="AJ424" s="167"/>
      <c r="AK424" s="329" t="str">
        <f>IF(ISBLANK(Inputs!$A32),"",
IF(OR(AI424="Solved",AI424="--"),"--",
((Mat.Conc_Alpha.1*Mat.Conc_f.c*$AB424*MIN(AI424*Mat.Conc_Beta.1,$Y424))
+(Mat.Conc_Alpha.1*Mat.Conc_f.c*$V424*MAX(0,AI424*Mat.Conc_Beta.1-$Y424)))
-($J424*MIN(Mat.Rebar_f.y,(Mat.Rebar_epsilon.cl*($S424-AI424)/AI424)*Mat.PT_E.s))
-($M424*Mat.PT_f.pu*(1-Mat.PT_k*AI424/$P424))))</f>
        <v/>
      </c>
      <c r="AL424" s="329"/>
      <c r="AM424" s="167" t="str">
        <f>IF(ISBLANK(Inputs!$A32),"",
IF(AK424="--","Solved",
IF(ABS(AK424)&lt;=0.001,"Solved",AI424-AK424*(AI424-AE424)/(AK424-AG424))))</f>
        <v/>
      </c>
      <c r="AN424" s="167"/>
      <c r="AO424" s="329" t="str">
        <f>IF(ISBLANK(Inputs!$A32),"",
IF(OR(AM424="Solved",AM424="--"),"--",
((Mat.Conc_Alpha.1*Mat.Conc_f.c*$AB424*MIN(AM424*Mat.Conc_Beta.1,$Y424))
+(Mat.Conc_Alpha.1*Mat.Conc_f.c*$V424*MAX(0,AM424*Mat.Conc_Beta.1-$Y424)))
-($J424*MIN(Mat.Rebar_f.y,(Mat.Rebar_epsilon.cl*($S424-AM424)/AM424)*Mat.PT_E.s))
-($M424*Mat.PT_f.pu*(1-Mat.PT_k*AM424/$P424))))</f>
        <v/>
      </c>
      <c r="AP424" s="329"/>
      <c r="AQ424" s="167" t="str">
        <f>IF(ISBLANK(Inputs!$A32),"",
IF(AO424="--","Solved",
IF(ABS(AO424)&lt;=0.001,"Solved",AM424-AO424*(AM424-AI424)/(AO424-AK424))))</f>
        <v/>
      </c>
      <c r="AR424" s="167"/>
      <c r="AS424" s="329" t="str">
        <f>IF(ISBLANK(Inputs!$A32),"",
IF(OR(AQ424="Solved",AQ424="--"),"--",
((Mat.Conc_Alpha.1*Mat.Conc_f.c*$AB424*MIN(AQ424*Mat.Conc_Beta.1,$Y424))
+(Mat.Conc_Alpha.1*Mat.Conc_f.c*$V424*MAX(0,AQ424*Mat.Conc_Beta.1-$Y424)))
-($J424*MIN(Mat.Rebar_f.y,(Mat.Rebar_epsilon.cl*($S424-AQ424)/AQ424)*Mat.PT_E.s))
-($M424*Mat.PT_f.pu*(1-Mat.PT_k*AQ424/$P424))))</f>
        <v/>
      </c>
      <c r="AT424" s="329"/>
      <c r="AU424" s="167" t="str">
        <f>IF(ISBLANK(Inputs!$A32),"",
IF(AS424="--","Solved",
IF(ABS(AS424)&lt;=0.001,"Solved",AQ424-AS424*(AQ424-AM424)/(AS424-AO424))))</f>
        <v/>
      </c>
      <c r="AV424" s="167"/>
      <c r="AW424" s="329" t="str">
        <f>IF(ISBLANK(Inputs!$A32),"",
IF(OR(AU424="Solved",AU424="--"),"--",
((Mat.Conc_Alpha.1*Mat.Conc_f.c*$AB424*MIN(AU424*Mat.Conc_Beta.1,$Y424))
+(Mat.Conc_Alpha.1*Mat.Conc_f.c*$V424*MAX(0,AU424*Mat.Conc_Beta.1-$Y424)))
-($J424*MIN(Mat.Rebar_f.y,(Mat.Rebar_epsilon.cl*($S424-AU424)/AU424)*Mat.PT_E.s))
-($M424*Mat.PT_f.pu*(1-Mat.PT_k*AU424/$P424))))</f>
        <v/>
      </c>
      <c r="AX424" s="329"/>
      <c r="AY424" s="167" t="str">
        <f>IF(ISBLANK(Inputs!$A32),"",
IF(AW424="--","Solved",
IF(ABS(AW424)&lt;=0.001,"Solved",AU424-AW424*(AU424-AQ424)/(AW424-AS424))))</f>
        <v/>
      </c>
      <c r="AZ424" s="167"/>
      <c r="BA424" s="329" t="str">
        <f>IF(ISBLANK(Inputs!$A32),"",
IF(OR(AY424="Solved",AY424="--"),"--",
((Mat.Conc_Alpha.1*Mat.Conc_f.c*$AB424*MIN(AY424*Mat.Conc_Beta.1,$Y424))
+(Mat.Conc_Alpha.1*Mat.Conc_f.c*$V424*MAX(0,AY424*Mat.Conc_Beta.1-$Y424)))
-($J424*MIN(Mat.Rebar_f.y,(Mat.Rebar_epsilon.cl*($S424-AY424)/AY424)*Mat.PT_E.s))
-($M424*Mat.PT_f.pu*(1-Mat.PT_k*AY424/$P424))))</f>
        <v/>
      </c>
      <c r="BB424" s="329"/>
      <c r="BC424" s="167" t="str">
        <f>IF(ISBLANK(Inputs!$A32),"",
IF(BA424="--","Solved",
IF(ABS(BA424)&lt;=0.001,"Solved",AY424-BA424*(AY424-AU424)/(BA424-AW424))))</f>
        <v/>
      </c>
      <c r="BD424" s="167"/>
      <c r="BE424" s="329" t="str">
        <f>IF(ISBLANK(Inputs!$A32),"",
IF(OR(BC424="Solved",BC424="--"),"--",
((Mat.Conc_Alpha.1*Mat.Conc_f.c*$AB424*MIN(BC424*Mat.Conc_Beta.1,$Y424))
+(Mat.Conc_Alpha.1*Mat.Conc_f.c*$V424*MAX(0,BC424*Mat.Conc_Beta.1-$Y424)))
-($J424*MIN(Mat.Rebar_f.y,(Mat.Rebar_epsilon.cl*($S424-BC424)/BC424)*Mat.PT_E.s))
-($M424*Mat.PT_f.pu*(1-Mat.PT_k*BC424/$P424))))</f>
        <v/>
      </c>
      <c r="BF424" s="329"/>
      <c r="BG424" s="167" t="str">
        <f>IF(ISBLANK(Inputs!$A32),"",
IF(BE424="--","Solved",
IF(ABS(BE424)&lt;=0.001,"Solved",BC424-BE424*(BC424-AY424)/(BE424-BA424))))</f>
        <v/>
      </c>
      <c r="BH424" s="167"/>
      <c r="BI424" s="329" t="str">
        <f>IF(ISBLANK(Inputs!$A32),"",
IF(OR(BG424="Solved",BG424="--"),"--",
((Mat.Conc_Alpha.1*Mat.Conc_f.c*$AB424*MIN(BG424*Mat.Conc_Beta.1,$Y424))
+(Mat.Conc_Alpha.1*Mat.Conc_f.c*$V424*MAX(0,BG424*Mat.Conc_Beta.1-$Y424)))
-($J424*MIN(Mat.Rebar_f.y,(Mat.Rebar_epsilon.cl*($S424-BG424)/BG424)*Mat.PT_E.s))
-($M424*Mat.PT_f.pu*(1-Mat.PT_k*BG424/$P424))))</f>
        <v/>
      </c>
      <c r="BJ424" s="329"/>
      <c r="BK424" s="167" t="str">
        <f>IF(ISBLANK(Inputs!$A32),"",
IF(BI424="--","Solved",
IF(ABS(BI424)&lt;=0.001,"Solved",BG424-BI424*(BG424-BC424)/(BI424-BE424))))</f>
        <v/>
      </c>
      <c r="BL424" s="167"/>
      <c r="BM424" s="329" t="str">
        <f>IF(ISBLANK(Inputs!$A32),"",
IF(OR(BK424="Solved",BK424="--"),"--",
((Mat.Conc_Alpha.1*Mat.Conc_f.c*$AB424*MIN(BK424*Mat.Conc_Beta.1,$Y424))
+(Mat.Conc_Alpha.1*Mat.Conc_f.c*$V424*MAX(0,BK424*Mat.Conc_Beta.1-$Y424)))
-($J424*MIN(Mat.Rebar_f.y,(Mat.Rebar_epsilon.cl*($S424-BK424)/BK424)*Mat.PT_E.s))
-($M424*Mat.PT_f.pu*(1-Mat.PT_k*BK424/$P424))))</f>
        <v/>
      </c>
      <c r="BN424" s="329"/>
      <c r="BO424" s="167" t="str">
        <f>IF(ISBLANK(Inputs!$A32),"",
IF(BM424="--","Solved",
IF(ABS(BM424)&lt;=0.001,"Solved",BK424-BM424*(BK424-BG424)/(BM424-BI424))))</f>
        <v/>
      </c>
      <c r="BP424" s="167"/>
      <c r="BQ424" s="329" t="str">
        <f>IF(ISBLANK(Inputs!$A32),"",
IF(OR(BO424="Solved",BO424="--"),"--",
((Mat.Conc_Alpha.1*Mat.Conc_f.c*$AB424*MIN(BO424*Mat.Conc_Beta.1,$Y424))
+(Mat.Conc_Alpha.1*Mat.Conc_f.c*$V424*MAX(0,BO424*Mat.Conc_Beta.1-$Y424)))
-($J424*MIN(Mat.Rebar_f.y,(Mat.Rebar_epsilon.cl*($S424-BO424)/BO424)*Mat.PT_E.s))
-($M424*Mat.PT_f.pu*(1-Mat.PT_k*BO424/$P424))))</f>
        <v/>
      </c>
      <c r="BR424" s="329"/>
      <c r="BT424" s="98"/>
      <c r="BU424" s="70"/>
      <c r="BV424" s="70"/>
      <c r="BW424" s="8"/>
      <c r="BX424" s="8"/>
      <c r="BY424" s="8"/>
      <c r="BZ424" s="8"/>
      <c r="CA424" s="8"/>
      <c r="CB424" s="10"/>
    </row>
    <row r="425" spans="3:80" ht="15" customHeight="1" x14ac:dyDescent="0.25">
      <c r="C425" s="69"/>
      <c r="F425" s="167" t="str">
        <f>IF(ISBLANK(Inputs!A33),"",Inputs!A33)</f>
        <v/>
      </c>
      <c r="G425" s="167"/>
      <c r="H425" s="167" t="str">
        <f>IF(ISBLANK(Inputs!B33),"",Inputs!B33)</f>
        <v/>
      </c>
      <c r="I425" s="167"/>
      <c r="J425" s="168" t="str">
        <f>IF(ISBLANK(Inputs!G33),"",Inputs!G33)</f>
        <v/>
      </c>
      <c r="K425" s="168"/>
      <c r="L425" s="168"/>
      <c r="M425" s="168" t="str">
        <f>IF(ISBLANK(Inputs!D33),"",Inputs!D33)</f>
        <v/>
      </c>
      <c r="N425" s="168"/>
      <c r="O425" s="168"/>
      <c r="P425" s="168" t="str">
        <f>IF(ISBLANK(Inputs!F33),"",Inputs!F33)</f>
        <v/>
      </c>
      <c r="Q425" s="168"/>
      <c r="R425" s="168"/>
      <c r="S425" s="168" t="str">
        <f>IF(ISBLANK(Inputs!H33),"",Inputs!H33)</f>
        <v/>
      </c>
      <c r="T425" s="168"/>
      <c r="U425" s="168"/>
      <c r="V425" s="168" t="str">
        <f>IF(ISBLANK(Inputs!E33),"",Inputs!E33)</f>
        <v/>
      </c>
      <c r="W425" s="168"/>
      <c r="X425" s="168"/>
      <c r="Y425" s="168" t="str">
        <f>IF(ISBLANK(Inputs!I33),"",Inputs!I33)</f>
        <v/>
      </c>
      <c r="Z425" s="168"/>
      <c r="AA425" s="168"/>
      <c r="AB425" s="168">
        <f>IF(ISBLANK(Inputs!J33),"",Inputs!J33)</f>
        <v>96</v>
      </c>
      <c r="AC425" s="168"/>
      <c r="AD425" s="168"/>
      <c r="AE425" s="167" t="str">
        <f>IF(ISBLANK(Inputs!A33),"",Y425)</f>
        <v/>
      </c>
      <c r="AF425" s="167"/>
      <c r="AG425" s="329" t="str">
        <f>IF(ISBLANK(Inputs!$A33),"",
IF(OR(AE425="Solved",AE425="--"),"--",
((Mat.Conc_Alpha.1*Mat.Conc_f.c*$AB425*MIN(AE425*Mat.Conc_Beta.1,$Y425))
+(Mat.Conc_Alpha.1*Mat.Conc_f.c*$V425*MAX(0,AE425*Mat.Conc_Beta.1-$Y425)))
-($J425*MIN(Mat.Rebar_f.y,(Mat.Rebar_epsilon.cl*($S425-AE425)/AE425)*Mat.PT_E.s))
-($M425*Mat.PT_f.pu*(1-Mat.PT_k*AE425/$P425))))</f>
        <v/>
      </c>
      <c r="AH425" s="329"/>
      <c r="AI425" s="167" t="str">
        <f>IF(ISBLANK(Inputs!$A33),"",
IF(ABS(AG425)&lt;=0.001,"Solved",IF(AG425&gt;0,0.85*AE425,1.15*AE425)))</f>
        <v/>
      </c>
      <c r="AJ425" s="167"/>
      <c r="AK425" s="329" t="str">
        <f>IF(ISBLANK(Inputs!$A33),"",
IF(OR(AI425="Solved",AI425="--"),"--",
((Mat.Conc_Alpha.1*Mat.Conc_f.c*$AB425*MIN(AI425*Mat.Conc_Beta.1,$Y425))
+(Mat.Conc_Alpha.1*Mat.Conc_f.c*$V425*MAX(0,AI425*Mat.Conc_Beta.1-$Y425)))
-($J425*MIN(Mat.Rebar_f.y,(Mat.Rebar_epsilon.cl*($S425-AI425)/AI425)*Mat.PT_E.s))
-($M425*Mat.PT_f.pu*(1-Mat.PT_k*AI425/$P425))))</f>
        <v/>
      </c>
      <c r="AL425" s="329"/>
      <c r="AM425" s="167" t="str">
        <f>IF(ISBLANK(Inputs!$A33),"",
IF(AK425="--","Solved",
IF(ABS(AK425)&lt;=0.001,"Solved",AI425-AK425*(AI425-AE425)/(AK425-AG425))))</f>
        <v/>
      </c>
      <c r="AN425" s="167"/>
      <c r="AO425" s="329" t="str">
        <f>IF(ISBLANK(Inputs!$A33),"",
IF(OR(AM425="Solved",AM425="--"),"--",
((Mat.Conc_Alpha.1*Mat.Conc_f.c*$AB425*MIN(AM425*Mat.Conc_Beta.1,$Y425))
+(Mat.Conc_Alpha.1*Mat.Conc_f.c*$V425*MAX(0,AM425*Mat.Conc_Beta.1-$Y425)))
-($J425*MIN(Mat.Rebar_f.y,(Mat.Rebar_epsilon.cl*($S425-AM425)/AM425)*Mat.PT_E.s))
-($M425*Mat.PT_f.pu*(1-Mat.PT_k*AM425/$P425))))</f>
        <v/>
      </c>
      <c r="AP425" s="329"/>
      <c r="AQ425" s="167" t="str">
        <f>IF(ISBLANK(Inputs!$A33),"",
IF(AO425="--","Solved",
IF(ABS(AO425)&lt;=0.001,"Solved",AM425-AO425*(AM425-AI425)/(AO425-AK425))))</f>
        <v/>
      </c>
      <c r="AR425" s="167"/>
      <c r="AS425" s="329" t="str">
        <f>IF(ISBLANK(Inputs!$A33),"",
IF(OR(AQ425="Solved",AQ425="--"),"--",
((Mat.Conc_Alpha.1*Mat.Conc_f.c*$AB425*MIN(AQ425*Mat.Conc_Beta.1,$Y425))
+(Mat.Conc_Alpha.1*Mat.Conc_f.c*$V425*MAX(0,AQ425*Mat.Conc_Beta.1-$Y425)))
-($J425*MIN(Mat.Rebar_f.y,(Mat.Rebar_epsilon.cl*($S425-AQ425)/AQ425)*Mat.PT_E.s))
-($M425*Mat.PT_f.pu*(1-Mat.PT_k*AQ425/$P425))))</f>
        <v/>
      </c>
      <c r="AT425" s="329"/>
      <c r="AU425" s="167" t="str">
        <f>IF(ISBLANK(Inputs!$A33),"",
IF(AS425="--","Solved",
IF(ABS(AS425)&lt;=0.001,"Solved",AQ425-AS425*(AQ425-AM425)/(AS425-AO425))))</f>
        <v/>
      </c>
      <c r="AV425" s="167"/>
      <c r="AW425" s="329" t="str">
        <f>IF(ISBLANK(Inputs!$A33),"",
IF(OR(AU425="Solved",AU425="--"),"--",
((Mat.Conc_Alpha.1*Mat.Conc_f.c*$AB425*MIN(AU425*Mat.Conc_Beta.1,$Y425))
+(Mat.Conc_Alpha.1*Mat.Conc_f.c*$V425*MAX(0,AU425*Mat.Conc_Beta.1-$Y425)))
-($J425*MIN(Mat.Rebar_f.y,(Mat.Rebar_epsilon.cl*($S425-AU425)/AU425)*Mat.PT_E.s))
-($M425*Mat.PT_f.pu*(1-Mat.PT_k*AU425/$P425))))</f>
        <v/>
      </c>
      <c r="AX425" s="329"/>
      <c r="AY425" s="167" t="str">
        <f>IF(ISBLANK(Inputs!$A33),"",
IF(AW425="--","Solved",
IF(ABS(AW425)&lt;=0.001,"Solved",AU425-AW425*(AU425-AQ425)/(AW425-AS425))))</f>
        <v/>
      </c>
      <c r="AZ425" s="167"/>
      <c r="BA425" s="329" t="str">
        <f>IF(ISBLANK(Inputs!$A33),"",
IF(OR(AY425="Solved",AY425="--"),"--",
((Mat.Conc_Alpha.1*Mat.Conc_f.c*$AB425*MIN(AY425*Mat.Conc_Beta.1,$Y425))
+(Mat.Conc_Alpha.1*Mat.Conc_f.c*$V425*MAX(0,AY425*Mat.Conc_Beta.1-$Y425)))
-($J425*MIN(Mat.Rebar_f.y,(Mat.Rebar_epsilon.cl*($S425-AY425)/AY425)*Mat.PT_E.s))
-($M425*Mat.PT_f.pu*(1-Mat.PT_k*AY425/$P425))))</f>
        <v/>
      </c>
      <c r="BB425" s="329"/>
      <c r="BC425" s="167" t="str">
        <f>IF(ISBLANK(Inputs!$A33),"",
IF(BA425="--","Solved",
IF(ABS(BA425)&lt;=0.001,"Solved",AY425-BA425*(AY425-AU425)/(BA425-AW425))))</f>
        <v/>
      </c>
      <c r="BD425" s="167"/>
      <c r="BE425" s="329" t="str">
        <f>IF(ISBLANK(Inputs!$A33),"",
IF(OR(BC425="Solved",BC425="--"),"--",
((Mat.Conc_Alpha.1*Mat.Conc_f.c*$AB425*MIN(BC425*Mat.Conc_Beta.1,$Y425))
+(Mat.Conc_Alpha.1*Mat.Conc_f.c*$V425*MAX(0,BC425*Mat.Conc_Beta.1-$Y425)))
-($J425*MIN(Mat.Rebar_f.y,(Mat.Rebar_epsilon.cl*($S425-BC425)/BC425)*Mat.PT_E.s))
-($M425*Mat.PT_f.pu*(1-Mat.PT_k*BC425/$P425))))</f>
        <v/>
      </c>
      <c r="BF425" s="329"/>
      <c r="BG425" s="167" t="str">
        <f>IF(ISBLANK(Inputs!$A33),"",
IF(BE425="--","Solved",
IF(ABS(BE425)&lt;=0.001,"Solved",BC425-BE425*(BC425-AY425)/(BE425-BA425))))</f>
        <v/>
      </c>
      <c r="BH425" s="167"/>
      <c r="BI425" s="329" t="str">
        <f>IF(ISBLANK(Inputs!$A33),"",
IF(OR(BG425="Solved",BG425="--"),"--",
((Mat.Conc_Alpha.1*Mat.Conc_f.c*$AB425*MIN(BG425*Mat.Conc_Beta.1,$Y425))
+(Mat.Conc_Alpha.1*Mat.Conc_f.c*$V425*MAX(0,BG425*Mat.Conc_Beta.1-$Y425)))
-($J425*MIN(Mat.Rebar_f.y,(Mat.Rebar_epsilon.cl*($S425-BG425)/BG425)*Mat.PT_E.s))
-($M425*Mat.PT_f.pu*(1-Mat.PT_k*BG425/$P425))))</f>
        <v/>
      </c>
      <c r="BJ425" s="329"/>
      <c r="BK425" s="167" t="str">
        <f>IF(ISBLANK(Inputs!$A33),"",
IF(BI425="--","Solved",
IF(ABS(BI425)&lt;=0.001,"Solved",BG425-BI425*(BG425-BC425)/(BI425-BE425))))</f>
        <v/>
      </c>
      <c r="BL425" s="167"/>
      <c r="BM425" s="329" t="str">
        <f>IF(ISBLANK(Inputs!$A33),"",
IF(OR(BK425="Solved",BK425="--"),"--",
((Mat.Conc_Alpha.1*Mat.Conc_f.c*$AB425*MIN(BK425*Mat.Conc_Beta.1,$Y425))
+(Mat.Conc_Alpha.1*Mat.Conc_f.c*$V425*MAX(0,BK425*Mat.Conc_Beta.1-$Y425)))
-($J425*MIN(Mat.Rebar_f.y,(Mat.Rebar_epsilon.cl*($S425-BK425)/BK425)*Mat.PT_E.s))
-($M425*Mat.PT_f.pu*(1-Mat.PT_k*BK425/$P425))))</f>
        <v/>
      </c>
      <c r="BN425" s="329"/>
      <c r="BO425" s="167" t="str">
        <f>IF(ISBLANK(Inputs!$A33),"",
IF(BM425="--","Solved",
IF(ABS(BM425)&lt;=0.001,"Solved",BK425-BM425*(BK425-BG425)/(BM425-BI425))))</f>
        <v/>
      </c>
      <c r="BP425" s="167"/>
      <c r="BQ425" s="329" t="str">
        <f>IF(ISBLANK(Inputs!$A33),"",
IF(OR(BO425="Solved",BO425="--"),"--",
((Mat.Conc_Alpha.1*Mat.Conc_f.c*$AB425*MIN(BO425*Mat.Conc_Beta.1,$Y425))
+(Mat.Conc_Alpha.1*Mat.Conc_f.c*$V425*MAX(0,BO425*Mat.Conc_Beta.1-$Y425)))
-($J425*MIN(Mat.Rebar_f.y,(Mat.Rebar_epsilon.cl*($S425-BO425)/BO425)*Mat.PT_E.s))
-($M425*Mat.PT_f.pu*(1-Mat.PT_k*BO425/$P425))))</f>
        <v/>
      </c>
      <c r="BR425" s="329"/>
      <c r="BT425" s="98"/>
      <c r="BU425" s="70"/>
      <c r="BV425" s="70"/>
      <c r="BW425" s="8"/>
      <c r="BX425" s="8"/>
      <c r="BY425" s="8"/>
      <c r="BZ425" s="8"/>
      <c r="CA425" s="8"/>
      <c r="CB425" s="10"/>
    </row>
    <row r="426" spans="3:80" ht="15" customHeight="1" x14ac:dyDescent="0.25">
      <c r="C426" s="69"/>
      <c r="F426" s="167" t="str">
        <f>IF(ISBLANK(Inputs!A34),"",Inputs!A34)</f>
        <v/>
      </c>
      <c r="G426" s="167"/>
      <c r="H426" s="167" t="str">
        <f>IF(ISBLANK(Inputs!B34),"",Inputs!B34)</f>
        <v/>
      </c>
      <c r="I426" s="167"/>
      <c r="J426" s="168" t="str">
        <f>IF(ISBLANK(Inputs!G34),"",Inputs!G34)</f>
        <v/>
      </c>
      <c r="K426" s="168"/>
      <c r="L426" s="168"/>
      <c r="M426" s="168" t="str">
        <f>IF(ISBLANK(Inputs!D34),"",Inputs!D34)</f>
        <v/>
      </c>
      <c r="N426" s="168"/>
      <c r="O426" s="168"/>
      <c r="P426" s="168" t="str">
        <f>IF(ISBLANK(Inputs!F34),"",Inputs!F34)</f>
        <v/>
      </c>
      <c r="Q426" s="168"/>
      <c r="R426" s="168"/>
      <c r="S426" s="168" t="str">
        <f>IF(ISBLANK(Inputs!H34),"",Inputs!H34)</f>
        <v/>
      </c>
      <c r="T426" s="168"/>
      <c r="U426" s="168"/>
      <c r="V426" s="168" t="str">
        <f>IF(ISBLANK(Inputs!E34),"",Inputs!E34)</f>
        <v/>
      </c>
      <c r="W426" s="168"/>
      <c r="X426" s="168"/>
      <c r="Y426" s="168" t="str">
        <f>IF(ISBLANK(Inputs!I34),"",Inputs!I34)</f>
        <v/>
      </c>
      <c r="Z426" s="168"/>
      <c r="AA426" s="168"/>
      <c r="AB426" s="168">
        <f>IF(ISBLANK(Inputs!J34),"",Inputs!J34)</f>
        <v>96</v>
      </c>
      <c r="AC426" s="168"/>
      <c r="AD426" s="168"/>
      <c r="AE426" s="167" t="str">
        <f>IF(ISBLANK(Inputs!A34),"",Y426)</f>
        <v/>
      </c>
      <c r="AF426" s="167"/>
      <c r="AG426" s="329" t="str">
        <f>IF(ISBLANK(Inputs!$A34),"",
IF(OR(AE426="Solved",AE426="--"),"--",
((Mat.Conc_Alpha.1*Mat.Conc_f.c*$AB426*MIN(AE426*Mat.Conc_Beta.1,$Y426))
+(Mat.Conc_Alpha.1*Mat.Conc_f.c*$V426*MAX(0,AE426*Mat.Conc_Beta.1-$Y426)))
-($J426*MIN(Mat.Rebar_f.y,(Mat.Rebar_epsilon.cl*($S426-AE426)/AE426)*Mat.PT_E.s))
-($M426*Mat.PT_f.pu*(1-Mat.PT_k*AE426/$P426))))</f>
        <v/>
      </c>
      <c r="AH426" s="329"/>
      <c r="AI426" s="167" t="str">
        <f>IF(ISBLANK(Inputs!$A34),"",
IF(ABS(AG426)&lt;=0.001,"Solved",IF(AG426&gt;0,0.85*AE426,1.15*AE426)))</f>
        <v/>
      </c>
      <c r="AJ426" s="167"/>
      <c r="AK426" s="329" t="str">
        <f>IF(ISBLANK(Inputs!$A34),"",
IF(OR(AI426="Solved",AI426="--"),"--",
((Mat.Conc_Alpha.1*Mat.Conc_f.c*$AB426*MIN(AI426*Mat.Conc_Beta.1,$Y426))
+(Mat.Conc_Alpha.1*Mat.Conc_f.c*$V426*MAX(0,AI426*Mat.Conc_Beta.1-$Y426)))
-($J426*MIN(Mat.Rebar_f.y,(Mat.Rebar_epsilon.cl*($S426-AI426)/AI426)*Mat.PT_E.s))
-($M426*Mat.PT_f.pu*(1-Mat.PT_k*AI426/$P426))))</f>
        <v/>
      </c>
      <c r="AL426" s="329"/>
      <c r="AM426" s="167" t="str">
        <f>IF(ISBLANK(Inputs!$A34),"",
IF(AK426="--","Solved",
IF(ABS(AK426)&lt;=0.001,"Solved",AI426-AK426*(AI426-AE426)/(AK426-AG426))))</f>
        <v/>
      </c>
      <c r="AN426" s="167"/>
      <c r="AO426" s="329" t="str">
        <f>IF(ISBLANK(Inputs!$A34),"",
IF(OR(AM426="Solved",AM426="--"),"--",
((Mat.Conc_Alpha.1*Mat.Conc_f.c*$AB426*MIN(AM426*Mat.Conc_Beta.1,$Y426))
+(Mat.Conc_Alpha.1*Mat.Conc_f.c*$V426*MAX(0,AM426*Mat.Conc_Beta.1-$Y426)))
-($J426*MIN(Mat.Rebar_f.y,(Mat.Rebar_epsilon.cl*($S426-AM426)/AM426)*Mat.PT_E.s))
-($M426*Mat.PT_f.pu*(1-Mat.PT_k*AM426/$P426))))</f>
        <v/>
      </c>
      <c r="AP426" s="329"/>
      <c r="AQ426" s="167" t="str">
        <f>IF(ISBLANK(Inputs!$A34),"",
IF(AO426="--","Solved",
IF(ABS(AO426)&lt;=0.001,"Solved",AM426-AO426*(AM426-AI426)/(AO426-AK426))))</f>
        <v/>
      </c>
      <c r="AR426" s="167"/>
      <c r="AS426" s="329" t="str">
        <f>IF(ISBLANK(Inputs!$A34),"",
IF(OR(AQ426="Solved",AQ426="--"),"--",
((Mat.Conc_Alpha.1*Mat.Conc_f.c*$AB426*MIN(AQ426*Mat.Conc_Beta.1,$Y426))
+(Mat.Conc_Alpha.1*Mat.Conc_f.c*$V426*MAX(0,AQ426*Mat.Conc_Beta.1-$Y426)))
-($J426*MIN(Mat.Rebar_f.y,(Mat.Rebar_epsilon.cl*($S426-AQ426)/AQ426)*Mat.PT_E.s))
-($M426*Mat.PT_f.pu*(1-Mat.PT_k*AQ426/$P426))))</f>
        <v/>
      </c>
      <c r="AT426" s="329"/>
      <c r="AU426" s="167" t="str">
        <f>IF(ISBLANK(Inputs!$A34),"",
IF(AS426="--","Solved",
IF(ABS(AS426)&lt;=0.001,"Solved",AQ426-AS426*(AQ426-AM426)/(AS426-AO426))))</f>
        <v/>
      </c>
      <c r="AV426" s="167"/>
      <c r="AW426" s="329" t="str">
        <f>IF(ISBLANK(Inputs!$A34),"",
IF(OR(AU426="Solved",AU426="--"),"--",
((Mat.Conc_Alpha.1*Mat.Conc_f.c*$AB426*MIN(AU426*Mat.Conc_Beta.1,$Y426))
+(Mat.Conc_Alpha.1*Mat.Conc_f.c*$V426*MAX(0,AU426*Mat.Conc_Beta.1-$Y426)))
-($J426*MIN(Mat.Rebar_f.y,(Mat.Rebar_epsilon.cl*($S426-AU426)/AU426)*Mat.PT_E.s))
-($M426*Mat.PT_f.pu*(1-Mat.PT_k*AU426/$P426))))</f>
        <v/>
      </c>
      <c r="AX426" s="329"/>
      <c r="AY426" s="167" t="str">
        <f>IF(ISBLANK(Inputs!$A34),"",
IF(AW426="--","Solved",
IF(ABS(AW426)&lt;=0.001,"Solved",AU426-AW426*(AU426-AQ426)/(AW426-AS426))))</f>
        <v/>
      </c>
      <c r="AZ426" s="167"/>
      <c r="BA426" s="329" t="str">
        <f>IF(ISBLANK(Inputs!$A34),"",
IF(OR(AY426="Solved",AY426="--"),"--",
((Mat.Conc_Alpha.1*Mat.Conc_f.c*$AB426*MIN(AY426*Mat.Conc_Beta.1,$Y426))
+(Mat.Conc_Alpha.1*Mat.Conc_f.c*$V426*MAX(0,AY426*Mat.Conc_Beta.1-$Y426)))
-($J426*MIN(Mat.Rebar_f.y,(Mat.Rebar_epsilon.cl*($S426-AY426)/AY426)*Mat.PT_E.s))
-($M426*Mat.PT_f.pu*(1-Mat.PT_k*AY426/$P426))))</f>
        <v/>
      </c>
      <c r="BB426" s="329"/>
      <c r="BC426" s="167" t="str">
        <f>IF(ISBLANK(Inputs!$A34),"",
IF(BA426="--","Solved",
IF(ABS(BA426)&lt;=0.001,"Solved",AY426-BA426*(AY426-AU426)/(BA426-AW426))))</f>
        <v/>
      </c>
      <c r="BD426" s="167"/>
      <c r="BE426" s="329" t="str">
        <f>IF(ISBLANK(Inputs!$A34),"",
IF(OR(BC426="Solved",BC426="--"),"--",
((Mat.Conc_Alpha.1*Mat.Conc_f.c*$AB426*MIN(BC426*Mat.Conc_Beta.1,$Y426))
+(Mat.Conc_Alpha.1*Mat.Conc_f.c*$V426*MAX(0,BC426*Mat.Conc_Beta.1-$Y426)))
-($J426*MIN(Mat.Rebar_f.y,(Mat.Rebar_epsilon.cl*($S426-BC426)/BC426)*Mat.PT_E.s))
-($M426*Mat.PT_f.pu*(1-Mat.PT_k*BC426/$P426))))</f>
        <v/>
      </c>
      <c r="BF426" s="329"/>
      <c r="BG426" s="167" t="str">
        <f>IF(ISBLANK(Inputs!$A34),"",
IF(BE426="--","Solved",
IF(ABS(BE426)&lt;=0.001,"Solved",BC426-BE426*(BC426-AY426)/(BE426-BA426))))</f>
        <v/>
      </c>
      <c r="BH426" s="167"/>
      <c r="BI426" s="329" t="str">
        <f>IF(ISBLANK(Inputs!$A34),"",
IF(OR(BG426="Solved",BG426="--"),"--",
((Mat.Conc_Alpha.1*Mat.Conc_f.c*$AB426*MIN(BG426*Mat.Conc_Beta.1,$Y426))
+(Mat.Conc_Alpha.1*Mat.Conc_f.c*$V426*MAX(0,BG426*Mat.Conc_Beta.1-$Y426)))
-($J426*MIN(Mat.Rebar_f.y,(Mat.Rebar_epsilon.cl*($S426-BG426)/BG426)*Mat.PT_E.s))
-($M426*Mat.PT_f.pu*(1-Mat.PT_k*BG426/$P426))))</f>
        <v/>
      </c>
      <c r="BJ426" s="329"/>
      <c r="BK426" s="167" t="str">
        <f>IF(ISBLANK(Inputs!$A34),"",
IF(BI426="--","Solved",
IF(ABS(BI426)&lt;=0.001,"Solved",BG426-BI426*(BG426-BC426)/(BI426-BE426))))</f>
        <v/>
      </c>
      <c r="BL426" s="167"/>
      <c r="BM426" s="329" t="str">
        <f>IF(ISBLANK(Inputs!$A34),"",
IF(OR(BK426="Solved",BK426="--"),"--",
((Mat.Conc_Alpha.1*Mat.Conc_f.c*$AB426*MIN(BK426*Mat.Conc_Beta.1,$Y426))
+(Mat.Conc_Alpha.1*Mat.Conc_f.c*$V426*MAX(0,BK426*Mat.Conc_Beta.1-$Y426)))
-($J426*MIN(Mat.Rebar_f.y,(Mat.Rebar_epsilon.cl*($S426-BK426)/BK426)*Mat.PT_E.s))
-($M426*Mat.PT_f.pu*(1-Mat.PT_k*BK426/$P426))))</f>
        <v/>
      </c>
      <c r="BN426" s="329"/>
      <c r="BO426" s="167" t="str">
        <f>IF(ISBLANK(Inputs!$A34),"",
IF(BM426="--","Solved",
IF(ABS(BM426)&lt;=0.001,"Solved",BK426-BM426*(BK426-BG426)/(BM426-BI426))))</f>
        <v/>
      </c>
      <c r="BP426" s="167"/>
      <c r="BQ426" s="329" t="str">
        <f>IF(ISBLANK(Inputs!$A34),"",
IF(OR(BO426="Solved",BO426="--"),"--",
((Mat.Conc_Alpha.1*Mat.Conc_f.c*$AB426*MIN(BO426*Mat.Conc_Beta.1,$Y426))
+(Mat.Conc_Alpha.1*Mat.Conc_f.c*$V426*MAX(0,BO426*Mat.Conc_Beta.1-$Y426)))
-($J426*MIN(Mat.Rebar_f.y,(Mat.Rebar_epsilon.cl*($S426-BO426)/BO426)*Mat.PT_E.s))
-($M426*Mat.PT_f.pu*(1-Mat.PT_k*BO426/$P426))))</f>
        <v/>
      </c>
      <c r="BR426" s="329"/>
      <c r="BT426" s="98"/>
      <c r="BU426" s="70"/>
      <c r="BV426" s="70"/>
      <c r="BW426" s="8"/>
      <c r="BX426" s="8"/>
      <c r="BY426" s="8"/>
      <c r="BZ426" s="8"/>
      <c r="CA426" s="8"/>
      <c r="CB426" s="10"/>
    </row>
    <row r="427" spans="3:80" ht="15" customHeight="1" x14ac:dyDescent="0.25">
      <c r="C427" s="69"/>
      <c r="F427" s="167" t="str">
        <f>IF(ISBLANK(Inputs!A35),"",Inputs!A35)</f>
        <v/>
      </c>
      <c r="G427" s="167"/>
      <c r="H427" s="167" t="str">
        <f>IF(ISBLANK(Inputs!B35),"",Inputs!B35)</f>
        <v/>
      </c>
      <c r="I427" s="167"/>
      <c r="J427" s="168" t="str">
        <f>IF(ISBLANK(Inputs!G35),"",Inputs!G35)</f>
        <v/>
      </c>
      <c r="K427" s="168"/>
      <c r="L427" s="168"/>
      <c r="M427" s="168" t="str">
        <f>IF(ISBLANK(Inputs!D35),"",Inputs!D35)</f>
        <v/>
      </c>
      <c r="N427" s="168"/>
      <c r="O427" s="168"/>
      <c r="P427" s="168" t="str">
        <f>IF(ISBLANK(Inputs!F35),"",Inputs!F35)</f>
        <v/>
      </c>
      <c r="Q427" s="168"/>
      <c r="R427" s="168"/>
      <c r="S427" s="168" t="str">
        <f>IF(ISBLANK(Inputs!H35),"",Inputs!H35)</f>
        <v/>
      </c>
      <c r="T427" s="168"/>
      <c r="U427" s="168"/>
      <c r="V427" s="168" t="str">
        <f>IF(ISBLANK(Inputs!E35),"",Inputs!E35)</f>
        <v/>
      </c>
      <c r="W427" s="168"/>
      <c r="X427" s="168"/>
      <c r="Y427" s="168" t="str">
        <f>IF(ISBLANK(Inputs!I35),"",Inputs!I35)</f>
        <v/>
      </c>
      <c r="Z427" s="168"/>
      <c r="AA427" s="168"/>
      <c r="AB427" s="168">
        <f>IF(ISBLANK(Inputs!J35),"",Inputs!J35)</f>
        <v>96</v>
      </c>
      <c r="AC427" s="168"/>
      <c r="AD427" s="168"/>
      <c r="AE427" s="167" t="str">
        <f>IF(ISBLANK(Inputs!A35),"",Y427)</f>
        <v/>
      </c>
      <c r="AF427" s="167"/>
      <c r="AG427" s="329" t="str">
        <f>IF(ISBLANK(Inputs!$A35),"",
IF(OR(AE427="Solved",AE427="--"),"--",
((Mat.Conc_Alpha.1*Mat.Conc_f.c*$AB427*MIN(AE427*Mat.Conc_Beta.1,$Y427))
+(Mat.Conc_Alpha.1*Mat.Conc_f.c*$V427*MAX(0,AE427*Mat.Conc_Beta.1-$Y427)))
-($J427*MIN(Mat.Rebar_f.y,(Mat.Rebar_epsilon.cl*($S427-AE427)/AE427)*Mat.PT_E.s))
-($M427*Mat.PT_f.pu*(1-Mat.PT_k*AE427/$P427))))</f>
        <v/>
      </c>
      <c r="AH427" s="329"/>
      <c r="AI427" s="167" t="str">
        <f>IF(ISBLANK(Inputs!$A35),"",
IF(ABS(AG427)&lt;=0.001,"Solved",IF(AG427&gt;0,0.85*AE427,1.15*AE427)))</f>
        <v/>
      </c>
      <c r="AJ427" s="167"/>
      <c r="AK427" s="329" t="str">
        <f>IF(ISBLANK(Inputs!$A35),"",
IF(OR(AI427="Solved",AI427="--"),"--",
((Mat.Conc_Alpha.1*Mat.Conc_f.c*$AB427*MIN(AI427*Mat.Conc_Beta.1,$Y427))
+(Mat.Conc_Alpha.1*Mat.Conc_f.c*$V427*MAX(0,AI427*Mat.Conc_Beta.1-$Y427)))
-($J427*MIN(Mat.Rebar_f.y,(Mat.Rebar_epsilon.cl*($S427-AI427)/AI427)*Mat.PT_E.s))
-($M427*Mat.PT_f.pu*(1-Mat.PT_k*AI427/$P427))))</f>
        <v/>
      </c>
      <c r="AL427" s="329"/>
      <c r="AM427" s="167" t="str">
        <f>IF(ISBLANK(Inputs!$A35),"",
IF(AK427="--","Solved",
IF(ABS(AK427)&lt;=0.001,"Solved",AI427-AK427*(AI427-AE427)/(AK427-AG427))))</f>
        <v/>
      </c>
      <c r="AN427" s="167"/>
      <c r="AO427" s="329" t="str">
        <f>IF(ISBLANK(Inputs!$A35),"",
IF(OR(AM427="Solved",AM427="--"),"--",
((Mat.Conc_Alpha.1*Mat.Conc_f.c*$AB427*MIN(AM427*Mat.Conc_Beta.1,$Y427))
+(Mat.Conc_Alpha.1*Mat.Conc_f.c*$V427*MAX(0,AM427*Mat.Conc_Beta.1-$Y427)))
-($J427*MIN(Mat.Rebar_f.y,(Mat.Rebar_epsilon.cl*($S427-AM427)/AM427)*Mat.PT_E.s))
-($M427*Mat.PT_f.pu*(1-Mat.PT_k*AM427/$P427))))</f>
        <v/>
      </c>
      <c r="AP427" s="329"/>
      <c r="AQ427" s="167" t="str">
        <f>IF(ISBLANK(Inputs!$A35),"",
IF(AO427="--","Solved",
IF(ABS(AO427)&lt;=0.001,"Solved",AM427-AO427*(AM427-AI427)/(AO427-AK427))))</f>
        <v/>
      </c>
      <c r="AR427" s="167"/>
      <c r="AS427" s="329" t="str">
        <f>IF(ISBLANK(Inputs!$A35),"",
IF(OR(AQ427="Solved",AQ427="--"),"--",
((Mat.Conc_Alpha.1*Mat.Conc_f.c*$AB427*MIN(AQ427*Mat.Conc_Beta.1,$Y427))
+(Mat.Conc_Alpha.1*Mat.Conc_f.c*$V427*MAX(0,AQ427*Mat.Conc_Beta.1-$Y427)))
-($J427*MIN(Mat.Rebar_f.y,(Mat.Rebar_epsilon.cl*($S427-AQ427)/AQ427)*Mat.PT_E.s))
-($M427*Mat.PT_f.pu*(1-Mat.PT_k*AQ427/$P427))))</f>
        <v/>
      </c>
      <c r="AT427" s="329"/>
      <c r="AU427" s="167" t="str">
        <f>IF(ISBLANK(Inputs!$A35),"",
IF(AS427="--","Solved",
IF(ABS(AS427)&lt;=0.001,"Solved",AQ427-AS427*(AQ427-AM427)/(AS427-AO427))))</f>
        <v/>
      </c>
      <c r="AV427" s="167"/>
      <c r="AW427" s="329" t="str">
        <f>IF(ISBLANK(Inputs!$A35),"",
IF(OR(AU427="Solved",AU427="--"),"--",
((Mat.Conc_Alpha.1*Mat.Conc_f.c*$AB427*MIN(AU427*Mat.Conc_Beta.1,$Y427))
+(Mat.Conc_Alpha.1*Mat.Conc_f.c*$V427*MAX(0,AU427*Mat.Conc_Beta.1-$Y427)))
-($J427*MIN(Mat.Rebar_f.y,(Mat.Rebar_epsilon.cl*($S427-AU427)/AU427)*Mat.PT_E.s))
-($M427*Mat.PT_f.pu*(1-Mat.PT_k*AU427/$P427))))</f>
        <v/>
      </c>
      <c r="AX427" s="329"/>
      <c r="AY427" s="167" t="str">
        <f>IF(ISBLANK(Inputs!$A35),"",
IF(AW427="--","Solved",
IF(ABS(AW427)&lt;=0.001,"Solved",AU427-AW427*(AU427-AQ427)/(AW427-AS427))))</f>
        <v/>
      </c>
      <c r="AZ427" s="167"/>
      <c r="BA427" s="329" t="str">
        <f>IF(ISBLANK(Inputs!$A35),"",
IF(OR(AY427="Solved",AY427="--"),"--",
((Mat.Conc_Alpha.1*Mat.Conc_f.c*$AB427*MIN(AY427*Mat.Conc_Beta.1,$Y427))
+(Mat.Conc_Alpha.1*Mat.Conc_f.c*$V427*MAX(0,AY427*Mat.Conc_Beta.1-$Y427)))
-($J427*MIN(Mat.Rebar_f.y,(Mat.Rebar_epsilon.cl*($S427-AY427)/AY427)*Mat.PT_E.s))
-($M427*Mat.PT_f.pu*(1-Mat.PT_k*AY427/$P427))))</f>
        <v/>
      </c>
      <c r="BB427" s="329"/>
      <c r="BC427" s="167" t="str">
        <f>IF(ISBLANK(Inputs!$A35),"",
IF(BA427="--","Solved",
IF(ABS(BA427)&lt;=0.001,"Solved",AY427-BA427*(AY427-AU427)/(BA427-AW427))))</f>
        <v/>
      </c>
      <c r="BD427" s="167"/>
      <c r="BE427" s="329" t="str">
        <f>IF(ISBLANK(Inputs!$A35),"",
IF(OR(BC427="Solved",BC427="--"),"--",
((Mat.Conc_Alpha.1*Mat.Conc_f.c*$AB427*MIN(BC427*Mat.Conc_Beta.1,$Y427))
+(Mat.Conc_Alpha.1*Mat.Conc_f.c*$V427*MAX(0,BC427*Mat.Conc_Beta.1-$Y427)))
-($J427*MIN(Mat.Rebar_f.y,(Mat.Rebar_epsilon.cl*($S427-BC427)/BC427)*Mat.PT_E.s))
-($M427*Mat.PT_f.pu*(1-Mat.PT_k*BC427/$P427))))</f>
        <v/>
      </c>
      <c r="BF427" s="329"/>
      <c r="BG427" s="167" t="str">
        <f>IF(ISBLANK(Inputs!$A35),"",
IF(BE427="--","Solved",
IF(ABS(BE427)&lt;=0.001,"Solved",BC427-BE427*(BC427-AY427)/(BE427-BA427))))</f>
        <v/>
      </c>
      <c r="BH427" s="167"/>
      <c r="BI427" s="329" t="str">
        <f>IF(ISBLANK(Inputs!$A35),"",
IF(OR(BG427="Solved",BG427="--"),"--",
((Mat.Conc_Alpha.1*Mat.Conc_f.c*$AB427*MIN(BG427*Mat.Conc_Beta.1,$Y427))
+(Mat.Conc_Alpha.1*Mat.Conc_f.c*$V427*MAX(0,BG427*Mat.Conc_Beta.1-$Y427)))
-($J427*MIN(Mat.Rebar_f.y,(Mat.Rebar_epsilon.cl*($S427-BG427)/BG427)*Mat.PT_E.s))
-($M427*Mat.PT_f.pu*(1-Mat.PT_k*BG427/$P427))))</f>
        <v/>
      </c>
      <c r="BJ427" s="329"/>
      <c r="BK427" s="167" t="str">
        <f>IF(ISBLANK(Inputs!$A35),"",
IF(BI427="--","Solved",
IF(ABS(BI427)&lt;=0.001,"Solved",BG427-BI427*(BG427-BC427)/(BI427-BE427))))</f>
        <v/>
      </c>
      <c r="BL427" s="167"/>
      <c r="BM427" s="329" t="str">
        <f>IF(ISBLANK(Inputs!$A35),"",
IF(OR(BK427="Solved",BK427="--"),"--",
((Mat.Conc_Alpha.1*Mat.Conc_f.c*$AB427*MIN(BK427*Mat.Conc_Beta.1,$Y427))
+(Mat.Conc_Alpha.1*Mat.Conc_f.c*$V427*MAX(0,BK427*Mat.Conc_Beta.1-$Y427)))
-($J427*MIN(Mat.Rebar_f.y,(Mat.Rebar_epsilon.cl*($S427-BK427)/BK427)*Mat.PT_E.s))
-($M427*Mat.PT_f.pu*(1-Mat.PT_k*BK427/$P427))))</f>
        <v/>
      </c>
      <c r="BN427" s="329"/>
      <c r="BO427" s="167" t="str">
        <f>IF(ISBLANK(Inputs!$A35),"",
IF(BM427="--","Solved",
IF(ABS(BM427)&lt;=0.001,"Solved",BK427-BM427*(BK427-BG427)/(BM427-BI427))))</f>
        <v/>
      </c>
      <c r="BP427" s="167"/>
      <c r="BQ427" s="329" t="str">
        <f>IF(ISBLANK(Inputs!$A35),"",
IF(OR(BO427="Solved",BO427="--"),"--",
((Mat.Conc_Alpha.1*Mat.Conc_f.c*$AB427*MIN(BO427*Mat.Conc_Beta.1,$Y427))
+(Mat.Conc_Alpha.1*Mat.Conc_f.c*$V427*MAX(0,BO427*Mat.Conc_Beta.1-$Y427)))
-($J427*MIN(Mat.Rebar_f.y,(Mat.Rebar_epsilon.cl*($S427-BO427)/BO427)*Mat.PT_E.s))
-($M427*Mat.PT_f.pu*(1-Mat.PT_k*BO427/$P427))))</f>
        <v/>
      </c>
      <c r="BR427" s="329"/>
      <c r="BT427" s="98"/>
      <c r="BU427" s="70"/>
      <c r="BV427" s="70"/>
      <c r="BW427" s="8"/>
      <c r="BX427" s="8"/>
      <c r="BY427" s="8"/>
      <c r="BZ427" s="8"/>
      <c r="CA427" s="8"/>
      <c r="CB427" s="10"/>
    </row>
    <row r="428" spans="3:80" ht="15" customHeight="1" x14ac:dyDescent="0.25">
      <c r="C428" s="69"/>
      <c r="F428" s="167" t="str">
        <f>IF(ISBLANK(Inputs!A36),"",Inputs!A36)</f>
        <v/>
      </c>
      <c r="G428" s="167"/>
      <c r="H428" s="167" t="str">
        <f>IF(ISBLANK(Inputs!B36),"",Inputs!B36)</f>
        <v/>
      </c>
      <c r="I428" s="167"/>
      <c r="J428" s="168" t="str">
        <f>IF(ISBLANK(Inputs!G36),"",Inputs!G36)</f>
        <v/>
      </c>
      <c r="K428" s="168"/>
      <c r="L428" s="168"/>
      <c r="M428" s="168" t="str">
        <f>IF(ISBLANK(Inputs!D36),"",Inputs!D36)</f>
        <v/>
      </c>
      <c r="N428" s="168"/>
      <c r="O428" s="168"/>
      <c r="P428" s="168" t="str">
        <f>IF(ISBLANK(Inputs!F36),"",Inputs!F36)</f>
        <v/>
      </c>
      <c r="Q428" s="168"/>
      <c r="R428" s="168"/>
      <c r="S428" s="168" t="str">
        <f>IF(ISBLANK(Inputs!H36),"",Inputs!H36)</f>
        <v/>
      </c>
      <c r="T428" s="168"/>
      <c r="U428" s="168"/>
      <c r="V428" s="168" t="str">
        <f>IF(ISBLANK(Inputs!E36),"",Inputs!E36)</f>
        <v/>
      </c>
      <c r="W428" s="168"/>
      <c r="X428" s="168"/>
      <c r="Y428" s="168" t="str">
        <f>IF(ISBLANK(Inputs!I36),"",Inputs!I36)</f>
        <v/>
      </c>
      <c r="Z428" s="168"/>
      <c r="AA428" s="168"/>
      <c r="AB428" s="168">
        <f>IF(ISBLANK(Inputs!J36),"",Inputs!J36)</f>
        <v>96</v>
      </c>
      <c r="AC428" s="168"/>
      <c r="AD428" s="168"/>
      <c r="AE428" s="167" t="str">
        <f>IF(ISBLANK(Inputs!A36),"",Y428)</f>
        <v/>
      </c>
      <c r="AF428" s="167"/>
      <c r="AG428" s="329" t="str">
        <f>IF(ISBLANK(Inputs!$A36),"",
IF(OR(AE428="Solved",AE428="--"),"--",
((Mat.Conc_Alpha.1*Mat.Conc_f.c*$AB428*MIN(AE428*Mat.Conc_Beta.1,$Y428))
+(Mat.Conc_Alpha.1*Mat.Conc_f.c*$V428*MAX(0,AE428*Mat.Conc_Beta.1-$Y428)))
-($J428*MIN(Mat.Rebar_f.y,(Mat.Rebar_epsilon.cl*($S428-AE428)/AE428)*Mat.PT_E.s))
-($M428*Mat.PT_f.pu*(1-Mat.PT_k*AE428/$P428))))</f>
        <v/>
      </c>
      <c r="AH428" s="329"/>
      <c r="AI428" s="167" t="str">
        <f>IF(ISBLANK(Inputs!$A36),"",
IF(ABS(AG428)&lt;=0.001,"Solved",IF(AG428&gt;0,0.85*AE428,1.15*AE428)))</f>
        <v/>
      </c>
      <c r="AJ428" s="167"/>
      <c r="AK428" s="329" t="str">
        <f>IF(ISBLANK(Inputs!$A36),"",
IF(OR(AI428="Solved",AI428="--"),"--",
((Mat.Conc_Alpha.1*Mat.Conc_f.c*$AB428*MIN(AI428*Mat.Conc_Beta.1,$Y428))
+(Mat.Conc_Alpha.1*Mat.Conc_f.c*$V428*MAX(0,AI428*Mat.Conc_Beta.1-$Y428)))
-($J428*MIN(Mat.Rebar_f.y,(Mat.Rebar_epsilon.cl*($S428-AI428)/AI428)*Mat.PT_E.s))
-($M428*Mat.PT_f.pu*(1-Mat.PT_k*AI428/$P428))))</f>
        <v/>
      </c>
      <c r="AL428" s="329"/>
      <c r="AM428" s="167" t="str">
        <f>IF(ISBLANK(Inputs!$A36),"",
IF(AK428="--","Solved",
IF(ABS(AK428)&lt;=0.001,"Solved",AI428-AK428*(AI428-AE428)/(AK428-AG428))))</f>
        <v/>
      </c>
      <c r="AN428" s="167"/>
      <c r="AO428" s="329" t="str">
        <f>IF(ISBLANK(Inputs!$A36),"",
IF(OR(AM428="Solved",AM428="--"),"--",
((Mat.Conc_Alpha.1*Mat.Conc_f.c*$AB428*MIN(AM428*Mat.Conc_Beta.1,$Y428))
+(Mat.Conc_Alpha.1*Mat.Conc_f.c*$V428*MAX(0,AM428*Mat.Conc_Beta.1-$Y428)))
-($J428*MIN(Mat.Rebar_f.y,(Mat.Rebar_epsilon.cl*($S428-AM428)/AM428)*Mat.PT_E.s))
-($M428*Mat.PT_f.pu*(1-Mat.PT_k*AM428/$P428))))</f>
        <v/>
      </c>
      <c r="AP428" s="329"/>
      <c r="AQ428" s="167" t="str">
        <f>IF(ISBLANK(Inputs!$A36),"",
IF(AO428="--","Solved",
IF(ABS(AO428)&lt;=0.001,"Solved",AM428-AO428*(AM428-AI428)/(AO428-AK428))))</f>
        <v/>
      </c>
      <c r="AR428" s="167"/>
      <c r="AS428" s="329" t="str">
        <f>IF(ISBLANK(Inputs!$A36),"",
IF(OR(AQ428="Solved",AQ428="--"),"--",
((Mat.Conc_Alpha.1*Mat.Conc_f.c*$AB428*MIN(AQ428*Mat.Conc_Beta.1,$Y428))
+(Mat.Conc_Alpha.1*Mat.Conc_f.c*$V428*MAX(0,AQ428*Mat.Conc_Beta.1-$Y428)))
-($J428*MIN(Mat.Rebar_f.y,(Mat.Rebar_epsilon.cl*($S428-AQ428)/AQ428)*Mat.PT_E.s))
-($M428*Mat.PT_f.pu*(1-Mat.PT_k*AQ428/$P428))))</f>
        <v/>
      </c>
      <c r="AT428" s="329"/>
      <c r="AU428" s="167" t="str">
        <f>IF(ISBLANK(Inputs!$A36),"",
IF(AS428="--","Solved",
IF(ABS(AS428)&lt;=0.001,"Solved",AQ428-AS428*(AQ428-AM428)/(AS428-AO428))))</f>
        <v/>
      </c>
      <c r="AV428" s="167"/>
      <c r="AW428" s="329" t="str">
        <f>IF(ISBLANK(Inputs!$A36),"",
IF(OR(AU428="Solved",AU428="--"),"--",
((Mat.Conc_Alpha.1*Mat.Conc_f.c*$AB428*MIN(AU428*Mat.Conc_Beta.1,$Y428))
+(Mat.Conc_Alpha.1*Mat.Conc_f.c*$V428*MAX(0,AU428*Mat.Conc_Beta.1-$Y428)))
-($J428*MIN(Mat.Rebar_f.y,(Mat.Rebar_epsilon.cl*($S428-AU428)/AU428)*Mat.PT_E.s))
-($M428*Mat.PT_f.pu*(1-Mat.PT_k*AU428/$P428))))</f>
        <v/>
      </c>
      <c r="AX428" s="329"/>
      <c r="AY428" s="167" t="str">
        <f>IF(ISBLANK(Inputs!$A36),"",
IF(AW428="--","Solved",
IF(ABS(AW428)&lt;=0.001,"Solved",AU428-AW428*(AU428-AQ428)/(AW428-AS428))))</f>
        <v/>
      </c>
      <c r="AZ428" s="167"/>
      <c r="BA428" s="329" t="str">
        <f>IF(ISBLANK(Inputs!$A36),"",
IF(OR(AY428="Solved",AY428="--"),"--",
((Mat.Conc_Alpha.1*Mat.Conc_f.c*$AB428*MIN(AY428*Mat.Conc_Beta.1,$Y428))
+(Mat.Conc_Alpha.1*Mat.Conc_f.c*$V428*MAX(0,AY428*Mat.Conc_Beta.1-$Y428)))
-($J428*MIN(Mat.Rebar_f.y,(Mat.Rebar_epsilon.cl*($S428-AY428)/AY428)*Mat.PT_E.s))
-($M428*Mat.PT_f.pu*(1-Mat.PT_k*AY428/$P428))))</f>
        <v/>
      </c>
      <c r="BB428" s="329"/>
      <c r="BC428" s="167" t="str">
        <f>IF(ISBLANK(Inputs!$A36),"",
IF(BA428="--","Solved",
IF(ABS(BA428)&lt;=0.001,"Solved",AY428-BA428*(AY428-AU428)/(BA428-AW428))))</f>
        <v/>
      </c>
      <c r="BD428" s="167"/>
      <c r="BE428" s="329" t="str">
        <f>IF(ISBLANK(Inputs!$A36),"",
IF(OR(BC428="Solved",BC428="--"),"--",
((Mat.Conc_Alpha.1*Mat.Conc_f.c*$AB428*MIN(BC428*Mat.Conc_Beta.1,$Y428))
+(Mat.Conc_Alpha.1*Mat.Conc_f.c*$V428*MAX(0,BC428*Mat.Conc_Beta.1-$Y428)))
-($J428*MIN(Mat.Rebar_f.y,(Mat.Rebar_epsilon.cl*($S428-BC428)/BC428)*Mat.PT_E.s))
-($M428*Mat.PT_f.pu*(1-Mat.PT_k*BC428/$P428))))</f>
        <v/>
      </c>
      <c r="BF428" s="329"/>
      <c r="BG428" s="167" t="str">
        <f>IF(ISBLANK(Inputs!$A36),"",
IF(BE428="--","Solved",
IF(ABS(BE428)&lt;=0.001,"Solved",BC428-BE428*(BC428-AY428)/(BE428-BA428))))</f>
        <v/>
      </c>
      <c r="BH428" s="167"/>
      <c r="BI428" s="329" t="str">
        <f>IF(ISBLANK(Inputs!$A36),"",
IF(OR(BG428="Solved",BG428="--"),"--",
((Mat.Conc_Alpha.1*Mat.Conc_f.c*$AB428*MIN(BG428*Mat.Conc_Beta.1,$Y428))
+(Mat.Conc_Alpha.1*Mat.Conc_f.c*$V428*MAX(0,BG428*Mat.Conc_Beta.1-$Y428)))
-($J428*MIN(Mat.Rebar_f.y,(Mat.Rebar_epsilon.cl*($S428-BG428)/BG428)*Mat.PT_E.s))
-($M428*Mat.PT_f.pu*(1-Mat.PT_k*BG428/$P428))))</f>
        <v/>
      </c>
      <c r="BJ428" s="329"/>
      <c r="BK428" s="167" t="str">
        <f>IF(ISBLANK(Inputs!$A36),"",
IF(BI428="--","Solved",
IF(ABS(BI428)&lt;=0.001,"Solved",BG428-BI428*(BG428-BC428)/(BI428-BE428))))</f>
        <v/>
      </c>
      <c r="BL428" s="167"/>
      <c r="BM428" s="329" t="str">
        <f>IF(ISBLANK(Inputs!$A36),"",
IF(OR(BK428="Solved",BK428="--"),"--",
((Mat.Conc_Alpha.1*Mat.Conc_f.c*$AB428*MIN(BK428*Mat.Conc_Beta.1,$Y428))
+(Mat.Conc_Alpha.1*Mat.Conc_f.c*$V428*MAX(0,BK428*Mat.Conc_Beta.1-$Y428)))
-($J428*MIN(Mat.Rebar_f.y,(Mat.Rebar_epsilon.cl*($S428-BK428)/BK428)*Mat.PT_E.s))
-($M428*Mat.PT_f.pu*(1-Mat.PT_k*BK428/$P428))))</f>
        <v/>
      </c>
      <c r="BN428" s="329"/>
      <c r="BO428" s="167" t="str">
        <f>IF(ISBLANK(Inputs!$A36),"",
IF(BM428="--","Solved",
IF(ABS(BM428)&lt;=0.001,"Solved",BK428-BM428*(BK428-BG428)/(BM428-BI428))))</f>
        <v/>
      </c>
      <c r="BP428" s="167"/>
      <c r="BQ428" s="329" t="str">
        <f>IF(ISBLANK(Inputs!$A36),"",
IF(OR(BO428="Solved",BO428="--"),"--",
((Mat.Conc_Alpha.1*Mat.Conc_f.c*$AB428*MIN(BO428*Mat.Conc_Beta.1,$Y428))
+(Mat.Conc_Alpha.1*Mat.Conc_f.c*$V428*MAX(0,BO428*Mat.Conc_Beta.1-$Y428)))
-($J428*MIN(Mat.Rebar_f.y,(Mat.Rebar_epsilon.cl*($S428-BO428)/BO428)*Mat.PT_E.s))
-($M428*Mat.PT_f.pu*(1-Mat.PT_k*BO428/$P428))))</f>
        <v/>
      </c>
      <c r="BR428" s="329"/>
      <c r="BT428" s="98"/>
      <c r="BU428" s="70"/>
      <c r="BV428" s="70"/>
      <c r="BW428" s="8"/>
      <c r="BX428" s="8"/>
      <c r="BY428" s="8"/>
      <c r="BZ428" s="8"/>
      <c r="CA428" s="8"/>
      <c r="CB428" s="10"/>
    </row>
    <row r="429" spans="3:80" ht="15" customHeight="1" x14ac:dyDescent="0.25">
      <c r="C429" s="69"/>
      <c r="F429" s="167" t="str">
        <f>IF(ISBLANK(Inputs!A37),"",Inputs!A37)</f>
        <v/>
      </c>
      <c r="G429" s="167"/>
      <c r="H429" s="167" t="str">
        <f>IF(ISBLANK(Inputs!B37),"",Inputs!B37)</f>
        <v/>
      </c>
      <c r="I429" s="167"/>
      <c r="J429" s="168" t="str">
        <f>IF(ISBLANK(Inputs!G37),"",Inputs!G37)</f>
        <v/>
      </c>
      <c r="K429" s="168"/>
      <c r="L429" s="168"/>
      <c r="M429" s="168" t="str">
        <f>IF(ISBLANK(Inputs!D37),"",Inputs!D37)</f>
        <v/>
      </c>
      <c r="N429" s="168"/>
      <c r="O429" s="168"/>
      <c r="P429" s="168" t="str">
        <f>IF(ISBLANK(Inputs!F37),"",Inputs!F37)</f>
        <v/>
      </c>
      <c r="Q429" s="168"/>
      <c r="R429" s="168"/>
      <c r="S429" s="168" t="str">
        <f>IF(ISBLANK(Inputs!H37),"",Inputs!H37)</f>
        <v/>
      </c>
      <c r="T429" s="168"/>
      <c r="U429" s="168"/>
      <c r="V429" s="168" t="str">
        <f>IF(ISBLANK(Inputs!E37),"",Inputs!E37)</f>
        <v/>
      </c>
      <c r="W429" s="168"/>
      <c r="X429" s="168"/>
      <c r="Y429" s="168" t="str">
        <f>IF(ISBLANK(Inputs!I37),"",Inputs!I37)</f>
        <v/>
      </c>
      <c r="Z429" s="168"/>
      <c r="AA429" s="168"/>
      <c r="AB429" s="168">
        <f>IF(ISBLANK(Inputs!J37),"",Inputs!J37)</f>
        <v>96</v>
      </c>
      <c r="AC429" s="168"/>
      <c r="AD429" s="168"/>
      <c r="AE429" s="167" t="str">
        <f>IF(ISBLANK(Inputs!A37),"",Y429)</f>
        <v/>
      </c>
      <c r="AF429" s="167"/>
      <c r="AG429" s="329" t="str">
        <f>IF(ISBLANK(Inputs!$A37),"",
IF(OR(AE429="Solved",AE429="--"),"--",
((Mat.Conc_Alpha.1*Mat.Conc_f.c*$AB429*MIN(AE429*Mat.Conc_Beta.1,$Y429))
+(Mat.Conc_Alpha.1*Mat.Conc_f.c*$V429*MAX(0,AE429*Mat.Conc_Beta.1-$Y429)))
-($J429*MIN(Mat.Rebar_f.y,(Mat.Rebar_epsilon.cl*($S429-AE429)/AE429)*Mat.PT_E.s))
-($M429*Mat.PT_f.pu*(1-Mat.PT_k*AE429/$P429))))</f>
        <v/>
      </c>
      <c r="AH429" s="329"/>
      <c r="AI429" s="167" t="str">
        <f>IF(ISBLANK(Inputs!$A37),"",
IF(ABS(AG429)&lt;=0.001,"Solved",IF(AG429&gt;0,0.85*AE429,1.15*AE429)))</f>
        <v/>
      </c>
      <c r="AJ429" s="167"/>
      <c r="AK429" s="329" t="str">
        <f>IF(ISBLANK(Inputs!$A37),"",
IF(OR(AI429="Solved",AI429="--"),"--",
((Mat.Conc_Alpha.1*Mat.Conc_f.c*$AB429*MIN(AI429*Mat.Conc_Beta.1,$Y429))
+(Mat.Conc_Alpha.1*Mat.Conc_f.c*$V429*MAX(0,AI429*Mat.Conc_Beta.1-$Y429)))
-($J429*MIN(Mat.Rebar_f.y,(Mat.Rebar_epsilon.cl*($S429-AI429)/AI429)*Mat.PT_E.s))
-($M429*Mat.PT_f.pu*(1-Mat.PT_k*AI429/$P429))))</f>
        <v/>
      </c>
      <c r="AL429" s="329"/>
      <c r="AM429" s="167" t="str">
        <f>IF(ISBLANK(Inputs!$A37),"",
IF(AK429="--","Solved",
IF(ABS(AK429)&lt;=0.001,"Solved",AI429-AK429*(AI429-AE429)/(AK429-AG429))))</f>
        <v/>
      </c>
      <c r="AN429" s="167"/>
      <c r="AO429" s="329" t="str">
        <f>IF(ISBLANK(Inputs!$A37),"",
IF(OR(AM429="Solved",AM429="--"),"--",
((Mat.Conc_Alpha.1*Mat.Conc_f.c*$AB429*MIN(AM429*Mat.Conc_Beta.1,$Y429))
+(Mat.Conc_Alpha.1*Mat.Conc_f.c*$V429*MAX(0,AM429*Mat.Conc_Beta.1-$Y429)))
-($J429*MIN(Mat.Rebar_f.y,(Mat.Rebar_epsilon.cl*($S429-AM429)/AM429)*Mat.PT_E.s))
-($M429*Mat.PT_f.pu*(1-Mat.PT_k*AM429/$P429))))</f>
        <v/>
      </c>
      <c r="AP429" s="329"/>
      <c r="AQ429" s="167" t="str">
        <f>IF(ISBLANK(Inputs!$A37),"",
IF(AO429="--","Solved",
IF(ABS(AO429)&lt;=0.001,"Solved",AM429-AO429*(AM429-AI429)/(AO429-AK429))))</f>
        <v/>
      </c>
      <c r="AR429" s="167"/>
      <c r="AS429" s="329" t="str">
        <f>IF(ISBLANK(Inputs!$A37),"",
IF(OR(AQ429="Solved",AQ429="--"),"--",
((Mat.Conc_Alpha.1*Mat.Conc_f.c*$AB429*MIN(AQ429*Mat.Conc_Beta.1,$Y429))
+(Mat.Conc_Alpha.1*Mat.Conc_f.c*$V429*MAX(0,AQ429*Mat.Conc_Beta.1-$Y429)))
-($J429*MIN(Mat.Rebar_f.y,(Mat.Rebar_epsilon.cl*($S429-AQ429)/AQ429)*Mat.PT_E.s))
-($M429*Mat.PT_f.pu*(1-Mat.PT_k*AQ429/$P429))))</f>
        <v/>
      </c>
      <c r="AT429" s="329"/>
      <c r="AU429" s="167" t="str">
        <f>IF(ISBLANK(Inputs!$A37),"",
IF(AS429="--","Solved",
IF(ABS(AS429)&lt;=0.001,"Solved",AQ429-AS429*(AQ429-AM429)/(AS429-AO429))))</f>
        <v/>
      </c>
      <c r="AV429" s="167"/>
      <c r="AW429" s="329" t="str">
        <f>IF(ISBLANK(Inputs!$A37),"",
IF(OR(AU429="Solved",AU429="--"),"--",
((Mat.Conc_Alpha.1*Mat.Conc_f.c*$AB429*MIN(AU429*Mat.Conc_Beta.1,$Y429))
+(Mat.Conc_Alpha.1*Mat.Conc_f.c*$V429*MAX(0,AU429*Mat.Conc_Beta.1-$Y429)))
-($J429*MIN(Mat.Rebar_f.y,(Mat.Rebar_epsilon.cl*($S429-AU429)/AU429)*Mat.PT_E.s))
-($M429*Mat.PT_f.pu*(1-Mat.PT_k*AU429/$P429))))</f>
        <v/>
      </c>
      <c r="AX429" s="329"/>
      <c r="AY429" s="167" t="str">
        <f>IF(ISBLANK(Inputs!$A37),"",
IF(AW429="--","Solved",
IF(ABS(AW429)&lt;=0.001,"Solved",AU429-AW429*(AU429-AQ429)/(AW429-AS429))))</f>
        <v/>
      </c>
      <c r="AZ429" s="167"/>
      <c r="BA429" s="329" t="str">
        <f>IF(ISBLANK(Inputs!$A37),"",
IF(OR(AY429="Solved",AY429="--"),"--",
((Mat.Conc_Alpha.1*Mat.Conc_f.c*$AB429*MIN(AY429*Mat.Conc_Beta.1,$Y429))
+(Mat.Conc_Alpha.1*Mat.Conc_f.c*$V429*MAX(0,AY429*Mat.Conc_Beta.1-$Y429)))
-($J429*MIN(Mat.Rebar_f.y,(Mat.Rebar_epsilon.cl*($S429-AY429)/AY429)*Mat.PT_E.s))
-($M429*Mat.PT_f.pu*(1-Mat.PT_k*AY429/$P429))))</f>
        <v/>
      </c>
      <c r="BB429" s="329"/>
      <c r="BC429" s="167" t="str">
        <f>IF(ISBLANK(Inputs!$A37),"",
IF(BA429="--","Solved",
IF(ABS(BA429)&lt;=0.001,"Solved",AY429-BA429*(AY429-AU429)/(BA429-AW429))))</f>
        <v/>
      </c>
      <c r="BD429" s="167"/>
      <c r="BE429" s="329" t="str">
        <f>IF(ISBLANK(Inputs!$A37),"",
IF(OR(BC429="Solved",BC429="--"),"--",
((Mat.Conc_Alpha.1*Mat.Conc_f.c*$AB429*MIN(BC429*Mat.Conc_Beta.1,$Y429))
+(Mat.Conc_Alpha.1*Mat.Conc_f.c*$V429*MAX(0,BC429*Mat.Conc_Beta.1-$Y429)))
-($J429*MIN(Mat.Rebar_f.y,(Mat.Rebar_epsilon.cl*($S429-BC429)/BC429)*Mat.PT_E.s))
-($M429*Mat.PT_f.pu*(1-Mat.PT_k*BC429/$P429))))</f>
        <v/>
      </c>
      <c r="BF429" s="329"/>
      <c r="BG429" s="167" t="str">
        <f>IF(ISBLANK(Inputs!$A37),"",
IF(BE429="--","Solved",
IF(ABS(BE429)&lt;=0.001,"Solved",BC429-BE429*(BC429-AY429)/(BE429-BA429))))</f>
        <v/>
      </c>
      <c r="BH429" s="167"/>
      <c r="BI429" s="329" t="str">
        <f>IF(ISBLANK(Inputs!$A37),"",
IF(OR(BG429="Solved",BG429="--"),"--",
((Mat.Conc_Alpha.1*Mat.Conc_f.c*$AB429*MIN(BG429*Mat.Conc_Beta.1,$Y429))
+(Mat.Conc_Alpha.1*Mat.Conc_f.c*$V429*MAX(0,BG429*Mat.Conc_Beta.1-$Y429)))
-($J429*MIN(Mat.Rebar_f.y,(Mat.Rebar_epsilon.cl*($S429-BG429)/BG429)*Mat.PT_E.s))
-($M429*Mat.PT_f.pu*(1-Mat.PT_k*BG429/$P429))))</f>
        <v/>
      </c>
      <c r="BJ429" s="329"/>
      <c r="BK429" s="167" t="str">
        <f>IF(ISBLANK(Inputs!$A37),"",
IF(BI429="--","Solved",
IF(ABS(BI429)&lt;=0.001,"Solved",BG429-BI429*(BG429-BC429)/(BI429-BE429))))</f>
        <v/>
      </c>
      <c r="BL429" s="167"/>
      <c r="BM429" s="329" t="str">
        <f>IF(ISBLANK(Inputs!$A37),"",
IF(OR(BK429="Solved",BK429="--"),"--",
((Mat.Conc_Alpha.1*Mat.Conc_f.c*$AB429*MIN(BK429*Mat.Conc_Beta.1,$Y429))
+(Mat.Conc_Alpha.1*Mat.Conc_f.c*$V429*MAX(0,BK429*Mat.Conc_Beta.1-$Y429)))
-($J429*MIN(Mat.Rebar_f.y,(Mat.Rebar_epsilon.cl*($S429-BK429)/BK429)*Mat.PT_E.s))
-($M429*Mat.PT_f.pu*(1-Mat.PT_k*BK429/$P429))))</f>
        <v/>
      </c>
      <c r="BN429" s="329"/>
      <c r="BO429" s="167" t="str">
        <f>IF(ISBLANK(Inputs!$A37),"",
IF(BM429="--","Solved",
IF(ABS(BM429)&lt;=0.001,"Solved",BK429-BM429*(BK429-BG429)/(BM429-BI429))))</f>
        <v/>
      </c>
      <c r="BP429" s="167"/>
      <c r="BQ429" s="329" t="str">
        <f>IF(ISBLANK(Inputs!$A37),"",
IF(OR(BO429="Solved",BO429="--"),"--",
((Mat.Conc_Alpha.1*Mat.Conc_f.c*$AB429*MIN(BO429*Mat.Conc_Beta.1,$Y429))
+(Mat.Conc_Alpha.1*Mat.Conc_f.c*$V429*MAX(0,BO429*Mat.Conc_Beta.1-$Y429)))
-($J429*MIN(Mat.Rebar_f.y,(Mat.Rebar_epsilon.cl*($S429-BO429)/BO429)*Mat.PT_E.s))
-($M429*Mat.PT_f.pu*(1-Mat.PT_k*BO429/$P429))))</f>
        <v/>
      </c>
      <c r="BR429" s="329"/>
      <c r="BT429" s="98"/>
      <c r="BU429" s="70"/>
      <c r="BV429" s="70"/>
      <c r="BW429" s="8"/>
      <c r="BX429" s="8"/>
      <c r="BY429" s="8"/>
      <c r="BZ429" s="8"/>
      <c r="CA429" s="8"/>
      <c r="CB429" s="10"/>
    </row>
    <row r="430" spans="3:80" ht="15" customHeight="1" x14ac:dyDescent="0.25">
      <c r="C430" s="69"/>
      <c r="F430" s="167" t="str">
        <f>IF(ISBLANK(Inputs!A38),"",Inputs!A38)</f>
        <v/>
      </c>
      <c r="G430" s="167"/>
      <c r="H430" s="167" t="str">
        <f>IF(ISBLANK(Inputs!B38),"",Inputs!B38)</f>
        <v/>
      </c>
      <c r="I430" s="167"/>
      <c r="J430" s="168" t="str">
        <f>IF(ISBLANK(Inputs!G38),"",Inputs!G38)</f>
        <v/>
      </c>
      <c r="K430" s="168"/>
      <c r="L430" s="168"/>
      <c r="M430" s="168" t="str">
        <f>IF(ISBLANK(Inputs!D38),"",Inputs!D38)</f>
        <v/>
      </c>
      <c r="N430" s="168"/>
      <c r="O430" s="168"/>
      <c r="P430" s="168" t="str">
        <f>IF(ISBLANK(Inputs!F38),"",Inputs!F38)</f>
        <v/>
      </c>
      <c r="Q430" s="168"/>
      <c r="R430" s="168"/>
      <c r="S430" s="168" t="str">
        <f>IF(ISBLANK(Inputs!H38),"",Inputs!H38)</f>
        <v/>
      </c>
      <c r="T430" s="168"/>
      <c r="U430" s="168"/>
      <c r="V430" s="168" t="str">
        <f>IF(ISBLANK(Inputs!E38),"",Inputs!E38)</f>
        <v/>
      </c>
      <c r="W430" s="168"/>
      <c r="X430" s="168"/>
      <c r="Y430" s="168" t="str">
        <f>IF(ISBLANK(Inputs!I38),"",Inputs!I38)</f>
        <v/>
      </c>
      <c r="Z430" s="168"/>
      <c r="AA430" s="168"/>
      <c r="AB430" s="168">
        <f>IF(ISBLANK(Inputs!J38),"",Inputs!J38)</f>
        <v>96</v>
      </c>
      <c r="AC430" s="168"/>
      <c r="AD430" s="168"/>
      <c r="AE430" s="167" t="str">
        <f>IF(ISBLANK(Inputs!A38),"",Y430)</f>
        <v/>
      </c>
      <c r="AF430" s="167"/>
      <c r="AG430" s="329" t="str">
        <f>IF(ISBLANK(Inputs!$A38),"",
IF(OR(AE430="Solved",AE430="--"),"--",
((Mat.Conc_Alpha.1*Mat.Conc_f.c*$AB430*MIN(AE430*Mat.Conc_Beta.1,$Y430))
+(Mat.Conc_Alpha.1*Mat.Conc_f.c*$V430*MAX(0,AE430*Mat.Conc_Beta.1-$Y430)))
-($J430*MIN(Mat.Rebar_f.y,(Mat.Rebar_epsilon.cl*($S430-AE430)/AE430)*Mat.PT_E.s))
-($M430*Mat.PT_f.pu*(1-Mat.PT_k*AE430/$P430))))</f>
        <v/>
      </c>
      <c r="AH430" s="329"/>
      <c r="AI430" s="167" t="str">
        <f>IF(ISBLANK(Inputs!$A38),"",
IF(ABS(AG430)&lt;=0.001,"Solved",IF(AG430&gt;0,0.85*AE430,1.15*AE430)))</f>
        <v/>
      </c>
      <c r="AJ430" s="167"/>
      <c r="AK430" s="329" t="str">
        <f>IF(ISBLANK(Inputs!$A38),"",
IF(OR(AI430="Solved",AI430="--"),"--",
((Mat.Conc_Alpha.1*Mat.Conc_f.c*$AB430*MIN(AI430*Mat.Conc_Beta.1,$Y430))
+(Mat.Conc_Alpha.1*Mat.Conc_f.c*$V430*MAX(0,AI430*Mat.Conc_Beta.1-$Y430)))
-($J430*MIN(Mat.Rebar_f.y,(Mat.Rebar_epsilon.cl*($S430-AI430)/AI430)*Mat.PT_E.s))
-($M430*Mat.PT_f.pu*(1-Mat.PT_k*AI430/$P430))))</f>
        <v/>
      </c>
      <c r="AL430" s="329"/>
      <c r="AM430" s="167" t="str">
        <f>IF(ISBLANK(Inputs!$A38),"",
IF(AK430="--","Solved",
IF(ABS(AK430)&lt;=0.001,"Solved",AI430-AK430*(AI430-AE430)/(AK430-AG430))))</f>
        <v/>
      </c>
      <c r="AN430" s="167"/>
      <c r="AO430" s="329" t="str">
        <f>IF(ISBLANK(Inputs!$A38),"",
IF(OR(AM430="Solved",AM430="--"),"--",
((Mat.Conc_Alpha.1*Mat.Conc_f.c*$AB430*MIN(AM430*Mat.Conc_Beta.1,$Y430))
+(Mat.Conc_Alpha.1*Mat.Conc_f.c*$V430*MAX(0,AM430*Mat.Conc_Beta.1-$Y430)))
-($J430*MIN(Mat.Rebar_f.y,(Mat.Rebar_epsilon.cl*($S430-AM430)/AM430)*Mat.PT_E.s))
-($M430*Mat.PT_f.pu*(1-Mat.PT_k*AM430/$P430))))</f>
        <v/>
      </c>
      <c r="AP430" s="329"/>
      <c r="AQ430" s="167" t="str">
        <f>IF(ISBLANK(Inputs!$A38),"",
IF(AO430="--","Solved",
IF(ABS(AO430)&lt;=0.001,"Solved",AM430-AO430*(AM430-AI430)/(AO430-AK430))))</f>
        <v/>
      </c>
      <c r="AR430" s="167"/>
      <c r="AS430" s="329" t="str">
        <f>IF(ISBLANK(Inputs!$A38),"",
IF(OR(AQ430="Solved",AQ430="--"),"--",
((Mat.Conc_Alpha.1*Mat.Conc_f.c*$AB430*MIN(AQ430*Mat.Conc_Beta.1,$Y430))
+(Mat.Conc_Alpha.1*Mat.Conc_f.c*$V430*MAX(0,AQ430*Mat.Conc_Beta.1-$Y430)))
-($J430*MIN(Mat.Rebar_f.y,(Mat.Rebar_epsilon.cl*($S430-AQ430)/AQ430)*Mat.PT_E.s))
-($M430*Mat.PT_f.pu*(1-Mat.PT_k*AQ430/$P430))))</f>
        <v/>
      </c>
      <c r="AT430" s="329"/>
      <c r="AU430" s="167" t="str">
        <f>IF(ISBLANK(Inputs!$A38),"",
IF(AS430="--","Solved",
IF(ABS(AS430)&lt;=0.001,"Solved",AQ430-AS430*(AQ430-AM430)/(AS430-AO430))))</f>
        <v/>
      </c>
      <c r="AV430" s="167"/>
      <c r="AW430" s="329" t="str">
        <f>IF(ISBLANK(Inputs!$A38),"",
IF(OR(AU430="Solved",AU430="--"),"--",
((Mat.Conc_Alpha.1*Mat.Conc_f.c*$AB430*MIN(AU430*Mat.Conc_Beta.1,$Y430))
+(Mat.Conc_Alpha.1*Mat.Conc_f.c*$V430*MAX(0,AU430*Mat.Conc_Beta.1-$Y430)))
-($J430*MIN(Mat.Rebar_f.y,(Mat.Rebar_epsilon.cl*($S430-AU430)/AU430)*Mat.PT_E.s))
-($M430*Mat.PT_f.pu*(1-Mat.PT_k*AU430/$P430))))</f>
        <v/>
      </c>
      <c r="AX430" s="329"/>
      <c r="AY430" s="167" t="str">
        <f>IF(ISBLANK(Inputs!$A38),"",
IF(AW430="--","Solved",
IF(ABS(AW430)&lt;=0.001,"Solved",AU430-AW430*(AU430-AQ430)/(AW430-AS430))))</f>
        <v/>
      </c>
      <c r="AZ430" s="167"/>
      <c r="BA430" s="329" t="str">
        <f>IF(ISBLANK(Inputs!$A38),"",
IF(OR(AY430="Solved",AY430="--"),"--",
((Mat.Conc_Alpha.1*Mat.Conc_f.c*$AB430*MIN(AY430*Mat.Conc_Beta.1,$Y430))
+(Mat.Conc_Alpha.1*Mat.Conc_f.c*$V430*MAX(0,AY430*Mat.Conc_Beta.1-$Y430)))
-($J430*MIN(Mat.Rebar_f.y,(Mat.Rebar_epsilon.cl*($S430-AY430)/AY430)*Mat.PT_E.s))
-($M430*Mat.PT_f.pu*(1-Mat.PT_k*AY430/$P430))))</f>
        <v/>
      </c>
      <c r="BB430" s="329"/>
      <c r="BC430" s="167" t="str">
        <f>IF(ISBLANK(Inputs!$A38),"",
IF(BA430="--","Solved",
IF(ABS(BA430)&lt;=0.001,"Solved",AY430-BA430*(AY430-AU430)/(BA430-AW430))))</f>
        <v/>
      </c>
      <c r="BD430" s="167"/>
      <c r="BE430" s="329" t="str">
        <f>IF(ISBLANK(Inputs!$A38),"",
IF(OR(BC430="Solved",BC430="--"),"--",
((Mat.Conc_Alpha.1*Mat.Conc_f.c*$AB430*MIN(BC430*Mat.Conc_Beta.1,$Y430))
+(Mat.Conc_Alpha.1*Mat.Conc_f.c*$V430*MAX(0,BC430*Mat.Conc_Beta.1-$Y430)))
-($J430*MIN(Mat.Rebar_f.y,(Mat.Rebar_epsilon.cl*($S430-BC430)/BC430)*Mat.PT_E.s))
-($M430*Mat.PT_f.pu*(1-Mat.PT_k*BC430/$P430))))</f>
        <v/>
      </c>
      <c r="BF430" s="329"/>
      <c r="BG430" s="167" t="str">
        <f>IF(ISBLANK(Inputs!$A38),"",
IF(BE430="--","Solved",
IF(ABS(BE430)&lt;=0.001,"Solved",BC430-BE430*(BC430-AY430)/(BE430-BA430))))</f>
        <v/>
      </c>
      <c r="BH430" s="167"/>
      <c r="BI430" s="329" t="str">
        <f>IF(ISBLANK(Inputs!$A38),"",
IF(OR(BG430="Solved",BG430="--"),"--",
((Mat.Conc_Alpha.1*Mat.Conc_f.c*$AB430*MIN(BG430*Mat.Conc_Beta.1,$Y430))
+(Mat.Conc_Alpha.1*Mat.Conc_f.c*$V430*MAX(0,BG430*Mat.Conc_Beta.1-$Y430)))
-($J430*MIN(Mat.Rebar_f.y,(Mat.Rebar_epsilon.cl*($S430-BG430)/BG430)*Mat.PT_E.s))
-($M430*Mat.PT_f.pu*(1-Mat.PT_k*BG430/$P430))))</f>
        <v/>
      </c>
      <c r="BJ430" s="329"/>
      <c r="BK430" s="167" t="str">
        <f>IF(ISBLANK(Inputs!$A38),"",
IF(BI430="--","Solved",
IF(ABS(BI430)&lt;=0.001,"Solved",BG430-BI430*(BG430-BC430)/(BI430-BE430))))</f>
        <v/>
      </c>
      <c r="BL430" s="167"/>
      <c r="BM430" s="329" t="str">
        <f>IF(ISBLANK(Inputs!$A38),"",
IF(OR(BK430="Solved",BK430="--"),"--",
((Mat.Conc_Alpha.1*Mat.Conc_f.c*$AB430*MIN(BK430*Mat.Conc_Beta.1,$Y430))
+(Mat.Conc_Alpha.1*Mat.Conc_f.c*$V430*MAX(0,BK430*Mat.Conc_Beta.1-$Y430)))
-($J430*MIN(Mat.Rebar_f.y,(Mat.Rebar_epsilon.cl*($S430-BK430)/BK430)*Mat.PT_E.s))
-($M430*Mat.PT_f.pu*(1-Mat.PT_k*BK430/$P430))))</f>
        <v/>
      </c>
      <c r="BN430" s="329"/>
      <c r="BO430" s="167" t="str">
        <f>IF(ISBLANK(Inputs!$A38),"",
IF(BM430="--","Solved",
IF(ABS(BM430)&lt;=0.001,"Solved",BK430-BM430*(BK430-BG430)/(BM430-BI430))))</f>
        <v/>
      </c>
      <c r="BP430" s="167"/>
      <c r="BQ430" s="329" t="str">
        <f>IF(ISBLANK(Inputs!$A38),"",
IF(OR(BO430="Solved",BO430="--"),"--",
((Mat.Conc_Alpha.1*Mat.Conc_f.c*$AB430*MIN(BO430*Mat.Conc_Beta.1,$Y430))
+(Mat.Conc_Alpha.1*Mat.Conc_f.c*$V430*MAX(0,BO430*Mat.Conc_Beta.1-$Y430)))
-($J430*MIN(Mat.Rebar_f.y,(Mat.Rebar_epsilon.cl*($S430-BO430)/BO430)*Mat.PT_E.s))
-($M430*Mat.PT_f.pu*(1-Mat.PT_k*BO430/$P430))))</f>
        <v/>
      </c>
      <c r="BR430" s="329"/>
      <c r="BT430" s="98"/>
      <c r="BU430" s="70"/>
      <c r="BV430" s="70"/>
      <c r="BW430" s="8"/>
      <c r="BX430" s="8"/>
      <c r="BY430" s="8"/>
      <c r="BZ430" s="8"/>
      <c r="CA430" s="8"/>
      <c r="CB430" s="10"/>
    </row>
    <row r="431" spans="3:80" ht="15" customHeight="1" x14ac:dyDescent="0.25">
      <c r="C431" s="69"/>
      <c r="F431" s="167" t="str">
        <f>IF(ISBLANK(Inputs!A39),"",Inputs!A39)</f>
        <v/>
      </c>
      <c r="G431" s="167"/>
      <c r="H431" s="167" t="str">
        <f>IF(ISBLANK(Inputs!B39),"",Inputs!B39)</f>
        <v/>
      </c>
      <c r="I431" s="167"/>
      <c r="J431" s="168" t="str">
        <f>IF(ISBLANK(Inputs!G39),"",Inputs!G39)</f>
        <v/>
      </c>
      <c r="K431" s="168"/>
      <c r="L431" s="168"/>
      <c r="M431" s="168" t="str">
        <f>IF(ISBLANK(Inputs!D39),"",Inputs!D39)</f>
        <v/>
      </c>
      <c r="N431" s="168"/>
      <c r="O431" s="168"/>
      <c r="P431" s="168" t="str">
        <f>IF(ISBLANK(Inputs!F39),"",Inputs!F39)</f>
        <v/>
      </c>
      <c r="Q431" s="168"/>
      <c r="R431" s="168"/>
      <c r="S431" s="168" t="str">
        <f>IF(ISBLANK(Inputs!H39),"",Inputs!H39)</f>
        <v/>
      </c>
      <c r="T431" s="168"/>
      <c r="U431" s="168"/>
      <c r="V431" s="168" t="str">
        <f>IF(ISBLANK(Inputs!E39),"",Inputs!E39)</f>
        <v/>
      </c>
      <c r="W431" s="168"/>
      <c r="X431" s="168"/>
      <c r="Y431" s="168" t="str">
        <f>IF(ISBLANK(Inputs!I39),"",Inputs!I39)</f>
        <v/>
      </c>
      <c r="Z431" s="168"/>
      <c r="AA431" s="168"/>
      <c r="AB431" s="168">
        <f>IF(ISBLANK(Inputs!J39),"",Inputs!J39)</f>
        <v>96</v>
      </c>
      <c r="AC431" s="168"/>
      <c r="AD431" s="168"/>
      <c r="AE431" s="167" t="str">
        <f>IF(ISBLANK(Inputs!A39),"",Y431)</f>
        <v/>
      </c>
      <c r="AF431" s="167"/>
      <c r="AG431" s="329" t="str">
        <f>IF(ISBLANK(Inputs!$A39),"",
IF(OR(AE431="Solved",AE431="--"),"--",
((Mat.Conc_Alpha.1*Mat.Conc_f.c*$AB431*MIN(AE431*Mat.Conc_Beta.1,$Y431))
+(Mat.Conc_Alpha.1*Mat.Conc_f.c*$V431*MAX(0,AE431*Mat.Conc_Beta.1-$Y431)))
-($J431*MIN(Mat.Rebar_f.y,(Mat.Rebar_epsilon.cl*($S431-AE431)/AE431)*Mat.PT_E.s))
-($M431*Mat.PT_f.pu*(1-Mat.PT_k*AE431/$P431))))</f>
        <v/>
      </c>
      <c r="AH431" s="329"/>
      <c r="AI431" s="167" t="str">
        <f>IF(ISBLANK(Inputs!$A39),"",
IF(ABS(AG431)&lt;=0.001,"Solved",IF(AG431&gt;0,0.85*AE431,1.15*AE431)))</f>
        <v/>
      </c>
      <c r="AJ431" s="167"/>
      <c r="AK431" s="329" t="str">
        <f>IF(ISBLANK(Inputs!$A39),"",
IF(OR(AI431="Solved",AI431="--"),"--",
((Mat.Conc_Alpha.1*Mat.Conc_f.c*$AB431*MIN(AI431*Mat.Conc_Beta.1,$Y431))
+(Mat.Conc_Alpha.1*Mat.Conc_f.c*$V431*MAX(0,AI431*Mat.Conc_Beta.1-$Y431)))
-($J431*MIN(Mat.Rebar_f.y,(Mat.Rebar_epsilon.cl*($S431-AI431)/AI431)*Mat.PT_E.s))
-($M431*Mat.PT_f.pu*(1-Mat.PT_k*AI431/$P431))))</f>
        <v/>
      </c>
      <c r="AL431" s="329"/>
      <c r="AM431" s="167" t="str">
        <f>IF(ISBLANK(Inputs!$A39),"",
IF(AK431="--","Solved",
IF(ABS(AK431)&lt;=0.001,"Solved",AI431-AK431*(AI431-AE431)/(AK431-AG431))))</f>
        <v/>
      </c>
      <c r="AN431" s="167"/>
      <c r="AO431" s="329" t="str">
        <f>IF(ISBLANK(Inputs!$A39),"",
IF(OR(AM431="Solved",AM431="--"),"--",
((Mat.Conc_Alpha.1*Mat.Conc_f.c*$AB431*MIN(AM431*Mat.Conc_Beta.1,$Y431))
+(Mat.Conc_Alpha.1*Mat.Conc_f.c*$V431*MAX(0,AM431*Mat.Conc_Beta.1-$Y431)))
-($J431*MIN(Mat.Rebar_f.y,(Mat.Rebar_epsilon.cl*($S431-AM431)/AM431)*Mat.PT_E.s))
-($M431*Mat.PT_f.pu*(1-Mat.PT_k*AM431/$P431))))</f>
        <v/>
      </c>
      <c r="AP431" s="329"/>
      <c r="AQ431" s="167" t="str">
        <f>IF(ISBLANK(Inputs!$A39),"",
IF(AO431="--","Solved",
IF(ABS(AO431)&lt;=0.001,"Solved",AM431-AO431*(AM431-AI431)/(AO431-AK431))))</f>
        <v/>
      </c>
      <c r="AR431" s="167"/>
      <c r="AS431" s="329" t="str">
        <f>IF(ISBLANK(Inputs!$A39),"",
IF(OR(AQ431="Solved",AQ431="--"),"--",
((Mat.Conc_Alpha.1*Mat.Conc_f.c*$AB431*MIN(AQ431*Mat.Conc_Beta.1,$Y431))
+(Mat.Conc_Alpha.1*Mat.Conc_f.c*$V431*MAX(0,AQ431*Mat.Conc_Beta.1-$Y431)))
-($J431*MIN(Mat.Rebar_f.y,(Mat.Rebar_epsilon.cl*($S431-AQ431)/AQ431)*Mat.PT_E.s))
-($M431*Mat.PT_f.pu*(1-Mat.PT_k*AQ431/$P431))))</f>
        <v/>
      </c>
      <c r="AT431" s="329"/>
      <c r="AU431" s="167" t="str">
        <f>IF(ISBLANK(Inputs!$A39),"",
IF(AS431="--","Solved",
IF(ABS(AS431)&lt;=0.001,"Solved",AQ431-AS431*(AQ431-AM431)/(AS431-AO431))))</f>
        <v/>
      </c>
      <c r="AV431" s="167"/>
      <c r="AW431" s="329" t="str">
        <f>IF(ISBLANK(Inputs!$A39),"",
IF(OR(AU431="Solved",AU431="--"),"--",
((Mat.Conc_Alpha.1*Mat.Conc_f.c*$AB431*MIN(AU431*Mat.Conc_Beta.1,$Y431))
+(Mat.Conc_Alpha.1*Mat.Conc_f.c*$V431*MAX(0,AU431*Mat.Conc_Beta.1-$Y431)))
-($J431*MIN(Mat.Rebar_f.y,(Mat.Rebar_epsilon.cl*($S431-AU431)/AU431)*Mat.PT_E.s))
-($M431*Mat.PT_f.pu*(1-Mat.PT_k*AU431/$P431))))</f>
        <v/>
      </c>
      <c r="AX431" s="329"/>
      <c r="AY431" s="167" t="str">
        <f>IF(ISBLANK(Inputs!$A39),"",
IF(AW431="--","Solved",
IF(ABS(AW431)&lt;=0.001,"Solved",AU431-AW431*(AU431-AQ431)/(AW431-AS431))))</f>
        <v/>
      </c>
      <c r="AZ431" s="167"/>
      <c r="BA431" s="329" t="str">
        <f>IF(ISBLANK(Inputs!$A39),"",
IF(OR(AY431="Solved",AY431="--"),"--",
((Mat.Conc_Alpha.1*Mat.Conc_f.c*$AB431*MIN(AY431*Mat.Conc_Beta.1,$Y431))
+(Mat.Conc_Alpha.1*Mat.Conc_f.c*$V431*MAX(0,AY431*Mat.Conc_Beta.1-$Y431)))
-($J431*MIN(Mat.Rebar_f.y,(Mat.Rebar_epsilon.cl*($S431-AY431)/AY431)*Mat.PT_E.s))
-($M431*Mat.PT_f.pu*(1-Mat.PT_k*AY431/$P431))))</f>
        <v/>
      </c>
      <c r="BB431" s="329"/>
      <c r="BC431" s="167" t="str">
        <f>IF(ISBLANK(Inputs!$A39),"",
IF(BA431="--","Solved",
IF(ABS(BA431)&lt;=0.001,"Solved",AY431-BA431*(AY431-AU431)/(BA431-AW431))))</f>
        <v/>
      </c>
      <c r="BD431" s="167"/>
      <c r="BE431" s="329" t="str">
        <f>IF(ISBLANK(Inputs!$A39),"",
IF(OR(BC431="Solved",BC431="--"),"--",
((Mat.Conc_Alpha.1*Mat.Conc_f.c*$AB431*MIN(BC431*Mat.Conc_Beta.1,$Y431))
+(Mat.Conc_Alpha.1*Mat.Conc_f.c*$V431*MAX(0,BC431*Mat.Conc_Beta.1-$Y431)))
-($J431*MIN(Mat.Rebar_f.y,(Mat.Rebar_epsilon.cl*($S431-BC431)/BC431)*Mat.PT_E.s))
-($M431*Mat.PT_f.pu*(1-Mat.PT_k*BC431/$P431))))</f>
        <v/>
      </c>
      <c r="BF431" s="329"/>
      <c r="BG431" s="167" t="str">
        <f>IF(ISBLANK(Inputs!$A39),"",
IF(BE431="--","Solved",
IF(ABS(BE431)&lt;=0.001,"Solved",BC431-BE431*(BC431-AY431)/(BE431-BA431))))</f>
        <v/>
      </c>
      <c r="BH431" s="167"/>
      <c r="BI431" s="329" t="str">
        <f>IF(ISBLANK(Inputs!$A39),"",
IF(OR(BG431="Solved",BG431="--"),"--",
((Mat.Conc_Alpha.1*Mat.Conc_f.c*$AB431*MIN(BG431*Mat.Conc_Beta.1,$Y431))
+(Mat.Conc_Alpha.1*Mat.Conc_f.c*$V431*MAX(0,BG431*Mat.Conc_Beta.1-$Y431)))
-($J431*MIN(Mat.Rebar_f.y,(Mat.Rebar_epsilon.cl*($S431-BG431)/BG431)*Mat.PT_E.s))
-($M431*Mat.PT_f.pu*(1-Mat.PT_k*BG431/$P431))))</f>
        <v/>
      </c>
      <c r="BJ431" s="329"/>
      <c r="BK431" s="167" t="str">
        <f>IF(ISBLANK(Inputs!$A39),"",
IF(BI431="--","Solved",
IF(ABS(BI431)&lt;=0.001,"Solved",BG431-BI431*(BG431-BC431)/(BI431-BE431))))</f>
        <v/>
      </c>
      <c r="BL431" s="167"/>
      <c r="BM431" s="329" t="str">
        <f>IF(ISBLANK(Inputs!$A39),"",
IF(OR(BK431="Solved",BK431="--"),"--",
((Mat.Conc_Alpha.1*Mat.Conc_f.c*$AB431*MIN(BK431*Mat.Conc_Beta.1,$Y431))
+(Mat.Conc_Alpha.1*Mat.Conc_f.c*$V431*MAX(0,BK431*Mat.Conc_Beta.1-$Y431)))
-($J431*MIN(Mat.Rebar_f.y,(Mat.Rebar_epsilon.cl*($S431-BK431)/BK431)*Mat.PT_E.s))
-($M431*Mat.PT_f.pu*(1-Mat.PT_k*BK431/$P431))))</f>
        <v/>
      </c>
      <c r="BN431" s="329"/>
      <c r="BO431" s="167" t="str">
        <f>IF(ISBLANK(Inputs!$A39),"",
IF(BM431="--","Solved",
IF(ABS(BM431)&lt;=0.001,"Solved",BK431-BM431*(BK431-BG431)/(BM431-BI431))))</f>
        <v/>
      </c>
      <c r="BP431" s="167"/>
      <c r="BQ431" s="329" t="str">
        <f>IF(ISBLANK(Inputs!$A39),"",
IF(OR(BO431="Solved",BO431="--"),"--",
((Mat.Conc_Alpha.1*Mat.Conc_f.c*$AB431*MIN(BO431*Mat.Conc_Beta.1,$Y431))
+(Mat.Conc_Alpha.1*Mat.Conc_f.c*$V431*MAX(0,BO431*Mat.Conc_Beta.1-$Y431)))
-($J431*MIN(Mat.Rebar_f.y,(Mat.Rebar_epsilon.cl*($S431-BO431)/BO431)*Mat.PT_E.s))
-($M431*Mat.PT_f.pu*(1-Mat.PT_k*BO431/$P431))))</f>
        <v/>
      </c>
      <c r="BR431" s="329"/>
      <c r="BT431" s="98"/>
      <c r="BU431" s="70"/>
      <c r="BV431" s="70"/>
      <c r="BW431" s="8"/>
      <c r="BX431" s="8"/>
      <c r="BY431" s="8"/>
      <c r="BZ431" s="8"/>
      <c r="CA431" s="8"/>
      <c r="CB431" s="10"/>
    </row>
    <row r="432" spans="3:80" ht="15" customHeight="1" x14ac:dyDescent="0.25">
      <c r="C432" s="69"/>
      <c r="F432" s="167" t="str">
        <f>IF(ISBLANK(Inputs!A40),"",Inputs!A40)</f>
        <v/>
      </c>
      <c r="G432" s="167"/>
      <c r="H432" s="167" t="str">
        <f>IF(ISBLANK(Inputs!B40),"",Inputs!B40)</f>
        <v/>
      </c>
      <c r="I432" s="167"/>
      <c r="J432" s="168" t="str">
        <f>IF(ISBLANK(Inputs!G40),"",Inputs!G40)</f>
        <v/>
      </c>
      <c r="K432" s="168"/>
      <c r="L432" s="168"/>
      <c r="M432" s="168" t="str">
        <f>IF(ISBLANK(Inputs!D40),"",Inputs!D40)</f>
        <v/>
      </c>
      <c r="N432" s="168"/>
      <c r="O432" s="168"/>
      <c r="P432" s="168" t="str">
        <f>IF(ISBLANK(Inputs!F40),"",Inputs!F40)</f>
        <v/>
      </c>
      <c r="Q432" s="168"/>
      <c r="R432" s="168"/>
      <c r="S432" s="168" t="str">
        <f>IF(ISBLANK(Inputs!H40),"",Inputs!H40)</f>
        <v/>
      </c>
      <c r="T432" s="168"/>
      <c r="U432" s="168"/>
      <c r="V432" s="168" t="str">
        <f>IF(ISBLANK(Inputs!E40),"",Inputs!E40)</f>
        <v/>
      </c>
      <c r="W432" s="168"/>
      <c r="X432" s="168"/>
      <c r="Y432" s="168" t="str">
        <f>IF(ISBLANK(Inputs!I40),"",Inputs!I40)</f>
        <v/>
      </c>
      <c r="Z432" s="168"/>
      <c r="AA432" s="168"/>
      <c r="AB432" s="168">
        <f>IF(ISBLANK(Inputs!J40),"",Inputs!J40)</f>
        <v>96</v>
      </c>
      <c r="AC432" s="168"/>
      <c r="AD432" s="168"/>
      <c r="AE432" s="167" t="str">
        <f>IF(ISBLANK(Inputs!A40),"",Y432)</f>
        <v/>
      </c>
      <c r="AF432" s="167"/>
      <c r="AG432" s="329" t="str">
        <f>IF(ISBLANK(Inputs!$A40),"",
IF(OR(AE432="Solved",AE432="--"),"--",
((Mat.Conc_Alpha.1*Mat.Conc_f.c*$AB432*MIN(AE432*Mat.Conc_Beta.1,$Y432))
+(Mat.Conc_Alpha.1*Mat.Conc_f.c*$V432*MAX(0,AE432*Mat.Conc_Beta.1-$Y432)))
-($J432*MIN(Mat.Rebar_f.y,(Mat.Rebar_epsilon.cl*($S432-AE432)/AE432)*Mat.PT_E.s))
-($M432*Mat.PT_f.pu*(1-Mat.PT_k*AE432/$P432))))</f>
        <v/>
      </c>
      <c r="AH432" s="329"/>
      <c r="AI432" s="167" t="str">
        <f>IF(ISBLANK(Inputs!$A40),"",
IF(ABS(AG432)&lt;=0.001,"Solved",IF(AG432&gt;0,0.85*AE432,1.15*AE432)))</f>
        <v/>
      </c>
      <c r="AJ432" s="167"/>
      <c r="AK432" s="329" t="str">
        <f>IF(ISBLANK(Inputs!$A40),"",
IF(OR(AI432="Solved",AI432="--"),"--",
((Mat.Conc_Alpha.1*Mat.Conc_f.c*$AB432*MIN(AI432*Mat.Conc_Beta.1,$Y432))
+(Mat.Conc_Alpha.1*Mat.Conc_f.c*$V432*MAX(0,AI432*Mat.Conc_Beta.1-$Y432)))
-($J432*MIN(Mat.Rebar_f.y,(Mat.Rebar_epsilon.cl*($S432-AI432)/AI432)*Mat.PT_E.s))
-($M432*Mat.PT_f.pu*(1-Mat.PT_k*AI432/$P432))))</f>
        <v/>
      </c>
      <c r="AL432" s="329"/>
      <c r="AM432" s="167" t="str">
        <f>IF(ISBLANK(Inputs!$A40),"",
IF(AK432="--","Solved",
IF(ABS(AK432)&lt;=0.001,"Solved",AI432-AK432*(AI432-AE432)/(AK432-AG432))))</f>
        <v/>
      </c>
      <c r="AN432" s="167"/>
      <c r="AO432" s="329" t="str">
        <f>IF(ISBLANK(Inputs!$A40),"",
IF(OR(AM432="Solved",AM432="--"),"--",
((Mat.Conc_Alpha.1*Mat.Conc_f.c*$AB432*MIN(AM432*Mat.Conc_Beta.1,$Y432))
+(Mat.Conc_Alpha.1*Mat.Conc_f.c*$V432*MAX(0,AM432*Mat.Conc_Beta.1-$Y432)))
-($J432*MIN(Mat.Rebar_f.y,(Mat.Rebar_epsilon.cl*($S432-AM432)/AM432)*Mat.PT_E.s))
-($M432*Mat.PT_f.pu*(1-Mat.PT_k*AM432/$P432))))</f>
        <v/>
      </c>
      <c r="AP432" s="329"/>
      <c r="AQ432" s="167" t="str">
        <f>IF(ISBLANK(Inputs!$A40),"",
IF(AO432="--","Solved",
IF(ABS(AO432)&lt;=0.001,"Solved",AM432-AO432*(AM432-AI432)/(AO432-AK432))))</f>
        <v/>
      </c>
      <c r="AR432" s="167"/>
      <c r="AS432" s="329" t="str">
        <f>IF(ISBLANK(Inputs!$A40),"",
IF(OR(AQ432="Solved",AQ432="--"),"--",
((Mat.Conc_Alpha.1*Mat.Conc_f.c*$AB432*MIN(AQ432*Mat.Conc_Beta.1,$Y432))
+(Mat.Conc_Alpha.1*Mat.Conc_f.c*$V432*MAX(0,AQ432*Mat.Conc_Beta.1-$Y432)))
-($J432*MIN(Mat.Rebar_f.y,(Mat.Rebar_epsilon.cl*($S432-AQ432)/AQ432)*Mat.PT_E.s))
-($M432*Mat.PT_f.pu*(1-Mat.PT_k*AQ432/$P432))))</f>
        <v/>
      </c>
      <c r="AT432" s="329"/>
      <c r="AU432" s="167" t="str">
        <f>IF(ISBLANK(Inputs!$A40),"",
IF(AS432="--","Solved",
IF(ABS(AS432)&lt;=0.001,"Solved",AQ432-AS432*(AQ432-AM432)/(AS432-AO432))))</f>
        <v/>
      </c>
      <c r="AV432" s="167"/>
      <c r="AW432" s="329" t="str">
        <f>IF(ISBLANK(Inputs!$A40),"",
IF(OR(AU432="Solved",AU432="--"),"--",
((Mat.Conc_Alpha.1*Mat.Conc_f.c*$AB432*MIN(AU432*Mat.Conc_Beta.1,$Y432))
+(Mat.Conc_Alpha.1*Mat.Conc_f.c*$V432*MAX(0,AU432*Mat.Conc_Beta.1-$Y432)))
-($J432*MIN(Mat.Rebar_f.y,(Mat.Rebar_epsilon.cl*($S432-AU432)/AU432)*Mat.PT_E.s))
-($M432*Mat.PT_f.pu*(1-Mat.PT_k*AU432/$P432))))</f>
        <v/>
      </c>
      <c r="AX432" s="329"/>
      <c r="AY432" s="167" t="str">
        <f>IF(ISBLANK(Inputs!$A40),"",
IF(AW432="--","Solved",
IF(ABS(AW432)&lt;=0.001,"Solved",AU432-AW432*(AU432-AQ432)/(AW432-AS432))))</f>
        <v/>
      </c>
      <c r="AZ432" s="167"/>
      <c r="BA432" s="329" t="str">
        <f>IF(ISBLANK(Inputs!$A40),"",
IF(OR(AY432="Solved",AY432="--"),"--",
((Mat.Conc_Alpha.1*Mat.Conc_f.c*$AB432*MIN(AY432*Mat.Conc_Beta.1,$Y432))
+(Mat.Conc_Alpha.1*Mat.Conc_f.c*$V432*MAX(0,AY432*Mat.Conc_Beta.1-$Y432)))
-($J432*MIN(Mat.Rebar_f.y,(Mat.Rebar_epsilon.cl*($S432-AY432)/AY432)*Mat.PT_E.s))
-($M432*Mat.PT_f.pu*(1-Mat.PT_k*AY432/$P432))))</f>
        <v/>
      </c>
      <c r="BB432" s="329"/>
      <c r="BC432" s="167" t="str">
        <f>IF(ISBLANK(Inputs!$A40),"",
IF(BA432="--","Solved",
IF(ABS(BA432)&lt;=0.001,"Solved",AY432-BA432*(AY432-AU432)/(BA432-AW432))))</f>
        <v/>
      </c>
      <c r="BD432" s="167"/>
      <c r="BE432" s="329" t="str">
        <f>IF(ISBLANK(Inputs!$A40),"",
IF(OR(BC432="Solved",BC432="--"),"--",
((Mat.Conc_Alpha.1*Mat.Conc_f.c*$AB432*MIN(BC432*Mat.Conc_Beta.1,$Y432))
+(Mat.Conc_Alpha.1*Mat.Conc_f.c*$V432*MAX(0,BC432*Mat.Conc_Beta.1-$Y432)))
-($J432*MIN(Mat.Rebar_f.y,(Mat.Rebar_epsilon.cl*($S432-BC432)/BC432)*Mat.PT_E.s))
-($M432*Mat.PT_f.pu*(1-Mat.PT_k*BC432/$P432))))</f>
        <v/>
      </c>
      <c r="BF432" s="329"/>
      <c r="BG432" s="167" t="str">
        <f>IF(ISBLANK(Inputs!$A40),"",
IF(BE432="--","Solved",
IF(ABS(BE432)&lt;=0.001,"Solved",BC432-BE432*(BC432-AY432)/(BE432-BA432))))</f>
        <v/>
      </c>
      <c r="BH432" s="167"/>
      <c r="BI432" s="329" t="str">
        <f>IF(ISBLANK(Inputs!$A40),"",
IF(OR(BG432="Solved",BG432="--"),"--",
((Mat.Conc_Alpha.1*Mat.Conc_f.c*$AB432*MIN(BG432*Mat.Conc_Beta.1,$Y432))
+(Mat.Conc_Alpha.1*Mat.Conc_f.c*$V432*MAX(0,BG432*Mat.Conc_Beta.1-$Y432)))
-($J432*MIN(Mat.Rebar_f.y,(Mat.Rebar_epsilon.cl*($S432-BG432)/BG432)*Mat.PT_E.s))
-($M432*Mat.PT_f.pu*(1-Mat.PT_k*BG432/$P432))))</f>
        <v/>
      </c>
      <c r="BJ432" s="329"/>
      <c r="BK432" s="167" t="str">
        <f>IF(ISBLANK(Inputs!$A40),"",
IF(BI432="--","Solved",
IF(ABS(BI432)&lt;=0.001,"Solved",BG432-BI432*(BG432-BC432)/(BI432-BE432))))</f>
        <v/>
      </c>
      <c r="BL432" s="167"/>
      <c r="BM432" s="329" t="str">
        <f>IF(ISBLANK(Inputs!$A40),"",
IF(OR(BK432="Solved",BK432="--"),"--",
((Mat.Conc_Alpha.1*Mat.Conc_f.c*$AB432*MIN(BK432*Mat.Conc_Beta.1,$Y432))
+(Mat.Conc_Alpha.1*Mat.Conc_f.c*$V432*MAX(0,BK432*Mat.Conc_Beta.1-$Y432)))
-($J432*MIN(Mat.Rebar_f.y,(Mat.Rebar_epsilon.cl*($S432-BK432)/BK432)*Mat.PT_E.s))
-($M432*Mat.PT_f.pu*(1-Mat.PT_k*BK432/$P432))))</f>
        <v/>
      </c>
      <c r="BN432" s="329"/>
      <c r="BO432" s="167" t="str">
        <f>IF(ISBLANK(Inputs!$A40),"",
IF(BM432="--","Solved",
IF(ABS(BM432)&lt;=0.001,"Solved",BK432-BM432*(BK432-BG432)/(BM432-BI432))))</f>
        <v/>
      </c>
      <c r="BP432" s="167"/>
      <c r="BQ432" s="329" t="str">
        <f>IF(ISBLANK(Inputs!$A40),"",
IF(OR(BO432="Solved",BO432="--"),"--",
((Mat.Conc_Alpha.1*Mat.Conc_f.c*$AB432*MIN(BO432*Mat.Conc_Beta.1,$Y432))
+(Mat.Conc_Alpha.1*Mat.Conc_f.c*$V432*MAX(0,BO432*Mat.Conc_Beta.1-$Y432)))
-($J432*MIN(Mat.Rebar_f.y,(Mat.Rebar_epsilon.cl*($S432-BO432)/BO432)*Mat.PT_E.s))
-($M432*Mat.PT_f.pu*(1-Mat.PT_k*BO432/$P432))))</f>
        <v/>
      </c>
      <c r="BR432" s="329"/>
      <c r="BT432" s="98"/>
      <c r="BU432" s="70"/>
      <c r="BV432" s="70"/>
      <c r="BW432" s="8"/>
      <c r="BX432" s="8"/>
      <c r="BY432" s="8"/>
      <c r="BZ432" s="8"/>
      <c r="CA432" s="8"/>
      <c r="CB432" s="10"/>
    </row>
    <row r="433" spans="3:80" ht="15" customHeight="1" x14ac:dyDescent="0.25">
      <c r="C433" s="69"/>
      <c r="F433" s="167" t="str">
        <f>IF(ISBLANK(Inputs!A41),"",Inputs!A41)</f>
        <v/>
      </c>
      <c r="G433" s="167"/>
      <c r="H433" s="167" t="str">
        <f>IF(ISBLANK(Inputs!B41),"",Inputs!B41)</f>
        <v/>
      </c>
      <c r="I433" s="167"/>
      <c r="J433" s="168" t="str">
        <f>IF(ISBLANK(Inputs!G41),"",Inputs!G41)</f>
        <v/>
      </c>
      <c r="K433" s="168"/>
      <c r="L433" s="168"/>
      <c r="M433" s="168" t="str">
        <f>IF(ISBLANK(Inputs!D41),"",Inputs!D41)</f>
        <v/>
      </c>
      <c r="N433" s="168"/>
      <c r="O433" s="168"/>
      <c r="P433" s="168" t="str">
        <f>IF(ISBLANK(Inputs!F41),"",Inputs!F41)</f>
        <v/>
      </c>
      <c r="Q433" s="168"/>
      <c r="R433" s="168"/>
      <c r="S433" s="168" t="str">
        <f>IF(ISBLANK(Inputs!H41),"",Inputs!H41)</f>
        <v/>
      </c>
      <c r="T433" s="168"/>
      <c r="U433" s="168"/>
      <c r="V433" s="168" t="str">
        <f>IF(ISBLANK(Inputs!E41),"",Inputs!E41)</f>
        <v/>
      </c>
      <c r="W433" s="168"/>
      <c r="X433" s="168"/>
      <c r="Y433" s="168" t="str">
        <f>IF(ISBLANK(Inputs!I41),"",Inputs!I41)</f>
        <v/>
      </c>
      <c r="Z433" s="168"/>
      <c r="AA433" s="168"/>
      <c r="AB433" s="168">
        <f>IF(ISBLANK(Inputs!J41),"",Inputs!J41)</f>
        <v>96</v>
      </c>
      <c r="AC433" s="168"/>
      <c r="AD433" s="168"/>
      <c r="AE433" s="167" t="str">
        <f>IF(ISBLANK(Inputs!A41),"",Y433)</f>
        <v/>
      </c>
      <c r="AF433" s="167"/>
      <c r="AG433" s="329" t="str">
        <f>IF(ISBLANK(Inputs!$A41),"",
IF(OR(AE433="Solved",AE433="--"),"--",
((Mat.Conc_Alpha.1*Mat.Conc_f.c*$AB433*MIN(AE433*Mat.Conc_Beta.1,$Y433))
+(Mat.Conc_Alpha.1*Mat.Conc_f.c*$V433*MAX(0,AE433*Mat.Conc_Beta.1-$Y433)))
-($J433*MIN(Mat.Rebar_f.y,(Mat.Rebar_epsilon.cl*($S433-AE433)/AE433)*Mat.PT_E.s))
-($M433*Mat.PT_f.pu*(1-Mat.PT_k*AE433/$P433))))</f>
        <v/>
      </c>
      <c r="AH433" s="329"/>
      <c r="AI433" s="167" t="str">
        <f>IF(ISBLANK(Inputs!$A41),"",
IF(ABS(AG433)&lt;=0.001,"Solved",IF(AG433&gt;0,0.85*AE433,1.15*AE433)))</f>
        <v/>
      </c>
      <c r="AJ433" s="167"/>
      <c r="AK433" s="329" t="str">
        <f>IF(ISBLANK(Inputs!$A41),"",
IF(OR(AI433="Solved",AI433="--"),"--",
((Mat.Conc_Alpha.1*Mat.Conc_f.c*$AB433*MIN(AI433*Mat.Conc_Beta.1,$Y433))
+(Mat.Conc_Alpha.1*Mat.Conc_f.c*$V433*MAX(0,AI433*Mat.Conc_Beta.1-$Y433)))
-($J433*MIN(Mat.Rebar_f.y,(Mat.Rebar_epsilon.cl*($S433-AI433)/AI433)*Mat.PT_E.s))
-($M433*Mat.PT_f.pu*(1-Mat.PT_k*AI433/$P433))))</f>
        <v/>
      </c>
      <c r="AL433" s="329"/>
      <c r="AM433" s="167" t="str">
        <f>IF(ISBLANK(Inputs!$A41),"",
IF(AK433="--","Solved",
IF(ABS(AK433)&lt;=0.001,"Solved",AI433-AK433*(AI433-AE433)/(AK433-AG433))))</f>
        <v/>
      </c>
      <c r="AN433" s="167"/>
      <c r="AO433" s="329" t="str">
        <f>IF(ISBLANK(Inputs!$A41),"",
IF(OR(AM433="Solved",AM433="--"),"--",
((Mat.Conc_Alpha.1*Mat.Conc_f.c*$AB433*MIN(AM433*Mat.Conc_Beta.1,$Y433))
+(Mat.Conc_Alpha.1*Mat.Conc_f.c*$V433*MAX(0,AM433*Mat.Conc_Beta.1-$Y433)))
-($J433*MIN(Mat.Rebar_f.y,(Mat.Rebar_epsilon.cl*($S433-AM433)/AM433)*Mat.PT_E.s))
-($M433*Mat.PT_f.pu*(1-Mat.PT_k*AM433/$P433))))</f>
        <v/>
      </c>
      <c r="AP433" s="329"/>
      <c r="AQ433" s="167" t="str">
        <f>IF(ISBLANK(Inputs!$A41),"",
IF(AO433="--","Solved",
IF(ABS(AO433)&lt;=0.001,"Solved",AM433-AO433*(AM433-AI433)/(AO433-AK433))))</f>
        <v/>
      </c>
      <c r="AR433" s="167"/>
      <c r="AS433" s="329" t="str">
        <f>IF(ISBLANK(Inputs!$A41),"",
IF(OR(AQ433="Solved",AQ433="--"),"--",
((Mat.Conc_Alpha.1*Mat.Conc_f.c*$AB433*MIN(AQ433*Mat.Conc_Beta.1,$Y433))
+(Mat.Conc_Alpha.1*Mat.Conc_f.c*$V433*MAX(0,AQ433*Mat.Conc_Beta.1-$Y433)))
-($J433*MIN(Mat.Rebar_f.y,(Mat.Rebar_epsilon.cl*($S433-AQ433)/AQ433)*Mat.PT_E.s))
-($M433*Mat.PT_f.pu*(1-Mat.PT_k*AQ433/$P433))))</f>
        <v/>
      </c>
      <c r="AT433" s="329"/>
      <c r="AU433" s="167" t="str">
        <f>IF(ISBLANK(Inputs!$A41),"",
IF(AS433="--","Solved",
IF(ABS(AS433)&lt;=0.001,"Solved",AQ433-AS433*(AQ433-AM433)/(AS433-AO433))))</f>
        <v/>
      </c>
      <c r="AV433" s="167"/>
      <c r="AW433" s="329" t="str">
        <f>IF(ISBLANK(Inputs!$A41),"",
IF(OR(AU433="Solved",AU433="--"),"--",
((Mat.Conc_Alpha.1*Mat.Conc_f.c*$AB433*MIN(AU433*Mat.Conc_Beta.1,$Y433))
+(Mat.Conc_Alpha.1*Mat.Conc_f.c*$V433*MAX(0,AU433*Mat.Conc_Beta.1-$Y433)))
-($J433*MIN(Mat.Rebar_f.y,(Mat.Rebar_epsilon.cl*($S433-AU433)/AU433)*Mat.PT_E.s))
-($M433*Mat.PT_f.pu*(1-Mat.PT_k*AU433/$P433))))</f>
        <v/>
      </c>
      <c r="AX433" s="329"/>
      <c r="AY433" s="167" t="str">
        <f>IF(ISBLANK(Inputs!$A41),"",
IF(AW433="--","Solved",
IF(ABS(AW433)&lt;=0.001,"Solved",AU433-AW433*(AU433-AQ433)/(AW433-AS433))))</f>
        <v/>
      </c>
      <c r="AZ433" s="167"/>
      <c r="BA433" s="329" t="str">
        <f>IF(ISBLANK(Inputs!$A41),"",
IF(OR(AY433="Solved",AY433="--"),"--",
((Mat.Conc_Alpha.1*Mat.Conc_f.c*$AB433*MIN(AY433*Mat.Conc_Beta.1,$Y433))
+(Mat.Conc_Alpha.1*Mat.Conc_f.c*$V433*MAX(0,AY433*Mat.Conc_Beta.1-$Y433)))
-($J433*MIN(Mat.Rebar_f.y,(Mat.Rebar_epsilon.cl*($S433-AY433)/AY433)*Mat.PT_E.s))
-($M433*Mat.PT_f.pu*(1-Mat.PT_k*AY433/$P433))))</f>
        <v/>
      </c>
      <c r="BB433" s="329"/>
      <c r="BC433" s="167" t="str">
        <f>IF(ISBLANK(Inputs!$A41),"",
IF(BA433="--","Solved",
IF(ABS(BA433)&lt;=0.001,"Solved",AY433-BA433*(AY433-AU433)/(BA433-AW433))))</f>
        <v/>
      </c>
      <c r="BD433" s="167"/>
      <c r="BE433" s="329" t="str">
        <f>IF(ISBLANK(Inputs!$A41),"",
IF(OR(BC433="Solved",BC433="--"),"--",
((Mat.Conc_Alpha.1*Mat.Conc_f.c*$AB433*MIN(BC433*Mat.Conc_Beta.1,$Y433))
+(Mat.Conc_Alpha.1*Mat.Conc_f.c*$V433*MAX(0,BC433*Mat.Conc_Beta.1-$Y433)))
-($J433*MIN(Mat.Rebar_f.y,(Mat.Rebar_epsilon.cl*($S433-BC433)/BC433)*Mat.PT_E.s))
-($M433*Mat.PT_f.pu*(1-Mat.PT_k*BC433/$P433))))</f>
        <v/>
      </c>
      <c r="BF433" s="329"/>
      <c r="BG433" s="167" t="str">
        <f>IF(ISBLANK(Inputs!$A41),"",
IF(BE433="--","Solved",
IF(ABS(BE433)&lt;=0.001,"Solved",BC433-BE433*(BC433-AY433)/(BE433-BA433))))</f>
        <v/>
      </c>
      <c r="BH433" s="167"/>
      <c r="BI433" s="329" t="str">
        <f>IF(ISBLANK(Inputs!$A41),"",
IF(OR(BG433="Solved",BG433="--"),"--",
((Mat.Conc_Alpha.1*Mat.Conc_f.c*$AB433*MIN(BG433*Mat.Conc_Beta.1,$Y433))
+(Mat.Conc_Alpha.1*Mat.Conc_f.c*$V433*MAX(0,BG433*Mat.Conc_Beta.1-$Y433)))
-($J433*MIN(Mat.Rebar_f.y,(Mat.Rebar_epsilon.cl*($S433-BG433)/BG433)*Mat.PT_E.s))
-($M433*Mat.PT_f.pu*(1-Mat.PT_k*BG433/$P433))))</f>
        <v/>
      </c>
      <c r="BJ433" s="329"/>
      <c r="BK433" s="167" t="str">
        <f>IF(ISBLANK(Inputs!$A41),"",
IF(BI433="--","Solved",
IF(ABS(BI433)&lt;=0.001,"Solved",BG433-BI433*(BG433-BC433)/(BI433-BE433))))</f>
        <v/>
      </c>
      <c r="BL433" s="167"/>
      <c r="BM433" s="329" t="str">
        <f>IF(ISBLANK(Inputs!$A41),"",
IF(OR(BK433="Solved",BK433="--"),"--",
((Mat.Conc_Alpha.1*Mat.Conc_f.c*$AB433*MIN(BK433*Mat.Conc_Beta.1,$Y433))
+(Mat.Conc_Alpha.1*Mat.Conc_f.c*$V433*MAX(0,BK433*Mat.Conc_Beta.1-$Y433)))
-($J433*MIN(Mat.Rebar_f.y,(Mat.Rebar_epsilon.cl*($S433-BK433)/BK433)*Mat.PT_E.s))
-($M433*Mat.PT_f.pu*(1-Mat.PT_k*BK433/$P433))))</f>
        <v/>
      </c>
      <c r="BN433" s="329"/>
      <c r="BO433" s="167" t="str">
        <f>IF(ISBLANK(Inputs!$A41),"",
IF(BM433="--","Solved",
IF(ABS(BM433)&lt;=0.001,"Solved",BK433-BM433*(BK433-BG433)/(BM433-BI433))))</f>
        <v/>
      </c>
      <c r="BP433" s="167"/>
      <c r="BQ433" s="329" t="str">
        <f>IF(ISBLANK(Inputs!$A41),"",
IF(OR(BO433="Solved",BO433="--"),"--",
((Mat.Conc_Alpha.1*Mat.Conc_f.c*$AB433*MIN(BO433*Mat.Conc_Beta.1,$Y433))
+(Mat.Conc_Alpha.1*Mat.Conc_f.c*$V433*MAX(0,BO433*Mat.Conc_Beta.1-$Y433)))
-($J433*MIN(Mat.Rebar_f.y,(Mat.Rebar_epsilon.cl*($S433-BO433)/BO433)*Mat.PT_E.s))
-($M433*Mat.PT_f.pu*(1-Mat.PT_k*BO433/$P433))))</f>
        <v/>
      </c>
      <c r="BR433" s="329"/>
      <c r="BT433" s="98"/>
      <c r="BU433" s="70"/>
      <c r="BV433" s="70"/>
      <c r="BW433" s="8"/>
      <c r="BX433" s="8"/>
      <c r="BY433" s="8"/>
      <c r="BZ433" s="8"/>
      <c r="CA433" s="8"/>
      <c r="CB433" s="10"/>
    </row>
    <row r="434" spans="3:80" ht="15" customHeight="1" x14ac:dyDescent="0.25">
      <c r="C434" s="69"/>
      <c r="F434" s="167" t="str">
        <f>IF(ISBLANK(Inputs!A42),"",Inputs!A42)</f>
        <v/>
      </c>
      <c r="G434" s="167"/>
      <c r="H434" s="167" t="str">
        <f>IF(ISBLANK(Inputs!B42),"",Inputs!B42)</f>
        <v/>
      </c>
      <c r="I434" s="167"/>
      <c r="J434" s="168" t="str">
        <f>IF(ISBLANK(Inputs!G42),"",Inputs!G42)</f>
        <v/>
      </c>
      <c r="K434" s="168"/>
      <c r="L434" s="168"/>
      <c r="M434" s="168" t="str">
        <f>IF(ISBLANK(Inputs!D42),"",Inputs!D42)</f>
        <v/>
      </c>
      <c r="N434" s="168"/>
      <c r="O434" s="168"/>
      <c r="P434" s="168" t="str">
        <f>IF(ISBLANK(Inputs!F42),"",Inputs!F42)</f>
        <v/>
      </c>
      <c r="Q434" s="168"/>
      <c r="R434" s="168"/>
      <c r="S434" s="168" t="str">
        <f>IF(ISBLANK(Inputs!H42),"",Inputs!H42)</f>
        <v/>
      </c>
      <c r="T434" s="168"/>
      <c r="U434" s="168"/>
      <c r="V434" s="168" t="str">
        <f>IF(ISBLANK(Inputs!E42),"",Inputs!E42)</f>
        <v/>
      </c>
      <c r="W434" s="168"/>
      <c r="X434" s="168"/>
      <c r="Y434" s="168" t="str">
        <f>IF(ISBLANK(Inputs!I42),"",Inputs!I42)</f>
        <v/>
      </c>
      <c r="Z434" s="168"/>
      <c r="AA434" s="168"/>
      <c r="AB434" s="168">
        <f>IF(ISBLANK(Inputs!J42),"",Inputs!J42)</f>
        <v>96</v>
      </c>
      <c r="AC434" s="168"/>
      <c r="AD434" s="168"/>
      <c r="AE434" s="167" t="str">
        <f>IF(ISBLANK(Inputs!A42),"",Y434)</f>
        <v/>
      </c>
      <c r="AF434" s="167"/>
      <c r="AG434" s="329" t="str">
        <f>IF(ISBLANK(Inputs!$A42),"",
IF(OR(AE434="Solved",AE434="--"),"--",
((Mat.Conc_Alpha.1*Mat.Conc_f.c*$AB434*MIN(AE434*Mat.Conc_Beta.1,$Y434))
+(Mat.Conc_Alpha.1*Mat.Conc_f.c*$V434*MAX(0,AE434*Mat.Conc_Beta.1-$Y434)))
-($J434*MIN(Mat.Rebar_f.y,(Mat.Rebar_epsilon.cl*($S434-AE434)/AE434)*Mat.PT_E.s))
-($M434*Mat.PT_f.pu*(1-Mat.PT_k*AE434/$P434))))</f>
        <v/>
      </c>
      <c r="AH434" s="329"/>
      <c r="AI434" s="167" t="str">
        <f>IF(ISBLANK(Inputs!$A42),"",
IF(ABS(AG434)&lt;=0.001,"Solved",IF(AG434&gt;0,0.85*AE434,1.15*AE434)))</f>
        <v/>
      </c>
      <c r="AJ434" s="167"/>
      <c r="AK434" s="329" t="str">
        <f>IF(ISBLANK(Inputs!$A42),"",
IF(OR(AI434="Solved",AI434="--"),"--",
((Mat.Conc_Alpha.1*Mat.Conc_f.c*$AB434*MIN(AI434*Mat.Conc_Beta.1,$Y434))
+(Mat.Conc_Alpha.1*Mat.Conc_f.c*$V434*MAX(0,AI434*Mat.Conc_Beta.1-$Y434)))
-($J434*MIN(Mat.Rebar_f.y,(Mat.Rebar_epsilon.cl*($S434-AI434)/AI434)*Mat.PT_E.s))
-($M434*Mat.PT_f.pu*(1-Mat.PT_k*AI434/$P434))))</f>
        <v/>
      </c>
      <c r="AL434" s="329"/>
      <c r="AM434" s="167" t="str">
        <f>IF(ISBLANK(Inputs!$A42),"",
IF(AK434="--","Solved",
IF(ABS(AK434)&lt;=0.001,"Solved",AI434-AK434*(AI434-AE434)/(AK434-AG434))))</f>
        <v/>
      </c>
      <c r="AN434" s="167"/>
      <c r="AO434" s="329" t="str">
        <f>IF(ISBLANK(Inputs!$A42),"",
IF(OR(AM434="Solved",AM434="--"),"--",
((Mat.Conc_Alpha.1*Mat.Conc_f.c*$AB434*MIN(AM434*Mat.Conc_Beta.1,$Y434))
+(Mat.Conc_Alpha.1*Mat.Conc_f.c*$V434*MAX(0,AM434*Mat.Conc_Beta.1-$Y434)))
-($J434*MIN(Mat.Rebar_f.y,(Mat.Rebar_epsilon.cl*($S434-AM434)/AM434)*Mat.PT_E.s))
-($M434*Mat.PT_f.pu*(1-Mat.PT_k*AM434/$P434))))</f>
        <v/>
      </c>
      <c r="AP434" s="329"/>
      <c r="AQ434" s="167" t="str">
        <f>IF(ISBLANK(Inputs!$A42),"",
IF(AO434="--","Solved",
IF(ABS(AO434)&lt;=0.001,"Solved",AM434-AO434*(AM434-AI434)/(AO434-AK434))))</f>
        <v/>
      </c>
      <c r="AR434" s="167"/>
      <c r="AS434" s="329" t="str">
        <f>IF(ISBLANK(Inputs!$A42),"",
IF(OR(AQ434="Solved",AQ434="--"),"--",
((Mat.Conc_Alpha.1*Mat.Conc_f.c*$AB434*MIN(AQ434*Mat.Conc_Beta.1,$Y434))
+(Mat.Conc_Alpha.1*Mat.Conc_f.c*$V434*MAX(0,AQ434*Mat.Conc_Beta.1-$Y434)))
-($J434*MIN(Mat.Rebar_f.y,(Mat.Rebar_epsilon.cl*($S434-AQ434)/AQ434)*Mat.PT_E.s))
-($M434*Mat.PT_f.pu*(1-Mat.PT_k*AQ434/$P434))))</f>
        <v/>
      </c>
      <c r="AT434" s="329"/>
      <c r="AU434" s="167" t="str">
        <f>IF(ISBLANK(Inputs!$A42),"",
IF(AS434="--","Solved",
IF(ABS(AS434)&lt;=0.001,"Solved",AQ434-AS434*(AQ434-AM434)/(AS434-AO434))))</f>
        <v/>
      </c>
      <c r="AV434" s="167"/>
      <c r="AW434" s="329" t="str">
        <f>IF(ISBLANK(Inputs!$A42),"",
IF(OR(AU434="Solved",AU434="--"),"--",
((Mat.Conc_Alpha.1*Mat.Conc_f.c*$AB434*MIN(AU434*Mat.Conc_Beta.1,$Y434))
+(Mat.Conc_Alpha.1*Mat.Conc_f.c*$V434*MAX(0,AU434*Mat.Conc_Beta.1-$Y434)))
-($J434*MIN(Mat.Rebar_f.y,(Mat.Rebar_epsilon.cl*($S434-AU434)/AU434)*Mat.PT_E.s))
-($M434*Mat.PT_f.pu*(1-Mat.PT_k*AU434/$P434))))</f>
        <v/>
      </c>
      <c r="AX434" s="329"/>
      <c r="AY434" s="167" t="str">
        <f>IF(ISBLANK(Inputs!$A42),"",
IF(AW434="--","Solved",
IF(ABS(AW434)&lt;=0.001,"Solved",AU434-AW434*(AU434-AQ434)/(AW434-AS434))))</f>
        <v/>
      </c>
      <c r="AZ434" s="167"/>
      <c r="BA434" s="329" t="str">
        <f>IF(ISBLANK(Inputs!$A42),"",
IF(OR(AY434="Solved",AY434="--"),"--",
((Mat.Conc_Alpha.1*Mat.Conc_f.c*$AB434*MIN(AY434*Mat.Conc_Beta.1,$Y434))
+(Mat.Conc_Alpha.1*Mat.Conc_f.c*$V434*MAX(0,AY434*Mat.Conc_Beta.1-$Y434)))
-($J434*MIN(Mat.Rebar_f.y,(Mat.Rebar_epsilon.cl*($S434-AY434)/AY434)*Mat.PT_E.s))
-($M434*Mat.PT_f.pu*(1-Mat.PT_k*AY434/$P434))))</f>
        <v/>
      </c>
      <c r="BB434" s="329"/>
      <c r="BC434" s="167" t="str">
        <f>IF(ISBLANK(Inputs!$A42),"",
IF(BA434="--","Solved",
IF(ABS(BA434)&lt;=0.001,"Solved",AY434-BA434*(AY434-AU434)/(BA434-AW434))))</f>
        <v/>
      </c>
      <c r="BD434" s="167"/>
      <c r="BE434" s="329" t="str">
        <f>IF(ISBLANK(Inputs!$A42),"",
IF(OR(BC434="Solved",BC434="--"),"--",
((Mat.Conc_Alpha.1*Mat.Conc_f.c*$AB434*MIN(BC434*Mat.Conc_Beta.1,$Y434))
+(Mat.Conc_Alpha.1*Mat.Conc_f.c*$V434*MAX(0,BC434*Mat.Conc_Beta.1-$Y434)))
-($J434*MIN(Mat.Rebar_f.y,(Mat.Rebar_epsilon.cl*($S434-BC434)/BC434)*Mat.PT_E.s))
-($M434*Mat.PT_f.pu*(1-Mat.PT_k*BC434/$P434))))</f>
        <v/>
      </c>
      <c r="BF434" s="329"/>
      <c r="BG434" s="167" t="str">
        <f>IF(ISBLANK(Inputs!$A42),"",
IF(BE434="--","Solved",
IF(ABS(BE434)&lt;=0.001,"Solved",BC434-BE434*(BC434-AY434)/(BE434-BA434))))</f>
        <v/>
      </c>
      <c r="BH434" s="167"/>
      <c r="BI434" s="329" t="str">
        <f>IF(ISBLANK(Inputs!$A42),"",
IF(OR(BG434="Solved",BG434="--"),"--",
((Mat.Conc_Alpha.1*Mat.Conc_f.c*$AB434*MIN(BG434*Mat.Conc_Beta.1,$Y434))
+(Mat.Conc_Alpha.1*Mat.Conc_f.c*$V434*MAX(0,BG434*Mat.Conc_Beta.1-$Y434)))
-($J434*MIN(Mat.Rebar_f.y,(Mat.Rebar_epsilon.cl*($S434-BG434)/BG434)*Mat.PT_E.s))
-($M434*Mat.PT_f.pu*(1-Mat.PT_k*BG434/$P434))))</f>
        <v/>
      </c>
      <c r="BJ434" s="329"/>
      <c r="BK434" s="167" t="str">
        <f>IF(ISBLANK(Inputs!$A42),"",
IF(BI434="--","Solved",
IF(ABS(BI434)&lt;=0.001,"Solved",BG434-BI434*(BG434-BC434)/(BI434-BE434))))</f>
        <v/>
      </c>
      <c r="BL434" s="167"/>
      <c r="BM434" s="329" t="str">
        <f>IF(ISBLANK(Inputs!$A42),"",
IF(OR(BK434="Solved",BK434="--"),"--",
((Mat.Conc_Alpha.1*Mat.Conc_f.c*$AB434*MIN(BK434*Mat.Conc_Beta.1,$Y434))
+(Mat.Conc_Alpha.1*Mat.Conc_f.c*$V434*MAX(0,BK434*Mat.Conc_Beta.1-$Y434)))
-($J434*MIN(Mat.Rebar_f.y,(Mat.Rebar_epsilon.cl*($S434-BK434)/BK434)*Mat.PT_E.s))
-($M434*Mat.PT_f.pu*(1-Mat.PT_k*BK434/$P434))))</f>
        <v/>
      </c>
      <c r="BN434" s="329"/>
      <c r="BO434" s="167" t="str">
        <f>IF(ISBLANK(Inputs!$A42),"",
IF(BM434="--","Solved",
IF(ABS(BM434)&lt;=0.001,"Solved",BK434-BM434*(BK434-BG434)/(BM434-BI434))))</f>
        <v/>
      </c>
      <c r="BP434" s="167"/>
      <c r="BQ434" s="329" t="str">
        <f>IF(ISBLANK(Inputs!$A42),"",
IF(OR(BO434="Solved",BO434="--"),"--",
((Mat.Conc_Alpha.1*Mat.Conc_f.c*$AB434*MIN(BO434*Mat.Conc_Beta.1,$Y434))
+(Mat.Conc_Alpha.1*Mat.Conc_f.c*$V434*MAX(0,BO434*Mat.Conc_Beta.1-$Y434)))
-($J434*MIN(Mat.Rebar_f.y,(Mat.Rebar_epsilon.cl*($S434-BO434)/BO434)*Mat.PT_E.s))
-($M434*Mat.PT_f.pu*(1-Mat.PT_k*BO434/$P434))))</f>
        <v/>
      </c>
      <c r="BR434" s="329"/>
      <c r="BT434" s="98"/>
      <c r="BU434" s="70"/>
      <c r="BV434" s="70"/>
      <c r="BW434" s="8"/>
      <c r="BX434" s="8"/>
      <c r="BY434" s="8"/>
      <c r="BZ434" s="8"/>
      <c r="CA434" s="8"/>
      <c r="CB434" s="10"/>
    </row>
    <row r="435" spans="3:80" ht="15" customHeight="1" x14ac:dyDescent="0.25">
      <c r="C435" s="69"/>
      <c r="F435" s="167" t="str">
        <f>IF(ISBLANK(Inputs!A43),"",Inputs!A43)</f>
        <v/>
      </c>
      <c r="G435" s="167"/>
      <c r="H435" s="167" t="str">
        <f>IF(ISBLANK(Inputs!B43),"",Inputs!B43)</f>
        <v/>
      </c>
      <c r="I435" s="167"/>
      <c r="J435" s="168" t="str">
        <f>IF(ISBLANK(Inputs!G43),"",Inputs!G43)</f>
        <v/>
      </c>
      <c r="K435" s="168"/>
      <c r="L435" s="168"/>
      <c r="M435" s="168" t="str">
        <f>IF(ISBLANK(Inputs!D43),"",Inputs!D43)</f>
        <v/>
      </c>
      <c r="N435" s="168"/>
      <c r="O435" s="168"/>
      <c r="P435" s="168" t="str">
        <f>IF(ISBLANK(Inputs!F43),"",Inputs!F43)</f>
        <v/>
      </c>
      <c r="Q435" s="168"/>
      <c r="R435" s="168"/>
      <c r="S435" s="168" t="str">
        <f>IF(ISBLANK(Inputs!H43),"",Inputs!H43)</f>
        <v/>
      </c>
      <c r="T435" s="168"/>
      <c r="U435" s="168"/>
      <c r="V435" s="168" t="str">
        <f>IF(ISBLANK(Inputs!E43),"",Inputs!E43)</f>
        <v/>
      </c>
      <c r="W435" s="168"/>
      <c r="X435" s="168"/>
      <c r="Y435" s="168" t="str">
        <f>IF(ISBLANK(Inputs!I43),"",Inputs!I43)</f>
        <v/>
      </c>
      <c r="Z435" s="168"/>
      <c r="AA435" s="168"/>
      <c r="AB435" s="168">
        <f>IF(ISBLANK(Inputs!J43),"",Inputs!J43)</f>
        <v>96</v>
      </c>
      <c r="AC435" s="168"/>
      <c r="AD435" s="168"/>
      <c r="AE435" s="167" t="str">
        <f>IF(ISBLANK(Inputs!A43),"",Y435)</f>
        <v/>
      </c>
      <c r="AF435" s="167"/>
      <c r="AG435" s="329" t="str">
        <f>IF(ISBLANK(Inputs!$A43),"",
IF(OR(AE435="Solved",AE435="--"),"--",
((Mat.Conc_Alpha.1*Mat.Conc_f.c*$AB435*MIN(AE435*Mat.Conc_Beta.1,$Y435))
+(Mat.Conc_Alpha.1*Mat.Conc_f.c*$V435*MAX(0,AE435*Mat.Conc_Beta.1-$Y435)))
-($J435*MIN(Mat.Rebar_f.y,(Mat.Rebar_epsilon.cl*($S435-AE435)/AE435)*Mat.PT_E.s))
-($M435*Mat.PT_f.pu*(1-Mat.PT_k*AE435/$P435))))</f>
        <v/>
      </c>
      <c r="AH435" s="329"/>
      <c r="AI435" s="167" t="str">
        <f>IF(ISBLANK(Inputs!$A43),"",
IF(ABS(AG435)&lt;=0.001,"Solved",IF(AG435&gt;0,0.85*AE435,1.15*AE435)))</f>
        <v/>
      </c>
      <c r="AJ435" s="167"/>
      <c r="AK435" s="329" t="str">
        <f>IF(ISBLANK(Inputs!$A43),"",
IF(OR(AI435="Solved",AI435="--"),"--",
((Mat.Conc_Alpha.1*Mat.Conc_f.c*$AB435*MIN(AI435*Mat.Conc_Beta.1,$Y435))
+(Mat.Conc_Alpha.1*Mat.Conc_f.c*$V435*MAX(0,AI435*Mat.Conc_Beta.1-$Y435)))
-($J435*MIN(Mat.Rebar_f.y,(Mat.Rebar_epsilon.cl*($S435-AI435)/AI435)*Mat.PT_E.s))
-($M435*Mat.PT_f.pu*(1-Mat.PT_k*AI435/$P435))))</f>
        <v/>
      </c>
      <c r="AL435" s="329"/>
      <c r="AM435" s="167" t="str">
        <f>IF(ISBLANK(Inputs!$A43),"",
IF(AK435="--","Solved",
IF(ABS(AK435)&lt;=0.001,"Solved",AI435-AK435*(AI435-AE435)/(AK435-AG435))))</f>
        <v/>
      </c>
      <c r="AN435" s="167"/>
      <c r="AO435" s="329" t="str">
        <f>IF(ISBLANK(Inputs!$A43),"",
IF(OR(AM435="Solved",AM435="--"),"--",
((Mat.Conc_Alpha.1*Mat.Conc_f.c*$AB435*MIN(AM435*Mat.Conc_Beta.1,$Y435))
+(Mat.Conc_Alpha.1*Mat.Conc_f.c*$V435*MAX(0,AM435*Mat.Conc_Beta.1-$Y435)))
-($J435*MIN(Mat.Rebar_f.y,(Mat.Rebar_epsilon.cl*($S435-AM435)/AM435)*Mat.PT_E.s))
-($M435*Mat.PT_f.pu*(1-Mat.PT_k*AM435/$P435))))</f>
        <v/>
      </c>
      <c r="AP435" s="329"/>
      <c r="AQ435" s="167" t="str">
        <f>IF(ISBLANK(Inputs!$A43),"",
IF(AO435="--","Solved",
IF(ABS(AO435)&lt;=0.001,"Solved",AM435-AO435*(AM435-AI435)/(AO435-AK435))))</f>
        <v/>
      </c>
      <c r="AR435" s="167"/>
      <c r="AS435" s="329" t="str">
        <f>IF(ISBLANK(Inputs!$A43),"",
IF(OR(AQ435="Solved",AQ435="--"),"--",
((Mat.Conc_Alpha.1*Mat.Conc_f.c*$AB435*MIN(AQ435*Mat.Conc_Beta.1,$Y435))
+(Mat.Conc_Alpha.1*Mat.Conc_f.c*$V435*MAX(0,AQ435*Mat.Conc_Beta.1-$Y435)))
-($J435*MIN(Mat.Rebar_f.y,(Mat.Rebar_epsilon.cl*($S435-AQ435)/AQ435)*Mat.PT_E.s))
-($M435*Mat.PT_f.pu*(1-Mat.PT_k*AQ435/$P435))))</f>
        <v/>
      </c>
      <c r="AT435" s="329"/>
      <c r="AU435" s="167" t="str">
        <f>IF(ISBLANK(Inputs!$A43),"",
IF(AS435="--","Solved",
IF(ABS(AS435)&lt;=0.001,"Solved",AQ435-AS435*(AQ435-AM435)/(AS435-AO435))))</f>
        <v/>
      </c>
      <c r="AV435" s="167"/>
      <c r="AW435" s="329" t="str">
        <f>IF(ISBLANK(Inputs!$A43),"",
IF(OR(AU435="Solved",AU435="--"),"--",
((Mat.Conc_Alpha.1*Mat.Conc_f.c*$AB435*MIN(AU435*Mat.Conc_Beta.1,$Y435))
+(Mat.Conc_Alpha.1*Mat.Conc_f.c*$V435*MAX(0,AU435*Mat.Conc_Beta.1-$Y435)))
-($J435*MIN(Mat.Rebar_f.y,(Mat.Rebar_epsilon.cl*($S435-AU435)/AU435)*Mat.PT_E.s))
-($M435*Mat.PT_f.pu*(1-Mat.PT_k*AU435/$P435))))</f>
        <v/>
      </c>
      <c r="AX435" s="329"/>
      <c r="AY435" s="167" t="str">
        <f>IF(ISBLANK(Inputs!$A43),"",
IF(AW435="--","Solved",
IF(ABS(AW435)&lt;=0.001,"Solved",AU435-AW435*(AU435-AQ435)/(AW435-AS435))))</f>
        <v/>
      </c>
      <c r="AZ435" s="167"/>
      <c r="BA435" s="329" t="str">
        <f>IF(ISBLANK(Inputs!$A43),"",
IF(OR(AY435="Solved",AY435="--"),"--",
((Mat.Conc_Alpha.1*Mat.Conc_f.c*$AB435*MIN(AY435*Mat.Conc_Beta.1,$Y435))
+(Mat.Conc_Alpha.1*Mat.Conc_f.c*$V435*MAX(0,AY435*Mat.Conc_Beta.1-$Y435)))
-($J435*MIN(Mat.Rebar_f.y,(Mat.Rebar_epsilon.cl*($S435-AY435)/AY435)*Mat.PT_E.s))
-($M435*Mat.PT_f.pu*(1-Mat.PT_k*AY435/$P435))))</f>
        <v/>
      </c>
      <c r="BB435" s="329"/>
      <c r="BC435" s="167" t="str">
        <f>IF(ISBLANK(Inputs!$A43),"",
IF(BA435="--","Solved",
IF(ABS(BA435)&lt;=0.001,"Solved",AY435-BA435*(AY435-AU435)/(BA435-AW435))))</f>
        <v/>
      </c>
      <c r="BD435" s="167"/>
      <c r="BE435" s="329" t="str">
        <f>IF(ISBLANK(Inputs!$A43),"",
IF(OR(BC435="Solved",BC435="--"),"--",
((Mat.Conc_Alpha.1*Mat.Conc_f.c*$AB435*MIN(BC435*Mat.Conc_Beta.1,$Y435))
+(Mat.Conc_Alpha.1*Mat.Conc_f.c*$V435*MAX(0,BC435*Mat.Conc_Beta.1-$Y435)))
-($J435*MIN(Mat.Rebar_f.y,(Mat.Rebar_epsilon.cl*($S435-BC435)/BC435)*Mat.PT_E.s))
-($M435*Mat.PT_f.pu*(1-Mat.PT_k*BC435/$P435))))</f>
        <v/>
      </c>
      <c r="BF435" s="329"/>
      <c r="BG435" s="167" t="str">
        <f>IF(ISBLANK(Inputs!$A43),"",
IF(BE435="--","Solved",
IF(ABS(BE435)&lt;=0.001,"Solved",BC435-BE435*(BC435-AY435)/(BE435-BA435))))</f>
        <v/>
      </c>
      <c r="BH435" s="167"/>
      <c r="BI435" s="329" t="str">
        <f>IF(ISBLANK(Inputs!$A43),"",
IF(OR(BG435="Solved",BG435="--"),"--",
((Mat.Conc_Alpha.1*Mat.Conc_f.c*$AB435*MIN(BG435*Mat.Conc_Beta.1,$Y435))
+(Mat.Conc_Alpha.1*Mat.Conc_f.c*$V435*MAX(0,BG435*Mat.Conc_Beta.1-$Y435)))
-($J435*MIN(Mat.Rebar_f.y,(Mat.Rebar_epsilon.cl*($S435-BG435)/BG435)*Mat.PT_E.s))
-($M435*Mat.PT_f.pu*(1-Mat.PT_k*BG435/$P435))))</f>
        <v/>
      </c>
      <c r="BJ435" s="329"/>
      <c r="BK435" s="167" t="str">
        <f>IF(ISBLANK(Inputs!$A43),"",
IF(BI435="--","Solved",
IF(ABS(BI435)&lt;=0.001,"Solved",BG435-BI435*(BG435-BC435)/(BI435-BE435))))</f>
        <v/>
      </c>
      <c r="BL435" s="167"/>
      <c r="BM435" s="329" t="str">
        <f>IF(ISBLANK(Inputs!$A43),"",
IF(OR(BK435="Solved",BK435="--"),"--",
((Mat.Conc_Alpha.1*Mat.Conc_f.c*$AB435*MIN(BK435*Mat.Conc_Beta.1,$Y435))
+(Mat.Conc_Alpha.1*Mat.Conc_f.c*$V435*MAX(0,BK435*Mat.Conc_Beta.1-$Y435)))
-($J435*MIN(Mat.Rebar_f.y,(Mat.Rebar_epsilon.cl*($S435-BK435)/BK435)*Mat.PT_E.s))
-($M435*Mat.PT_f.pu*(1-Mat.PT_k*BK435/$P435))))</f>
        <v/>
      </c>
      <c r="BN435" s="329"/>
      <c r="BO435" s="167" t="str">
        <f>IF(ISBLANK(Inputs!$A43),"",
IF(BM435="--","Solved",
IF(ABS(BM435)&lt;=0.001,"Solved",BK435-BM435*(BK435-BG435)/(BM435-BI435))))</f>
        <v/>
      </c>
      <c r="BP435" s="167"/>
      <c r="BQ435" s="329" t="str">
        <f>IF(ISBLANK(Inputs!$A43),"",
IF(OR(BO435="Solved",BO435="--"),"--",
((Mat.Conc_Alpha.1*Mat.Conc_f.c*$AB435*MIN(BO435*Mat.Conc_Beta.1,$Y435))
+(Mat.Conc_Alpha.1*Mat.Conc_f.c*$V435*MAX(0,BO435*Mat.Conc_Beta.1-$Y435)))
-($J435*MIN(Mat.Rebar_f.y,(Mat.Rebar_epsilon.cl*($S435-BO435)/BO435)*Mat.PT_E.s))
-($M435*Mat.PT_f.pu*(1-Mat.PT_k*BO435/$P435))))</f>
        <v/>
      </c>
      <c r="BR435" s="329"/>
      <c r="BT435" s="98"/>
      <c r="BU435" s="70"/>
      <c r="BV435" s="70"/>
      <c r="BW435" s="8"/>
      <c r="BX435" s="8"/>
      <c r="BY435" s="8"/>
      <c r="BZ435" s="8"/>
      <c r="CA435" s="8"/>
      <c r="CB435" s="10"/>
    </row>
    <row r="436" spans="3:80" ht="15" customHeight="1" x14ac:dyDescent="0.25">
      <c r="C436" s="69"/>
      <c r="F436" s="167" t="str">
        <f>IF(ISBLANK(Inputs!A44),"",Inputs!A44)</f>
        <v/>
      </c>
      <c r="G436" s="167"/>
      <c r="H436" s="167" t="str">
        <f>IF(ISBLANK(Inputs!B44),"",Inputs!B44)</f>
        <v/>
      </c>
      <c r="I436" s="167"/>
      <c r="J436" s="168" t="str">
        <f>IF(ISBLANK(Inputs!G44),"",Inputs!G44)</f>
        <v/>
      </c>
      <c r="K436" s="168"/>
      <c r="L436" s="168"/>
      <c r="M436" s="168" t="str">
        <f>IF(ISBLANK(Inputs!D44),"",Inputs!D44)</f>
        <v/>
      </c>
      <c r="N436" s="168"/>
      <c r="O436" s="168"/>
      <c r="P436" s="168" t="str">
        <f>IF(ISBLANK(Inputs!F44),"",Inputs!F44)</f>
        <v/>
      </c>
      <c r="Q436" s="168"/>
      <c r="R436" s="168"/>
      <c r="S436" s="168" t="str">
        <f>IF(ISBLANK(Inputs!H44),"",Inputs!H44)</f>
        <v/>
      </c>
      <c r="T436" s="168"/>
      <c r="U436" s="168"/>
      <c r="V436" s="168" t="str">
        <f>IF(ISBLANK(Inputs!E44),"",Inputs!E44)</f>
        <v/>
      </c>
      <c r="W436" s="168"/>
      <c r="X436" s="168"/>
      <c r="Y436" s="168" t="str">
        <f>IF(ISBLANK(Inputs!I44),"",Inputs!I44)</f>
        <v/>
      </c>
      <c r="Z436" s="168"/>
      <c r="AA436" s="168"/>
      <c r="AB436" s="168">
        <f>IF(ISBLANK(Inputs!J44),"",Inputs!J44)</f>
        <v>96</v>
      </c>
      <c r="AC436" s="168"/>
      <c r="AD436" s="168"/>
      <c r="AE436" s="167" t="str">
        <f>IF(ISBLANK(Inputs!A44),"",Y436)</f>
        <v/>
      </c>
      <c r="AF436" s="167"/>
      <c r="AG436" s="329" t="str">
        <f>IF(ISBLANK(Inputs!$A44),"",
IF(OR(AE436="Solved",AE436="--"),"--",
((Mat.Conc_Alpha.1*Mat.Conc_f.c*$AB436*MIN(AE436*Mat.Conc_Beta.1,$Y436))
+(Mat.Conc_Alpha.1*Mat.Conc_f.c*$V436*MAX(0,AE436*Mat.Conc_Beta.1-$Y436)))
-($J436*MIN(Mat.Rebar_f.y,(Mat.Rebar_epsilon.cl*($S436-AE436)/AE436)*Mat.PT_E.s))
-($M436*Mat.PT_f.pu*(1-Mat.PT_k*AE436/$P436))))</f>
        <v/>
      </c>
      <c r="AH436" s="329"/>
      <c r="AI436" s="167" t="str">
        <f>IF(ISBLANK(Inputs!$A44),"",
IF(ABS(AG436)&lt;=0.001,"Solved",IF(AG436&gt;0,0.85*AE436,1.15*AE436)))</f>
        <v/>
      </c>
      <c r="AJ436" s="167"/>
      <c r="AK436" s="329" t="str">
        <f>IF(ISBLANK(Inputs!$A44),"",
IF(OR(AI436="Solved",AI436="--"),"--",
((Mat.Conc_Alpha.1*Mat.Conc_f.c*$AB436*MIN(AI436*Mat.Conc_Beta.1,$Y436))
+(Mat.Conc_Alpha.1*Mat.Conc_f.c*$V436*MAX(0,AI436*Mat.Conc_Beta.1-$Y436)))
-($J436*MIN(Mat.Rebar_f.y,(Mat.Rebar_epsilon.cl*($S436-AI436)/AI436)*Mat.PT_E.s))
-($M436*Mat.PT_f.pu*(1-Mat.PT_k*AI436/$P436))))</f>
        <v/>
      </c>
      <c r="AL436" s="329"/>
      <c r="AM436" s="167" t="str">
        <f>IF(ISBLANK(Inputs!$A44),"",
IF(AK436="--","Solved",
IF(ABS(AK436)&lt;=0.001,"Solved",AI436-AK436*(AI436-AE436)/(AK436-AG436))))</f>
        <v/>
      </c>
      <c r="AN436" s="167"/>
      <c r="AO436" s="329" t="str">
        <f>IF(ISBLANK(Inputs!$A44),"",
IF(OR(AM436="Solved",AM436="--"),"--",
((Mat.Conc_Alpha.1*Mat.Conc_f.c*$AB436*MIN(AM436*Mat.Conc_Beta.1,$Y436))
+(Mat.Conc_Alpha.1*Mat.Conc_f.c*$V436*MAX(0,AM436*Mat.Conc_Beta.1-$Y436)))
-($J436*MIN(Mat.Rebar_f.y,(Mat.Rebar_epsilon.cl*($S436-AM436)/AM436)*Mat.PT_E.s))
-($M436*Mat.PT_f.pu*(1-Mat.PT_k*AM436/$P436))))</f>
        <v/>
      </c>
      <c r="AP436" s="329"/>
      <c r="AQ436" s="167" t="str">
        <f>IF(ISBLANK(Inputs!$A44),"",
IF(AO436="--","Solved",
IF(ABS(AO436)&lt;=0.001,"Solved",AM436-AO436*(AM436-AI436)/(AO436-AK436))))</f>
        <v/>
      </c>
      <c r="AR436" s="167"/>
      <c r="AS436" s="329" t="str">
        <f>IF(ISBLANK(Inputs!$A44),"",
IF(OR(AQ436="Solved",AQ436="--"),"--",
((Mat.Conc_Alpha.1*Mat.Conc_f.c*$AB436*MIN(AQ436*Mat.Conc_Beta.1,$Y436))
+(Mat.Conc_Alpha.1*Mat.Conc_f.c*$V436*MAX(0,AQ436*Mat.Conc_Beta.1-$Y436)))
-($J436*MIN(Mat.Rebar_f.y,(Mat.Rebar_epsilon.cl*($S436-AQ436)/AQ436)*Mat.PT_E.s))
-($M436*Mat.PT_f.pu*(1-Mat.PT_k*AQ436/$P436))))</f>
        <v/>
      </c>
      <c r="AT436" s="329"/>
      <c r="AU436" s="167" t="str">
        <f>IF(ISBLANK(Inputs!$A44),"",
IF(AS436="--","Solved",
IF(ABS(AS436)&lt;=0.001,"Solved",AQ436-AS436*(AQ436-AM436)/(AS436-AO436))))</f>
        <v/>
      </c>
      <c r="AV436" s="167"/>
      <c r="AW436" s="329" t="str">
        <f>IF(ISBLANK(Inputs!$A44),"",
IF(OR(AU436="Solved",AU436="--"),"--",
((Mat.Conc_Alpha.1*Mat.Conc_f.c*$AB436*MIN(AU436*Mat.Conc_Beta.1,$Y436))
+(Mat.Conc_Alpha.1*Mat.Conc_f.c*$V436*MAX(0,AU436*Mat.Conc_Beta.1-$Y436)))
-($J436*MIN(Mat.Rebar_f.y,(Mat.Rebar_epsilon.cl*($S436-AU436)/AU436)*Mat.PT_E.s))
-($M436*Mat.PT_f.pu*(1-Mat.PT_k*AU436/$P436))))</f>
        <v/>
      </c>
      <c r="AX436" s="329"/>
      <c r="AY436" s="167" t="str">
        <f>IF(ISBLANK(Inputs!$A44),"",
IF(AW436="--","Solved",
IF(ABS(AW436)&lt;=0.001,"Solved",AU436-AW436*(AU436-AQ436)/(AW436-AS436))))</f>
        <v/>
      </c>
      <c r="AZ436" s="167"/>
      <c r="BA436" s="329" t="str">
        <f>IF(ISBLANK(Inputs!$A44),"",
IF(OR(AY436="Solved",AY436="--"),"--",
((Mat.Conc_Alpha.1*Mat.Conc_f.c*$AB436*MIN(AY436*Mat.Conc_Beta.1,$Y436))
+(Mat.Conc_Alpha.1*Mat.Conc_f.c*$V436*MAX(0,AY436*Mat.Conc_Beta.1-$Y436)))
-($J436*MIN(Mat.Rebar_f.y,(Mat.Rebar_epsilon.cl*($S436-AY436)/AY436)*Mat.PT_E.s))
-($M436*Mat.PT_f.pu*(1-Mat.PT_k*AY436/$P436))))</f>
        <v/>
      </c>
      <c r="BB436" s="329"/>
      <c r="BC436" s="167" t="str">
        <f>IF(ISBLANK(Inputs!$A44),"",
IF(BA436="--","Solved",
IF(ABS(BA436)&lt;=0.001,"Solved",AY436-BA436*(AY436-AU436)/(BA436-AW436))))</f>
        <v/>
      </c>
      <c r="BD436" s="167"/>
      <c r="BE436" s="329" t="str">
        <f>IF(ISBLANK(Inputs!$A44),"",
IF(OR(BC436="Solved",BC436="--"),"--",
((Mat.Conc_Alpha.1*Mat.Conc_f.c*$AB436*MIN(BC436*Mat.Conc_Beta.1,$Y436))
+(Mat.Conc_Alpha.1*Mat.Conc_f.c*$V436*MAX(0,BC436*Mat.Conc_Beta.1-$Y436)))
-($J436*MIN(Mat.Rebar_f.y,(Mat.Rebar_epsilon.cl*($S436-BC436)/BC436)*Mat.PT_E.s))
-($M436*Mat.PT_f.pu*(1-Mat.PT_k*BC436/$P436))))</f>
        <v/>
      </c>
      <c r="BF436" s="329"/>
      <c r="BG436" s="167" t="str">
        <f>IF(ISBLANK(Inputs!$A44),"",
IF(BE436="--","Solved",
IF(ABS(BE436)&lt;=0.001,"Solved",BC436-BE436*(BC436-AY436)/(BE436-BA436))))</f>
        <v/>
      </c>
      <c r="BH436" s="167"/>
      <c r="BI436" s="329" t="str">
        <f>IF(ISBLANK(Inputs!$A44),"",
IF(OR(BG436="Solved",BG436="--"),"--",
((Mat.Conc_Alpha.1*Mat.Conc_f.c*$AB436*MIN(BG436*Mat.Conc_Beta.1,$Y436))
+(Mat.Conc_Alpha.1*Mat.Conc_f.c*$V436*MAX(0,BG436*Mat.Conc_Beta.1-$Y436)))
-($J436*MIN(Mat.Rebar_f.y,(Mat.Rebar_epsilon.cl*($S436-BG436)/BG436)*Mat.PT_E.s))
-($M436*Mat.PT_f.pu*(1-Mat.PT_k*BG436/$P436))))</f>
        <v/>
      </c>
      <c r="BJ436" s="329"/>
      <c r="BK436" s="167" t="str">
        <f>IF(ISBLANK(Inputs!$A44),"",
IF(BI436="--","Solved",
IF(ABS(BI436)&lt;=0.001,"Solved",BG436-BI436*(BG436-BC436)/(BI436-BE436))))</f>
        <v/>
      </c>
      <c r="BL436" s="167"/>
      <c r="BM436" s="329" t="str">
        <f>IF(ISBLANK(Inputs!$A44),"",
IF(OR(BK436="Solved",BK436="--"),"--",
((Mat.Conc_Alpha.1*Mat.Conc_f.c*$AB436*MIN(BK436*Mat.Conc_Beta.1,$Y436))
+(Mat.Conc_Alpha.1*Mat.Conc_f.c*$V436*MAX(0,BK436*Mat.Conc_Beta.1-$Y436)))
-($J436*MIN(Mat.Rebar_f.y,(Mat.Rebar_epsilon.cl*($S436-BK436)/BK436)*Mat.PT_E.s))
-($M436*Mat.PT_f.pu*(1-Mat.PT_k*BK436/$P436))))</f>
        <v/>
      </c>
      <c r="BN436" s="329"/>
      <c r="BO436" s="167" t="str">
        <f>IF(ISBLANK(Inputs!$A44),"",
IF(BM436="--","Solved",
IF(ABS(BM436)&lt;=0.001,"Solved",BK436-BM436*(BK436-BG436)/(BM436-BI436))))</f>
        <v/>
      </c>
      <c r="BP436" s="167"/>
      <c r="BQ436" s="329" t="str">
        <f>IF(ISBLANK(Inputs!$A44),"",
IF(OR(BO436="Solved",BO436="--"),"--",
((Mat.Conc_Alpha.1*Mat.Conc_f.c*$AB436*MIN(BO436*Mat.Conc_Beta.1,$Y436))
+(Mat.Conc_Alpha.1*Mat.Conc_f.c*$V436*MAX(0,BO436*Mat.Conc_Beta.1-$Y436)))
-($J436*MIN(Mat.Rebar_f.y,(Mat.Rebar_epsilon.cl*($S436-BO436)/BO436)*Mat.PT_E.s))
-($M436*Mat.PT_f.pu*(1-Mat.PT_k*BO436/$P436))))</f>
        <v/>
      </c>
      <c r="BR436" s="329"/>
      <c r="BT436" s="98"/>
      <c r="BU436" s="70"/>
      <c r="BV436" s="70"/>
      <c r="BW436" s="8"/>
      <c r="BX436" s="8"/>
      <c r="BY436" s="8"/>
      <c r="BZ436" s="8"/>
      <c r="CA436" s="8"/>
      <c r="CB436" s="10"/>
    </row>
    <row r="437" spans="3:80" ht="15" customHeight="1" x14ac:dyDescent="0.25">
      <c r="C437" s="69"/>
      <c r="F437" s="167" t="str">
        <f>IF(ISBLANK(Inputs!A45),"",Inputs!A45)</f>
        <v/>
      </c>
      <c r="G437" s="167"/>
      <c r="H437" s="167" t="str">
        <f>IF(ISBLANK(Inputs!B45),"",Inputs!B45)</f>
        <v/>
      </c>
      <c r="I437" s="167"/>
      <c r="J437" s="168" t="str">
        <f>IF(ISBLANK(Inputs!G45),"",Inputs!G45)</f>
        <v/>
      </c>
      <c r="K437" s="168"/>
      <c r="L437" s="168"/>
      <c r="M437" s="168" t="str">
        <f>IF(ISBLANK(Inputs!D45),"",Inputs!D45)</f>
        <v/>
      </c>
      <c r="N437" s="168"/>
      <c r="O437" s="168"/>
      <c r="P437" s="168" t="str">
        <f>IF(ISBLANK(Inputs!F45),"",Inputs!F45)</f>
        <v/>
      </c>
      <c r="Q437" s="168"/>
      <c r="R437" s="168"/>
      <c r="S437" s="168" t="str">
        <f>IF(ISBLANK(Inputs!H45),"",Inputs!H45)</f>
        <v/>
      </c>
      <c r="T437" s="168"/>
      <c r="U437" s="168"/>
      <c r="V437" s="168" t="str">
        <f>IF(ISBLANK(Inputs!E45),"",Inputs!E45)</f>
        <v/>
      </c>
      <c r="W437" s="168"/>
      <c r="X437" s="168"/>
      <c r="Y437" s="168" t="str">
        <f>IF(ISBLANK(Inputs!I45),"",Inputs!I45)</f>
        <v/>
      </c>
      <c r="Z437" s="168"/>
      <c r="AA437" s="168"/>
      <c r="AB437" s="168">
        <f>IF(ISBLANK(Inputs!J45),"",Inputs!J45)</f>
        <v>96</v>
      </c>
      <c r="AC437" s="168"/>
      <c r="AD437" s="168"/>
      <c r="AE437" s="167" t="str">
        <f>IF(ISBLANK(Inputs!A45),"",Y437)</f>
        <v/>
      </c>
      <c r="AF437" s="167"/>
      <c r="AG437" s="329" t="str">
        <f>IF(ISBLANK(Inputs!$A45),"",
IF(OR(AE437="Solved",AE437="--"),"--",
((Mat.Conc_Alpha.1*Mat.Conc_f.c*$AB437*MIN(AE437*Mat.Conc_Beta.1,$Y437))
+(Mat.Conc_Alpha.1*Mat.Conc_f.c*$V437*MAX(0,AE437*Mat.Conc_Beta.1-$Y437)))
-($J437*MIN(Mat.Rebar_f.y,(Mat.Rebar_epsilon.cl*($S437-AE437)/AE437)*Mat.PT_E.s))
-($M437*Mat.PT_f.pu*(1-Mat.PT_k*AE437/$P437))))</f>
        <v/>
      </c>
      <c r="AH437" s="329"/>
      <c r="AI437" s="167" t="str">
        <f>IF(ISBLANK(Inputs!$A45),"",
IF(ABS(AG437)&lt;=0.001,"Solved",IF(AG437&gt;0,0.85*AE437,1.15*AE437)))</f>
        <v/>
      </c>
      <c r="AJ437" s="167"/>
      <c r="AK437" s="329" t="str">
        <f>IF(ISBLANK(Inputs!$A45),"",
IF(OR(AI437="Solved",AI437="--"),"--",
((Mat.Conc_Alpha.1*Mat.Conc_f.c*$AB437*MIN(AI437*Mat.Conc_Beta.1,$Y437))
+(Mat.Conc_Alpha.1*Mat.Conc_f.c*$V437*MAX(0,AI437*Mat.Conc_Beta.1-$Y437)))
-($J437*MIN(Mat.Rebar_f.y,(Mat.Rebar_epsilon.cl*($S437-AI437)/AI437)*Mat.PT_E.s))
-($M437*Mat.PT_f.pu*(1-Mat.PT_k*AI437/$P437))))</f>
        <v/>
      </c>
      <c r="AL437" s="329"/>
      <c r="AM437" s="167" t="str">
        <f>IF(ISBLANK(Inputs!$A45),"",
IF(AK437="--","Solved",
IF(ABS(AK437)&lt;=0.001,"Solved",AI437-AK437*(AI437-AE437)/(AK437-AG437))))</f>
        <v/>
      </c>
      <c r="AN437" s="167"/>
      <c r="AO437" s="329" t="str">
        <f>IF(ISBLANK(Inputs!$A45),"",
IF(OR(AM437="Solved",AM437="--"),"--",
((Mat.Conc_Alpha.1*Mat.Conc_f.c*$AB437*MIN(AM437*Mat.Conc_Beta.1,$Y437))
+(Mat.Conc_Alpha.1*Mat.Conc_f.c*$V437*MAX(0,AM437*Mat.Conc_Beta.1-$Y437)))
-($J437*MIN(Mat.Rebar_f.y,(Mat.Rebar_epsilon.cl*($S437-AM437)/AM437)*Mat.PT_E.s))
-($M437*Mat.PT_f.pu*(1-Mat.PT_k*AM437/$P437))))</f>
        <v/>
      </c>
      <c r="AP437" s="329"/>
      <c r="AQ437" s="167" t="str">
        <f>IF(ISBLANK(Inputs!$A45),"",
IF(AO437="--","Solved",
IF(ABS(AO437)&lt;=0.001,"Solved",AM437-AO437*(AM437-AI437)/(AO437-AK437))))</f>
        <v/>
      </c>
      <c r="AR437" s="167"/>
      <c r="AS437" s="329" t="str">
        <f>IF(ISBLANK(Inputs!$A45),"",
IF(OR(AQ437="Solved",AQ437="--"),"--",
((Mat.Conc_Alpha.1*Mat.Conc_f.c*$AB437*MIN(AQ437*Mat.Conc_Beta.1,$Y437))
+(Mat.Conc_Alpha.1*Mat.Conc_f.c*$V437*MAX(0,AQ437*Mat.Conc_Beta.1-$Y437)))
-($J437*MIN(Mat.Rebar_f.y,(Mat.Rebar_epsilon.cl*($S437-AQ437)/AQ437)*Mat.PT_E.s))
-($M437*Mat.PT_f.pu*(1-Mat.PT_k*AQ437/$P437))))</f>
        <v/>
      </c>
      <c r="AT437" s="329"/>
      <c r="AU437" s="167" t="str">
        <f>IF(ISBLANK(Inputs!$A45),"",
IF(AS437="--","Solved",
IF(ABS(AS437)&lt;=0.001,"Solved",AQ437-AS437*(AQ437-AM437)/(AS437-AO437))))</f>
        <v/>
      </c>
      <c r="AV437" s="167"/>
      <c r="AW437" s="329" t="str">
        <f>IF(ISBLANK(Inputs!$A45),"",
IF(OR(AU437="Solved",AU437="--"),"--",
((Mat.Conc_Alpha.1*Mat.Conc_f.c*$AB437*MIN(AU437*Mat.Conc_Beta.1,$Y437))
+(Mat.Conc_Alpha.1*Mat.Conc_f.c*$V437*MAX(0,AU437*Mat.Conc_Beta.1-$Y437)))
-($J437*MIN(Mat.Rebar_f.y,(Mat.Rebar_epsilon.cl*($S437-AU437)/AU437)*Mat.PT_E.s))
-($M437*Mat.PT_f.pu*(1-Mat.PT_k*AU437/$P437))))</f>
        <v/>
      </c>
      <c r="AX437" s="329"/>
      <c r="AY437" s="167" t="str">
        <f>IF(ISBLANK(Inputs!$A45),"",
IF(AW437="--","Solved",
IF(ABS(AW437)&lt;=0.001,"Solved",AU437-AW437*(AU437-AQ437)/(AW437-AS437))))</f>
        <v/>
      </c>
      <c r="AZ437" s="167"/>
      <c r="BA437" s="329" t="str">
        <f>IF(ISBLANK(Inputs!$A45),"",
IF(OR(AY437="Solved",AY437="--"),"--",
((Mat.Conc_Alpha.1*Mat.Conc_f.c*$AB437*MIN(AY437*Mat.Conc_Beta.1,$Y437))
+(Mat.Conc_Alpha.1*Mat.Conc_f.c*$V437*MAX(0,AY437*Mat.Conc_Beta.1-$Y437)))
-($J437*MIN(Mat.Rebar_f.y,(Mat.Rebar_epsilon.cl*($S437-AY437)/AY437)*Mat.PT_E.s))
-($M437*Mat.PT_f.pu*(1-Mat.PT_k*AY437/$P437))))</f>
        <v/>
      </c>
      <c r="BB437" s="329"/>
      <c r="BC437" s="167" t="str">
        <f>IF(ISBLANK(Inputs!$A45),"",
IF(BA437="--","Solved",
IF(ABS(BA437)&lt;=0.001,"Solved",AY437-BA437*(AY437-AU437)/(BA437-AW437))))</f>
        <v/>
      </c>
      <c r="BD437" s="167"/>
      <c r="BE437" s="329" t="str">
        <f>IF(ISBLANK(Inputs!$A45),"",
IF(OR(BC437="Solved",BC437="--"),"--",
((Mat.Conc_Alpha.1*Mat.Conc_f.c*$AB437*MIN(BC437*Mat.Conc_Beta.1,$Y437))
+(Mat.Conc_Alpha.1*Mat.Conc_f.c*$V437*MAX(0,BC437*Mat.Conc_Beta.1-$Y437)))
-($J437*MIN(Mat.Rebar_f.y,(Mat.Rebar_epsilon.cl*($S437-BC437)/BC437)*Mat.PT_E.s))
-($M437*Mat.PT_f.pu*(1-Mat.PT_k*BC437/$P437))))</f>
        <v/>
      </c>
      <c r="BF437" s="329"/>
      <c r="BG437" s="167" t="str">
        <f>IF(ISBLANK(Inputs!$A45),"",
IF(BE437="--","Solved",
IF(ABS(BE437)&lt;=0.001,"Solved",BC437-BE437*(BC437-AY437)/(BE437-BA437))))</f>
        <v/>
      </c>
      <c r="BH437" s="167"/>
      <c r="BI437" s="329" t="str">
        <f>IF(ISBLANK(Inputs!$A45),"",
IF(OR(BG437="Solved",BG437="--"),"--",
((Mat.Conc_Alpha.1*Mat.Conc_f.c*$AB437*MIN(BG437*Mat.Conc_Beta.1,$Y437))
+(Mat.Conc_Alpha.1*Mat.Conc_f.c*$V437*MAX(0,BG437*Mat.Conc_Beta.1-$Y437)))
-($J437*MIN(Mat.Rebar_f.y,(Mat.Rebar_epsilon.cl*($S437-BG437)/BG437)*Mat.PT_E.s))
-($M437*Mat.PT_f.pu*(1-Mat.PT_k*BG437/$P437))))</f>
        <v/>
      </c>
      <c r="BJ437" s="329"/>
      <c r="BK437" s="167" t="str">
        <f>IF(ISBLANK(Inputs!$A45),"",
IF(BI437="--","Solved",
IF(ABS(BI437)&lt;=0.001,"Solved",BG437-BI437*(BG437-BC437)/(BI437-BE437))))</f>
        <v/>
      </c>
      <c r="BL437" s="167"/>
      <c r="BM437" s="329" t="str">
        <f>IF(ISBLANK(Inputs!$A45),"",
IF(OR(BK437="Solved",BK437="--"),"--",
((Mat.Conc_Alpha.1*Mat.Conc_f.c*$AB437*MIN(BK437*Mat.Conc_Beta.1,$Y437))
+(Mat.Conc_Alpha.1*Mat.Conc_f.c*$V437*MAX(0,BK437*Mat.Conc_Beta.1-$Y437)))
-($J437*MIN(Mat.Rebar_f.y,(Mat.Rebar_epsilon.cl*($S437-BK437)/BK437)*Mat.PT_E.s))
-($M437*Mat.PT_f.pu*(1-Mat.PT_k*BK437/$P437))))</f>
        <v/>
      </c>
      <c r="BN437" s="329"/>
      <c r="BO437" s="167" t="str">
        <f>IF(ISBLANK(Inputs!$A45),"",
IF(BM437="--","Solved",
IF(ABS(BM437)&lt;=0.001,"Solved",BK437-BM437*(BK437-BG437)/(BM437-BI437))))</f>
        <v/>
      </c>
      <c r="BP437" s="167"/>
      <c r="BQ437" s="329" t="str">
        <f>IF(ISBLANK(Inputs!$A45),"",
IF(OR(BO437="Solved",BO437="--"),"--",
((Mat.Conc_Alpha.1*Mat.Conc_f.c*$AB437*MIN(BO437*Mat.Conc_Beta.1,$Y437))
+(Mat.Conc_Alpha.1*Mat.Conc_f.c*$V437*MAX(0,BO437*Mat.Conc_Beta.1-$Y437)))
-($J437*MIN(Mat.Rebar_f.y,(Mat.Rebar_epsilon.cl*($S437-BO437)/BO437)*Mat.PT_E.s))
-($M437*Mat.PT_f.pu*(1-Mat.PT_k*BO437/$P437))))</f>
        <v/>
      </c>
      <c r="BR437" s="329"/>
      <c r="BT437" s="98"/>
      <c r="BU437" s="70"/>
      <c r="BV437" s="70"/>
      <c r="BW437" s="8"/>
      <c r="BX437" s="8"/>
      <c r="BY437" s="8"/>
      <c r="BZ437" s="8"/>
      <c r="CA437" s="8"/>
      <c r="CB437" s="10"/>
    </row>
    <row r="438" spans="3:80" ht="15" customHeight="1" x14ac:dyDescent="0.25">
      <c r="C438" s="69"/>
      <c r="F438" s="167" t="str">
        <f>IF(ISBLANK(Inputs!A46),"",Inputs!A46)</f>
        <v/>
      </c>
      <c r="G438" s="167"/>
      <c r="H438" s="167" t="str">
        <f>IF(ISBLANK(Inputs!B46),"",Inputs!B46)</f>
        <v/>
      </c>
      <c r="I438" s="167"/>
      <c r="J438" s="168" t="str">
        <f>IF(ISBLANK(Inputs!G46),"",Inputs!G46)</f>
        <v/>
      </c>
      <c r="K438" s="168"/>
      <c r="L438" s="168"/>
      <c r="M438" s="168" t="str">
        <f>IF(ISBLANK(Inputs!D46),"",Inputs!D46)</f>
        <v/>
      </c>
      <c r="N438" s="168"/>
      <c r="O438" s="168"/>
      <c r="P438" s="168" t="str">
        <f>IF(ISBLANK(Inputs!F46),"",Inputs!F46)</f>
        <v/>
      </c>
      <c r="Q438" s="168"/>
      <c r="R438" s="168"/>
      <c r="S438" s="168" t="str">
        <f>IF(ISBLANK(Inputs!H46),"",Inputs!H46)</f>
        <v/>
      </c>
      <c r="T438" s="168"/>
      <c r="U438" s="168"/>
      <c r="V438" s="168" t="str">
        <f>IF(ISBLANK(Inputs!E46),"",Inputs!E46)</f>
        <v/>
      </c>
      <c r="W438" s="168"/>
      <c r="X438" s="168"/>
      <c r="Y438" s="168" t="str">
        <f>IF(ISBLANK(Inputs!I46),"",Inputs!I46)</f>
        <v/>
      </c>
      <c r="Z438" s="168"/>
      <c r="AA438" s="168"/>
      <c r="AB438" s="168">
        <f>IF(ISBLANK(Inputs!J46),"",Inputs!J46)</f>
        <v>96</v>
      </c>
      <c r="AC438" s="168"/>
      <c r="AD438" s="168"/>
      <c r="AE438" s="167" t="str">
        <f>IF(ISBLANK(Inputs!A46),"",Y438)</f>
        <v/>
      </c>
      <c r="AF438" s="167"/>
      <c r="AG438" s="329" t="str">
        <f>IF(ISBLANK(Inputs!$A46),"",
IF(OR(AE438="Solved",AE438="--"),"--",
((Mat.Conc_Alpha.1*Mat.Conc_f.c*$AB438*MIN(AE438*Mat.Conc_Beta.1,$Y438))
+(Mat.Conc_Alpha.1*Mat.Conc_f.c*$V438*MAX(0,AE438*Mat.Conc_Beta.1-$Y438)))
-($J438*MIN(Mat.Rebar_f.y,(Mat.Rebar_epsilon.cl*($S438-AE438)/AE438)*Mat.PT_E.s))
-($M438*Mat.PT_f.pu*(1-Mat.PT_k*AE438/$P438))))</f>
        <v/>
      </c>
      <c r="AH438" s="329"/>
      <c r="AI438" s="167" t="str">
        <f>IF(ISBLANK(Inputs!$A46),"",
IF(ABS(AG438)&lt;=0.001,"Solved",IF(AG438&gt;0,0.85*AE438,1.15*AE438)))</f>
        <v/>
      </c>
      <c r="AJ438" s="167"/>
      <c r="AK438" s="329" t="str">
        <f>IF(ISBLANK(Inputs!$A46),"",
IF(OR(AI438="Solved",AI438="--"),"--",
((Mat.Conc_Alpha.1*Mat.Conc_f.c*$AB438*MIN(AI438*Mat.Conc_Beta.1,$Y438))
+(Mat.Conc_Alpha.1*Mat.Conc_f.c*$V438*MAX(0,AI438*Mat.Conc_Beta.1-$Y438)))
-($J438*MIN(Mat.Rebar_f.y,(Mat.Rebar_epsilon.cl*($S438-AI438)/AI438)*Mat.PT_E.s))
-($M438*Mat.PT_f.pu*(1-Mat.PT_k*AI438/$P438))))</f>
        <v/>
      </c>
      <c r="AL438" s="329"/>
      <c r="AM438" s="167" t="str">
        <f>IF(ISBLANK(Inputs!$A46),"",
IF(AK438="--","Solved",
IF(ABS(AK438)&lt;=0.001,"Solved",AI438-AK438*(AI438-AE438)/(AK438-AG438))))</f>
        <v/>
      </c>
      <c r="AN438" s="167"/>
      <c r="AO438" s="329" t="str">
        <f>IF(ISBLANK(Inputs!$A46),"",
IF(OR(AM438="Solved",AM438="--"),"--",
((Mat.Conc_Alpha.1*Mat.Conc_f.c*$AB438*MIN(AM438*Mat.Conc_Beta.1,$Y438))
+(Mat.Conc_Alpha.1*Mat.Conc_f.c*$V438*MAX(0,AM438*Mat.Conc_Beta.1-$Y438)))
-($J438*MIN(Mat.Rebar_f.y,(Mat.Rebar_epsilon.cl*($S438-AM438)/AM438)*Mat.PT_E.s))
-($M438*Mat.PT_f.pu*(1-Mat.PT_k*AM438/$P438))))</f>
        <v/>
      </c>
      <c r="AP438" s="329"/>
      <c r="AQ438" s="167" t="str">
        <f>IF(ISBLANK(Inputs!$A46),"",
IF(AO438="--","Solved",
IF(ABS(AO438)&lt;=0.001,"Solved",AM438-AO438*(AM438-AI438)/(AO438-AK438))))</f>
        <v/>
      </c>
      <c r="AR438" s="167"/>
      <c r="AS438" s="329" t="str">
        <f>IF(ISBLANK(Inputs!$A46),"",
IF(OR(AQ438="Solved",AQ438="--"),"--",
((Mat.Conc_Alpha.1*Mat.Conc_f.c*$AB438*MIN(AQ438*Mat.Conc_Beta.1,$Y438))
+(Mat.Conc_Alpha.1*Mat.Conc_f.c*$V438*MAX(0,AQ438*Mat.Conc_Beta.1-$Y438)))
-($J438*MIN(Mat.Rebar_f.y,(Mat.Rebar_epsilon.cl*($S438-AQ438)/AQ438)*Mat.PT_E.s))
-($M438*Mat.PT_f.pu*(1-Mat.PT_k*AQ438/$P438))))</f>
        <v/>
      </c>
      <c r="AT438" s="329"/>
      <c r="AU438" s="167" t="str">
        <f>IF(ISBLANK(Inputs!$A46),"",
IF(AS438="--","Solved",
IF(ABS(AS438)&lt;=0.001,"Solved",AQ438-AS438*(AQ438-AM438)/(AS438-AO438))))</f>
        <v/>
      </c>
      <c r="AV438" s="167"/>
      <c r="AW438" s="329" t="str">
        <f>IF(ISBLANK(Inputs!$A46),"",
IF(OR(AU438="Solved",AU438="--"),"--",
((Mat.Conc_Alpha.1*Mat.Conc_f.c*$AB438*MIN(AU438*Mat.Conc_Beta.1,$Y438))
+(Mat.Conc_Alpha.1*Mat.Conc_f.c*$V438*MAX(0,AU438*Mat.Conc_Beta.1-$Y438)))
-($J438*MIN(Mat.Rebar_f.y,(Mat.Rebar_epsilon.cl*($S438-AU438)/AU438)*Mat.PT_E.s))
-($M438*Mat.PT_f.pu*(1-Mat.PT_k*AU438/$P438))))</f>
        <v/>
      </c>
      <c r="AX438" s="329"/>
      <c r="AY438" s="167" t="str">
        <f>IF(ISBLANK(Inputs!$A46),"",
IF(AW438="--","Solved",
IF(ABS(AW438)&lt;=0.001,"Solved",AU438-AW438*(AU438-AQ438)/(AW438-AS438))))</f>
        <v/>
      </c>
      <c r="AZ438" s="167"/>
      <c r="BA438" s="329" t="str">
        <f>IF(ISBLANK(Inputs!$A46),"",
IF(OR(AY438="Solved",AY438="--"),"--",
((Mat.Conc_Alpha.1*Mat.Conc_f.c*$AB438*MIN(AY438*Mat.Conc_Beta.1,$Y438))
+(Mat.Conc_Alpha.1*Mat.Conc_f.c*$V438*MAX(0,AY438*Mat.Conc_Beta.1-$Y438)))
-($J438*MIN(Mat.Rebar_f.y,(Mat.Rebar_epsilon.cl*($S438-AY438)/AY438)*Mat.PT_E.s))
-($M438*Mat.PT_f.pu*(1-Mat.PT_k*AY438/$P438))))</f>
        <v/>
      </c>
      <c r="BB438" s="329"/>
      <c r="BC438" s="167" t="str">
        <f>IF(ISBLANK(Inputs!$A46),"",
IF(BA438="--","Solved",
IF(ABS(BA438)&lt;=0.001,"Solved",AY438-BA438*(AY438-AU438)/(BA438-AW438))))</f>
        <v/>
      </c>
      <c r="BD438" s="167"/>
      <c r="BE438" s="329" t="str">
        <f>IF(ISBLANK(Inputs!$A46),"",
IF(OR(BC438="Solved",BC438="--"),"--",
((Mat.Conc_Alpha.1*Mat.Conc_f.c*$AB438*MIN(BC438*Mat.Conc_Beta.1,$Y438))
+(Mat.Conc_Alpha.1*Mat.Conc_f.c*$V438*MAX(0,BC438*Mat.Conc_Beta.1-$Y438)))
-($J438*MIN(Mat.Rebar_f.y,(Mat.Rebar_epsilon.cl*($S438-BC438)/BC438)*Mat.PT_E.s))
-($M438*Mat.PT_f.pu*(1-Mat.PT_k*BC438/$P438))))</f>
        <v/>
      </c>
      <c r="BF438" s="329"/>
      <c r="BG438" s="167" t="str">
        <f>IF(ISBLANK(Inputs!$A46),"",
IF(BE438="--","Solved",
IF(ABS(BE438)&lt;=0.001,"Solved",BC438-BE438*(BC438-AY438)/(BE438-BA438))))</f>
        <v/>
      </c>
      <c r="BH438" s="167"/>
      <c r="BI438" s="329" t="str">
        <f>IF(ISBLANK(Inputs!$A46),"",
IF(OR(BG438="Solved",BG438="--"),"--",
((Mat.Conc_Alpha.1*Mat.Conc_f.c*$AB438*MIN(BG438*Mat.Conc_Beta.1,$Y438))
+(Mat.Conc_Alpha.1*Mat.Conc_f.c*$V438*MAX(0,BG438*Mat.Conc_Beta.1-$Y438)))
-($J438*MIN(Mat.Rebar_f.y,(Mat.Rebar_epsilon.cl*($S438-BG438)/BG438)*Mat.PT_E.s))
-($M438*Mat.PT_f.pu*(1-Mat.PT_k*BG438/$P438))))</f>
        <v/>
      </c>
      <c r="BJ438" s="329"/>
      <c r="BK438" s="167" t="str">
        <f>IF(ISBLANK(Inputs!$A46),"",
IF(BI438="--","Solved",
IF(ABS(BI438)&lt;=0.001,"Solved",BG438-BI438*(BG438-BC438)/(BI438-BE438))))</f>
        <v/>
      </c>
      <c r="BL438" s="167"/>
      <c r="BM438" s="329" t="str">
        <f>IF(ISBLANK(Inputs!$A46),"",
IF(OR(BK438="Solved",BK438="--"),"--",
((Mat.Conc_Alpha.1*Mat.Conc_f.c*$AB438*MIN(BK438*Mat.Conc_Beta.1,$Y438))
+(Mat.Conc_Alpha.1*Mat.Conc_f.c*$V438*MAX(0,BK438*Mat.Conc_Beta.1-$Y438)))
-($J438*MIN(Mat.Rebar_f.y,(Mat.Rebar_epsilon.cl*($S438-BK438)/BK438)*Mat.PT_E.s))
-($M438*Mat.PT_f.pu*(1-Mat.PT_k*BK438/$P438))))</f>
        <v/>
      </c>
      <c r="BN438" s="329"/>
      <c r="BO438" s="167" t="str">
        <f>IF(ISBLANK(Inputs!$A46),"",
IF(BM438="--","Solved",
IF(ABS(BM438)&lt;=0.001,"Solved",BK438-BM438*(BK438-BG438)/(BM438-BI438))))</f>
        <v/>
      </c>
      <c r="BP438" s="167"/>
      <c r="BQ438" s="329" t="str">
        <f>IF(ISBLANK(Inputs!$A46),"",
IF(OR(BO438="Solved",BO438="--"),"--",
((Mat.Conc_Alpha.1*Mat.Conc_f.c*$AB438*MIN(BO438*Mat.Conc_Beta.1,$Y438))
+(Mat.Conc_Alpha.1*Mat.Conc_f.c*$V438*MAX(0,BO438*Mat.Conc_Beta.1-$Y438)))
-($J438*MIN(Mat.Rebar_f.y,(Mat.Rebar_epsilon.cl*($S438-BO438)/BO438)*Mat.PT_E.s))
-($M438*Mat.PT_f.pu*(1-Mat.PT_k*BO438/$P438))))</f>
        <v/>
      </c>
      <c r="BR438" s="329"/>
      <c r="BT438" s="98"/>
      <c r="BU438" s="70"/>
      <c r="BV438" s="70"/>
      <c r="BW438" s="8"/>
      <c r="BX438" s="8"/>
      <c r="BY438" s="8"/>
      <c r="BZ438" s="8"/>
      <c r="CA438" s="8"/>
      <c r="CB438" s="10"/>
    </row>
    <row r="439" spans="3:80" ht="15" customHeight="1" x14ac:dyDescent="0.25">
      <c r="C439" s="69"/>
      <c r="F439" s="167" t="str">
        <f>IF(ISBLANK(Inputs!A47),"",Inputs!A47)</f>
        <v/>
      </c>
      <c r="G439" s="167"/>
      <c r="H439" s="167" t="str">
        <f>IF(ISBLANK(Inputs!B47),"",Inputs!B47)</f>
        <v/>
      </c>
      <c r="I439" s="167"/>
      <c r="J439" s="168" t="str">
        <f>IF(ISBLANK(Inputs!G47),"",Inputs!G47)</f>
        <v/>
      </c>
      <c r="K439" s="168"/>
      <c r="L439" s="168"/>
      <c r="M439" s="168" t="str">
        <f>IF(ISBLANK(Inputs!D47),"",Inputs!D47)</f>
        <v/>
      </c>
      <c r="N439" s="168"/>
      <c r="O439" s="168"/>
      <c r="P439" s="168" t="str">
        <f>IF(ISBLANK(Inputs!F47),"",Inputs!F47)</f>
        <v/>
      </c>
      <c r="Q439" s="168"/>
      <c r="R439" s="168"/>
      <c r="S439" s="168" t="str">
        <f>IF(ISBLANK(Inputs!H47),"",Inputs!H47)</f>
        <v/>
      </c>
      <c r="T439" s="168"/>
      <c r="U439" s="168"/>
      <c r="V439" s="168" t="str">
        <f>IF(ISBLANK(Inputs!E47),"",Inputs!E47)</f>
        <v/>
      </c>
      <c r="W439" s="168"/>
      <c r="X439" s="168"/>
      <c r="Y439" s="168" t="str">
        <f>IF(ISBLANK(Inputs!I47),"",Inputs!I47)</f>
        <v/>
      </c>
      <c r="Z439" s="168"/>
      <c r="AA439" s="168"/>
      <c r="AB439" s="168">
        <f>IF(ISBLANK(Inputs!J47),"",Inputs!J47)</f>
        <v>96</v>
      </c>
      <c r="AC439" s="168"/>
      <c r="AD439" s="168"/>
      <c r="AE439" s="167" t="str">
        <f>IF(ISBLANK(Inputs!A47),"",Y439)</f>
        <v/>
      </c>
      <c r="AF439" s="167"/>
      <c r="AG439" s="329" t="str">
        <f>IF(ISBLANK(Inputs!$A47),"",
IF(OR(AE439="Solved",AE439="--"),"--",
((Mat.Conc_Alpha.1*Mat.Conc_f.c*$AB439*MIN(AE439*Mat.Conc_Beta.1,$Y439))
+(Mat.Conc_Alpha.1*Mat.Conc_f.c*$V439*MAX(0,AE439*Mat.Conc_Beta.1-$Y439)))
-($J439*MIN(Mat.Rebar_f.y,(Mat.Rebar_epsilon.cl*($S439-AE439)/AE439)*Mat.PT_E.s))
-($M439*Mat.PT_f.pu*(1-Mat.PT_k*AE439/$P439))))</f>
        <v/>
      </c>
      <c r="AH439" s="329"/>
      <c r="AI439" s="167" t="str">
        <f>IF(ISBLANK(Inputs!$A47),"",
IF(ABS(AG439)&lt;=0.001,"Solved",IF(AG439&gt;0,0.85*AE439,1.15*AE439)))</f>
        <v/>
      </c>
      <c r="AJ439" s="167"/>
      <c r="AK439" s="329" t="str">
        <f>IF(ISBLANK(Inputs!$A47),"",
IF(OR(AI439="Solved",AI439="--"),"--",
((Mat.Conc_Alpha.1*Mat.Conc_f.c*$AB439*MIN(AI439*Mat.Conc_Beta.1,$Y439))
+(Mat.Conc_Alpha.1*Mat.Conc_f.c*$V439*MAX(0,AI439*Mat.Conc_Beta.1-$Y439)))
-($J439*MIN(Mat.Rebar_f.y,(Mat.Rebar_epsilon.cl*($S439-AI439)/AI439)*Mat.PT_E.s))
-($M439*Mat.PT_f.pu*(1-Mat.PT_k*AI439/$P439))))</f>
        <v/>
      </c>
      <c r="AL439" s="329"/>
      <c r="AM439" s="167" t="str">
        <f>IF(ISBLANK(Inputs!$A47),"",
IF(AK439="--","Solved",
IF(ABS(AK439)&lt;=0.001,"Solved",AI439-AK439*(AI439-AE439)/(AK439-AG439))))</f>
        <v/>
      </c>
      <c r="AN439" s="167"/>
      <c r="AO439" s="329" t="str">
        <f>IF(ISBLANK(Inputs!$A47),"",
IF(OR(AM439="Solved",AM439="--"),"--",
((Mat.Conc_Alpha.1*Mat.Conc_f.c*$AB439*MIN(AM439*Mat.Conc_Beta.1,$Y439))
+(Mat.Conc_Alpha.1*Mat.Conc_f.c*$V439*MAX(0,AM439*Mat.Conc_Beta.1-$Y439)))
-($J439*MIN(Mat.Rebar_f.y,(Mat.Rebar_epsilon.cl*($S439-AM439)/AM439)*Mat.PT_E.s))
-($M439*Mat.PT_f.pu*(1-Mat.PT_k*AM439/$P439))))</f>
        <v/>
      </c>
      <c r="AP439" s="329"/>
      <c r="AQ439" s="167" t="str">
        <f>IF(ISBLANK(Inputs!$A47),"",
IF(AO439="--","Solved",
IF(ABS(AO439)&lt;=0.001,"Solved",AM439-AO439*(AM439-AI439)/(AO439-AK439))))</f>
        <v/>
      </c>
      <c r="AR439" s="167"/>
      <c r="AS439" s="329" t="str">
        <f>IF(ISBLANK(Inputs!$A47),"",
IF(OR(AQ439="Solved",AQ439="--"),"--",
((Mat.Conc_Alpha.1*Mat.Conc_f.c*$AB439*MIN(AQ439*Mat.Conc_Beta.1,$Y439))
+(Mat.Conc_Alpha.1*Mat.Conc_f.c*$V439*MAX(0,AQ439*Mat.Conc_Beta.1-$Y439)))
-($J439*MIN(Mat.Rebar_f.y,(Mat.Rebar_epsilon.cl*($S439-AQ439)/AQ439)*Mat.PT_E.s))
-($M439*Mat.PT_f.pu*(1-Mat.PT_k*AQ439/$P439))))</f>
        <v/>
      </c>
      <c r="AT439" s="329"/>
      <c r="AU439" s="167" t="str">
        <f>IF(ISBLANK(Inputs!$A47),"",
IF(AS439="--","Solved",
IF(ABS(AS439)&lt;=0.001,"Solved",AQ439-AS439*(AQ439-AM439)/(AS439-AO439))))</f>
        <v/>
      </c>
      <c r="AV439" s="167"/>
      <c r="AW439" s="329" t="str">
        <f>IF(ISBLANK(Inputs!$A47),"",
IF(OR(AU439="Solved",AU439="--"),"--",
((Mat.Conc_Alpha.1*Mat.Conc_f.c*$AB439*MIN(AU439*Mat.Conc_Beta.1,$Y439))
+(Mat.Conc_Alpha.1*Mat.Conc_f.c*$V439*MAX(0,AU439*Mat.Conc_Beta.1-$Y439)))
-($J439*MIN(Mat.Rebar_f.y,(Mat.Rebar_epsilon.cl*($S439-AU439)/AU439)*Mat.PT_E.s))
-($M439*Mat.PT_f.pu*(1-Mat.PT_k*AU439/$P439))))</f>
        <v/>
      </c>
      <c r="AX439" s="329"/>
      <c r="AY439" s="167" t="str">
        <f>IF(ISBLANK(Inputs!$A47),"",
IF(AW439="--","Solved",
IF(ABS(AW439)&lt;=0.001,"Solved",AU439-AW439*(AU439-AQ439)/(AW439-AS439))))</f>
        <v/>
      </c>
      <c r="AZ439" s="167"/>
      <c r="BA439" s="329" t="str">
        <f>IF(ISBLANK(Inputs!$A47),"",
IF(OR(AY439="Solved",AY439="--"),"--",
((Mat.Conc_Alpha.1*Mat.Conc_f.c*$AB439*MIN(AY439*Mat.Conc_Beta.1,$Y439))
+(Mat.Conc_Alpha.1*Mat.Conc_f.c*$V439*MAX(0,AY439*Mat.Conc_Beta.1-$Y439)))
-($J439*MIN(Mat.Rebar_f.y,(Mat.Rebar_epsilon.cl*($S439-AY439)/AY439)*Mat.PT_E.s))
-($M439*Mat.PT_f.pu*(1-Mat.PT_k*AY439/$P439))))</f>
        <v/>
      </c>
      <c r="BB439" s="329"/>
      <c r="BC439" s="167" t="str">
        <f>IF(ISBLANK(Inputs!$A47),"",
IF(BA439="--","Solved",
IF(ABS(BA439)&lt;=0.001,"Solved",AY439-BA439*(AY439-AU439)/(BA439-AW439))))</f>
        <v/>
      </c>
      <c r="BD439" s="167"/>
      <c r="BE439" s="329" t="str">
        <f>IF(ISBLANK(Inputs!$A47),"",
IF(OR(BC439="Solved",BC439="--"),"--",
((Mat.Conc_Alpha.1*Mat.Conc_f.c*$AB439*MIN(BC439*Mat.Conc_Beta.1,$Y439))
+(Mat.Conc_Alpha.1*Mat.Conc_f.c*$V439*MAX(0,BC439*Mat.Conc_Beta.1-$Y439)))
-($J439*MIN(Mat.Rebar_f.y,(Mat.Rebar_epsilon.cl*($S439-BC439)/BC439)*Mat.PT_E.s))
-($M439*Mat.PT_f.pu*(1-Mat.PT_k*BC439/$P439))))</f>
        <v/>
      </c>
      <c r="BF439" s="329"/>
      <c r="BG439" s="167" t="str">
        <f>IF(ISBLANK(Inputs!$A47),"",
IF(BE439="--","Solved",
IF(ABS(BE439)&lt;=0.001,"Solved",BC439-BE439*(BC439-AY439)/(BE439-BA439))))</f>
        <v/>
      </c>
      <c r="BH439" s="167"/>
      <c r="BI439" s="329" t="str">
        <f>IF(ISBLANK(Inputs!$A47),"",
IF(OR(BG439="Solved",BG439="--"),"--",
((Mat.Conc_Alpha.1*Mat.Conc_f.c*$AB439*MIN(BG439*Mat.Conc_Beta.1,$Y439))
+(Mat.Conc_Alpha.1*Mat.Conc_f.c*$V439*MAX(0,BG439*Mat.Conc_Beta.1-$Y439)))
-($J439*MIN(Mat.Rebar_f.y,(Mat.Rebar_epsilon.cl*($S439-BG439)/BG439)*Mat.PT_E.s))
-($M439*Mat.PT_f.pu*(1-Mat.PT_k*BG439/$P439))))</f>
        <v/>
      </c>
      <c r="BJ439" s="329"/>
      <c r="BK439" s="167" t="str">
        <f>IF(ISBLANK(Inputs!$A47),"",
IF(BI439="--","Solved",
IF(ABS(BI439)&lt;=0.001,"Solved",BG439-BI439*(BG439-BC439)/(BI439-BE439))))</f>
        <v/>
      </c>
      <c r="BL439" s="167"/>
      <c r="BM439" s="329" t="str">
        <f>IF(ISBLANK(Inputs!$A47),"",
IF(OR(BK439="Solved",BK439="--"),"--",
((Mat.Conc_Alpha.1*Mat.Conc_f.c*$AB439*MIN(BK439*Mat.Conc_Beta.1,$Y439))
+(Mat.Conc_Alpha.1*Mat.Conc_f.c*$V439*MAX(0,BK439*Mat.Conc_Beta.1-$Y439)))
-($J439*MIN(Mat.Rebar_f.y,(Mat.Rebar_epsilon.cl*($S439-BK439)/BK439)*Mat.PT_E.s))
-($M439*Mat.PT_f.pu*(1-Mat.PT_k*BK439/$P439))))</f>
        <v/>
      </c>
      <c r="BN439" s="329"/>
      <c r="BO439" s="167" t="str">
        <f>IF(ISBLANK(Inputs!$A47),"",
IF(BM439="--","Solved",
IF(ABS(BM439)&lt;=0.001,"Solved",BK439-BM439*(BK439-BG439)/(BM439-BI439))))</f>
        <v/>
      </c>
      <c r="BP439" s="167"/>
      <c r="BQ439" s="329" t="str">
        <f>IF(ISBLANK(Inputs!$A47),"",
IF(OR(BO439="Solved",BO439="--"),"--",
((Mat.Conc_Alpha.1*Mat.Conc_f.c*$AB439*MIN(BO439*Mat.Conc_Beta.1,$Y439))
+(Mat.Conc_Alpha.1*Mat.Conc_f.c*$V439*MAX(0,BO439*Mat.Conc_Beta.1-$Y439)))
-($J439*MIN(Mat.Rebar_f.y,(Mat.Rebar_epsilon.cl*($S439-BO439)/BO439)*Mat.PT_E.s))
-($M439*Mat.PT_f.pu*(1-Mat.PT_k*BO439/$P439))))</f>
        <v/>
      </c>
      <c r="BR439" s="329"/>
      <c r="BT439" s="98"/>
      <c r="BU439" s="70"/>
      <c r="BV439" s="70"/>
      <c r="BW439" s="8"/>
      <c r="BX439" s="8"/>
      <c r="BY439" s="8"/>
      <c r="BZ439" s="8"/>
      <c r="CA439" s="8"/>
      <c r="CB439" s="10"/>
    </row>
    <row r="440" spans="3:80" ht="15" customHeight="1" x14ac:dyDescent="0.25">
      <c r="C440" s="69"/>
      <c r="F440" s="167" t="str">
        <f>IF(ISBLANK(Inputs!A48),"",Inputs!A48)</f>
        <v/>
      </c>
      <c r="G440" s="167"/>
      <c r="H440" s="167" t="str">
        <f>IF(ISBLANK(Inputs!B48),"",Inputs!B48)</f>
        <v/>
      </c>
      <c r="I440" s="167"/>
      <c r="J440" s="168" t="str">
        <f>IF(ISBLANK(Inputs!G48),"",Inputs!G48)</f>
        <v/>
      </c>
      <c r="K440" s="168"/>
      <c r="L440" s="168"/>
      <c r="M440" s="168" t="str">
        <f>IF(ISBLANK(Inputs!D48),"",Inputs!D48)</f>
        <v/>
      </c>
      <c r="N440" s="168"/>
      <c r="O440" s="168"/>
      <c r="P440" s="168" t="str">
        <f>IF(ISBLANK(Inputs!F48),"",Inputs!F48)</f>
        <v/>
      </c>
      <c r="Q440" s="168"/>
      <c r="R440" s="168"/>
      <c r="S440" s="168" t="str">
        <f>IF(ISBLANK(Inputs!H48),"",Inputs!H48)</f>
        <v/>
      </c>
      <c r="T440" s="168"/>
      <c r="U440" s="168"/>
      <c r="V440" s="168" t="str">
        <f>IF(ISBLANK(Inputs!E48),"",Inputs!E48)</f>
        <v/>
      </c>
      <c r="W440" s="168"/>
      <c r="X440" s="168"/>
      <c r="Y440" s="168" t="str">
        <f>IF(ISBLANK(Inputs!I48),"",Inputs!I48)</f>
        <v/>
      </c>
      <c r="Z440" s="168"/>
      <c r="AA440" s="168"/>
      <c r="AB440" s="168">
        <f>IF(ISBLANK(Inputs!J48),"",Inputs!J48)</f>
        <v>96</v>
      </c>
      <c r="AC440" s="168"/>
      <c r="AD440" s="168"/>
      <c r="AE440" s="167" t="str">
        <f>IF(ISBLANK(Inputs!A48),"",Y440)</f>
        <v/>
      </c>
      <c r="AF440" s="167"/>
      <c r="AG440" s="329" t="str">
        <f>IF(ISBLANK(Inputs!$A48),"",
IF(OR(AE440="Solved",AE440="--"),"--",
((Mat.Conc_Alpha.1*Mat.Conc_f.c*$AB440*MIN(AE440*Mat.Conc_Beta.1,$Y440))
+(Mat.Conc_Alpha.1*Mat.Conc_f.c*$V440*MAX(0,AE440*Mat.Conc_Beta.1-$Y440)))
-($J440*MIN(Mat.Rebar_f.y,(Mat.Rebar_epsilon.cl*($S440-AE440)/AE440)*Mat.PT_E.s))
-($M440*Mat.PT_f.pu*(1-Mat.PT_k*AE440/$P440))))</f>
        <v/>
      </c>
      <c r="AH440" s="329"/>
      <c r="AI440" s="167" t="str">
        <f>IF(ISBLANK(Inputs!$A48),"",
IF(ABS(AG440)&lt;=0.001,"Solved",IF(AG440&gt;0,0.85*AE440,1.15*AE440)))</f>
        <v/>
      </c>
      <c r="AJ440" s="167"/>
      <c r="AK440" s="329" t="str">
        <f>IF(ISBLANK(Inputs!$A48),"",
IF(OR(AI440="Solved",AI440="--"),"--",
((Mat.Conc_Alpha.1*Mat.Conc_f.c*$AB440*MIN(AI440*Mat.Conc_Beta.1,$Y440))
+(Mat.Conc_Alpha.1*Mat.Conc_f.c*$V440*MAX(0,AI440*Mat.Conc_Beta.1-$Y440)))
-($J440*MIN(Mat.Rebar_f.y,(Mat.Rebar_epsilon.cl*($S440-AI440)/AI440)*Mat.PT_E.s))
-($M440*Mat.PT_f.pu*(1-Mat.PT_k*AI440/$P440))))</f>
        <v/>
      </c>
      <c r="AL440" s="329"/>
      <c r="AM440" s="167" t="str">
        <f>IF(ISBLANK(Inputs!$A48),"",
IF(AK440="--","Solved",
IF(ABS(AK440)&lt;=0.001,"Solved",AI440-AK440*(AI440-AE440)/(AK440-AG440))))</f>
        <v/>
      </c>
      <c r="AN440" s="167"/>
      <c r="AO440" s="329" t="str">
        <f>IF(ISBLANK(Inputs!$A48),"",
IF(OR(AM440="Solved",AM440="--"),"--",
((Mat.Conc_Alpha.1*Mat.Conc_f.c*$AB440*MIN(AM440*Mat.Conc_Beta.1,$Y440))
+(Mat.Conc_Alpha.1*Mat.Conc_f.c*$V440*MAX(0,AM440*Mat.Conc_Beta.1-$Y440)))
-($J440*MIN(Mat.Rebar_f.y,(Mat.Rebar_epsilon.cl*($S440-AM440)/AM440)*Mat.PT_E.s))
-($M440*Mat.PT_f.pu*(1-Mat.PT_k*AM440/$P440))))</f>
        <v/>
      </c>
      <c r="AP440" s="329"/>
      <c r="AQ440" s="167" t="str">
        <f>IF(ISBLANK(Inputs!$A48),"",
IF(AO440="--","Solved",
IF(ABS(AO440)&lt;=0.001,"Solved",AM440-AO440*(AM440-AI440)/(AO440-AK440))))</f>
        <v/>
      </c>
      <c r="AR440" s="167"/>
      <c r="AS440" s="329" t="str">
        <f>IF(ISBLANK(Inputs!$A48),"",
IF(OR(AQ440="Solved",AQ440="--"),"--",
((Mat.Conc_Alpha.1*Mat.Conc_f.c*$AB440*MIN(AQ440*Mat.Conc_Beta.1,$Y440))
+(Mat.Conc_Alpha.1*Mat.Conc_f.c*$V440*MAX(0,AQ440*Mat.Conc_Beta.1-$Y440)))
-($J440*MIN(Mat.Rebar_f.y,(Mat.Rebar_epsilon.cl*($S440-AQ440)/AQ440)*Mat.PT_E.s))
-($M440*Mat.PT_f.pu*(1-Mat.PT_k*AQ440/$P440))))</f>
        <v/>
      </c>
      <c r="AT440" s="329"/>
      <c r="AU440" s="167" t="str">
        <f>IF(ISBLANK(Inputs!$A48),"",
IF(AS440="--","Solved",
IF(ABS(AS440)&lt;=0.001,"Solved",AQ440-AS440*(AQ440-AM440)/(AS440-AO440))))</f>
        <v/>
      </c>
      <c r="AV440" s="167"/>
      <c r="AW440" s="329" t="str">
        <f>IF(ISBLANK(Inputs!$A48),"",
IF(OR(AU440="Solved",AU440="--"),"--",
((Mat.Conc_Alpha.1*Mat.Conc_f.c*$AB440*MIN(AU440*Mat.Conc_Beta.1,$Y440))
+(Mat.Conc_Alpha.1*Mat.Conc_f.c*$V440*MAX(0,AU440*Mat.Conc_Beta.1-$Y440)))
-($J440*MIN(Mat.Rebar_f.y,(Mat.Rebar_epsilon.cl*($S440-AU440)/AU440)*Mat.PT_E.s))
-($M440*Mat.PT_f.pu*(1-Mat.PT_k*AU440/$P440))))</f>
        <v/>
      </c>
      <c r="AX440" s="329"/>
      <c r="AY440" s="167" t="str">
        <f>IF(ISBLANK(Inputs!$A48),"",
IF(AW440="--","Solved",
IF(ABS(AW440)&lt;=0.001,"Solved",AU440-AW440*(AU440-AQ440)/(AW440-AS440))))</f>
        <v/>
      </c>
      <c r="AZ440" s="167"/>
      <c r="BA440" s="329" t="str">
        <f>IF(ISBLANK(Inputs!$A48),"",
IF(OR(AY440="Solved",AY440="--"),"--",
((Mat.Conc_Alpha.1*Mat.Conc_f.c*$AB440*MIN(AY440*Mat.Conc_Beta.1,$Y440))
+(Mat.Conc_Alpha.1*Mat.Conc_f.c*$V440*MAX(0,AY440*Mat.Conc_Beta.1-$Y440)))
-($J440*MIN(Mat.Rebar_f.y,(Mat.Rebar_epsilon.cl*($S440-AY440)/AY440)*Mat.PT_E.s))
-($M440*Mat.PT_f.pu*(1-Mat.PT_k*AY440/$P440))))</f>
        <v/>
      </c>
      <c r="BB440" s="329"/>
      <c r="BC440" s="167" t="str">
        <f>IF(ISBLANK(Inputs!$A48),"",
IF(BA440="--","Solved",
IF(ABS(BA440)&lt;=0.001,"Solved",AY440-BA440*(AY440-AU440)/(BA440-AW440))))</f>
        <v/>
      </c>
      <c r="BD440" s="167"/>
      <c r="BE440" s="329" t="str">
        <f>IF(ISBLANK(Inputs!$A48),"",
IF(OR(BC440="Solved",BC440="--"),"--",
((Mat.Conc_Alpha.1*Mat.Conc_f.c*$AB440*MIN(BC440*Mat.Conc_Beta.1,$Y440))
+(Mat.Conc_Alpha.1*Mat.Conc_f.c*$V440*MAX(0,BC440*Mat.Conc_Beta.1-$Y440)))
-($J440*MIN(Mat.Rebar_f.y,(Mat.Rebar_epsilon.cl*($S440-BC440)/BC440)*Mat.PT_E.s))
-($M440*Mat.PT_f.pu*(1-Mat.PT_k*BC440/$P440))))</f>
        <v/>
      </c>
      <c r="BF440" s="329"/>
      <c r="BG440" s="167" t="str">
        <f>IF(ISBLANK(Inputs!$A48),"",
IF(BE440="--","Solved",
IF(ABS(BE440)&lt;=0.001,"Solved",BC440-BE440*(BC440-AY440)/(BE440-BA440))))</f>
        <v/>
      </c>
      <c r="BH440" s="167"/>
      <c r="BI440" s="329" t="str">
        <f>IF(ISBLANK(Inputs!$A48),"",
IF(OR(BG440="Solved",BG440="--"),"--",
((Mat.Conc_Alpha.1*Mat.Conc_f.c*$AB440*MIN(BG440*Mat.Conc_Beta.1,$Y440))
+(Mat.Conc_Alpha.1*Mat.Conc_f.c*$V440*MAX(0,BG440*Mat.Conc_Beta.1-$Y440)))
-($J440*MIN(Mat.Rebar_f.y,(Mat.Rebar_epsilon.cl*($S440-BG440)/BG440)*Mat.PT_E.s))
-($M440*Mat.PT_f.pu*(1-Mat.PT_k*BG440/$P440))))</f>
        <v/>
      </c>
      <c r="BJ440" s="329"/>
      <c r="BK440" s="167" t="str">
        <f>IF(ISBLANK(Inputs!$A48),"",
IF(BI440="--","Solved",
IF(ABS(BI440)&lt;=0.001,"Solved",BG440-BI440*(BG440-BC440)/(BI440-BE440))))</f>
        <v/>
      </c>
      <c r="BL440" s="167"/>
      <c r="BM440" s="329" t="str">
        <f>IF(ISBLANK(Inputs!$A48),"",
IF(OR(BK440="Solved",BK440="--"),"--",
((Mat.Conc_Alpha.1*Mat.Conc_f.c*$AB440*MIN(BK440*Mat.Conc_Beta.1,$Y440))
+(Mat.Conc_Alpha.1*Mat.Conc_f.c*$V440*MAX(0,BK440*Mat.Conc_Beta.1-$Y440)))
-($J440*MIN(Mat.Rebar_f.y,(Mat.Rebar_epsilon.cl*($S440-BK440)/BK440)*Mat.PT_E.s))
-($M440*Mat.PT_f.pu*(1-Mat.PT_k*BK440/$P440))))</f>
        <v/>
      </c>
      <c r="BN440" s="329"/>
      <c r="BO440" s="167" t="str">
        <f>IF(ISBLANK(Inputs!$A48),"",
IF(BM440="--","Solved",
IF(ABS(BM440)&lt;=0.001,"Solved",BK440-BM440*(BK440-BG440)/(BM440-BI440))))</f>
        <v/>
      </c>
      <c r="BP440" s="167"/>
      <c r="BQ440" s="329" t="str">
        <f>IF(ISBLANK(Inputs!$A48),"",
IF(OR(BO440="Solved",BO440="--"),"--",
((Mat.Conc_Alpha.1*Mat.Conc_f.c*$AB440*MIN(BO440*Mat.Conc_Beta.1,$Y440))
+(Mat.Conc_Alpha.1*Mat.Conc_f.c*$V440*MAX(0,BO440*Mat.Conc_Beta.1-$Y440)))
-($J440*MIN(Mat.Rebar_f.y,(Mat.Rebar_epsilon.cl*($S440-BO440)/BO440)*Mat.PT_E.s))
-($M440*Mat.PT_f.pu*(1-Mat.PT_k*BO440/$P440))))</f>
        <v/>
      </c>
      <c r="BR440" s="329"/>
      <c r="BT440" s="98"/>
      <c r="BU440" s="70"/>
      <c r="BV440" s="70"/>
      <c r="BW440" s="8"/>
      <c r="BX440" s="8"/>
      <c r="BY440" s="8"/>
      <c r="BZ440" s="8"/>
      <c r="CA440" s="8"/>
      <c r="CB440" s="10"/>
    </row>
    <row r="441" spans="3:80" ht="15" customHeight="1" x14ac:dyDescent="0.25">
      <c r="C441" s="69"/>
      <c r="F441" s="167" t="str">
        <f>IF(ISBLANK(Inputs!A49),"",Inputs!A49)</f>
        <v/>
      </c>
      <c r="G441" s="167"/>
      <c r="H441" s="167" t="str">
        <f>IF(ISBLANK(Inputs!B49),"",Inputs!B49)</f>
        <v/>
      </c>
      <c r="I441" s="167"/>
      <c r="J441" s="168" t="str">
        <f>IF(ISBLANK(Inputs!G49),"",Inputs!G49)</f>
        <v/>
      </c>
      <c r="K441" s="168"/>
      <c r="L441" s="168"/>
      <c r="M441" s="168" t="str">
        <f>IF(ISBLANK(Inputs!D49),"",Inputs!D49)</f>
        <v/>
      </c>
      <c r="N441" s="168"/>
      <c r="O441" s="168"/>
      <c r="P441" s="168" t="str">
        <f>IF(ISBLANK(Inputs!F49),"",Inputs!F49)</f>
        <v/>
      </c>
      <c r="Q441" s="168"/>
      <c r="R441" s="168"/>
      <c r="S441" s="168" t="str">
        <f>IF(ISBLANK(Inputs!H49),"",Inputs!H49)</f>
        <v/>
      </c>
      <c r="T441" s="168"/>
      <c r="U441" s="168"/>
      <c r="V441" s="168" t="str">
        <f>IF(ISBLANK(Inputs!E49),"",Inputs!E49)</f>
        <v/>
      </c>
      <c r="W441" s="168"/>
      <c r="X441" s="168"/>
      <c r="Y441" s="168" t="str">
        <f>IF(ISBLANK(Inputs!I49),"",Inputs!I49)</f>
        <v/>
      </c>
      <c r="Z441" s="168"/>
      <c r="AA441" s="168"/>
      <c r="AB441" s="168">
        <f>IF(ISBLANK(Inputs!J49),"",Inputs!J49)</f>
        <v>96</v>
      </c>
      <c r="AC441" s="168"/>
      <c r="AD441" s="168"/>
      <c r="AE441" s="167" t="str">
        <f>IF(ISBLANK(Inputs!A49),"",Y441)</f>
        <v/>
      </c>
      <c r="AF441" s="167"/>
      <c r="AG441" s="329" t="str">
        <f>IF(ISBLANK(Inputs!$A49),"",
IF(OR(AE441="Solved",AE441="--"),"--",
((Mat.Conc_Alpha.1*Mat.Conc_f.c*$AB441*MIN(AE441*Mat.Conc_Beta.1,$Y441))
+(Mat.Conc_Alpha.1*Mat.Conc_f.c*$V441*MAX(0,AE441*Mat.Conc_Beta.1-$Y441)))
-($J441*MIN(Mat.Rebar_f.y,(Mat.Rebar_epsilon.cl*($S441-AE441)/AE441)*Mat.PT_E.s))
-($M441*Mat.PT_f.pu*(1-Mat.PT_k*AE441/$P441))))</f>
        <v/>
      </c>
      <c r="AH441" s="329"/>
      <c r="AI441" s="167" t="str">
        <f>IF(ISBLANK(Inputs!$A49),"",
IF(ABS(AG441)&lt;=0.001,"Solved",IF(AG441&gt;0,0.85*AE441,1.15*AE441)))</f>
        <v/>
      </c>
      <c r="AJ441" s="167"/>
      <c r="AK441" s="329" t="str">
        <f>IF(ISBLANK(Inputs!$A49),"",
IF(OR(AI441="Solved",AI441="--"),"--",
((Mat.Conc_Alpha.1*Mat.Conc_f.c*$AB441*MIN(AI441*Mat.Conc_Beta.1,$Y441))
+(Mat.Conc_Alpha.1*Mat.Conc_f.c*$V441*MAX(0,AI441*Mat.Conc_Beta.1-$Y441)))
-($J441*MIN(Mat.Rebar_f.y,(Mat.Rebar_epsilon.cl*($S441-AI441)/AI441)*Mat.PT_E.s))
-($M441*Mat.PT_f.pu*(1-Mat.PT_k*AI441/$P441))))</f>
        <v/>
      </c>
      <c r="AL441" s="329"/>
      <c r="AM441" s="167" t="str">
        <f>IF(ISBLANK(Inputs!$A49),"",
IF(AK441="--","Solved",
IF(ABS(AK441)&lt;=0.001,"Solved",AI441-AK441*(AI441-AE441)/(AK441-AG441))))</f>
        <v/>
      </c>
      <c r="AN441" s="167"/>
      <c r="AO441" s="329" t="str">
        <f>IF(ISBLANK(Inputs!$A49),"",
IF(OR(AM441="Solved",AM441="--"),"--",
((Mat.Conc_Alpha.1*Mat.Conc_f.c*$AB441*MIN(AM441*Mat.Conc_Beta.1,$Y441))
+(Mat.Conc_Alpha.1*Mat.Conc_f.c*$V441*MAX(0,AM441*Mat.Conc_Beta.1-$Y441)))
-($J441*MIN(Mat.Rebar_f.y,(Mat.Rebar_epsilon.cl*($S441-AM441)/AM441)*Mat.PT_E.s))
-($M441*Mat.PT_f.pu*(1-Mat.PT_k*AM441/$P441))))</f>
        <v/>
      </c>
      <c r="AP441" s="329"/>
      <c r="AQ441" s="167" t="str">
        <f>IF(ISBLANK(Inputs!$A49),"",
IF(AO441="--","Solved",
IF(ABS(AO441)&lt;=0.001,"Solved",AM441-AO441*(AM441-AI441)/(AO441-AK441))))</f>
        <v/>
      </c>
      <c r="AR441" s="167"/>
      <c r="AS441" s="329" t="str">
        <f>IF(ISBLANK(Inputs!$A49),"",
IF(OR(AQ441="Solved",AQ441="--"),"--",
((Mat.Conc_Alpha.1*Mat.Conc_f.c*$AB441*MIN(AQ441*Mat.Conc_Beta.1,$Y441))
+(Mat.Conc_Alpha.1*Mat.Conc_f.c*$V441*MAX(0,AQ441*Mat.Conc_Beta.1-$Y441)))
-($J441*MIN(Mat.Rebar_f.y,(Mat.Rebar_epsilon.cl*($S441-AQ441)/AQ441)*Mat.PT_E.s))
-($M441*Mat.PT_f.pu*(1-Mat.PT_k*AQ441/$P441))))</f>
        <v/>
      </c>
      <c r="AT441" s="329"/>
      <c r="AU441" s="167" t="str">
        <f>IF(ISBLANK(Inputs!$A49),"",
IF(AS441="--","Solved",
IF(ABS(AS441)&lt;=0.001,"Solved",AQ441-AS441*(AQ441-AM441)/(AS441-AO441))))</f>
        <v/>
      </c>
      <c r="AV441" s="167"/>
      <c r="AW441" s="329" t="str">
        <f>IF(ISBLANK(Inputs!$A49),"",
IF(OR(AU441="Solved",AU441="--"),"--",
((Mat.Conc_Alpha.1*Mat.Conc_f.c*$AB441*MIN(AU441*Mat.Conc_Beta.1,$Y441))
+(Mat.Conc_Alpha.1*Mat.Conc_f.c*$V441*MAX(0,AU441*Mat.Conc_Beta.1-$Y441)))
-($J441*MIN(Mat.Rebar_f.y,(Mat.Rebar_epsilon.cl*($S441-AU441)/AU441)*Mat.PT_E.s))
-($M441*Mat.PT_f.pu*(1-Mat.PT_k*AU441/$P441))))</f>
        <v/>
      </c>
      <c r="AX441" s="329"/>
      <c r="AY441" s="167" t="str">
        <f>IF(ISBLANK(Inputs!$A49),"",
IF(AW441="--","Solved",
IF(ABS(AW441)&lt;=0.001,"Solved",AU441-AW441*(AU441-AQ441)/(AW441-AS441))))</f>
        <v/>
      </c>
      <c r="AZ441" s="167"/>
      <c r="BA441" s="329" t="str">
        <f>IF(ISBLANK(Inputs!$A49),"",
IF(OR(AY441="Solved",AY441="--"),"--",
((Mat.Conc_Alpha.1*Mat.Conc_f.c*$AB441*MIN(AY441*Mat.Conc_Beta.1,$Y441))
+(Mat.Conc_Alpha.1*Mat.Conc_f.c*$V441*MAX(0,AY441*Mat.Conc_Beta.1-$Y441)))
-($J441*MIN(Mat.Rebar_f.y,(Mat.Rebar_epsilon.cl*($S441-AY441)/AY441)*Mat.PT_E.s))
-($M441*Mat.PT_f.pu*(1-Mat.PT_k*AY441/$P441))))</f>
        <v/>
      </c>
      <c r="BB441" s="329"/>
      <c r="BC441" s="167" t="str">
        <f>IF(ISBLANK(Inputs!$A49),"",
IF(BA441="--","Solved",
IF(ABS(BA441)&lt;=0.001,"Solved",AY441-BA441*(AY441-AU441)/(BA441-AW441))))</f>
        <v/>
      </c>
      <c r="BD441" s="167"/>
      <c r="BE441" s="329" t="str">
        <f>IF(ISBLANK(Inputs!$A49),"",
IF(OR(BC441="Solved",BC441="--"),"--",
((Mat.Conc_Alpha.1*Mat.Conc_f.c*$AB441*MIN(BC441*Mat.Conc_Beta.1,$Y441))
+(Mat.Conc_Alpha.1*Mat.Conc_f.c*$V441*MAX(0,BC441*Mat.Conc_Beta.1-$Y441)))
-($J441*MIN(Mat.Rebar_f.y,(Mat.Rebar_epsilon.cl*($S441-BC441)/BC441)*Mat.PT_E.s))
-($M441*Mat.PT_f.pu*(1-Mat.PT_k*BC441/$P441))))</f>
        <v/>
      </c>
      <c r="BF441" s="329"/>
      <c r="BG441" s="167" t="str">
        <f>IF(ISBLANK(Inputs!$A49),"",
IF(BE441="--","Solved",
IF(ABS(BE441)&lt;=0.001,"Solved",BC441-BE441*(BC441-AY441)/(BE441-BA441))))</f>
        <v/>
      </c>
      <c r="BH441" s="167"/>
      <c r="BI441" s="329" t="str">
        <f>IF(ISBLANK(Inputs!$A49),"",
IF(OR(BG441="Solved",BG441="--"),"--",
((Mat.Conc_Alpha.1*Mat.Conc_f.c*$AB441*MIN(BG441*Mat.Conc_Beta.1,$Y441))
+(Mat.Conc_Alpha.1*Mat.Conc_f.c*$V441*MAX(0,BG441*Mat.Conc_Beta.1-$Y441)))
-($J441*MIN(Mat.Rebar_f.y,(Mat.Rebar_epsilon.cl*($S441-BG441)/BG441)*Mat.PT_E.s))
-($M441*Mat.PT_f.pu*(1-Mat.PT_k*BG441/$P441))))</f>
        <v/>
      </c>
      <c r="BJ441" s="329"/>
      <c r="BK441" s="167" t="str">
        <f>IF(ISBLANK(Inputs!$A49),"",
IF(BI441="--","Solved",
IF(ABS(BI441)&lt;=0.001,"Solved",BG441-BI441*(BG441-BC441)/(BI441-BE441))))</f>
        <v/>
      </c>
      <c r="BL441" s="167"/>
      <c r="BM441" s="329" t="str">
        <f>IF(ISBLANK(Inputs!$A49),"",
IF(OR(BK441="Solved",BK441="--"),"--",
((Mat.Conc_Alpha.1*Mat.Conc_f.c*$AB441*MIN(BK441*Mat.Conc_Beta.1,$Y441))
+(Mat.Conc_Alpha.1*Mat.Conc_f.c*$V441*MAX(0,BK441*Mat.Conc_Beta.1-$Y441)))
-($J441*MIN(Mat.Rebar_f.y,(Mat.Rebar_epsilon.cl*($S441-BK441)/BK441)*Mat.PT_E.s))
-($M441*Mat.PT_f.pu*(1-Mat.PT_k*BK441/$P441))))</f>
        <v/>
      </c>
      <c r="BN441" s="329"/>
      <c r="BO441" s="167" t="str">
        <f>IF(ISBLANK(Inputs!$A49),"",
IF(BM441="--","Solved",
IF(ABS(BM441)&lt;=0.001,"Solved",BK441-BM441*(BK441-BG441)/(BM441-BI441))))</f>
        <v/>
      </c>
      <c r="BP441" s="167"/>
      <c r="BQ441" s="329" t="str">
        <f>IF(ISBLANK(Inputs!$A49),"",
IF(OR(BO441="Solved",BO441="--"),"--",
((Mat.Conc_Alpha.1*Mat.Conc_f.c*$AB441*MIN(BO441*Mat.Conc_Beta.1,$Y441))
+(Mat.Conc_Alpha.1*Mat.Conc_f.c*$V441*MAX(0,BO441*Mat.Conc_Beta.1-$Y441)))
-($J441*MIN(Mat.Rebar_f.y,(Mat.Rebar_epsilon.cl*($S441-BO441)/BO441)*Mat.PT_E.s))
-($M441*Mat.PT_f.pu*(1-Mat.PT_k*BO441/$P441))))</f>
        <v/>
      </c>
      <c r="BR441" s="329"/>
      <c r="BT441" s="98"/>
      <c r="BU441" s="70"/>
      <c r="BV441" s="70"/>
      <c r="BW441" s="8"/>
      <c r="BX441" s="8"/>
      <c r="BY441" s="8"/>
      <c r="BZ441" s="8"/>
      <c r="CA441" s="8"/>
      <c r="CB441" s="10"/>
    </row>
    <row r="442" spans="3:80" ht="15" customHeight="1" x14ac:dyDescent="0.25">
      <c r="C442" s="69"/>
      <c r="F442" s="167" t="str">
        <f>IF(ISBLANK(Inputs!A50),"",Inputs!A50)</f>
        <v/>
      </c>
      <c r="G442" s="167"/>
      <c r="H442" s="167" t="str">
        <f>IF(ISBLANK(Inputs!B50),"",Inputs!B50)</f>
        <v/>
      </c>
      <c r="I442" s="167"/>
      <c r="J442" s="168" t="str">
        <f>IF(ISBLANK(Inputs!G50),"",Inputs!G50)</f>
        <v/>
      </c>
      <c r="K442" s="168"/>
      <c r="L442" s="168"/>
      <c r="M442" s="168" t="str">
        <f>IF(ISBLANK(Inputs!D50),"",Inputs!D50)</f>
        <v/>
      </c>
      <c r="N442" s="168"/>
      <c r="O442" s="168"/>
      <c r="P442" s="168" t="str">
        <f>IF(ISBLANK(Inputs!F50),"",Inputs!F50)</f>
        <v/>
      </c>
      <c r="Q442" s="168"/>
      <c r="R442" s="168"/>
      <c r="S442" s="168" t="str">
        <f>IF(ISBLANK(Inputs!H50),"",Inputs!H50)</f>
        <v/>
      </c>
      <c r="T442" s="168"/>
      <c r="U442" s="168"/>
      <c r="V442" s="168" t="str">
        <f>IF(ISBLANK(Inputs!E50),"",Inputs!E50)</f>
        <v/>
      </c>
      <c r="W442" s="168"/>
      <c r="X442" s="168"/>
      <c r="Y442" s="168" t="str">
        <f>IF(ISBLANK(Inputs!I50),"",Inputs!I50)</f>
        <v/>
      </c>
      <c r="Z442" s="168"/>
      <c r="AA442" s="168"/>
      <c r="AB442" s="168">
        <f>IF(ISBLANK(Inputs!J50),"",Inputs!J50)</f>
        <v>96</v>
      </c>
      <c r="AC442" s="168"/>
      <c r="AD442" s="168"/>
      <c r="AE442" s="167" t="str">
        <f>IF(ISBLANK(Inputs!A50),"",Y442)</f>
        <v/>
      </c>
      <c r="AF442" s="167"/>
      <c r="AG442" s="329" t="str">
        <f>IF(ISBLANK(Inputs!$A50),"",
IF(OR(AE442="Solved",AE442="--"),"--",
((Mat.Conc_Alpha.1*Mat.Conc_f.c*$AB442*MIN(AE442*Mat.Conc_Beta.1,$Y442))
+(Mat.Conc_Alpha.1*Mat.Conc_f.c*$V442*MAX(0,AE442*Mat.Conc_Beta.1-$Y442)))
-($J442*MIN(Mat.Rebar_f.y,(Mat.Rebar_epsilon.cl*($S442-AE442)/AE442)*Mat.PT_E.s))
-($M442*Mat.PT_f.pu*(1-Mat.PT_k*AE442/$P442))))</f>
        <v/>
      </c>
      <c r="AH442" s="329"/>
      <c r="AI442" s="167" t="str">
        <f>IF(ISBLANK(Inputs!$A50),"",
IF(ABS(AG442)&lt;=0.001,"Solved",IF(AG442&gt;0,0.85*AE442,1.15*AE442)))</f>
        <v/>
      </c>
      <c r="AJ442" s="167"/>
      <c r="AK442" s="329" t="str">
        <f>IF(ISBLANK(Inputs!$A50),"",
IF(OR(AI442="Solved",AI442="--"),"--",
((Mat.Conc_Alpha.1*Mat.Conc_f.c*$AB442*MIN(AI442*Mat.Conc_Beta.1,$Y442))
+(Mat.Conc_Alpha.1*Mat.Conc_f.c*$V442*MAX(0,AI442*Mat.Conc_Beta.1-$Y442)))
-($J442*MIN(Mat.Rebar_f.y,(Mat.Rebar_epsilon.cl*($S442-AI442)/AI442)*Mat.PT_E.s))
-($M442*Mat.PT_f.pu*(1-Mat.PT_k*AI442/$P442))))</f>
        <v/>
      </c>
      <c r="AL442" s="329"/>
      <c r="AM442" s="167" t="str">
        <f>IF(ISBLANK(Inputs!$A50),"",
IF(AK442="--","Solved",
IF(ABS(AK442)&lt;=0.001,"Solved",AI442-AK442*(AI442-AE442)/(AK442-AG442))))</f>
        <v/>
      </c>
      <c r="AN442" s="167"/>
      <c r="AO442" s="329" t="str">
        <f>IF(ISBLANK(Inputs!$A50),"",
IF(OR(AM442="Solved",AM442="--"),"--",
((Mat.Conc_Alpha.1*Mat.Conc_f.c*$AB442*MIN(AM442*Mat.Conc_Beta.1,$Y442))
+(Mat.Conc_Alpha.1*Mat.Conc_f.c*$V442*MAX(0,AM442*Mat.Conc_Beta.1-$Y442)))
-($J442*MIN(Mat.Rebar_f.y,(Mat.Rebar_epsilon.cl*($S442-AM442)/AM442)*Mat.PT_E.s))
-($M442*Mat.PT_f.pu*(1-Mat.PT_k*AM442/$P442))))</f>
        <v/>
      </c>
      <c r="AP442" s="329"/>
      <c r="AQ442" s="167" t="str">
        <f>IF(ISBLANK(Inputs!$A50),"",
IF(AO442="--","Solved",
IF(ABS(AO442)&lt;=0.001,"Solved",AM442-AO442*(AM442-AI442)/(AO442-AK442))))</f>
        <v/>
      </c>
      <c r="AR442" s="167"/>
      <c r="AS442" s="329" t="str">
        <f>IF(ISBLANK(Inputs!$A50),"",
IF(OR(AQ442="Solved",AQ442="--"),"--",
((Mat.Conc_Alpha.1*Mat.Conc_f.c*$AB442*MIN(AQ442*Mat.Conc_Beta.1,$Y442))
+(Mat.Conc_Alpha.1*Mat.Conc_f.c*$V442*MAX(0,AQ442*Mat.Conc_Beta.1-$Y442)))
-($J442*MIN(Mat.Rebar_f.y,(Mat.Rebar_epsilon.cl*($S442-AQ442)/AQ442)*Mat.PT_E.s))
-($M442*Mat.PT_f.pu*(1-Mat.PT_k*AQ442/$P442))))</f>
        <v/>
      </c>
      <c r="AT442" s="329"/>
      <c r="AU442" s="167" t="str">
        <f>IF(ISBLANK(Inputs!$A50),"",
IF(AS442="--","Solved",
IF(ABS(AS442)&lt;=0.001,"Solved",AQ442-AS442*(AQ442-AM442)/(AS442-AO442))))</f>
        <v/>
      </c>
      <c r="AV442" s="167"/>
      <c r="AW442" s="329" t="str">
        <f>IF(ISBLANK(Inputs!$A50),"",
IF(OR(AU442="Solved",AU442="--"),"--",
((Mat.Conc_Alpha.1*Mat.Conc_f.c*$AB442*MIN(AU442*Mat.Conc_Beta.1,$Y442))
+(Mat.Conc_Alpha.1*Mat.Conc_f.c*$V442*MAX(0,AU442*Mat.Conc_Beta.1-$Y442)))
-($J442*MIN(Mat.Rebar_f.y,(Mat.Rebar_epsilon.cl*($S442-AU442)/AU442)*Mat.PT_E.s))
-($M442*Mat.PT_f.pu*(1-Mat.PT_k*AU442/$P442))))</f>
        <v/>
      </c>
      <c r="AX442" s="329"/>
      <c r="AY442" s="167" t="str">
        <f>IF(ISBLANK(Inputs!$A50),"",
IF(AW442="--","Solved",
IF(ABS(AW442)&lt;=0.001,"Solved",AU442-AW442*(AU442-AQ442)/(AW442-AS442))))</f>
        <v/>
      </c>
      <c r="AZ442" s="167"/>
      <c r="BA442" s="329" t="str">
        <f>IF(ISBLANK(Inputs!$A50),"",
IF(OR(AY442="Solved",AY442="--"),"--",
((Mat.Conc_Alpha.1*Mat.Conc_f.c*$AB442*MIN(AY442*Mat.Conc_Beta.1,$Y442))
+(Mat.Conc_Alpha.1*Mat.Conc_f.c*$V442*MAX(0,AY442*Mat.Conc_Beta.1-$Y442)))
-($J442*MIN(Mat.Rebar_f.y,(Mat.Rebar_epsilon.cl*($S442-AY442)/AY442)*Mat.PT_E.s))
-($M442*Mat.PT_f.pu*(1-Mat.PT_k*AY442/$P442))))</f>
        <v/>
      </c>
      <c r="BB442" s="329"/>
      <c r="BC442" s="167" t="str">
        <f>IF(ISBLANK(Inputs!$A50),"",
IF(BA442="--","Solved",
IF(ABS(BA442)&lt;=0.001,"Solved",AY442-BA442*(AY442-AU442)/(BA442-AW442))))</f>
        <v/>
      </c>
      <c r="BD442" s="167"/>
      <c r="BE442" s="329" t="str">
        <f>IF(ISBLANK(Inputs!$A50),"",
IF(OR(BC442="Solved",BC442="--"),"--",
((Mat.Conc_Alpha.1*Mat.Conc_f.c*$AB442*MIN(BC442*Mat.Conc_Beta.1,$Y442))
+(Mat.Conc_Alpha.1*Mat.Conc_f.c*$V442*MAX(0,BC442*Mat.Conc_Beta.1-$Y442)))
-($J442*MIN(Mat.Rebar_f.y,(Mat.Rebar_epsilon.cl*($S442-BC442)/BC442)*Mat.PT_E.s))
-($M442*Mat.PT_f.pu*(1-Mat.PT_k*BC442/$P442))))</f>
        <v/>
      </c>
      <c r="BF442" s="329"/>
      <c r="BG442" s="167" t="str">
        <f>IF(ISBLANK(Inputs!$A50),"",
IF(BE442="--","Solved",
IF(ABS(BE442)&lt;=0.001,"Solved",BC442-BE442*(BC442-AY442)/(BE442-BA442))))</f>
        <v/>
      </c>
      <c r="BH442" s="167"/>
      <c r="BI442" s="329" t="str">
        <f>IF(ISBLANK(Inputs!$A50),"",
IF(OR(BG442="Solved",BG442="--"),"--",
((Mat.Conc_Alpha.1*Mat.Conc_f.c*$AB442*MIN(BG442*Mat.Conc_Beta.1,$Y442))
+(Mat.Conc_Alpha.1*Mat.Conc_f.c*$V442*MAX(0,BG442*Mat.Conc_Beta.1-$Y442)))
-($J442*MIN(Mat.Rebar_f.y,(Mat.Rebar_epsilon.cl*($S442-BG442)/BG442)*Mat.PT_E.s))
-($M442*Mat.PT_f.pu*(1-Mat.PT_k*BG442/$P442))))</f>
        <v/>
      </c>
      <c r="BJ442" s="329"/>
      <c r="BK442" s="167" t="str">
        <f>IF(ISBLANK(Inputs!$A50),"",
IF(BI442="--","Solved",
IF(ABS(BI442)&lt;=0.001,"Solved",BG442-BI442*(BG442-BC442)/(BI442-BE442))))</f>
        <v/>
      </c>
      <c r="BL442" s="167"/>
      <c r="BM442" s="329" t="str">
        <f>IF(ISBLANK(Inputs!$A50),"",
IF(OR(BK442="Solved",BK442="--"),"--",
((Mat.Conc_Alpha.1*Mat.Conc_f.c*$AB442*MIN(BK442*Mat.Conc_Beta.1,$Y442))
+(Mat.Conc_Alpha.1*Mat.Conc_f.c*$V442*MAX(0,BK442*Mat.Conc_Beta.1-$Y442)))
-($J442*MIN(Mat.Rebar_f.y,(Mat.Rebar_epsilon.cl*($S442-BK442)/BK442)*Mat.PT_E.s))
-($M442*Mat.PT_f.pu*(1-Mat.PT_k*BK442/$P442))))</f>
        <v/>
      </c>
      <c r="BN442" s="329"/>
      <c r="BO442" s="167" t="str">
        <f>IF(ISBLANK(Inputs!$A50),"",
IF(BM442="--","Solved",
IF(ABS(BM442)&lt;=0.001,"Solved",BK442-BM442*(BK442-BG442)/(BM442-BI442))))</f>
        <v/>
      </c>
      <c r="BP442" s="167"/>
      <c r="BQ442" s="329" t="str">
        <f>IF(ISBLANK(Inputs!$A50),"",
IF(OR(BO442="Solved",BO442="--"),"--",
((Mat.Conc_Alpha.1*Mat.Conc_f.c*$AB442*MIN(BO442*Mat.Conc_Beta.1,$Y442))
+(Mat.Conc_Alpha.1*Mat.Conc_f.c*$V442*MAX(0,BO442*Mat.Conc_Beta.1-$Y442)))
-($J442*MIN(Mat.Rebar_f.y,(Mat.Rebar_epsilon.cl*($S442-BO442)/BO442)*Mat.PT_E.s))
-($M442*Mat.PT_f.pu*(1-Mat.PT_k*BO442/$P442))))</f>
        <v/>
      </c>
      <c r="BR442" s="329"/>
      <c r="BT442" s="98"/>
      <c r="BU442" s="70"/>
      <c r="BV442" s="70"/>
      <c r="BW442" s="8"/>
      <c r="BX442" s="8"/>
      <c r="BY442" s="8"/>
      <c r="BZ442" s="8"/>
      <c r="CA442" s="8"/>
      <c r="CB442" s="10"/>
    </row>
    <row r="443" spans="3:80" ht="15" customHeight="1" x14ac:dyDescent="0.25">
      <c r="C443" s="69"/>
      <c r="F443" s="167" t="str">
        <f>IF(ISBLANK(Inputs!A51),"",Inputs!A51)</f>
        <v/>
      </c>
      <c r="G443" s="167"/>
      <c r="H443" s="167" t="str">
        <f>IF(ISBLANK(Inputs!B51),"",Inputs!B51)</f>
        <v/>
      </c>
      <c r="I443" s="167"/>
      <c r="J443" s="168" t="str">
        <f>IF(ISBLANK(Inputs!G51),"",Inputs!G51)</f>
        <v/>
      </c>
      <c r="K443" s="168"/>
      <c r="L443" s="168"/>
      <c r="M443" s="168" t="str">
        <f>IF(ISBLANK(Inputs!D51),"",Inputs!D51)</f>
        <v/>
      </c>
      <c r="N443" s="168"/>
      <c r="O443" s="168"/>
      <c r="P443" s="168" t="str">
        <f>IF(ISBLANK(Inputs!F51),"",Inputs!F51)</f>
        <v/>
      </c>
      <c r="Q443" s="168"/>
      <c r="R443" s="168"/>
      <c r="S443" s="168" t="str">
        <f>IF(ISBLANK(Inputs!H51),"",Inputs!H51)</f>
        <v/>
      </c>
      <c r="T443" s="168"/>
      <c r="U443" s="168"/>
      <c r="V443" s="168" t="str">
        <f>IF(ISBLANK(Inputs!E51),"",Inputs!E51)</f>
        <v/>
      </c>
      <c r="W443" s="168"/>
      <c r="X443" s="168"/>
      <c r="Y443" s="168" t="str">
        <f>IF(ISBLANK(Inputs!I51),"",Inputs!I51)</f>
        <v/>
      </c>
      <c r="Z443" s="168"/>
      <c r="AA443" s="168"/>
      <c r="AB443" s="168">
        <f>IF(ISBLANK(Inputs!J51),"",Inputs!J51)</f>
        <v>96</v>
      </c>
      <c r="AC443" s="168"/>
      <c r="AD443" s="168"/>
      <c r="AE443" s="167" t="str">
        <f>IF(ISBLANK(Inputs!A51),"",Y443)</f>
        <v/>
      </c>
      <c r="AF443" s="167"/>
      <c r="AG443" s="329" t="str">
        <f>IF(ISBLANK(Inputs!$A51),"",
IF(OR(AE443="Solved",AE443="--"),"--",
((Mat.Conc_Alpha.1*Mat.Conc_f.c*$AB443*MIN(AE443*Mat.Conc_Beta.1,$Y443))
+(Mat.Conc_Alpha.1*Mat.Conc_f.c*$V443*MAX(0,AE443*Mat.Conc_Beta.1-$Y443)))
-($J443*MIN(Mat.Rebar_f.y,(Mat.Rebar_epsilon.cl*($S443-AE443)/AE443)*Mat.PT_E.s))
-($M443*Mat.PT_f.pu*(1-Mat.PT_k*AE443/$P443))))</f>
        <v/>
      </c>
      <c r="AH443" s="329"/>
      <c r="AI443" s="167" t="str">
        <f>IF(ISBLANK(Inputs!$A51),"",
IF(ABS(AG443)&lt;=0.001,"Solved",IF(AG443&gt;0,0.85*AE443,1.15*AE443)))</f>
        <v/>
      </c>
      <c r="AJ443" s="167"/>
      <c r="AK443" s="329" t="str">
        <f>IF(ISBLANK(Inputs!$A51),"",
IF(OR(AI443="Solved",AI443="--"),"--",
((Mat.Conc_Alpha.1*Mat.Conc_f.c*$AB443*MIN(AI443*Mat.Conc_Beta.1,$Y443))
+(Mat.Conc_Alpha.1*Mat.Conc_f.c*$V443*MAX(0,AI443*Mat.Conc_Beta.1-$Y443)))
-($J443*MIN(Mat.Rebar_f.y,(Mat.Rebar_epsilon.cl*($S443-AI443)/AI443)*Mat.PT_E.s))
-($M443*Mat.PT_f.pu*(1-Mat.PT_k*AI443/$P443))))</f>
        <v/>
      </c>
      <c r="AL443" s="329"/>
      <c r="AM443" s="167" t="str">
        <f>IF(ISBLANK(Inputs!$A51),"",
IF(AK443="--","Solved",
IF(ABS(AK443)&lt;=0.001,"Solved",AI443-AK443*(AI443-AE443)/(AK443-AG443))))</f>
        <v/>
      </c>
      <c r="AN443" s="167"/>
      <c r="AO443" s="329" t="str">
        <f>IF(ISBLANK(Inputs!$A51),"",
IF(OR(AM443="Solved",AM443="--"),"--",
((Mat.Conc_Alpha.1*Mat.Conc_f.c*$AB443*MIN(AM443*Mat.Conc_Beta.1,$Y443))
+(Mat.Conc_Alpha.1*Mat.Conc_f.c*$V443*MAX(0,AM443*Mat.Conc_Beta.1-$Y443)))
-($J443*MIN(Mat.Rebar_f.y,(Mat.Rebar_epsilon.cl*($S443-AM443)/AM443)*Mat.PT_E.s))
-($M443*Mat.PT_f.pu*(1-Mat.PT_k*AM443/$P443))))</f>
        <v/>
      </c>
      <c r="AP443" s="329"/>
      <c r="AQ443" s="167" t="str">
        <f>IF(ISBLANK(Inputs!$A51),"",
IF(AO443="--","Solved",
IF(ABS(AO443)&lt;=0.001,"Solved",AM443-AO443*(AM443-AI443)/(AO443-AK443))))</f>
        <v/>
      </c>
      <c r="AR443" s="167"/>
      <c r="AS443" s="329" t="str">
        <f>IF(ISBLANK(Inputs!$A51),"",
IF(OR(AQ443="Solved",AQ443="--"),"--",
((Mat.Conc_Alpha.1*Mat.Conc_f.c*$AB443*MIN(AQ443*Mat.Conc_Beta.1,$Y443))
+(Mat.Conc_Alpha.1*Mat.Conc_f.c*$V443*MAX(0,AQ443*Mat.Conc_Beta.1-$Y443)))
-($J443*MIN(Mat.Rebar_f.y,(Mat.Rebar_epsilon.cl*($S443-AQ443)/AQ443)*Mat.PT_E.s))
-($M443*Mat.PT_f.pu*(1-Mat.PT_k*AQ443/$P443))))</f>
        <v/>
      </c>
      <c r="AT443" s="329"/>
      <c r="AU443" s="167" t="str">
        <f>IF(ISBLANK(Inputs!$A51),"",
IF(AS443="--","Solved",
IF(ABS(AS443)&lt;=0.001,"Solved",AQ443-AS443*(AQ443-AM443)/(AS443-AO443))))</f>
        <v/>
      </c>
      <c r="AV443" s="167"/>
      <c r="AW443" s="329" t="str">
        <f>IF(ISBLANK(Inputs!$A51),"",
IF(OR(AU443="Solved",AU443="--"),"--",
((Mat.Conc_Alpha.1*Mat.Conc_f.c*$AB443*MIN(AU443*Mat.Conc_Beta.1,$Y443))
+(Mat.Conc_Alpha.1*Mat.Conc_f.c*$V443*MAX(0,AU443*Mat.Conc_Beta.1-$Y443)))
-($J443*MIN(Mat.Rebar_f.y,(Mat.Rebar_epsilon.cl*($S443-AU443)/AU443)*Mat.PT_E.s))
-($M443*Mat.PT_f.pu*(1-Mat.PT_k*AU443/$P443))))</f>
        <v/>
      </c>
      <c r="AX443" s="329"/>
      <c r="AY443" s="167" t="str">
        <f>IF(ISBLANK(Inputs!$A51),"",
IF(AW443="--","Solved",
IF(ABS(AW443)&lt;=0.001,"Solved",AU443-AW443*(AU443-AQ443)/(AW443-AS443))))</f>
        <v/>
      </c>
      <c r="AZ443" s="167"/>
      <c r="BA443" s="329" t="str">
        <f>IF(ISBLANK(Inputs!$A51),"",
IF(OR(AY443="Solved",AY443="--"),"--",
((Mat.Conc_Alpha.1*Mat.Conc_f.c*$AB443*MIN(AY443*Mat.Conc_Beta.1,$Y443))
+(Mat.Conc_Alpha.1*Mat.Conc_f.c*$V443*MAX(0,AY443*Mat.Conc_Beta.1-$Y443)))
-($J443*MIN(Mat.Rebar_f.y,(Mat.Rebar_epsilon.cl*($S443-AY443)/AY443)*Mat.PT_E.s))
-($M443*Mat.PT_f.pu*(1-Mat.PT_k*AY443/$P443))))</f>
        <v/>
      </c>
      <c r="BB443" s="329"/>
      <c r="BC443" s="167" t="str">
        <f>IF(ISBLANK(Inputs!$A51),"",
IF(BA443="--","Solved",
IF(ABS(BA443)&lt;=0.001,"Solved",AY443-BA443*(AY443-AU443)/(BA443-AW443))))</f>
        <v/>
      </c>
      <c r="BD443" s="167"/>
      <c r="BE443" s="329" t="str">
        <f>IF(ISBLANK(Inputs!$A51),"",
IF(OR(BC443="Solved",BC443="--"),"--",
((Mat.Conc_Alpha.1*Mat.Conc_f.c*$AB443*MIN(BC443*Mat.Conc_Beta.1,$Y443))
+(Mat.Conc_Alpha.1*Mat.Conc_f.c*$V443*MAX(0,BC443*Mat.Conc_Beta.1-$Y443)))
-($J443*MIN(Mat.Rebar_f.y,(Mat.Rebar_epsilon.cl*($S443-BC443)/BC443)*Mat.PT_E.s))
-($M443*Mat.PT_f.pu*(1-Mat.PT_k*BC443/$P443))))</f>
        <v/>
      </c>
      <c r="BF443" s="329"/>
      <c r="BG443" s="167" t="str">
        <f>IF(ISBLANK(Inputs!$A51),"",
IF(BE443="--","Solved",
IF(ABS(BE443)&lt;=0.001,"Solved",BC443-BE443*(BC443-AY443)/(BE443-BA443))))</f>
        <v/>
      </c>
      <c r="BH443" s="167"/>
      <c r="BI443" s="329" t="str">
        <f>IF(ISBLANK(Inputs!$A51),"",
IF(OR(BG443="Solved",BG443="--"),"--",
((Mat.Conc_Alpha.1*Mat.Conc_f.c*$AB443*MIN(BG443*Mat.Conc_Beta.1,$Y443))
+(Mat.Conc_Alpha.1*Mat.Conc_f.c*$V443*MAX(0,BG443*Mat.Conc_Beta.1-$Y443)))
-($J443*MIN(Mat.Rebar_f.y,(Mat.Rebar_epsilon.cl*($S443-BG443)/BG443)*Mat.PT_E.s))
-($M443*Mat.PT_f.pu*(1-Mat.PT_k*BG443/$P443))))</f>
        <v/>
      </c>
      <c r="BJ443" s="329"/>
      <c r="BK443" s="167" t="str">
        <f>IF(ISBLANK(Inputs!$A51),"",
IF(BI443="--","Solved",
IF(ABS(BI443)&lt;=0.001,"Solved",BG443-BI443*(BG443-BC443)/(BI443-BE443))))</f>
        <v/>
      </c>
      <c r="BL443" s="167"/>
      <c r="BM443" s="329" t="str">
        <f>IF(ISBLANK(Inputs!$A51),"",
IF(OR(BK443="Solved",BK443="--"),"--",
((Mat.Conc_Alpha.1*Mat.Conc_f.c*$AB443*MIN(BK443*Mat.Conc_Beta.1,$Y443))
+(Mat.Conc_Alpha.1*Mat.Conc_f.c*$V443*MAX(0,BK443*Mat.Conc_Beta.1-$Y443)))
-($J443*MIN(Mat.Rebar_f.y,(Mat.Rebar_epsilon.cl*($S443-BK443)/BK443)*Mat.PT_E.s))
-($M443*Mat.PT_f.pu*(1-Mat.PT_k*BK443/$P443))))</f>
        <v/>
      </c>
      <c r="BN443" s="329"/>
      <c r="BO443" s="167" t="str">
        <f>IF(ISBLANK(Inputs!$A51),"",
IF(BM443="--","Solved",
IF(ABS(BM443)&lt;=0.001,"Solved",BK443-BM443*(BK443-BG443)/(BM443-BI443))))</f>
        <v/>
      </c>
      <c r="BP443" s="167"/>
      <c r="BQ443" s="329" t="str">
        <f>IF(ISBLANK(Inputs!$A51),"",
IF(OR(BO443="Solved",BO443="--"),"--",
((Mat.Conc_Alpha.1*Mat.Conc_f.c*$AB443*MIN(BO443*Mat.Conc_Beta.1,$Y443))
+(Mat.Conc_Alpha.1*Mat.Conc_f.c*$V443*MAX(0,BO443*Mat.Conc_Beta.1-$Y443)))
-($J443*MIN(Mat.Rebar_f.y,(Mat.Rebar_epsilon.cl*($S443-BO443)/BO443)*Mat.PT_E.s))
-($M443*Mat.PT_f.pu*(1-Mat.PT_k*BO443/$P443))))</f>
        <v/>
      </c>
      <c r="BR443" s="329"/>
      <c r="BT443" s="98"/>
      <c r="BU443" s="70"/>
      <c r="BV443" s="70"/>
      <c r="BW443" s="8"/>
      <c r="BX443" s="8"/>
      <c r="BY443" s="8"/>
      <c r="BZ443" s="8"/>
      <c r="CA443" s="8"/>
      <c r="CB443" s="10"/>
    </row>
    <row r="444" spans="3:80" ht="15" customHeight="1" x14ac:dyDescent="0.25">
      <c r="C444" s="69"/>
      <c r="F444" s="167" t="str">
        <f>IF(ISBLANK(Inputs!A52),"",Inputs!A52)</f>
        <v/>
      </c>
      <c r="G444" s="167"/>
      <c r="H444" s="167" t="str">
        <f>IF(ISBLANK(Inputs!B52),"",Inputs!B52)</f>
        <v/>
      </c>
      <c r="I444" s="167"/>
      <c r="J444" s="168" t="str">
        <f>IF(ISBLANK(Inputs!G52),"",Inputs!G52)</f>
        <v/>
      </c>
      <c r="K444" s="168"/>
      <c r="L444" s="168"/>
      <c r="M444" s="168" t="str">
        <f>IF(ISBLANK(Inputs!D52),"",Inputs!D52)</f>
        <v/>
      </c>
      <c r="N444" s="168"/>
      <c r="O444" s="168"/>
      <c r="P444" s="168" t="str">
        <f>IF(ISBLANK(Inputs!F52),"",Inputs!F52)</f>
        <v/>
      </c>
      <c r="Q444" s="168"/>
      <c r="R444" s="168"/>
      <c r="S444" s="168" t="str">
        <f>IF(ISBLANK(Inputs!H52),"",Inputs!H52)</f>
        <v/>
      </c>
      <c r="T444" s="168"/>
      <c r="U444" s="168"/>
      <c r="V444" s="168" t="str">
        <f>IF(ISBLANK(Inputs!E52),"",Inputs!E52)</f>
        <v/>
      </c>
      <c r="W444" s="168"/>
      <c r="X444" s="168"/>
      <c r="Y444" s="168" t="str">
        <f>IF(ISBLANK(Inputs!I52),"",Inputs!I52)</f>
        <v/>
      </c>
      <c r="Z444" s="168"/>
      <c r="AA444" s="168"/>
      <c r="AB444" s="168">
        <f>IF(ISBLANK(Inputs!J52),"",Inputs!J52)</f>
        <v>96</v>
      </c>
      <c r="AC444" s="168"/>
      <c r="AD444" s="168"/>
      <c r="AE444" s="167" t="str">
        <f>IF(ISBLANK(Inputs!A52),"",Y444)</f>
        <v/>
      </c>
      <c r="AF444" s="167"/>
      <c r="AG444" s="329" t="str">
        <f>IF(ISBLANK(Inputs!$A52),"",
IF(OR(AE444="Solved",AE444="--"),"--",
((Mat.Conc_Alpha.1*Mat.Conc_f.c*$AB444*MIN(AE444*Mat.Conc_Beta.1,$Y444))
+(Mat.Conc_Alpha.1*Mat.Conc_f.c*$V444*MAX(0,AE444*Mat.Conc_Beta.1-$Y444)))
-($J444*MIN(Mat.Rebar_f.y,(Mat.Rebar_epsilon.cl*($S444-AE444)/AE444)*Mat.PT_E.s))
-($M444*Mat.PT_f.pu*(1-Mat.PT_k*AE444/$P444))))</f>
        <v/>
      </c>
      <c r="AH444" s="329"/>
      <c r="AI444" s="167" t="str">
        <f>IF(ISBLANK(Inputs!$A52),"",
IF(ABS(AG444)&lt;=0.001,"Solved",IF(AG444&gt;0,0.85*AE444,1.15*AE444)))</f>
        <v/>
      </c>
      <c r="AJ444" s="167"/>
      <c r="AK444" s="329" t="str">
        <f>IF(ISBLANK(Inputs!$A52),"",
IF(OR(AI444="Solved",AI444="--"),"--",
((Mat.Conc_Alpha.1*Mat.Conc_f.c*$AB444*MIN(AI444*Mat.Conc_Beta.1,$Y444))
+(Mat.Conc_Alpha.1*Mat.Conc_f.c*$V444*MAX(0,AI444*Mat.Conc_Beta.1-$Y444)))
-($J444*MIN(Mat.Rebar_f.y,(Mat.Rebar_epsilon.cl*($S444-AI444)/AI444)*Mat.PT_E.s))
-($M444*Mat.PT_f.pu*(1-Mat.PT_k*AI444/$P444))))</f>
        <v/>
      </c>
      <c r="AL444" s="329"/>
      <c r="AM444" s="167" t="str">
        <f>IF(ISBLANK(Inputs!$A52),"",
IF(AK444="--","Solved",
IF(ABS(AK444)&lt;=0.001,"Solved",AI444-AK444*(AI444-AE444)/(AK444-AG444))))</f>
        <v/>
      </c>
      <c r="AN444" s="167"/>
      <c r="AO444" s="329" t="str">
        <f>IF(ISBLANK(Inputs!$A52),"",
IF(OR(AM444="Solved",AM444="--"),"--",
((Mat.Conc_Alpha.1*Mat.Conc_f.c*$AB444*MIN(AM444*Mat.Conc_Beta.1,$Y444))
+(Mat.Conc_Alpha.1*Mat.Conc_f.c*$V444*MAX(0,AM444*Mat.Conc_Beta.1-$Y444)))
-($J444*MIN(Mat.Rebar_f.y,(Mat.Rebar_epsilon.cl*($S444-AM444)/AM444)*Mat.PT_E.s))
-($M444*Mat.PT_f.pu*(1-Mat.PT_k*AM444/$P444))))</f>
        <v/>
      </c>
      <c r="AP444" s="329"/>
      <c r="AQ444" s="167" t="str">
        <f>IF(ISBLANK(Inputs!$A52),"",
IF(AO444="--","Solved",
IF(ABS(AO444)&lt;=0.001,"Solved",AM444-AO444*(AM444-AI444)/(AO444-AK444))))</f>
        <v/>
      </c>
      <c r="AR444" s="167"/>
      <c r="AS444" s="329" t="str">
        <f>IF(ISBLANK(Inputs!$A52),"",
IF(OR(AQ444="Solved",AQ444="--"),"--",
((Mat.Conc_Alpha.1*Mat.Conc_f.c*$AB444*MIN(AQ444*Mat.Conc_Beta.1,$Y444))
+(Mat.Conc_Alpha.1*Mat.Conc_f.c*$V444*MAX(0,AQ444*Mat.Conc_Beta.1-$Y444)))
-($J444*MIN(Mat.Rebar_f.y,(Mat.Rebar_epsilon.cl*($S444-AQ444)/AQ444)*Mat.PT_E.s))
-($M444*Mat.PT_f.pu*(1-Mat.PT_k*AQ444/$P444))))</f>
        <v/>
      </c>
      <c r="AT444" s="329"/>
      <c r="AU444" s="167" t="str">
        <f>IF(ISBLANK(Inputs!$A52),"",
IF(AS444="--","Solved",
IF(ABS(AS444)&lt;=0.001,"Solved",AQ444-AS444*(AQ444-AM444)/(AS444-AO444))))</f>
        <v/>
      </c>
      <c r="AV444" s="167"/>
      <c r="AW444" s="329" t="str">
        <f>IF(ISBLANK(Inputs!$A52),"",
IF(OR(AU444="Solved",AU444="--"),"--",
((Mat.Conc_Alpha.1*Mat.Conc_f.c*$AB444*MIN(AU444*Mat.Conc_Beta.1,$Y444))
+(Mat.Conc_Alpha.1*Mat.Conc_f.c*$V444*MAX(0,AU444*Mat.Conc_Beta.1-$Y444)))
-($J444*MIN(Mat.Rebar_f.y,(Mat.Rebar_epsilon.cl*($S444-AU444)/AU444)*Mat.PT_E.s))
-($M444*Mat.PT_f.pu*(1-Mat.PT_k*AU444/$P444))))</f>
        <v/>
      </c>
      <c r="AX444" s="329"/>
      <c r="AY444" s="167" t="str">
        <f>IF(ISBLANK(Inputs!$A52),"",
IF(AW444="--","Solved",
IF(ABS(AW444)&lt;=0.001,"Solved",AU444-AW444*(AU444-AQ444)/(AW444-AS444))))</f>
        <v/>
      </c>
      <c r="AZ444" s="167"/>
      <c r="BA444" s="329" t="str">
        <f>IF(ISBLANK(Inputs!$A52),"",
IF(OR(AY444="Solved",AY444="--"),"--",
((Mat.Conc_Alpha.1*Mat.Conc_f.c*$AB444*MIN(AY444*Mat.Conc_Beta.1,$Y444))
+(Mat.Conc_Alpha.1*Mat.Conc_f.c*$V444*MAX(0,AY444*Mat.Conc_Beta.1-$Y444)))
-($J444*MIN(Mat.Rebar_f.y,(Mat.Rebar_epsilon.cl*($S444-AY444)/AY444)*Mat.PT_E.s))
-($M444*Mat.PT_f.pu*(1-Mat.PT_k*AY444/$P444))))</f>
        <v/>
      </c>
      <c r="BB444" s="329"/>
      <c r="BC444" s="167" t="str">
        <f>IF(ISBLANK(Inputs!$A52),"",
IF(BA444="--","Solved",
IF(ABS(BA444)&lt;=0.001,"Solved",AY444-BA444*(AY444-AU444)/(BA444-AW444))))</f>
        <v/>
      </c>
      <c r="BD444" s="167"/>
      <c r="BE444" s="329" t="str">
        <f>IF(ISBLANK(Inputs!$A52),"",
IF(OR(BC444="Solved",BC444="--"),"--",
((Mat.Conc_Alpha.1*Mat.Conc_f.c*$AB444*MIN(BC444*Mat.Conc_Beta.1,$Y444))
+(Mat.Conc_Alpha.1*Mat.Conc_f.c*$V444*MAX(0,BC444*Mat.Conc_Beta.1-$Y444)))
-($J444*MIN(Mat.Rebar_f.y,(Mat.Rebar_epsilon.cl*($S444-BC444)/BC444)*Mat.PT_E.s))
-($M444*Mat.PT_f.pu*(1-Mat.PT_k*BC444/$P444))))</f>
        <v/>
      </c>
      <c r="BF444" s="329"/>
      <c r="BG444" s="167" t="str">
        <f>IF(ISBLANK(Inputs!$A52),"",
IF(BE444="--","Solved",
IF(ABS(BE444)&lt;=0.001,"Solved",BC444-BE444*(BC444-AY444)/(BE444-BA444))))</f>
        <v/>
      </c>
      <c r="BH444" s="167"/>
      <c r="BI444" s="329" t="str">
        <f>IF(ISBLANK(Inputs!$A52),"",
IF(OR(BG444="Solved",BG444="--"),"--",
((Mat.Conc_Alpha.1*Mat.Conc_f.c*$AB444*MIN(BG444*Mat.Conc_Beta.1,$Y444))
+(Mat.Conc_Alpha.1*Mat.Conc_f.c*$V444*MAX(0,BG444*Mat.Conc_Beta.1-$Y444)))
-($J444*MIN(Mat.Rebar_f.y,(Mat.Rebar_epsilon.cl*($S444-BG444)/BG444)*Mat.PT_E.s))
-($M444*Mat.PT_f.pu*(1-Mat.PT_k*BG444/$P444))))</f>
        <v/>
      </c>
      <c r="BJ444" s="329"/>
      <c r="BK444" s="167" t="str">
        <f>IF(ISBLANK(Inputs!$A52),"",
IF(BI444="--","Solved",
IF(ABS(BI444)&lt;=0.001,"Solved",BG444-BI444*(BG444-BC444)/(BI444-BE444))))</f>
        <v/>
      </c>
      <c r="BL444" s="167"/>
      <c r="BM444" s="329" t="str">
        <f>IF(ISBLANK(Inputs!$A52),"",
IF(OR(BK444="Solved",BK444="--"),"--",
((Mat.Conc_Alpha.1*Mat.Conc_f.c*$AB444*MIN(BK444*Mat.Conc_Beta.1,$Y444))
+(Mat.Conc_Alpha.1*Mat.Conc_f.c*$V444*MAX(0,BK444*Mat.Conc_Beta.1-$Y444)))
-($J444*MIN(Mat.Rebar_f.y,(Mat.Rebar_epsilon.cl*($S444-BK444)/BK444)*Mat.PT_E.s))
-($M444*Mat.PT_f.pu*(1-Mat.PT_k*BK444/$P444))))</f>
        <v/>
      </c>
      <c r="BN444" s="329"/>
      <c r="BO444" s="167" t="str">
        <f>IF(ISBLANK(Inputs!$A52),"",
IF(BM444="--","Solved",
IF(ABS(BM444)&lt;=0.001,"Solved",BK444-BM444*(BK444-BG444)/(BM444-BI444))))</f>
        <v/>
      </c>
      <c r="BP444" s="167"/>
      <c r="BQ444" s="329" t="str">
        <f>IF(ISBLANK(Inputs!$A52),"",
IF(OR(BO444="Solved",BO444="--"),"--",
((Mat.Conc_Alpha.1*Mat.Conc_f.c*$AB444*MIN(BO444*Mat.Conc_Beta.1,$Y444))
+(Mat.Conc_Alpha.1*Mat.Conc_f.c*$V444*MAX(0,BO444*Mat.Conc_Beta.1-$Y444)))
-($J444*MIN(Mat.Rebar_f.y,(Mat.Rebar_epsilon.cl*($S444-BO444)/BO444)*Mat.PT_E.s))
-($M444*Mat.PT_f.pu*(1-Mat.PT_k*BO444/$P444))))</f>
        <v/>
      </c>
      <c r="BR444" s="329"/>
      <c r="BT444" s="98"/>
      <c r="BU444" s="70"/>
      <c r="BV444" s="70"/>
      <c r="BW444" s="8"/>
      <c r="BX444" s="8"/>
      <c r="BY444" s="8"/>
      <c r="BZ444" s="8"/>
      <c r="CA444" s="8"/>
      <c r="CB444" s="10"/>
    </row>
    <row r="445" spans="3:80" ht="15" customHeight="1" x14ac:dyDescent="0.25">
      <c r="C445" s="69"/>
      <c r="F445" s="167" t="str">
        <f>IF(ISBLANK(Inputs!A53),"",Inputs!A53)</f>
        <v/>
      </c>
      <c r="G445" s="167"/>
      <c r="H445" s="167" t="str">
        <f>IF(ISBLANK(Inputs!B53),"",Inputs!B53)</f>
        <v/>
      </c>
      <c r="I445" s="167"/>
      <c r="J445" s="168" t="str">
        <f>IF(ISBLANK(Inputs!G53),"",Inputs!G53)</f>
        <v/>
      </c>
      <c r="K445" s="168"/>
      <c r="L445" s="168"/>
      <c r="M445" s="168" t="str">
        <f>IF(ISBLANK(Inputs!D53),"",Inputs!D53)</f>
        <v/>
      </c>
      <c r="N445" s="168"/>
      <c r="O445" s="168"/>
      <c r="P445" s="168" t="str">
        <f>IF(ISBLANK(Inputs!F53),"",Inputs!F53)</f>
        <v/>
      </c>
      <c r="Q445" s="168"/>
      <c r="R445" s="168"/>
      <c r="S445" s="168" t="str">
        <f>IF(ISBLANK(Inputs!H53),"",Inputs!H53)</f>
        <v/>
      </c>
      <c r="T445" s="168"/>
      <c r="U445" s="168"/>
      <c r="V445" s="168" t="str">
        <f>IF(ISBLANK(Inputs!E53),"",Inputs!E53)</f>
        <v/>
      </c>
      <c r="W445" s="168"/>
      <c r="X445" s="168"/>
      <c r="Y445" s="168" t="str">
        <f>IF(ISBLANK(Inputs!I53),"",Inputs!I53)</f>
        <v/>
      </c>
      <c r="Z445" s="168"/>
      <c r="AA445" s="168"/>
      <c r="AB445" s="168">
        <f>IF(ISBLANK(Inputs!J53),"",Inputs!J53)</f>
        <v>96</v>
      </c>
      <c r="AC445" s="168"/>
      <c r="AD445" s="168"/>
      <c r="AE445" s="167" t="str">
        <f>IF(ISBLANK(Inputs!A53),"",Y445)</f>
        <v/>
      </c>
      <c r="AF445" s="167"/>
      <c r="AG445" s="329" t="str">
        <f>IF(ISBLANK(Inputs!$A53),"",
IF(OR(AE445="Solved",AE445="--"),"--",
((Mat.Conc_Alpha.1*Mat.Conc_f.c*$AB445*MIN(AE445*Mat.Conc_Beta.1,$Y445))
+(Mat.Conc_Alpha.1*Mat.Conc_f.c*$V445*MAX(0,AE445*Mat.Conc_Beta.1-$Y445)))
-($J445*MIN(Mat.Rebar_f.y,(Mat.Rebar_epsilon.cl*($S445-AE445)/AE445)*Mat.PT_E.s))
-($M445*Mat.PT_f.pu*(1-Mat.PT_k*AE445/$P445))))</f>
        <v/>
      </c>
      <c r="AH445" s="329"/>
      <c r="AI445" s="167" t="str">
        <f>IF(ISBLANK(Inputs!$A53),"",
IF(ABS(AG445)&lt;=0.001,"Solved",IF(AG445&gt;0,0.85*AE445,1.15*AE445)))</f>
        <v/>
      </c>
      <c r="AJ445" s="167"/>
      <c r="AK445" s="329" t="str">
        <f>IF(ISBLANK(Inputs!$A53),"",
IF(OR(AI445="Solved",AI445="--"),"--",
((Mat.Conc_Alpha.1*Mat.Conc_f.c*$AB445*MIN(AI445*Mat.Conc_Beta.1,$Y445))
+(Mat.Conc_Alpha.1*Mat.Conc_f.c*$V445*MAX(0,AI445*Mat.Conc_Beta.1-$Y445)))
-($J445*MIN(Mat.Rebar_f.y,(Mat.Rebar_epsilon.cl*($S445-AI445)/AI445)*Mat.PT_E.s))
-($M445*Mat.PT_f.pu*(1-Mat.PT_k*AI445/$P445))))</f>
        <v/>
      </c>
      <c r="AL445" s="329"/>
      <c r="AM445" s="167" t="str">
        <f>IF(ISBLANK(Inputs!$A53),"",
IF(AK445="--","Solved",
IF(ABS(AK445)&lt;=0.001,"Solved",AI445-AK445*(AI445-AE445)/(AK445-AG445))))</f>
        <v/>
      </c>
      <c r="AN445" s="167"/>
      <c r="AO445" s="329" t="str">
        <f>IF(ISBLANK(Inputs!$A53),"",
IF(OR(AM445="Solved",AM445="--"),"--",
((Mat.Conc_Alpha.1*Mat.Conc_f.c*$AB445*MIN(AM445*Mat.Conc_Beta.1,$Y445))
+(Mat.Conc_Alpha.1*Mat.Conc_f.c*$V445*MAX(0,AM445*Mat.Conc_Beta.1-$Y445)))
-($J445*MIN(Mat.Rebar_f.y,(Mat.Rebar_epsilon.cl*($S445-AM445)/AM445)*Mat.PT_E.s))
-($M445*Mat.PT_f.pu*(1-Mat.PT_k*AM445/$P445))))</f>
        <v/>
      </c>
      <c r="AP445" s="329"/>
      <c r="AQ445" s="167" t="str">
        <f>IF(ISBLANK(Inputs!$A53),"",
IF(AO445="--","Solved",
IF(ABS(AO445)&lt;=0.001,"Solved",AM445-AO445*(AM445-AI445)/(AO445-AK445))))</f>
        <v/>
      </c>
      <c r="AR445" s="167"/>
      <c r="AS445" s="329" t="str">
        <f>IF(ISBLANK(Inputs!$A53),"",
IF(OR(AQ445="Solved",AQ445="--"),"--",
((Mat.Conc_Alpha.1*Mat.Conc_f.c*$AB445*MIN(AQ445*Mat.Conc_Beta.1,$Y445))
+(Mat.Conc_Alpha.1*Mat.Conc_f.c*$V445*MAX(0,AQ445*Mat.Conc_Beta.1-$Y445)))
-($J445*MIN(Mat.Rebar_f.y,(Mat.Rebar_epsilon.cl*($S445-AQ445)/AQ445)*Mat.PT_E.s))
-($M445*Mat.PT_f.pu*(1-Mat.PT_k*AQ445/$P445))))</f>
        <v/>
      </c>
      <c r="AT445" s="329"/>
      <c r="AU445" s="167" t="str">
        <f>IF(ISBLANK(Inputs!$A53),"",
IF(AS445="--","Solved",
IF(ABS(AS445)&lt;=0.001,"Solved",AQ445-AS445*(AQ445-AM445)/(AS445-AO445))))</f>
        <v/>
      </c>
      <c r="AV445" s="167"/>
      <c r="AW445" s="329" t="str">
        <f>IF(ISBLANK(Inputs!$A53),"",
IF(OR(AU445="Solved",AU445="--"),"--",
((Mat.Conc_Alpha.1*Mat.Conc_f.c*$AB445*MIN(AU445*Mat.Conc_Beta.1,$Y445))
+(Mat.Conc_Alpha.1*Mat.Conc_f.c*$V445*MAX(0,AU445*Mat.Conc_Beta.1-$Y445)))
-($J445*MIN(Mat.Rebar_f.y,(Mat.Rebar_epsilon.cl*($S445-AU445)/AU445)*Mat.PT_E.s))
-($M445*Mat.PT_f.pu*(1-Mat.PT_k*AU445/$P445))))</f>
        <v/>
      </c>
      <c r="AX445" s="329"/>
      <c r="AY445" s="167" t="str">
        <f>IF(ISBLANK(Inputs!$A53),"",
IF(AW445="--","Solved",
IF(ABS(AW445)&lt;=0.001,"Solved",AU445-AW445*(AU445-AQ445)/(AW445-AS445))))</f>
        <v/>
      </c>
      <c r="AZ445" s="167"/>
      <c r="BA445" s="329" t="str">
        <f>IF(ISBLANK(Inputs!$A53),"",
IF(OR(AY445="Solved",AY445="--"),"--",
((Mat.Conc_Alpha.1*Mat.Conc_f.c*$AB445*MIN(AY445*Mat.Conc_Beta.1,$Y445))
+(Mat.Conc_Alpha.1*Mat.Conc_f.c*$V445*MAX(0,AY445*Mat.Conc_Beta.1-$Y445)))
-($J445*MIN(Mat.Rebar_f.y,(Mat.Rebar_epsilon.cl*($S445-AY445)/AY445)*Mat.PT_E.s))
-($M445*Mat.PT_f.pu*(1-Mat.PT_k*AY445/$P445))))</f>
        <v/>
      </c>
      <c r="BB445" s="329"/>
      <c r="BC445" s="167" t="str">
        <f>IF(ISBLANK(Inputs!$A53),"",
IF(BA445="--","Solved",
IF(ABS(BA445)&lt;=0.001,"Solved",AY445-BA445*(AY445-AU445)/(BA445-AW445))))</f>
        <v/>
      </c>
      <c r="BD445" s="167"/>
      <c r="BE445" s="329" t="str">
        <f>IF(ISBLANK(Inputs!$A53),"",
IF(OR(BC445="Solved",BC445="--"),"--",
((Mat.Conc_Alpha.1*Mat.Conc_f.c*$AB445*MIN(BC445*Mat.Conc_Beta.1,$Y445))
+(Mat.Conc_Alpha.1*Mat.Conc_f.c*$V445*MAX(0,BC445*Mat.Conc_Beta.1-$Y445)))
-($J445*MIN(Mat.Rebar_f.y,(Mat.Rebar_epsilon.cl*($S445-BC445)/BC445)*Mat.PT_E.s))
-($M445*Mat.PT_f.pu*(1-Mat.PT_k*BC445/$P445))))</f>
        <v/>
      </c>
      <c r="BF445" s="329"/>
      <c r="BG445" s="167" t="str">
        <f>IF(ISBLANK(Inputs!$A53),"",
IF(BE445="--","Solved",
IF(ABS(BE445)&lt;=0.001,"Solved",BC445-BE445*(BC445-AY445)/(BE445-BA445))))</f>
        <v/>
      </c>
      <c r="BH445" s="167"/>
      <c r="BI445" s="329" t="str">
        <f>IF(ISBLANK(Inputs!$A53),"",
IF(OR(BG445="Solved",BG445="--"),"--",
((Mat.Conc_Alpha.1*Mat.Conc_f.c*$AB445*MIN(BG445*Mat.Conc_Beta.1,$Y445))
+(Mat.Conc_Alpha.1*Mat.Conc_f.c*$V445*MAX(0,BG445*Mat.Conc_Beta.1-$Y445)))
-($J445*MIN(Mat.Rebar_f.y,(Mat.Rebar_epsilon.cl*($S445-BG445)/BG445)*Mat.PT_E.s))
-($M445*Mat.PT_f.pu*(1-Mat.PT_k*BG445/$P445))))</f>
        <v/>
      </c>
      <c r="BJ445" s="329"/>
      <c r="BK445" s="167" t="str">
        <f>IF(ISBLANK(Inputs!$A53),"",
IF(BI445="--","Solved",
IF(ABS(BI445)&lt;=0.001,"Solved",BG445-BI445*(BG445-BC445)/(BI445-BE445))))</f>
        <v/>
      </c>
      <c r="BL445" s="167"/>
      <c r="BM445" s="329" t="str">
        <f>IF(ISBLANK(Inputs!$A53),"",
IF(OR(BK445="Solved",BK445="--"),"--",
((Mat.Conc_Alpha.1*Mat.Conc_f.c*$AB445*MIN(BK445*Mat.Conc_Beta.1,$Y445))
+(Mat.Conc_Alpha.1*Mat.Conc_f.c*$V445*MAX(0,BK445*Mat.Conc_Beta.1-$Y445)))
-($J445*MIN(Mat.Rebar_f.y,(Mat.Rebar_epsilon.cl*($S445-BK445)/BK445)*Mat.PT_E.s))
-($M445*Mat.PT_f.pu*(1-Mat.PT_k*BK445/$P445))))</f>
        <v/>
      </c>
      <c r="BN445" s="329"/>
      <c r="BO445" s="167" t="str">
        <f>IF(ISBLANK(Inputs!$A53),"",
IF(BM445="--","Solved",
IF(ABS(BM445)&lt;=0.001,"Solved",BK445-BM445*(BK445-BG445)/(BM445-BI445))))</f>
        <v/>
      </c>
      <c r="BP445" s="167"/>
      <c r="BQ445" s="329" t="str">
        <f>IF(ISBLANK(Inputs!$A53),"",
IF(OR(BO445="Solved",BO445="--"),"--",
((Mat.Conc_Alpha.1*Mat.Conc_f.c*$AB445*MIN(BO445*Mat.Conc_Beta.1,$Y445))
+(Mat.Conc_Alpha.1*Mat.Conc_f.c*$V445*MAX(0,BO445*Mat.Conc_Beta.1-$Y445)))
-($J445*MIN(Mat.Rebar_f.y,(Mat.Rebar_epsilon.cl*($S445-BO445)/BO445)*Mat.PT_E.s))
-($M445*Mat.PT_f.pu*(1-Mat.PT_k*BO445/$P445))))</f>
        <v/>
      </c>
      <c r="BR445" s="329"/>
      <c r="BT445" s="98"/>
      <c r="BU445" s="70"/>
      <c r="BV445" s="70"/>
      <c r="BW445" s="8"/>
      <c r="BX445" s="8"/>
      <c r="BY445" s="8"/>
      <c r="BZ445" s="8"/>
      <c r="CA445" s="8"/>
      <c r="CB445" s="10"/>
    </row>
    <row r="446" spans="3:80" ht="15" customHeight="1" x14ac:dyDescent="0.25">
      <c r="C446" s="69"/>
      <c r="F446" s="167" t="str">
        <f>IF(ISBLANK(Inputs!A54),"",Inputs!A54)</f>
        <v/>
      </c>
      <c r="G446" s="167"/>
      <c r="H446" s="167" t="str">
        <f>IF(ISBLANK(Inputs!B54),"",Inputs!B54)</f>
        <v/>
      </c>
      <c r="I446" s="167"/>
      <c r="J446" s="168" t="str">
        <f>IF(ISBLANK(Inputs!G54),"",Inputs!G54)</f>
        <v/>
      </c>
      <c r="K446" s="168"/>
      <c r="L446" s="168"/>
      <c r="M446" s="168" t="str">
        <f>IF(ISBLANK(Inputs!D54),"",Inputs!D54)</f>
        <v/>
      </c>
      <c r="N446" s="168"/>
      <c r="O446" s="168"/>
      <c r="P446" s="168" t="str">
        <f>IF(ISBLANK(Inputs!F54),"",Inputs!F54)</f>
        <v/>
      </c>
      <c r="Q446" s="168"/>
      <c r="R446" s="168"/>
      <c r="S446" s="168" t="str">
        <f>IF(ISBLANK(Inputs!H54),"",Inputs!H54)</f>
        <v/>
      </c>
      <c r="T446" s="168"/>
      <c r="U446" s="168"/>
      <c r="V446" s="168" t="str">
        <f>IF(ISBLANK(Inputs!E54),"",Inputs!E54)</f>
        <v/>
      </c>
      <c r="W446" s="168"/>
      <c r="X446" s="168"/>
      <c r="Y446" s="168" t="str">
        <f>IF(ISBLANK(Inputs!I54),"",Inputs!I54)</f>
        <v/>
      </c>
      <c r="Z446" s="168"/>
      <c r="AA446" s="168"/>
      <c r="AB446" s="168">
        <f>IF(ISBLANK(Inputs!J54),"",Inputs!J54)</f>
        <v>96</v>
      </c>
      <c r="AC446" s="168"/>
      <c r="AD446" s="168"/>
      <c r="AE446" s="167" t="str">
        <f>IF(ISBLANK(Inputs!A54),"",Y446)</f>
        <v/>
      </c>
      <c r="AF446" s="167"/>
      <c r="AG446" s="329" t="str">
        <f>IF(ISBLANK(Inputs!$A54),"",
IF(OR(AE446="Solved",AE446="--"),"--",
((Mat.Conc_Alpha.1*Mat.Conc_f.c*$AB446*MIN(AE446*Mat.Conc_Beta.1,$Y446))
+(Mat.Conc_Alpha.1*Mat.Conc_f.c*$V446*MAX(0,AE446*Mat.Conc_Beta.1-$Y446)))
-($J446*MIN(Mat.Rebar_f.y,(Mat.Rebar_epsilon.cl*($S446-AE446)/AE446)*Mat.PT_E.s))
-($M446*Mat.PT_f.pu*(1-Mat.PT_k*AE446/$P446))))</f>
        <v/>
      </c>
      <c r="AH446" s="329"/>
      <c r="AI446" s="167" t="str">
        <f>IF(ISBLANK(Inputs!$A54),"",
IF(ABS(AG446)&lt;=0.001,"Solved",IF(AG446&gt;0,0.85*AE446,1.15*AE446)))</f>
        <v/>
      </c>
      <c r="AJ446" s="167"/>
      <c r="AK446" s="329" t="str">
        <f>IF(ISBLANK(Inputs!$A54),"",
IF(OR(AI446="Solved",AI446="--"),"--",
((Mat.Conc_Alpha.1*Mat.Conc_f.c*$AB446*MIN(AI446*Mat.Conc_Beta.1,$Y446))
+(Mat.Conc_Alpha.1*Mat.Conc_f.c*$V446*MAX(0,AI446*Mat.Conc_Beta.1-$Y446)))
-($J446*MIN(Mat.Rebar_f.y,(Mat.Rebar_epsilon.cl*($S446-AI446)/AI446)*Mat.PT_E.s))
-($M446*Mat.PT_f.pu*(1-Mat.PT_k*AI446/$P446))))</f>
        <v/>
      </c>
      <c r="AL446" s="329"/>
      <c r="AM446" s="167" t="str">
        <f>IF(ISBLANK(Inputs!$A54),"",
IF(AK446="--","Solved",
IF(ABS(AK446)&lt;=0.001,"Solved",AI446-AK446*(AI446-AE446)/(AK446-AG446))))</f>
        <v/>
      </c>
      <c r="AN446" s="167"/>
      <c r="AO446" s="329" t="str">
        <f>IF(ISBLANK(Inputs!$A54),"",
IF(OR(AM446="Solved",AM446="--"),"--",
((Mat.Conc_Alpha.1*Mat.Conc_f.c*$AB446*MIN(AM446*Mat.Conc_Beta.1,$Y446))
+(Mat.Conc_Alpha.1*Mat.Conc_f.c*$V446*MAX(0,AM446*Mat.Conc_Beta.1-$Y446)))
-($J446*MIN(Mat.Rebar_f.y,(Mat.Rebar_epsilon.cl*($S446-AM446)/AM446)*Mat.PT_E.s))
-($M446*Mat.PT_f.pu*(1-Mat.PT_k*AM446/$P446))))</f>
        <v/>
      </c>
      <c r="AP446" s="329"/>
      <c r="AQ446" s="167" t="str">
        <f>IF(ISBLANK(Inputs!$A54),"",
IF(AO446="--","Solved",
IF(ABS(AO446)&lt;=0.001,"Solved",AM446-AO446*(AM446-AI446)/(AO446-AK446))))</f>
        <v/>
      </c>
      <c r="AR446" s="167"/>
      <c r="AS446" s="329" t="str">
        <f>IF(ISBLANK(Inputs!$A54),"",
IF(OR(AQ446="Solved",AQ446="--"),"--",
((Mat.Conc_Alpha.1*Mat.Conc_f.c*$AB446*MIN(AQ446*Mat.Conc_Beta.1,$Y446))
+(Mat.Conc_Alpha.1*Mat.Conc_f.c*$V446*MAX(0,AQ446*Mat.Conc_Beta.1-$Y446)))
-($J446*MIN(Mat.Rebar_f.y,(Mat.Rebar_epsilon.cl*($S446-AQ446)/AQ446)*Mat.PT_E.s))
-($M446*Mat.PT_f.pu*(1-Mat.PT_k*AQ446/$P446))))</f>
        <v/>
      </c>
      <c r="AT446" s="329"/>
      <c r="AU446" s="167" t="str">
        <f>IF(ISBLANK(Inputs!$A54),"",
IF(AS446="--","Solved",
IF(ABS(AS446)&lt;=0.001,"Solved",AQ446-AS446*(AQ446-AM446)/(AS446-AO446))))</f>
        <v/>
      </c>
      <c r="AV446" s="167"/>
      <c r="AW446" s="329" t="str">
        <f>IF(ISBLANK(Inputs!$A54),"",
IF(OR(AU446="Solved",AU446="--"),"--",
((Mat.Conc_Alpha.1*Mat.Conc_f.c*$AB446*MIN(AU446*Mat.Conc_Beta.1,$Y446))
+(Mat.Conc_Alpha.1*Mat.Conc_f.c*$V446*MAX(0,AU446*Mat.Conc_Beta.1-$Y446)))
-($J446*MIN(Mat.Rebar_f.y,(Mat.Rebar_epsilon.cl*($S446-AU446)/AU446)*Mat.PT_E.s))
-($M446*Mat.PT_f.pu*(1-Mat.PT_k*AU446/$P446))))</f>
        <v/>
      </c>
      <c r="AX446" s="329"/>
      <c r="AY446" s="167" t="str">
        <f>IF(ISBLANK(Inputs!$A54),"",
IF(AW446="--","Solved",
IF(ABS(AW446)&lt;=0.001,"Solved",AU446-AW446*(AU446-AQ446)/(AW446-AS446))))</f>
        <v/>
      </c>
      <c r="AZ446" s="167"/>
      <c r="BA446" s="329" t="str">
        <f>IF(ISBLANK(Inputs!$A54),"",
IF(OR(AY446="Solved",AY446="--"),"--",
((Mat.Conc_Alpha.1*Mat.Conc_f.c*$AB446*MIN(AY446*Mat.Conc_Beta.1,$Y446))
+(Mat.Conc_Alpha.1*Mat.Conc_f.c*$V446*MAX(0,AY446*Mat.Conc_Beta.1-$Y446)))
-($J446*MIN(Mat.Rebar_f.y,(Mat.Rebar_epsilon.cl*($S446-AY446)/AY446)*Mat.PT_E.s))
-($M446*Mat.PT_f.pu*(1-Mat.PT_k*AY446/$P446))))</f>
        <v/>
      </c>
      <c r="BB446" s="329"/>
      <c r="BC446" s="167" t="str">
        <f>IF(ISBLANK(Inputs!$A54),"",
IF(BA446="--","Solved",
IF(ABS(BA446)&lt;=0.001,"Solved",AY446-BA446*(AY446-AU446)/(BA446-AW446))))</f>
        <v/>
      </c>
      <c r="BD446" s="167"/>
      <c r="BE446" s="329" t="str">
        <f>IF(ISBLANK(Inputs!$A54),"",
IF(OR(BC446="Solved",BC446="--"),"--",
((Mat.Conc_Alpha.1*Mat.Conc_f.c*$AB446*MIN(BC446*Mat.Conc_Beta.1,$Y446))
+(Mat.Conc_Alpha.1*Mat.Conc_f.c*$V446*MAX(0,BC446*Mat.Conc_Beta.1-$Y446)))
-($J446*MIN(Mat.Rebar_f.y,(Mat.Rebar_epsilon.cl*($S446-BC446)/BC446)*Mat.PT_E.s))
-($M446*Mat.PT_f.pu*(1-Mat.PT_k*BC446/$P446))))</f>
        <v/>
      </c>
      <c r="BF446" s="329"/>
      <c r="BG446" s="167" t="str">
        <f>IF(ISBLANK(Inputs!$A54),"",
IF(BE446="--","Solved",
IF(ABS(BE446)&lt;=0.001,"Solved",BC446-BE446*(BC446-AY446)/(BE446-BA446))))</f>
        <v/>
      </c>
      <c r="BH446" s="167"/>
      <c r="BI446" s="329" t="str">
        <f>IF(ISBLANK(Inputs!$A54),"",
IF(OR(BG446="Solved",BG446="--"),"--",
((Mat.Conc_Alpha.1*Mat.Conc_f.c*$AB446*MIN(BG446*Mat.Conc_Beta.1,$Y446))
+(Mat.Conc_Alpha.1*Mat.Conc_f.c*$V446*MAX(0,BG446*Mat.Conc_Beta.1-$Y446)))
-($J446*MIN(Mat.Rebar_f.y,(Mat.Rebar_epsilon.cl*($S446-BG446)/BG446)*Mat.PT_E.s))
-($M446*Mat.PT_f.pu*(1-Mat.PT_k*BG446/$P446))))</f>
        <v/>
      </c>
      <c r="BJ446" s="329"/>
      <c r="BK446" s="167" t="str">
        <f>IF(ISBLANK(Inputs!$A54),"",
IF(BI446="--","Solved",
IF(ABS(BI446)&lt;=0.001,"Solved",BG446-BI446*(BG446-BC446)/(BI446-BE446))))</f>
        <v/>
      </c>
      <c r="BL446" s="167"/>
      <c r="BM446" s="329" t="str">
        <f>IF(ISBLANK(Inputs!$A54),"",
IF(OR(BK446="Solved",BK446="--"),"--",
((Mat.Conc_Alpha.1*Mat.Conc_f.c*$AB446*MIN(BK446*Mat.Conc_Beta.1,$Y446))
+(Mat.Conc_Alpha.1*Mat.Conc_f.c*$V446*MAX(0,BK446*Mat.Conc_Beta.1-$Y446)))
-($J446*MIN(Mat.Rebar_f.y,(Mat.Rebar_epsilon.cl*($S446-BK446)/BK446)*Mat.PT_E.s))
-($M446*Mat.PT_f.pu*(1-Mat.PT_k*BK446/$P446))))</f>
        <v/>
      </c>
      <c r="BN446" s="329"/>
      <c r="BO446" s="167" t="str">
        <f>IF(ISBLANK(Inputs!$A54),"",
IF(BM446="--","Solved",
IF(ABS(BM446)&lt;=0.001,"Solved",BK446-BM446*(BK446-BG446)/(BM446-BI446))))</f>
        <v/>
      </c>
      <c r="BP446" s="167"/>
      <c r="BQ446" s="329" t="str">
        <f>IF(ISBLANK(Inputs!$A54),"",
IF(OR(BO446="Solved",BO446="--"),"--",
((Mat.Conc_Alpha.1*Mat.Conc_f.c*$AB446*MIN(BO446*Mat.Conc_Beta.1,$Y446))
+(Mat.Conc_Alpha.1*Mat.Conc_f.c*$V446*MAX(0,BO446*Mat.Conc_Beta.1-$Y446)))
-($J446*MIN(Mat.Rebar_f.y,(Mat.Rebar_epsilon.cl*($S446-BO446)/BO446)*Mat.PT_E.s))
-($M446*Mat.PT_f.pu*(1-Mat.PT_k*BO446/$P446))))</f>
        <v/>
      </c>
      <c r="BR446" s="329"/>
      <c r="BT446" s="98"/>
      <c r="BU446" s="70"/>
      <c r="BV446" s="70"/>
      <c r="BW446" s="8"/>
      <c r="BX446" s="8"/>
      <c r="BY446" s="8"/>
      <c r="BZ446" s="8"/>
      <c r="CA446" s="8"/>
      <c r="CB446" s="10"/>
    </row>
    <row r="447" spans="3:80" ht="15" customHeight="1" x14ac:dyDescent="0.25">
      <c r="C447" s="69"/>
      <c r="F447" s="167" t="str">
        <f>IF(ISBLANK(Inputs!A55),"",Inputs!A55)</f>
        <v/>
      </c>
      <c r="G447" s="167"/>
      <c r="H447" s="167" t="str">
        <f>IF(ISBLANK(Inputs!B55),"",Inputs!B55)</f>
        <v/>
      </c>
      <c r="I447" s="167"/>
      <c r="J447" s="168" t="str">
        <f>IF(ISBLANK(Inputs!G55),"",Inputs!G55)</f>
        <v/>
      </c>
      <c r="K447" s="168"/>
      <c r="L447" s="168"/>
      <c r="M447" s="168" t="str">
        <f>IF(ISBLANK(Inputs!D55),"",Inputs!D55)</f>
        <v/>
      </c>
      <c r="N447" s="168"/>
      <c r="O447" s="168"/>
      <c r="P447" s="168" t="str">
        <f>IF(ISBLANK(Inputs!F55),"",Inputs!F55)</f>
        <v/>
      </c>
      <c r="Q447" s="168"/>
      <c r="R447" s="168"/>
      <c r="S447" s="168" t="str">
        <f>IF(ISBLANK(Inputs!H55),"",Inputs!H55)</f>
        <v/>
      </c>
      <c r="T447" s="168"/>
      <c r="U447" s="168"/>
      <c r="V447" s="168" t="str">
        <f>IF(ISBLANK(Inputs!E55),"",Inputs!E55)</f>
        <v/>
      </c>
      <c r="W447" s="168"/>
      <c r="X447" s="168"/>
      <c r="Y447" s="168" t="str">
        <f>IF(ISBLANK(Inputs!I55),"",Inputs!I55)</f>
        <v/>
      </c>
      <c r="Z447" s="168"/>
      <c r="AA447" s="168"/>
      <c r="AB447" s="168">
        <f>IF(ISBLANK(Inputs!J55),"",Inputs!J55)</f>
        <v>96</v>
      </c>
      <c r="AC447" s="168"/>
      <c r="AD447" s="168"/>
      <c r="AE447" s="167" t="str">
        <f>IF(ISBLANK(Inputs!A55),"",Y447)</f>
        <v/>
      </c>
      <c r="AF447" s="167"/>
      <c r="AG447" s="329" t="str">
        <f>IF(ISBLANK(Inputs!$A55),"",
IF(OR(AE447="Solved",AE447="--"),"--",
((Mat.Conc_Alpha.1*Mat.Conc_f.c*$AB447*MIN(AE447*Mat.Conc_Beta.1,$Y447))
+(Mat.Conc_Alpha.1*Mat.Conc_f.c*$V447*MAX(0,AE447*Mat.Conc_Beta.1-$Y447)))
-($J447*MIN(Mat.Rebar_f.y,(Mat.Rebar_epsilon.cl*($S447-AE447)/AE447)*Mat.PT_E.s))
-($M447*Mat.PT_f.pu*(1-Mat.PT_k*AE447/$P447))))</f>
        <v/>
      </c>
      <c r="AH447" s="329"/>
      <c r="AI447" s="167" t="str">
        <f>IF(ISBLANK(Inputs!$A55),"",
IF(ABS(AG447)&lt;=0.001,"Solved",IF(AG447&gt;0,0.85*AE447,1.15*AE447)))</f>
        <v/>
      </c>
      <c r="AJ447" s="167"/>
      <c r="AK447" s="329" t="str">
        <f>IF(ISBLANK(Inputs!$A55),"",
IF(OR(AI447="Solved",AI447="--"),"--",
((Mat.Conc_Alpha.1*Mat.Conc_f.c*$AB447*MIN(AI447*Mat.Conc_Beta.1,$Y447))
+(Mat.Conc_Alpha.1*Mat.Conc_f.c*$V447*MAX(0,AI447*Mat.Conc_Beta.1-$Y447)))
-($J447*MIN(Mat.Rebar_f.y,(Mat.Rebar_epsilon.cl*($S447-AI447)/AI447)*Mat.PT_E.s))
-($M447*Mat.PT_f.pu*(1-Mat.PT_k*AI447/$P447))))</f>
        <v/>
      </c>
      <c r="AL447" s="329"/>
      <c r="AM447" s="167" t="str">
        <f>IF(ISBLANK(Inputs!$A55),"",
IF(AK447="--","Solved",
IF(ABS(AK447)&lt;=0.001,"Solved",AI447-AK447*(AI447-AE447)/(AK447-AG447))))</f>
        <v/>
      </c>
      <c r="AN447" s="167"/>
      <c r="AO447" s="329" t="str">
        <f>IF(ISBLANK(Inputs!$A55),"",
IF(OR(AM447="Solved",AM447="--"),"--",
((Mat.Conc_Alpha.1*Mat.Conc_f.c*$AB447*MIN(AM447*Mat.Conc_Beta.1,$Y447))
+(Mat.Conc_Alpha.1*Mat.Conc_f.c*$V447*MAX(0,AM447*Mat.Conc_Beta.1-$Y447)))
-($J447*MIN(Mat.Rebar_f.y,(Mat.Rebar_epsilon.cl*($S447-AM447)/AM447)*Mat.PT_E.s))
-($M447*Mat.PT_f.pu*(1-Mat.PT_k*AM447/$P447))))</f>
        <v/>
      </c>
      <c r="AP447" s="329"/>
      <c r="AQ447" s="167" t="str">
        <f>IF(ISBLANK(Inputs!$A55),"",
IF(AO447="--","Solved",
IF(ABS(AO447)&lt;=0.001,"Solved",AM447-AO447*(AM447-AI447)/(AO447-AK447))))</f>
        <v/>
      </c>
      <c r="AR447" s="167"/>
      <c r="AS447" s="329" t="str">
        <f>IF(ISBLANK(Inputs!$A55),"",
IF(OR(AQ447="Solved",AQ447="--"),"--",
((Mat.Conc_Alpha.1*Mat.Conc_f.c*$AB447*MIN(AQ447*Mat.Conc_Beta.1,$Y447))
+(Mat.Conc_Alpha.1*Mat.Conc_f.c*$V447*MAX(0,AQ447*Mat.Conc_Beta.1-$Y447)))
-($J447*MIN(Mat.Rebar_f.y,(Mat.Rebar_epsilon.cl*($S447-AQ447)/AQ447)*Mat.PT_E.s))
-($M447*Mat.PT_f.pu*(1-Mat.PT_k*AQ447/$P447))))</f>
        <v/>
      </c>
      <c r="AT447" s="329"/>
      <c r="AU447" s="167" t="str">
        <f>IF(ISBLANK(Inputs!$A55),"",
IF(AS447="--","Solved",
IF(ABS(AS447)&lt;=0.001,"Solved",AQ447-AS447*(AQ447-AM447)/(AS447-AO447))))</f>
        <v/>
      </c>
      <c r="AV447" s="167"/>
      <c r="AW447" s="329" t="str">
        <f>IF(ISBLANK(Inputs!$A55),"",
IF(OR(AU447="Solved",AU447="--"),"--",
((Mat.Conc_Alpha.1*Mat.Conc_f.c*$AB447*MIN(AU447*Mat.Conc_Beta.1,$Y447))
+(Mat.Conc_Alpha.1*Mat.Conc_f.c*$V447*MAX(0,AU447*Mat.Conc_Beta.1-$Y447)))
-($J447*MIN(Mat.Rebar_f.y,(Mat.Rebar_epsilon.cl*($S447-AU447)/AU447)*Mat.PT_E.s))
-($M447*Mat.PT_f.pu*(1-Mat.PT_k*AU447/$P447))))</f>
        <v/>
      </c>
      <c r="AX447" s="329"/>
      <c r="AY447" s="167" t="str">
        <f>IF(ISBLANK(Inputs!$A55),"",
IF(AW447="--","Solved",
IF(ABS(AW447)&lt;=0.001,"Solved",AU447-AW447*(AU447-AQ447)/(AW447-AS447))))</f>
        <v/>
      </c>
      <c r="AZ447" s="167"/>
      <c r="BA447" s="329" t="str">
        <f>IF(ISBLANK(Inputs!$A55),"",
IF(OR(AY447="Solved",AY447="--"),"--",
((Mat.Conc_Alpha.1*Mat.Conc_f.c*$AB447*MIN(AY447*Mat.Conc_Beta.1,$Y447))
+(Mat.Conc_Alpha.1*Mat.Conc_f.c*$V447*MAX(0,AY447*Mat.Conc_Beta.1-$Y447)))
-($J447*MIN(Mat.Rebar_f.y,(Mat.Rebar_epsilon.cl*($S447-AY447)/AY447)*Mat.PT_E.s))
-($M447*Mat.PT_f.pu*(1-Mat.PT_k*AY447/$P447))))</f>
        <v/>
      </c>
      <c r="BB447" s="329"/>
      <c r="BC447" s="167" t="str">
        <f>IF(ISBLANK(Inputs!$A55),"",
IF(BA447="--","Solved",
IF(ABS(BA447)&lt;=0.001,"Solved",AY447-BA447*(AY447-AU447)/(BA447-AW447))))</f>
        <v/>
      </c>
      <c r="BD447" s="167"/>
      <c r="BE447" s="329" t="str">
        <f>IF(ISBLANK(Inputs!$A55),"",
IF(OR(BC447="Solved",BC447="--"),"--",
((Mat.Conc_Alpha.1*Mat.Conc_f.c*$AB447*MIN(BC447*Mat.Conc_Beta.1,$Y447))
+(Mat.Conc_Alpha.1*Mat.Conc_f.c*$V447*MAX(0,BC447*Mat.Conc_Beta.1-$Y447)))
-($J447*MIN(Mat.Rebar_f.y,(Mat.Rebar_epsilon.cl*($S447-BC447)/BC447)*Mat.PT_E.s))
-($M447*Mat.PT_f.pu*(1-Mat.PT_k*BC447/$P447))))</f>
        <v/>
      </c>
      <c r="BF447" s="329"/>
      <c r="BG447" s="167" t="str">
        <f>IF(ISBLANK(Inputs!$A55),"",
IF(BE447="--","Solved",
IF(ABS(BE447)&lt;=0.001,"Solved",BC447-BE447*(BC447-AY447)/(BE447-BA447))))</f>
        <v/>
      </c>
      <c r="BH447" s="167"/>
      <c r="BI447" s="329" t="str">
        <f>IF(ISBLANK(Inputs!$A55),"",
IF(OR(BG447="Solved",BG447="--"),"--",
((Mat.Conc_Alpha.1*Mat.Conc_f.c*$AB447*MIN(BG447*Mat.Conc_Beta.1,$Y447))
+(Mat.Conc_Alpha.1*Mat.Conc_f.c*$V447*MAX(0,BG447*Mat.Conc_Beta.1-$Y447)))
-($J447*MIN(Mat.Rebar_f.y,(Mat.Rebar_epsilon.cl*($S447-BG447)/BG447)*Mat.PT_E.s))
-($M447*Mat.PT_f.pu*(1-Mat.PT_k*BG447/$P447))))</f>
        <v/>
      </c>
      <c r="BJ447" s="329"/>
      <c r="BK447" s="167" t="str">
        <f>IF(ISBLANK(Inputs!$A55),"",
IF(BI447="--","Solved",
IF(ABS(BI447)&lt;=0.001,"Solved",BG447-BI447*(BG447-BC447)/(BI447-BE447))))</f>
        <v/>
      </c>
      <c r="BL447" s="167"/>
      <c r="BM447" s="329" t="str">
        <f>IF(ISBLANK(Inputs!$A55),"",
IF(OR(BK447="Solved",BK447="--"),"--",
((Mat.Conc_Alpha.1*Mat.Conc_f.c*$AB447*MIN(BK447*Mat.Conc_Beta.1,$Y447))
+(Mat.Conc_Alpha.1*Mat.Conc_f.c*$V447*MAX(0,BK447*Mat.Conc_Beta.1-$Y447)))
-($J447*MIN(Mat.Rebar_f.y,(Mat.Rebar_epsilon.cl*($S447-BK447)/BK447)*Mat.PT_E.s))
-($M447*Mat.PT_f.pu*(1-Mat.PT_k*BK447/$P447))))</f>
        <v/>
      </c>
      <c r="BN447" s="329"/>
      <c r="BO447" s="167" t="str">
        <f>IF(ISBLANK(Inputs!$A55),"",
IF(BM447="--","Solved",
IF(ABS(BM447)&lt;=0.001,"Solved",BK447-BM447*(BK447-BG447)/(BM447-BI447))))</f>
        <v/>
      </c>
      <c r="BP447" s="167"/>
      <c r="BQ447" s="329" t="str">
        <f>IF(ISBLANK(Inputs!$A55),"",
IF(OR(BO447="Solved",BO447="--"),"--",
((Mat.Conc_Alpha.1*Mat.Conc_f.c*$AB447*MIN(BO447*Mat.Conc_Beta.1,$Y447))
+(Mat.Conc_Alpha.1*Mat.Conc_f.c*$V447*MAX(0,BO447*Mat.Conc_Beta.1-$Y447)))
-($J447*MIN(Mat.Rebar_f.y,(Mat.Rebar_epsilon.cl*($S447-BO447)/BO447)*Mat.PT_E.s))
-($M447*Mat.PT_f.pu*(1-Mat.PT_k*BO447/$P447))))</f>
        <v/>
      </c>
      <c r="BR447" s="329"/>
      <c r="BT447" s="98"/>
      <c r="BU447" s="70"/>
      <c r="BV447" s="70"/>
      <c r="BW447" s="8"/>
      <c r="BX447" s="8"/>
      <c r="BY447" s="8"/>
      <c r="BZ447" s="8"/>
      <c r="CA447" s="8"/>
      <c r="CB447" s="10"/>
    </row>
    <row r="448" spans="3:80" ht="15" customHeight="1" x14ac:dyDescent="0.25">
      <c r="C448" s="69"/>
      <c r="F448" s="167" t="str">
        <f>IF(ISBLANK(Inputs!A56),"",Inputs!A56)</f>
        <v/>
      </c>
      <c r="G448" s="167"/>
      <c r="H448" s="167" t="str">
        <f>IF(ISBLANK(Inputs!B56),"",Inputs!B56)</f>
        <v/>
      </c>
      <c r="I448" s="167"/>
      <c r="J448" s="168" t="str">
        <f>IF(ISBLANK(Inputs!G56),"",Inputs!G56)</f>
        <v/>
      </c>
      <c r="K448" s="168"/>
      <c r="L448" s="168"/>
      <c r="M448" s="168" t="str">
        <f>IF(ISBLANK(Inputs!D56),"",Inputs!D56)</f>
        <v/>
      </c>
      <c r="N448" s="168"/>
      <c r="O448" s="168"/>
      <c r="P448" s="168" t="str">
        <f>IF(ISBLANK(Inputs!F56),"",Inputs!F56)</f>
        <v/>
      </c>
      <c r="Q448" s="168"/>
      <c r="R448" s="168"/>
      <c r="S448" s="168" t="str">
        <f>IF(ISBLANK(Inputs!H56),"",Inputs!H56)</f>
        <v/>
      </c>
      <c r="T448" s="168"/>
      <c r="U448" s="168"/>
      <c r="V448" s="168" t="str">
        <f>IF(ISBLANK(Inputs!E56),"",Inputs!E56)</f>
        <v/>
      </c>
      <c r="W448" s="168"/>
      <c r="X448" s="168"/>
      <c r="Y448" s="168" t="str">
        <f>IF(ISBLANK(Inputs!I56),"",Inputs!I56)</f>
        <v/>
      </c>
      <c r="Z448" s="168"/>
      <c r="AA448" s="168"/>
      <c r="AB448" s="168">
        <f>IF(ISBLANK(Inputs!J56),"",Inputs!J56)</f>
        <v>96</v>
      </c>
      <c r="AC448" s="168"/>
      <c r="AD448" s="168"/>
      <c r="AE448" s="167" t="str">
        <f>IF(ISBLANK(Inputs!A56),"",Y448)</f>
        <v/>
      </c>
      <c r="AF448" s="167"/>
      <c r="AG448" s="329" t="str">
        <f>IF(ISBLANK(Inputs!$A56),"",
IF(OR(AE448="Solved",AE448="--"),"--",
((Mat.Conc_Alpha.1*Mat.Conc_f.c*$AB448*MIN(AE448*Mat.Conc_Beta.1,$Y448))
+(Mat.Conc_Alpha.1*Mat.Conc_f.c*$V448*MAX(0,AE448*Mat.Conc_Beta.1-$Y448)))
-($J448*MIN(Mat.Rebar_f.y,(Mat.Rebar_epsilon.cl*($S448-AE448)/AE448)*Mat.PT_E.s))
-($M448*Mat.PT_f.pu*(1-Mat.PT_k*AE448/$P448))))</f>
        <v/>
      </c>
      <c r="AH448" s="329"/>
      <c r="AI448" s="167" t="str">
        <f>IF(ISBLANK(Inputs!$A56),"",
IF(ABS(AG448)&lt;=0.001,"Solved",IF(AG448&gt;0,0.85*AE448,1.15*AE448)))</f>
        <v/>
      </c>
      <c r="AJ448" s="167"/>
      <c r="AK448" s="329" t="str">
        <f>IF(ISBLANK(Inputs!$A56),"",
IF(OR(AI448="Solved",AI448="--"),"--",
((Mat.Conc_Alpha.1*Mat.Conc_f.c*$AB448*MIN(AI448*Mat.Conc_Beta.1,$Y448))
+(Mat.Conc_Alpha.1*Mat.Conc_f.c*$V448*MAX(0,AI448*Mat.Conc_Beta.1-$Y448)))
-($J448*MIN(Mat.Rebar_f.y,(Mat.Rebar_epsilon.cl*($S448-AI448)/AI448)*Mat.PT_E.s))
-($M448*Mat.PT_f.pu*(1-Mat.PT_k*AI448/$P448))))</f>
        <v/>
      </c>
      <c r="AL448" s="329"/>
      <c r="AM448" s="167" t="str">
        <f>IF(ISBLANK(Inputs!$A56),"",
IF(AK448="--","Solved",
IF(ABS(AK448)&lt;=0.001,"Solved",AI448-AK448*(AI448-AE448)/(AK448-AG448))))</f>
        <v/>
      </c>
      <c r="AN448" s="167"/>
      <c r="AO448" s="329" t="str">
        <f>IF(ISBLANK(Inputs!$A56),"",
IF(OR(AM448="Solved",AM448="--"),"--",
((Mat.Conc_Alpha.1*Mat.Conc_f.c*$AB448*MIN(AM448*Mat.Conc_Beta.1,$Y448))
+(Mat.Conc_Alpha.1*Mat.Conc_f.c*$V448*MAX(0,AM448*Mat.Conc_Beta.1-$Y448)))
-($J448*MIN(Mat.Rebar_f.y,(Mat.Rebar_epsilon.cl*($S448-AM448)/AM448)*Mat.PT_E.s))
-($M448*Mat.PT_f.pu*(1-Mat.PT_k*AM448/$P448))))</f>
        <v/>
      </c>
      <c r="AP448" s="329"/>
      <c r="AQ448" s="167" t="str">
        <f>IF(ISBLANK(Inputs!$A56),"",
IF(AO448="--","Solved",
IF(ABS(AO448)&lt;=0.001,"Solved",AM448-AO448*(AM448-AI448)/(AO448-AK448))))</f>
        <v/>
      </c>
      <c r="AR448" s="167"/>
      <c r="AS448" s="329" t="str">
        <f>IF(ISBLANK(Inputs!$A56),"",
IF(OR(AQ448="Solved",AQ448="--"),"--",
((Mat.Conc_Alpha.1*Mat.Conc_f.c*$AB448*MIN(AQ448*Mat.Conc_Beta.1,$Y448))
+(Mat.Conc_Alpha.1*Mat.Conc_f.c*$V448*MAX(0,AQ448*Mat.Conc_Beta.1-$Y448)))
-($J448*MIN(Mat.Rebar_f.y,(Mat.Rebar_epsilon.cl*($S448-AQ448)/AQ448)*Mat.PT_E.s))
-($M448*Mat.PT_f.pu*(1-Mat.PT_k*AQ448/$P448))))</f>
        <v/>
      </c>
      <c r="AT448" s="329"/>
      <c r="AU448" s="167" t="str">
        <f>IF(ISBLANK(Inputs!$A56),"",
IF(AS448="--","Solved",
IF(ABS(AS448)&lt;=0.001,"Solved",AQ448-AS448*(AQ448-AM448)/(AS448-AO448))))</f>
        <v/>
      </c>
      <c r="AV448" s="167"/>
      <c r="AW448" s="329" t="str">
        <f>IF(ISBLANK(Inputs!$A56),"",
IF(OR(AU448="Solved",AU448="--"),"--",
((Mat.Conc_Alpha.1*Mat.Conc_f.c*$AB448*MIN(AU448*Mat.Conc_Beta.1,$Y448))
+(Mat.Conc_Alpha.1*Mat.Conc_f.c*$V448*MAX(0,AU448*Mat.Conc_Beta.1-$Y448)))
-($J448*MIN(Mat.Rebar_f.y,(Mat.Rebar_epsilon.cl*($S448-AU448)/AU448)*Mat.PT_E.s))
-($M448*Mat.PT_f.pu*(1-Mat.PT_k*AU448/$P448))))</f>
        <v/>
      </c>
      <c r="AX448" s="329"/>
      <c r="AY448" s="167" t="str">
        <f>IF(ISBLANK(Inputs!$A56),"",
IF(AW448="--","Solved",
IF(ABS(AW448)&lt;=0.001,"Solved",AU448-AW448*(AU448-AQ448)/(AW448-AS448))))</f>
        <v/>
      </c>
      <c r="AZ448" s="167"/>
      <c r="BA448" s="329" t="str">
        <f>IF(ISBLANK(Inputs!$A56),"",
IF(OR(AY448="Solved",AY448="--"),"--",
((Mat.Conc_Alpha.1*Mat.Conc_f.c*$AB448*MIN(AY448*Mat.Conc_Beta.1,$Y448))
+(Mat.Conc_Alpha.1*Mat.Conc_f.c*$V448*MAX(0,AY448*Mat.Conc_Beta.1-$Y448)))
-($J448*MIN(Mat.Rebar_f.y,(Mat.Rebar_epsilon.cl*($S448-AY448)/AY448)*Mat.PT_E.s))
-($M448*Mat.PT_f.pu*(1-Mat.PT_k*AY448/$P448))))</f>
        <v/>
      </c>
      <c r="BB448" s="329"/>
      <c r="BC448" s="167" t="str">
        <f>IF(ISBLANK(Inputs!$A56),"",
IF(BA448="--","Solved",
IF(ABS(BA448)&lt;=0.001,"Solved",AY448-BA448*(AY448-AU448)/(BA448-AW448))))</f>
        <v/>
      </c>
      <c r="BD448" s="167"/>
      <c r="BE448" s="329" t="str">
        <f>IF(ISBLANK(Inputs!$A56),"",
IF(OR(BC448="Solved",BC448="--"),"--",
((Mat.Conc_Alpha.1*Mat.Conc_f.c*$AB448*MIN(BC448*Mat.Conc_Beta.1,$Y448))
+(Mat.Conc_Alpha.1*Mat.Conc_f.c*$V448*MAX(0,BC448*Mat.Conc_Beta.1-$Y448)))
-($J448*MIN(Mat.Rebar_f.y,(Mat.Rebar_epsilon.cl*($S448-BC448)/BC448)*Mat.PT_E.s))
-($M448*Mat.PT_f.pu*(1-Mat.PT_k*BC448/$P448))))</f>
        <v/>
      </c>
      <c r="BF448" s="329"/>
      <c r="BG448" s="167" t="str">
        <f>IF(ISBLANK(Inputs!$A56),"",
IF(BE448="--","Solved",
IF(ABS(BE448)&lt;=0.001,"Solved",BC448-BE448*(BC448-AY448)/(BE448-BA448))))</f>
        <v/>
      </c>
      <c r="BH448" s="167"/>
      <c r="BI448" s="329" t="str">
        <f>IF(ISBLANK(Inputs!$A56),"",
IF(OR(BG448="Solved",BG448="--"),"--",
((Mat.Conc_Alpha.1*Mat.Conc_f.c*$AB448*MIN(BG448*Mat.Conc_Beta.1,$Y448))
+(Mat.Conc_Alpha.1*Mat.Conc_f.c*$V448*MAX(0,BG448*Mat.Conc_Beta.1-$Y448)))
-($J448*MIN(Mat.Rebar_f.y,(Mat.Rebar_epsilon.cl*($S448-BG448)/BG448)*Mat.PT_E.s))
-($M448*Mat.PT_f.pu*(1-Mat.PT_k*BG448/$P448))))</f>
        <v/>
      </c>
      <c r="BJ448" s="329"/>
      <c r="BK448" s="167" t="str">
        <f>IF(ISBLANK(Inputs!$A56),"",
IF(BI448="--","Solved",
IF(ABS(BI448)&lt;=0.001,"Solved",BG448-BI448*(BG448-BC448)/(BI448-BE448))))</f>
        <v/>
      </c>
      <c r="BL448" s="167"/>
      <c r="BM448" s="329" t="str">
        <f>IF(ISBLANK(Inputs!$A56),"",
IF(OR(BK448="Solved",BK448="--"),"--",
((Mat.Conc_Alpha.1*Mat.Conc_f.c*$AB448*MIN(BK448*Mat.Conc_Beta.1,$Y448))
+(Mat.Conc_Alpha.1*Mat.Conc_f.c*$V448*MAX(0,BK448*Mat.Conc_Beta.1-$Y448)))
-($J448*MIN(Mat.Rebar_f.y,(Mat.Rebar_epsilon.cl*($S448-BK448)/BK448)*Mat.PT_E.s))
-($M448*Mat.PT_f.pu*(1-Mat.PT_k*BK448/$P448))))</f>
        <v/>
      </c>
      <c r="BN448" s="329"/>
      <c r="BO448" s="167" t="str">
        <f>IF(ISBLANK(Inputs!$A56),"",
IF(BM448="--","Solved",
IF(ABS(BM448)&lt;=0.001,"Solved",BK448-BM448*(BK448-BG448)/(BM448-BI448))))</f>
        <v/>
      </c>
      <c r="BP448" s="167"/>
      <c r="BQ448" s="329" t="str">
        <f>IF(ISBLANK(Inputs!$A56),"",
IF(OR(BO448="Solved",BO448="--"),"--",
((Mat.Conc_Alpha.1*Mat.Conc_f.c*$AB448*MIN(BO448*Mat.Conc_Beta.1,$Y448))
+(Mat.Conc_Alpha.1*Mat.Conc_f.c*$V448*MAX(0,BO448*Mat.Conc_Beta.1-$Y448)))
-($J448*MIN(Mat.Rebar_f.y,(Mat.Rebar_epsilon.cl*($S448-BO448)/BO448)*Mat.PT_E.s))
-($M448*Mat.PT_f.pu*(1-Mat.PT_k*BO448/$P448))))</f>
        <v/>
      </c>
      <c r="BR448" s="329"/>
      <c r="BT448" s="98"/>
      <c r="BU448" s="70"/>
      <c r="BV448" s="70"/>
      <c r="BW448" s="8"/>
      <c r="BX448" s="8"/>
      <c r="BY448" s="8"/>
      <c r="BZ448" s="8"/>
      <c r="CA448" s="8"/>
      <c r="CB448" s="10"/>
    </row>
    <row r="449" spans="3:80" ht="15" customHeight="1" x14ac:dyDescent="0.25">
      <c r="C449" s="69"/>
      <c r="F449" s="167" t="str">
        <f>IF(ISBLANK(Inputs!A57),"",Inputs!A57)</f>
        <v/>
      </c>
      <c r="G449" s="167"/>
      <c r="H449" s="167" t="str">
        <f>IF(ISBLANK(Inputs!B57),"",Inputs!B57)</f>
        <v/>
      </c>
      <c r="I449" s="167"/>
      <c r="J449" s="168" t="str">
        <f>IF(ISBLANK(Inputs!G57),"",Inputs!G57)</f>
        <v/>
      </c>
      <c r="K449" s="168"/>
      <c r="L449" s="168"/>
      <c r="M449" s="168" t="str">
        <f>IF(ISBLANK(Inputs!D57),"",Inputs!D57)</f>
        <v/>
      </c>
      <c r="N449" s="168"/>
      <c r="O449" s="168"/>
      <c r="P449" s="168" t="str">
        <f>IF(ISBLANK(Inputs!F57),"",Inputs!F57)</f>
        <v/>
      </c>
      <c r="Q449" s="168"/>
      <c r="R449" s="168"/>
      <c r="S449" s="168" t="str">
        <f>IF(ISBLANK(Inputs!H57),"",Inputs!H57)</f>
        <v/>
      </c>
      <c r="T449" s="168"/>
      <c r="U449" s="168"/>
      <c r="V449" s="168" t="str">
        <f>IF(ISBLANK(Inputs!E57),"",Inputs!E57)</f>
        <v/>
      </c>
      <c r="W449" s="168"/>
      <c r="X449" s="168"/>
      <c r="Y449" s="168" t="str">
        <f>IF(ISBLANK(Inputs!I57),"",Inputs!I57)</f>
        <v/>
      </c>
      <c r="Z449" s="168"/>
      <c r="AA449" s="168"/>
      <c r="AB449" s="168">
        <f>IF(ISBLANK(Inputs!J57),"",Inputs!J57)</f>
        <v>96</v>
      </c>
      <c r="AC449" s="168"/>
      <c r="AD449" s="168"/>
      <c r="AE449" s="167" t="str">
        <f>IF(ISBLANK(Inputs!A57),"",Y449)</f>
        <v/>
      </c>
      <c r="AF449" s="167"/>
      <c r="AG449" s="329" t="str">
        <f>IF(ISBLANK(Inputs!$A57),"",
IF(OR(AE449="Solved",AE449="--"),"--",
((Mat.Conc_Alpha.1*Mat.Conc_f.c*$AB449*MIN(AE449*Mat.Conc_Beta.1,$Y449))
+(Mat.Conc_Alpha.1*Mat.Conc_f.c*$V449*MAX(0,AE449*Mat.Conc_Beta.1-$Y449)))
-($J449*MIN(Mat.Rebar_f.y,(Mat.Rebar_epsilon.cl*($S449-AE449)/AE449)*Mat.PT_E.s))
-($M449*Mat.PT_f.pu*(1-Mat.PT_k*AE449/$P449))))</f>
        <v/>
      </c>
      <c r="AH449" s="329"/>
      <c r="AI449" s="167" t="str">
        <f>IF(ISBLANK(Inputs!$A57),"",
IF(ABS(AG449)&lt;=0.001,"Solved",IF(AG449&gt;0,0.85*AE449,1.15*AE449)))</f>
        <v/>
      </c>
      <c r="AJ449" s="167"/>
      <c r="AK449" s="329" t="str">
        <f>IF(ISBLANK(Inputs!$A57),"",
IF(OR(AI449="Solved",AI449="--"),"--",
((Mat.Conc_Alpha.1*Mat.Conc_f.c*$AB449*MIN(AI449*Mat.Conc_Beta.1,$Y449))
+(Mat.Conc_Alpha.1*Mat.Conc_f.c*$V449*MAX(0,AI449*Mat.Conc_Beta.1-$Y449)))
-($J449*MIN(Mat.Rebar_f.y,(Mat.Rebar_epsilon.cl*($S449-AI449)/AI449)*Mat.PT_E.s))
-($M449*Mat.PT_f.pu*(1-Mat.PT_k*AI449/$P449))))</f>
        <v/>
      </c>
      <c r="AL449" s="329"/>
      <c r="AM449" s="167" t="str">
        <f>IF(ISBLANK(Inputs!$A57),"",
IF(AK449="--","Solved",
IF(ABS(AK449)&lt;=0.001,"Solved",AI449-AK449*(AI449-AE449)/(AK449-AG449))))</f>
        <v/>
      </c>
      <c r="AN449" s="167"/>
      <c r="AO449" s="329" t="str">
        <f>IF(ISBLANK(Inputs!$A57),"",
IF(OR(AM449="Solved",AM449="--"),"--",
((Mat.Conc_Alpha.1*Mat.Conc_f.c*$AB449*MIN(AM449*Mat.Conc_Beta.1,$Y449))
+(Mat.Conc_Alpha.1*Mat.Conc_f.c*$V449*MAX(0,AM449*Mat.Conc_Beta.1-$Y449)))
-($J449*MIN(Mat.Rebar_f.y,(Mat.Rebar_epsilon.cl*($S449-AM449)/AM449)*Mat.PT_E.s))
-($M449*Mat.PT_f.pu*(1-Mat.PT_k*AM449/$P449))))</f>
        <v/>
      </c>
      <c r="AP449" s="329"/>
      <c r="AQ449" s="167" t="str">
        <f>IF(ISBLANK(Inputs!$A57),"",
IF(AO449="--","Solved",
IF(ABS(AO449)&lt;=0.001,"Solved",AM449-AO449*(AM449-AI449)/(AO449-AK449))))</f>
        <v/>
      </c>
      <c r="AR449" s="167"/>
      <c r="AS449" s="329" t="str">
        <f>IF(ISBLANK(Inputs!$A57),"",
IF(OR(AQ449="Solved",AQ449="--"),"--",
((Mat.Conc_Alpha.1*Mat.Conc_f.c*$AB449*MIN(AQ449*Mat.Conc_Beta.1,$Y449))
+(Mat.Conc_Alpha.1*Mat.Conc_f.c*$V449*MAX(0,AQ449*Mat.Conc_Beta.1-$Y449)))
-($J449*MIN(Mat.Rebar_f.y,(Mat.Rebar_epsilon.cl*($S449-AQ449)/AQ449)*Mat.PT_E.s))
-($M449*Mat.PT_f.pu*(1-Mat.PT_k*AQ449/$P449))))</f>
        <v/>
      </c>
      <c r="AT449" s="329"/>
      <c r="AU449" s="167" t="str">
        <f>IF(ISBLANK(Inputs!$A57),"",
IF(AS449="--","Solved",
IF(ABS(AS449)&lt;=0.001,"Solved",AQ449-AS449*(AQ449-AM449)/(AS449-AO449))))</f>
        <v/>
      </c>
      <c r="AV449" s="167"/>
      <c r="AW449" s="329" t="str">
        <f>IF(ISBLANK(Inputs!$A57),"",
IF(OR(AU449="Solved",AU449="--"),"--",
((Mat.Conc_Alpha.1*Mat.Conc_f.c*$AB449*MIN(AU449*Mat.Conc_Beta.1,$Y449))
+(Mat.Conc_Alpha.1*Mat.Conc_f.c*$V449*MAX(0,AU449*Mat.Conc_Beta.1-$Y449)))
-($J449*MIN(Mat.Rebar_f.y,(Mat.Rebar_epsilon.cl*($S449-AU449)/AU449)*Mat.PT_E.s))
-($M449*Mat.PT_f.pu*(1-Mat.PT_k*AU449/$P449))))</f>
        <v/>
      </c>
      <c r="AX449" s="329"/>
      <c r="AY449" s="167" t="str">
        <f>IF(ISBLANK(Inputs!$A57),"",
IF(AW449="--","Solved",
IF(ABS(AW449)&lt;=0.001,"Solved",AU449-AW449*(AU449-AQ449)/(AW449-AS449))))</f>
        <v/>
      </c>
      <c r="AZ449" s="167"/>
      <c r="BA449" s="329" t="str">
        <f>IF(ISBLANK(Inputs!$A57),"",
IF(OR(AY449="Solved",AY449="--"),"--",
((Mat.Conc_Alpha.1*Mat.Conc_f.c*$AB449*MIN(AY449*Mat.Conc_Beta.1,$Y449))
+(Mat.Conc_Alpha.1*Mat.Conc_f.c*$V449*MAX(0,AY449*Mat.Conc_Beta.1-$Y449)))
-($J449*MIN(Mat.Rebar_f.y,(Mat.Rebar_epsilon.cl*($S449-AY449)/AY449)*Mat.PT_E.s))
-($M449*Mat.PT_f.pu*(1-Mat.PT_k*AY449/$P449))))</f>
        <v/>
      </c>
      <c r="BB449" s="329"/>
      <c r="BC449" s="167" t="str">
        <f>IF(ISBLANK(Inputs!$A57),"",
IF(BA449="--","Solved",
IF(ABS(BA449)&lt;=0.001,"Solved",AY449-BA449*(AY449-AU449)/(BA449-AW449))))</f>
        <v/>
      </c>
      <c r="BD449" s="167"/>
      <c r="BE449" s="329" t="str">
        <f>IF(ISBLANK(Inputs!$A57),"",
IF(OR(BC449="Solved",BC449="--"),"--",
((Mat.Conc_Alpha.1*Mat.Conc_f.c*$AB449*MIN(BC449*Mat.Conc_Beta.1,$Y449))
+(Mat.Conc_Alpha.1*Mat.Conc_f.c*$V449*MAX(0,BC449*Mat.Conc_Beta.1-$Y449)))
-($J449*MIN(Mat.Rebar_f.y,(Mat.Rebar_epsilon.cl*($S449-BC449)/BC449)*Mat.PT_E.s))
-($M449*Mat.PT_f.pu*(1-Mat.PT_k*BC449/$P449))))</f>
        <v/>
      </c>
      <c r="BF449" s="329"/>
      <c r="BG449" s="167" t="str">
        <f>IF(ISBLANK(Inputs!$A57),"",
IF(BE449="--","Solved",
IF(ABS(BE449)&lt;=0.001,"Solved",BC449-BE449*(BC449-AY449)/(BE449-BA449))))</f>
        <v/>
      </c>
      <c r="BH449" s="167"/>
      <c r="BI449" s="329" t="str">
        <f>IF(ISBLANK(Inputs!$A57),"",
IF(OR(BG449="Solved",BG449="--"),"--",
((Mat.Conc_Alpha.1*Mat.Conc_f.c*$AB449*MIN(BG449*Mat.Conc_Beta.1,$Y449))
+(Mat.Conc_Alpha.1*Mat.Conc_f.c*$V449*MAX(0,BG449*Mat.Conc_Beta.1-$Y449)))
-($J449*MIN(Mat.Rebar_f.y,(Mat.Rebar_epsilon.cl*($S449-BG449)/BG449)*Mat.PT_E.s))
-($M449*Mat.PT_f.pu*(1-Mat.PT_k*BG449/$P449))))</f>
        <v/>
      </c>
      <c r="BJ449" s="329"/>
      <c r="BK449" s="167" t="str">
        <f>IF(ISBLANK(Inputs!$A57),"",
IF(BI449="--","Solved",
IF(ABS(BI449)&lt;=0.001,"Solved",BG449-BI449*(BG449-BC449)/(BI449-BE449))))</f>
        <v/>
      </c>
      <c r="BL449" s="167"/>
      <c r="BM449" s="329" t="str">
        <f>IF(ISBLANK(Inputs!$A57),"",
IF(OR(BK449="Solved",BK449="--"),"--",
((Mat.Conc_Alpha.1*Mat.Conc_f.c*$AB449*MIN(BK449*Mat.Conc_Beta.1,$Y449))
+(Mat.Conc_Alpha.1*Mat.Conc_f.c*$V449*MAX(0,BK449*Mat.Conc_Beta.1-$Y449)))
-($J449*MIN(Mat.Rebar_f.y,(Mat.Rebar_epsilon.cl*($S449-BK449)/BK449)*Mat.PT_E.s))
-($M449*Mat.PT_f.pu*(1-Mat.PT_k*BK449/$P449))))</f>
        <v/>
      </c>
      <c r="BN449" s="329"/>
      <c r="BO449" s="167" t="str">
        <f>IF(ISBLANK(Inputs!$A57),"",
IF(BM449="--","Solved",
IF(ABS(BM449)&lt;=0.001,"Solved",BK449-BM449*(BK449-BG449)/(BM449-BI449))))</f>
        <v/>
      </c>
      <c r="BP449" s="167"/>
      <c r="BQ449" s="329" t="str">
        <f>IF(ISBLANK(Inputs!$A57),"",
IF(OR(BO449="Solved",BO449="--"),"--",
((Mat.Conc_Alpha.1*Mat.Conc_f.c*$AB449*MIN(BO449*Mat.Conc_Beta.1,$Y449))
+(Mat.Conc_Alpha.1*Mat.Conc_f.c*$V449*MAX(0,BO449*Mat.Conc_Beta.1-$Y449)))
-($J449*MIN(Mat.Rebar_f.y,(Mat.Rebar_epsilon.cl*($S449-BO449)/BO449)*Mat.PT_E.s))
-($M449*Mat.PT_f.pu*(1-Mat.PT_k*BO449/$P449))))</f>
        <v/>
      </c>
      <c r="BR449" s="329"/>
      <c r="BT449" s="98"/>
      <c r="BU449" s="70"/>
      <c r="BV449" s="70"/>
      <c r="BW449" s="8"/>
      <c r="BX449" s="8"/>
      <c r="BY449" s="8"/>
      <c r="BZ449" s="8"/>
      <c r="CA449" s="8"/>
      <c r="CB449" s="10"/>
    </row>
    <row r="450" spans="3:80" ht="15" customHeight="1" x14ac:dyDescent="0.25">
      <c r="C450" s="69"/>
      <c r="F450" s="167" t="str">
        <f>IF(ISBLANK(Inputs!A58),"",Inputs!A58)</f>
        <v/>
      </c>
      <c r="G450" s="167"/>
      <c r="H450" s="167" t="str">
        <f>IF(ISBLANK(Inputs!B58),"",Inputs!B58)</f>
        <v/>
      </c>
      <c r="I450" s="167"/>
      <c r="J450" s="168" t="str">
        <f>IF(ISBLANK(Inputs!G58),"",Inputs!G58)</f>
        <v/>
      </c>
      <c r="K450" s="168"/>
      <c r="L450" s="168"/>
      <c r="M450" s="168" t="str">
        <f>IF(ISBLANK(Inputs!D58),"",Inputs!D58)</f>
        <v/>
      </c>
      <c r="N450" s="168"/>
      <c r="O450" s="168"/>
      <c r="P450" s="168" t="str">
        <f>IF(ISBLANK(Inputs!F58),"",Inputs!F58)</f>
        <v/>
      </c>
      <c r="Q450" s="168"/>
      <c r="R450" s="168"/>
      <c r="S450" s="168" t="str">
        <f>IF(ISBLANK(Inputs!H58),"",Inputs!H58)</f>
        <v/>
      </c>
      <c r="T450" s="168"/>
      <c r="U450" s="168"/>
      <c r="V450" s="168" t="str">
        <f>IF(ISBLANK(Inputs!E58),"",Inputs!E58)</f>
        <v/>
      </c>
      <c r="W450" s="168"/>
      <c r="X450" s="168"/>
      <c r="Y450" s="168" t="str">
        <f>IF(ISBLANK(Inputs!I58),"",Inputs!I58)</f>
        <v/>
      </c>
      <c r="Z450" s="168"/>
      <c r="AA450" s="168"/>
      <c r="AB450" s="168">
        <f>IF(ISBLANK(Inputs!J58),"",Inputs!J58)</f>
        <v>96</v>
      </c>
      <c r="AC450" s="168"/>
      <c r="AD450" s="168"/>
      <c r="AE450" s="167" t="str">
        <f>IF(ISBLANK(Inputs!A58),"",Y450)</f>
        <v/>
      </c>
      <c r="AF450" s="167"/>
      <c r="AG450" s="329" t="str">
        <f>IF(ISBLANK(Inputs!$A58),"",
IF(OR(AE450="Solved",AE450="--"),"--",
((Mat.Conc_Alpha.1*Mat.Conc_f.c*$AB450*MIN(AE450*Mat.Conc_Beta.1,$Y450))
+(Mat.Conc_Alpha.1*Mat.Conc_f.c*$V450*MAX(0,AE450*Mat.Conc_Beta.1-$Y450)))
-($J450*MIN(Mat.Rebar_f.y,(Mat.Rebar_epsilon.cl*($S450-AE450)/AE450)*Mat.PT_E.s))
-($M450*Mat.PT_f.pu*(1-Mat.PT_k*AE450/$P450))))</f>
        <v/>
      </c>
      <c r="AH450" s="329"/>
      <c r="AI450" s="167" t="str">
        <f>IF(ISBLANK(Inputs!$A58),"",
IF(ABS(AG450)&lt;=0.001,"Solved",IF(AG450&gt;0,0.85*AE450,1.15*AE450)))</f>
        <v/>
      </c>
      <c r="AJ450" s="167"/>
      <c r="AK450" s="329" t="str">
        <f>IF(ISBLANK(Inputs!$A58),"",
IF(OR(AI450="Solved",AI450="--"),"--",
((Mat.Conc_Alpha.1*Mat.Conc_f.c*$AB450*MIN(AI450*Mat.Conc_Beta.1,$Y450))
+(Mat.Conc_Alpha.1*Mat.Conc_f.c*$V450*MAX(0,AI450*Mat.Conc_Beta.1-$Y450)))
-($J450*MIN(Mat.Rebar_f.y,(Mat.Rebar_epsilon.cl*($S450-AI450)/AI450)*Mat.PT_E.s))
-($M450*Mat.PT_f.pu*(1-Mat.PT_k*AI450/$P450))))</f>
        <v/>
      </c>
      <c r="AL450" s="329"/>
      <c r="AM450" s="167" t="str">
        <f>IF(ISBLANK(Inputs!$A58),"",
IF(AK450="--","Solved",
IF(ABS(AK450)&lt;=0.001,"Solved",AI450-AK450*(AI450-AE450)/(AK450-AG450))))</f>
        <v/>
      </c>
      <c r="AN450" s="167"/>
      <c r="AO450" s="329" t="str">
        <f>IF(ISBLANK(Inputs!$A58),"",
IF(OR(AM450="Solved",AM450="--"),"--",
((Mat.Conc_Alpha.1*Mat.Conc_f.c*$AB450*MIN(AM450*Mat.Conc_Beta.1,$Y450))
+(Mat.Conc_Alpha.1*Mat.Conc_f.c*$V450*MAX(0,AM450*Mat.Conc_Beta.1-$Y450)))
-($J450*MIN(Mat.Rebar_f.y,(Mat.Rebar_epsilon.cl*($S450-AM450)/AM450)*Mat.PT_E.s))
-($M450*Mat.PT_f.pu*(1-Mat.PT_k*AM450/$P450))))</f>
        <v/>
      </c>
      <c r="AP450" s="329"/>
      <c r="AQ450" s="167" t="str">
        <f>IF(ISBLANK(Inputs!$A58),"",
IF(AO450="--","Solved",
IF(ABS(AO450)&lt;=0.001,"Solved",AM450-AO450*(AM450-AI450)/(AO450-AK450))))</f>
        <v/>
      </c>
      <c r="AR450" s="167"/>
      <c r="AS450" s="329" t="str">
        <f>IF(ISBLANK(Inputs!$A58),"",
IF(OR(AQ450="Solved",AQ450="--"),"--",
((Mat.Conc_Alpha.1*Mat.Conc_f.c*$AB450*MIN(AQ450*Mat.Conc_Beta.1,$Y450))
+(Mat.Conc_Alpha.1*Mat.Conc_f.c*$V450*MAX(0,AQ450*Mat.Conc_Beta.1-$Y450)))
-($J450*MIN(Mat.Rebar_f.y,(Mat.Rebar_epsilon.cl*($S450-AQ450)/AQ450)*Mat.PT_E.s))
-($M450*Mat.PT_f.pu*(1-Mat.PT_k*AQ450/$P450))))</f>
        <v/>
      </c>
      <c r="AT450" s="329"/>
      <c r="AU450" s="167" t="str">
        <f>IF(ISBLANK(Inputs!$A58),"",
IF(AS450="--","Solved",
IF(ABS(AS450)&lt;=0.001,"Solved",AQ450-AS450*(AQ450-AM450)/(AS450-AO450))))</f>
        <v/>
      </c>
      <c r="AV450" s="167"/>
      <c r="AW450" s="329" t="str">
        <f>IF(ISBLANK(Inputs!$A58),"",
IF(OR(AU450="Solved",AU450="--"),"--",
((Mat.Conc_Alpha.1*Mat.Conc_f.c*$AB450*MIN(AU450*Mat.Conc_Beta.1,$Y450))
+(Mat.Conc_Alpha.1*Mat.Conc_f.c*$V450*MAX(0,AU450*Mat.Conc_Beta.1-$Y450)))
-($J450*MIN(Mat.Rebar_f.y,(Mat.Rebar_epsilon.cl*($S450-AU450)/AU450)*Mat.PT_E.s))
-($M450*Mat.PT_f.pu*(1-Mat.PT_k*AU450/$P450))))</f>
        <v/>
      </c>
      <c r="AX450" s="329"/>
      <c r="AY450" s="167" t="str">
        <f>IF(ISBLANK(Inputs!$A58),"",
IF(AW450="--","Solved",
IF(ABS(AW450)&lt;=0.001,"Solved",AU450-AW450*(AU450-AQ450)/(AW450-AS450))))</f>
        <v/>
      </c>
      <c r="AZ450" s="167"/>
      <c r="BA450" s="329" t="str">
        <f>IF(ISBLANK(Inputs!$A58),"",
IF(OR(AY450="Solved",AY450="--"),"--",
((Mat.Conc_Alpha.1*Mat.Conc_f.c*$AB450*MIN(AY450*Mat.Conc_Beta.1,$Y450))
+(Mat.Conc_Alpha.1*Mat.Conc_f.c*$V450*MAX(0,AY450*Mat.Conc_Beta.1-$Y450)))
-($J450*MIN(Mat.Rebar_f.y,(Mat.Rebar_epsilon.cl*($S450-AY450)/AY450)*Mat.PT_E.s))
-($M450*Mat.PT_f.pu*(1-Mat.PT_k*AY450/$P450))))</f>
        <v/>
      </c>
      <c r="BB450" s="329"/>
      <c r="BC450" s="167" t="str">
        <f>IF(ISBLANK(Inputs!$A58),"",
IF(BA450="--","Solved",
IF(ABS(BA450)&lt;=0.001,"Solved",AY450-BA450*(AY450-AU450)/(BA450-AW450))))</f>
        <v/>
      </c>
      <c r="BD450" s="167"/>
      <c r="BE450" s="329" t="str">
        <f>IF(ISBLANK(Inputs!$A58),"",
IF(OR(BC450="Solved",BC450="--"),"--",
((Mat.Conc_Alpha.1*Mat.Conc_f.c*$AB450*MIN(BC450*Mat.Conc_Beta.1,$Y450))
+(Mat.Conc_Alpha.1*Mat.Conc_f.c*$V450*MAX(0,BC450*Mat.Conc_Beta.1-$Y450)))
-($J450*MIN(Mat.Rebar_f.y,(Mat.Rebar_epsilon.cl*($S450-BC450)/BC450)*Mat.PT_E.s))
-($M450*Mat.PT_f.pu*(1-Mat.PT_k*BC450/$P450))))</f>
        <v/>
      </c>
      <c r="BF450" s="329"/>
      <c r="BG450" s="167" t="str">
        <f>IF(ISBLANK(Inputs!$A58),"",
IF(BE450="--","Solved",
IF(ABS(BE450)&lt;=0.001,"Solved",BC450-BE450*(BC450-AY450)/(BE450-BA450))))</f>
        <v/>
      </c>
      <c r="BH450" s="167"/>
      <c r="BI450" s="329" t="str">
        <f>IF(ISBLANK(Inputs!$A58),"",
IF(OR(BG450="Solved",BG450="--"),"--",
((Mat.Conc_Alpha.1*Mat.Conc_f.c*$AB450*MIN(BG450*Mat.Conc_Beta.1,$Y450))
+(Mat.Conc_Alpha.1*Mat.Conc_f.c*$V450*MAX(0,BG450*Mat.Conc_Beta.1-$Y450)))
-($J450*MIN(Mat.Rebar_f.y,(Mat.Rebar_epsilon.cl*($S450-BG450)/BG450)*Mat.PT_E.s))
-($M450*Mat.PT_f.pu*(1-Mat.PT_k*BG450/$P450))))</f>
        <v/>
      </c>
      <c r="BJ450" s="329"/>
      <c r="BK450" s="167" t="str">
        <f>IF(ISBLANK(Inputs!$A58),"",
IF(BI450="--","Solved",
IF(ABS(BI450)&lt;=0.001,"Solved",BG450-BI450*(BG450-BC450)/(BI450-BE450))))</f>
        <v/>
      </c>
      <c r="BL450" s="167"/>
      <c r="BM450" s="329" t="str">
        <f>IF(ISBLANK(Inputs!$A58),"",
IF(OR(BK450="Solved",BK450="--"),"--",
((Mat.Conc_Alpha.1*Mat.Conc_f.c*$AB450*MIN(BK450*Mat.Conc_Beta.1,$Y450))
+(Mat.Conc_Alpha.1*Mat.Conc_f.c*$V450*MAX(0,BK450*Mat.Conc_Beta.1-$Y450)))
-($J450*MIN(Mat.Rebar_f.y,(Mat.Rebar_epsilon.cl*($S450-BK450)/BK450)*Mat.PT_E.s))
-($M450*Mat.PT_f.pu*(1-Mat.PT_k*BK450/$P450))))</f>
        <v/>
      </c>
      <c r="BN450" s="329"/>
      <c r="BO450" s="167" t="str">
        <f>IF(ISBLANK(Inputs!$A58),"",
IF(BM450="--","Solved",
IF(ABS(BM450)&lt;=0.001,"Solved",BK450-BM450*(BK450-BG450)/(BM450-BI450))))</f>
        <v/>
      </c>
      <c r="BP450" s="167"/>
      <c r="BQ450" s="329" t="str">
        <f>IF(ISBLANK(Inputs!$A58),"",
IF(OR(BO450="Solved",BO450="--"),"--",
((Mat.Conc_Alpha.1*Mat.Conc_f.c*$AB450*MIN(BO450*Mat.Conc_Beta.1,$Y450))
+(Mat.Conc_Alpha.1*Mat.Conc_f.c*$V450*MAX(0,BO450*Mat.Conc_Beta.1-$Y450)))
-($J450*MIN(Mat.Rebar_f.y,(Mat.Rebar_epsilon.cl*($S450-BO450)/BO450)*Mat.PT_E.s))
-($M450*Mat.PT_f.pu*(1-Mat.PT_k*BO450/$P450))))</f>
        <v/>
      </c>
      <c r="BR450" s="329"/>
      <c r="BT450" s="98"/>
      <c r="BU450" s="70"/>
      <c r="BV450" s="70"/>
      <c r="BW450" s="8"/>
      <c r="BX450" s="8"/>
      <c r="BY450" s="8"/>
      <c r="BZ450" s="8"/>
      <c r="CA450" s="8"/>
      <c r="CB450" s="10"/>
    </row>
    <row r="451" spans="3:80" ht="15" customHeight="1" x14ac:dyDescent="0.25">
      <c r="C451" s="69"/>
      <c r="F451" s="167" t="str">
        <f>IF(ISBLANK(Inputs!A59),"",Inputs!A59)</f>
        <v/>
      </c>
      <c r="G451" s="167"/>
      <c r="H451" s="167" t="str">
        <f>IF(ISBLANK(Inputs!B59),"",Inputs!B59)</f>
        <v/>
      </c>
      <c r="I451" s="167"/>
      <c r="J451" s="168" t="str">
        <f>IF(ISBLANK(Inputs!G59),"",Inputs!G59)</f>
        <v/>
      </c>
      <c r="K451" s="168"/>
      <c r="L451" s="168"/>
      <c r="M451" s="168" t="str">
        <f>IF(ISBLANK(Inputs!D59),"",Inputs!D59)</f>
        <v/>
      </c>
      <c r="N451" s="168"/>
      <c r="O451" s="168"/>
      <c r="P451" s="168" t="str">
        <f>IF(ISBLANK(Inputs!F59),"",Inputs!F59)</f>
        <v/>
      </c>
      <c r="Q451" s="168"/>
      <c r="R451" s="168"/>
      <c r="S451" s="168" t="str">
        <f>IF(ISBLANK(Inputs!H59),"",Inputs!H59)</f>
        <v/>
      </c>
      <c r="T451" s="168"/>
      <c r="U451" s="168"/>
      <c r="V451" s="168" t="str">
        <f>IF(ISBLANK(Inputs!E59),"",Inputs!E59)</f>
        <v/>
      </c>
      <c r="W451" s="168"/>
      <c r="X451" s="168"/>
      <c r="Y451" s="168" t="str">
        <f>IF(ISBLANK(Inputs!I59),"",Inputs!I59)</f>
        <v/>
      </c>
      <c r="Z451" s="168"/>
      <c r="AA451" s="168"/>
      <c r="AB451" s="168">
        <f>IF(ISBLANK(Inputs!J59),"",Inputs!J59)</f>
        <v>96</v>
      </c>
      <c r="AC451" s="168"/>
      <c r="AD451" s="168"/>
      <c r="AE451" s="167" t="str">
        <f>IF(ISBLANK(Inputs!A59),"",Y451)</f>
        <v/>
      </c>
      <c r="AF451" s="167"/>
      <c r="AG451" s="329" t="str">
        <f>IF(ISBLANK(Inputs!$A59),"",
IF(OR(AE451="Solved",AE451="--"),"--",
((Mat.Conc_Alpha.1*Mat.Conc_f.c*$AB451*MIN(AE451*Mat.Conc_Beta.1,$Y451))
+(Mat.Conc_Alpha.1*Mat.Conc_f.c*$V451*MAX(0,AE451*Mat.Conc_Beta.1-$Y451)))
-($J451*MIN(Mat.Rebar_f.y,(Mat.Rebar_epsilon.cl*($S451-AE451)/AE451)*Mat.PT_E.s))
-($M451*Mat.PT_f.pu*(1-Mat.PT_k*AE451/$P451))))</f>
        <v/>
      </c>
      <c r="AH451" s="329"/>
      <c r="AI451" s="167" t="str">
        <f>IF(ISBLANK(Inputs!$A59),"",
IF(ABS(AG451)&lt;=0.001,"Solved",IF(AG451&gt;0,0.85*AE451,1.15*AE451)))</f>
        <v/>
      </c>
      <c r="AJ451" s="167"/>
      <c r="AK451" s="329" t="str">
        <f>IF(ISBLANK(Inputs!$A59),"",
IF(OR(AI451="Solved",AI451="--"),"--",
((Mat.Conc_Alpha.1*Mat.Conc_f.c*$AB451*MIN(AI451*Mat.Conc_Beta.1,$Y451))
+(Mat.Conc_Alpha.1*Mat.Conc_f.c*$V451*MAX(0,AI451*Mat.Conc_Beta.1-$Y451)))
-($J451*MIN(Mat.Rebar_f.y,(Mat.Rebar_epsilon.cl*($S451-AI451)/AI451)*Mat.PT_E.s))
-($M451*Mat.PT_f.pu*(1-Mat.PT_k*AI451/$P451))))</f>
        <v/>
      </c>
      <c r="AL451" s="329"/>
      <c r="AM451" s="167" t="str">
        <f>IF(ISBLANK(Inputs!$A59),"",
IF(AK451="--","Solved",
IF(ABS(AK451)&lt;=0.001,"Solved",AI451-AK451*(AI451-AE451)/(AK451-AG451))))</f>
        <v/>
      </c>
      <c r="AN451" s="167"/>
      <c r="AO451" s="329" t="str">
        <f>IF(ISBLANK(Inputs!$A59),"",
IF(OR(AM451="Solved",AM451="--"),"--",
((Mat.Conc_Alpha.1*Mat.Conc_f.c*$AB451*MIN(AM451*Mat.Conc_Beta.1,$Y451))
+(Mat.Conc_Alpha.1*Mat.Conc_f.c*$V451*MAX(0,AM451*Mat.Conc_Beta.1-$Y451)))
-($J451*MIN(Mat.Rebar_f.y,(Mat.Rebar_epsilon.cl*($S451-AM451)/AM451)*Mat.PT_E.s))
-($M451*Mat.PT_f.pu*(1-Mat.PT_k*AM451/$P451))))</f>
        <v/>
      </c>
      <c r="AP451" s="329"/>
      <c r="AQ451" s="167" t="str">
        <f>IF(ISBLANK(Inputs!$A59),"",
IF(AO451="--","Solved",
IF(ABS(AO451)&lt;=0.001,"Solved",AM451-AO451*(AM451-AI451)/(AO451-AK451))))</f>
        <v/>
      </c>
      <c r="AR451" s="167"/>
      <c r="AS451" s="329" t="str">
        <f>IF(ISBLANK(Inputs!$A59),"",
IF(OR(AQ451="Solved",AQ451="--"),"--",
((Mat.Conc_Alpha.1*Mat.Conc_f.c*$AB451*MIN(AQ451*Mat.Conc_Beta.1,$Y451))
+(Mat.Conc_Alpha.1*Mat.Conc_f.c*$V451*MAX(0,AQ451*Mat.Conc_Beta.1-$Y451)))
-($J451*MIN(Mat.Rebar_f.y,(Mat.Rebar_epsilon.cl*($S451-AQ451)/AQ451)*Mat.PT_E.s))
-($M451*Mat.PT_f.pu*(1-Mat.PT_k*AQ451/$P451))))</f>
        <v/>
      </c>
      <c r="AT451" s="329"/>
      <c r="AU451" s="167" t="str">
        <f>IF(ISBLANK(Inputs!$A59),"",
IF(AS451="--","Solved",
IF(ABS(AS451)&lt;=0.001,"Solved",AQ451-AS451*(AQ451-AM451)/(AS451-AO451))))</f>
        <v/>
      </c>
      <c r="AV451" s="167"/>
      <c r="AW451" s="329" t="str">
        <f>IF(ISBLANK(Inputs!$A59),"",
IF(OR(AU451="Solved",AU451="--"),"--",
((Mat.Conc_Alpha.1*Mat.Conc_f.c*$AB451*MIN(AU451*Mat.Conc_Beta.1,$Y451))
+(Mat.Conc_Alpha.1*Mat.Conc_f.c*$V451*MAX(0,AU451*Mat.Conc_Beta.1-$Y451)))
-($J451*MIN(Mat.Rebar_f.y,(Mat.Rebar_epsilon.cl*($S451-AU451)/AU451)*Mat.PT_E.s))
-($M451*Mat.PT_f.pu*(1-Mat.PT_k*AU451/$P451))))</f>
        <v/>
      </c>
      <c r="AX451" s="329"/>
      <c r="AY451" s="167" t="str">
        <f>IF(ISBLANK(Inputs!$A59),"",
IF(AW451="--","Solved",
IF(ABS(AW451)&lt;=0.001,"Solved",AU451-AW451*(AU451-AQ451)/(AW451-AS451))))</f>
        <v/>
      </c>
      <c r="AZ451" s="167"/>
      <c r="BA451" s="329" t="str">
        <f>IF(ISBLANK(Inputs!$A59),"",
IF(OR(AY451="Solved",AY451="--"),"--",
((Mat.Conc_Alpha.1*Mat.Conc_f.c*$AB451*MIN(AY451*Mat.Conc_Beta.1,$Y451))
+(Mat.Conc_Alpha.1*Mat.Conc_f.c*$V451*MAX(0,AY451*Mat.Conc_Beta.1-$Y451)))
-($J451*MIN(Mat.Rebar_f.y,(Mat.Rebar_epsilon.cl*($S451-AY451)/AY451)*Mat.PT_E.s))
-($M451*Mat.PT_f.pu*(1-Mat.PT_k*AY451/$P451))))</f>
        <v/>
      </c>
      <c r="BB451" s="329"/>
      <c r="BC451" s="167" t="str">
        <f>IF(ISBLANK(Inputs!$A59),"",
IF(BA451="--","Solved",
IF(ABS(BA451)&lt;=0.001,"Solved",AY451-BA451*(AY451-AU451)/(BA451-AW451))))</f>
        <v/>
      </c>
      <c r="BD451" s="167"/>
      <c r="BE451" s="329" t="str">
        <f>IF(ISBLANK(Inputs!$A59),"",
IF(OR(BC451="Solved",BC451="--"),"--",
((Mat.Conc_Alpha.1*Mat.Conc_f.c*$AB451*MIN(BC451*Mat.Conc_Beta.1,$Y451))
+(Mat.Conc_Alpha.1*Mat.Conc_f.c*$V451*MAX(0,BC451*Mat.Conc_Beta.1-$Y451)))
-($J451*MIN(Mat.Rebar_f.y,(Mat.Rebar_epsilon.cl*($S451-BC451)/BC451)*Mat.PT_E.s))
-($M451*Mat.PT_f.pu*(1-Mat.PT_k*BC451/$P451))))</f>
        <v/>
      </c>
      <c r="BF451" s="329"/>
      <c r="BG451" s="167" t="str">
        <f>IF(ISBLANK(Inputs!$A59),"",
IF(BE451="--","Solved",
IF(ABS(BE451)&lt;=0.001,"Solved",BC451-BE451*(BC451-AY451)/(BE451-BA451))))</f>
        <v/>
      </c>
      <c r="BH451" s="167"/>
      <c r="BI451" s="329" t="str">
        <f>IF(ISBLANK(Inputs!$A59),"",
IF(OR(BG451="Solved",BG451="--"),"--",
((Mat.Conc_Alpha.1*Mat.Conc_f.c*$AB451*MIN(BG451*Mat.Conc_Beta.1,$Y451))
+(Mat.Conc_Alpha.1*Mat.Conc_f.c*$V451*MAX(0,BG451*Mat.Conc_Beta.1-$Y451)))
-($J451*MIN(Mat.Rebar_f.y,(Mat.Rebar_epsilon.cl*($S451-BG451)/BG451)*Mat.PT_E.s))
-($M451*Mat.PT_f.pu*(1-Mat.PT_k*BG451/$P451))))</f>
        <v/>
      </c>
      <c r="BJ451" s="329"/>
      <c r="BK451" s="167" t="str">
        <f>IF(ISBLANK(Inputs!$A59),"",
IF(BI451="--","Solved",
IF(ABS(BI451)&lt;=0.001,"Solved",BG451-BI451*(BG451-BC451)/(BI451-BE451))))</f>
        <v/>
      </c>
      <c r="BL451" s="167"/>
      <c r="BM451" s="329" t="str">
        <f>IF(ISBLANK(Inputs!$A59),"",
IF(OR(BK451="Solved",BK451="--"),"--",
((Mat.Conc_Alpha.1*Mat.Conc_f.c*$AB451*MIN(BK451*Mat.Conc_Beta.1,$Y451))
+(Mat.Conc_Alpha.1*Mat.Conc_f.c*$V451*MAX(0,BK451*Mat.Conc_Beta.1-$Y451)))
-($J451*MIN(Mat.Rebar_f.y,(Mat.Rebar_epsilon.cl*($S451-BK451)/BK451)*Mat.PT_E.s))
-($M451*Mat.PT_f.pu*(1-Mat.PT_k*BK451/$P451))))</f>
        <v/>
      </c>
      <c r="BN451" s="329"/>
      <c r="BO451" s="167" t="str">
        <f>IF(ISBLANK(Inputs!$A59),"",
IF(BM451="--","Solved",
IF(ABS(BM451)&lt;=0.001,"Solved",BK451-BM451*(BK451-BG451)/(BM451-BI451))))</f>
        <v/>
      </c>
      <c r="BP451" s="167"/>
      <c r="BQ451" s="329" t="str">
        <f>IF(ISBLANK(Inputs!$A59),"",
IF(OR(BO451="Solved",BO451="--"),"--",
((Mat.Conc_Alpha.1*Mat.Conc_f.c*$AB451*MIN(BO451*Mat.Conc_Beta.1,$Y451))
+(Mat.Conc_Alpha.1*Mat.Conc_f.c*$V451*MAX(0,BO451*Mat.Conc_Beta.1-$Y451)))
-($J451*MIN(Mat.Rebar_f.y,(Mat.Rebar_epsilon.cl*($S451-BO451)/BO451)*Mat.PT_E.s))
-($M451*Mat.PT_f.pu*(1-Mat.PT_k*BO451/$P451))))</f>
        <v/>
      </c>
      <c r="BR451" s="329"/>
      <c r="BT451" s="98"/>
      <c r="BU451" s="70"/>
      <c r="BV451" s="70"/>
      <c r="BW451" s="8"/>
      <c r="BX451" s="8"/>
      <c r="BY451" s="8"/>
      <c r="BZ451" s="8"/>
      <c r="CA451" s="8"/>
      <c r="CB451" s="10"/>
    </row>
    <row r="452" spans="3:80" ht="15" customHeight="1" x14ac:dyDescent="0.25">
      <c r="C452" s="69"/>
      <c r="F452" s="167" t="str">
        <f>IF(ISBLANK(Inputs!A60),"",Inputs!A60)</f>
        <v/>
      </c>
      <c r="G452" s="167"/>
      <c r="H452" s="167" t="str">
        <f>IF(ISBLANK(Inputs!B60),"",Inputs!B60)</f>
        <v/>
      </c>
      <c r="I452" s="167"/>
      <c r="J452" s="168" t="str">
        <f>IF(ISBLANK(Inputs!G60),"",Inputs!G60)</f>
        <v/>
      </c>
      <c r="K452" s="168"/>
      <c r="L452" s="168"/>
      <c r="M452" s="168" t="str">
        <f>IF(ISBLANK(Inputs!D60),"",Inputs!D60)</f>
        <v/>
      </c>
      <c r="N452" s="168"/>
      <c r="O452" s="168"/>
      <c r="P452" s="168" t="str">
        <f>IF(ISBLANK(Inputs!F60),"",Inputs!F60)</f>
        <v/>
      </c>
      <c r="Q452" s="168"/>
      <c r="R452" s="168"/>
      <c r="S452" s="168" t="str">
        <f>IF(ISBLANK(Inputs!H60),"",Inputs!H60)</f>
        <v/>
      </c>
      <c r="T452" s="168"/>
      <c r="U452" s="168"/>
      <c r="V452" s="168" t="str">
        <f>IF(ISBLANK(Inputs!E60),"",Inputs!E60)</f>
        <v/>
      </c>
      <c r="W452" s="168"/>
      <c r="X452" s="168"/>
      <c r="Y452" s="168" t="str">
        <f>IF(ISBLANK(Inputs!I60),"",Inputs!I60)</f>
        <v/>
      </c>
      <c r="Z452" s="168"/>
      <c r="AA452" s="168"/>
      <c r="AB452" s="168">
        <f>IF(ISBLANK(Inputs!J60),"",Inputs!J60)</f>
        <v>96</v>
      </c>
      <c r="AC452" s="168"/>
      <c r="AD452" s="168"/>
      <c r="AE452" s="167" t="str">
        <f>IF(ISBLANK(Inputs!A60),"",Y452)</f>
        <v/>
      </c>
      <c r="AF452" s="167"/>
      <c r="AG452" s="329" t="str">
        <f>IF(ISBLANK(Inputs!$A60),"",
IF(OR(AE452="Solved",AE452="--"),"--",
((Mat.Conc_Alpha.1*Mat.Conc_f.c*$AB452*MIN(AE452*Mat.Conc_Beta.1,$Y452))
+(Mat.Conc_Alpha.1*Mat.Conc_f.c*$V452*MAX(0,AE452*Mat.Conc_Beta.1-$Y452)))
-($J452*MIN(Mat.Rebar_f.y,(Mat.Rebar_epsilon.cl*($S452-AE452)/AE452)*Mat.PT_E.s))
-($M452*Mat.PT_f.pu*(1-Mat.PT_k*AE452/$P452))))</f>
        <v/>
      </c>
      <c r="AH452" s="329"/>
      <c r="AI452" s="167" t="str">
        <f>IF(ISBLANK(Inputs!$A60),"",
IF(ABS(AG452)&lt;=0.001,"Solved",IF(AG452&gt;0,0.85*AE452,1.15*AE452)))</f>
        <v/>
      </c>
      <c r="AJ452" s="167"/>
      <c r="AK452" s="329" t="str">
        <f>IF(ISBLANK(Inputs!$A60),"",
IF(OR(AI452="Solved",AI452="--"),"--",
((Mat.Conc_Alpha.1*Mat.Conc_f.c*$AB452*MIN(AI452*Mat.Conc_Beta.1,$Y452))
+(Mat.Conc_Alpha.1*Mat.Conc_f.c*$V452*MAX(0,AI452*Mat.Conc_Beta.1-$Y452)))
-($J452*MIN(Mat.Rebar_f.y,(Mat.Rebar_epsilon.cl*($S452-AI452)/AI452)*Mat.PT_E.s))
-($M452*Mat.PT_f.pu*(1-Mat.PT_k*AI452/$P452))))</f>
        <v/>
      </c>
      <c r="AL452" s="329"/>
      <c r="AM452" s="167" t="str">
        <f>IF(ISBLANK(Inputs!$A60),"",
IF(AK452="--","Solved",
IF(ABS(AK452)&lt;=0.001,"Solved",AI452-AK452*(AI452-AE452)/(AK452-AG452))))</f>
        <v/>
      </c>
      <c r="AN452" s="167"/>
      <c r="AO452" s="329" t="str">
        <f>IF(ISBLANK(Inputs!$A60),"",
IF(OR(AM452="Solved",AM452="--"),"--",
((Mat.Conc_Alpha.1*Mat.Conc_f.c*$AB452*MIN(AM452*Mat.Conc_Beta.1,$Y452))
+(Mat.Conc_Alpha.1*Mat.Conc_f.c*$V452*MAX(0,AM452*Mat.Conc_Beta.1-$Y452)))
-($J452*MIN(Mat.Rebar_f.y,(Mat.Rebar_epsilon.cl*($S452-AM452)/AM452)*Mat.PT_E.s))
-($M452*Mat.PT_f.pu*(1-Mat.PT_k*AM452/$P452))))</f>
        <v/>
      </c>
      <c r="AP452" s="329"/>
      <c r="AQ452" s="167" t="str">
        <f>IF(ISBLANK(Inputs!$A60),"",
IF(AO452="--","Solved",
IF(ABS(AO452)&lt;=0.001,"Solved",AM452-AO452*(AM452-AI452)/(AO452-AK452))))</f>
        <v/>
      </c>
      <c r="AR452" s="167"/>
      <c r="AS452" s="329" t="str">
        <f>IF(ISBLANK(Inputs!$A60),"",
IF(OR(AQ452="Solved",AQ452="--"),"--",
((Mat.Conc_Alpha.1*Mat.Conc_f.c*$AB452*MIN(AQ452*Mat.Conc_Beta.1,$Y452))
+(Mat.Conc_Alpha.1*Mat.Conc_f.c*$V452*MAX(0,AQ452*Mat.Conc_Beta.1-$Y452)))
-($J452*MIN(Mat.Rebar_f.y,(Mat.Rebar_epsilon.cl*($S452-AQ452)/AQ452)*Mat.PT_E.s))
-($M452*Mat.PT_f.pu*(1-Mat.PT_k*AQ452/$P452))))</f>
        <v/>
      </c>
      <c r="AT452" s="329"/>
      <c r="AU452" s="167" t="str">
        <f>IF(ISBLANK(Inputs!$A60),"",
IF(AS452="--","Solved",
IF(ABS(AS452)&lt;=0.001,"Solved",AQ452-AS452*(AQ452-AM452)/(AS452-AO452))))</f>
        <v/>
      </c>
      <c r="AV452" s="167"/>
      <c r="AW452" s="329" t="str">
        <f>IF(ISBLANK(Inputs!$A60),"",
IF(OR(AU452="Solved",AU452="--"),"--",
((Mat.Conc_Alpha.1*Mat.Conc_f.c*$AB452*MIN(AU452*Mat.Conc_Beta.1,$Y452))
+(Mat.Conc_Alpha.1*Mat.Conc_f.c*$V452*MAX(0,AU452*Mat.Conc_Beta.1-$Y452)))
-($J452*MIN(Mat.Rebar_f.y,(Mat.Rebar_epsilon.cl*($S452-AU452)/AU452)*Mat.PT_E.s))
-($M452*Mat.PT_f.pu*(1-Mat.PT_k*AU452/$P452))))</f>
        <v/>
      </c>
      <c r="AX452" s="329"/>
      <c r="AY452" s="167" t="str">
        <f>IF(ISBLANK(Inputs!$A60),"",
IF(AW452="--","Solved",
IF(ABS(AW452)&lt;=0.001,"Solved",AU452-AW452*(AU452-AQ452)/(AW452-AS452))))</f>
        <v/>
      </c>
      <c r="AZ452" s="167"/>
      <c r="BA452" s="329" t="str">
        <f>IF(ISBLANK(Inputs!$A60),"",
IF(OR(AY452="Solved",AY452="--"),"--",
((Mat.Conc_Alpha.1*Mat.Conc_f.c*$AB452*MIN(AY452*Mat.Conc_Beta.1,$Y452))
+(Mat.Conc_Alpha.1*Mat.Conc_f.c*$V452*MAX(0,AY452*Mat.Conc_Beta.1-$Y452)))
-($J452*MIN(Mat.Rebar_f.y,(Mat.Rebar_epsilon.cl*($S452-AY452)/AY452)*Mat.PT_E.s))
-($M452*Mat.PT_f.pu*(1-Mat.PT_k*AY452/$P452))))</f>
        <v/>
      </c>
      <c r="BB452" s="329"/>
      <c r="BC452" s="167" t="str">
        <f>IF(ISBLANK(Inputs!$A60),"",
IF(BA452="--","Solved",
IF(ABS(BA452)&lt;=0.001,"Solved",AY452-BA452*(AY452-AU452)/(BA452-AW452))))</f>
        <v/>
      </c>
      <c r="BD452" s="167"/>
      <c r="BE452" s="329" t="str">
        <f>IF(ISBLANK(Inputs!$A60),"",
IF(OR(BC452="Solved",BC452="--"),"--",
((Mat.Conc_Alpha.1*Mat.Conc_f.c*$AB452*MIN(BC452*Mat.Conc_Beta.1,$Y452))
+(Mat.Conc_Alpha.1*Mat.Conc_f.c*$V452*MAX(0,BC452*Mat.Conc_Beta.1-$Y452)))
-($J452*MIN(Mat.Rebar_f.y,(Mat.Rebar_epsilon.cl*($S452-BC452)/BC452)*Mat.PT_E.s))
-($M452*Mat.PT_f.pu*(1-Mat.PT_k*BC452/$P452))))</f>
        <v/>
      </c>
      <c r="BF452" s="329"/>
      <c r="BG452" s="167" t="str">
        <f>IF(ISBLANK(Inputs!$A60),"",
IF(BE452="--","Solved",
IF(ABS(BE452)&lt;=0.001,"Solved",BC452-BE452*(BC452-AY452)/(BE452-BA452))))</f>
        <v/>
      </c>
      <c r="BH452" s="167"/>
      <c r="BI452" s="329" t="str">
        <f>IF(ISBLANK(Inputs!$A60),"",
IF(OR(BG452="Solved",BG452="--"),"--",
((Mat.Conc_Alpha.1*Mat.Conc_f.c*$AB452*MIN(BG452*Mat.Conc_Beta.1,$Y452))
+(Mat.Conc_Alpha.1*Mat.Conc_f.c*$V452*MAX(0,BG452*Mat.Conc_Beta.1-$Y452)))
-($J452*MIN(Mat.Rebar_f.y,(Mat.Rebar_epsilon.cl*($S452-BG452)/BG452)*Mat.PT_E.s))
-($M452*Mat.PT_f.pu*(1-Mat.PT_k*BG452/$P452))))</f>
        <v/>
      </c>
      <c r="BJ452" s="329"/>
      <c r="BK452" s="167" t="str">
        <f>IF(ISBLANK(Inputs!$A60),"",
IF(BI452="--","Solved",
IF(ABS(BI452)&lt;=0.001,"Solved",BG452-BI452*(BG452-BC452)/(BI452-BE452))))</f>
        <v/>
      </c>
      <c r="BL452" s="167"/>
      <c r="BM452" s="329" t="str">
        <f>IF(ISBLANK(Inputs!$A60),"",
IF(OR(BK452="Solved",BK452="--"),"--",
((Mat.Conc_Alpha.1*Mat.Conc_f.c*$AB452*MIN(BK452*Mat.Conc_Beta.1,$Y452))
+(Mat.Conc_Alpha.1*Mat.Conc_f.c*$V452*MAX(0,BK452*Mat.Conc_Beta.1-$Y452)))
-($J452*MIN(Mat.Rebar_f.y,(Mat.Rebar_epsilon.cl*($S452-BK452)/BK452)*Mat.PT_E.s))
-($M452*Mat.PT_f.pu*(1-Mat.PT_k*BK452/$P452))))</f>
        <v/>
      </c>
      <c r="BN452" s="329"/>
      <c r="BO452" s="167" t="str">
        <f>IF(ISBLANK(Inputs!$A60),"",
IF(BM452="--","Solved",
IF(ABS(BM452)&lt;=0.001,"Solved",BK452-BM452*(BK452-BG452)/(BM452-BI452))))</f>
        <v/>
      </c>
      <c r="BP452" s="167"/>
      <c r="BQ452" s="329" t="str">
        <f>IF(ISBLANK(Inputs!$A60),"",
IF(OR(BO452="Solved",BO452="--"),"--",
((Mat.Conc_Alpha.1*Mat.Conc_f.c*$AB452*MIN(BO452*Mat.Conc_Beta.1,$Y452))
+(Mat.Conc_Alpha.1*Mat.Conc_f.c*$V452*MAX(0,BO452*Mat.Conc_Beta.1-$Y452)))
-($J452*MIN(Mat.Rebar_f.y,(Mat.Rebar_epsilon.cl*($S452-BO452)/BO452)*Mat.PT_E.s))
-($M452*Mat.PT_f.pu*(1-Mat.PT_k*BO452/$P452))))</f>
        <v/>
      </c>
      <c r="BR452" s="329"/>
      <c r="BT452" s="98"/>
      <c r="BU452" s="70"/>
      <c r="BV452" s="70"/>
      <c r="BW452" s="8"/>
      <c r="BX452" s="8"/>
      <c r="BY452" s="8"/>
      <c r="BZ452" s="8"/>
      <c r="CA452" s="8"/>
      <c r="CB452" s="10"/>
    </row>
    <row r="453" spans="3:80" ht="15" customHeight="1" x14ac:dyDescent="0.25">
      <c r="C453" s="69"/>
      <c r="F453" s="167" t="str">
        <f>IF(ISBLANK(Inputs!A61),"",Inputs!A61)</f>
        <v/>
      </c>
      <c r="G453" s="167"/>
      <c r="H453" s="167" t="str">
        <f>IF(ISBLANK(Inputs!B61),"",Inputs!B61)</f>
        <v/>
      </c>
      <c r="I453" s="167"/>
      <c r="J453" s="168" t="str">
        <f>IF(ISBLANK(Inputs!G61),"",Inputs!G61)</f>
        <v/>
      </c>
      <c r="K453" s="168"/>
      <c r="L453" s="168"/>
      <c r="M453" s="168" t="str">
        <f>IF(ISBLANK(Inputs!D61),"",Inputs!D61)</f>
        <v/>
      </c>
      <c r="N453" s="168"/>
      <c r="O453" s="168"/>
      <c r="P453" s="168" t="str">
        <f>IF(ISBLANK(Inputs!F61),"",Inputs!F61)</f>
        <v/>
      </c>
      <c r="Q453" s="168"/>
      <c r="R453" s="168"/>
      <c r="S453" s="168" t="str">
        <f>IF(ISBLANK(Inputs!H61),"",Inputs!H61)</f>
        <v/>
      </c>
      <c r="T453" s="168"/>
      <c r="U453" s="168"/>
      <c r="V453" s="168" t="str">
        <f>IF(ISBLANK(Inputs!E61),"",Inputs!E61)</f>
        <v/>
      </c>
      <c r="W453" s="168"/>
      <c r="X453" s="168"/>
      <c r="Y453" s="168" t="str">
        <f>IF(ISBLANK(Inputs!I61),"",Inputs!I61)</f>
        <v/>
      </c>
      <c r="Z453" s="168"/>
      <c r="AA453" s="168"/>
      <c r="AB453" s="168">
        <f>IF(ISBLANK(Inputs!J61),"",Inputs!J61)</f>
        <v>96</v>
      </c>
      <c r="AC453" s="168"/>
      <c r="AD453" s="168"/>
      <c r="AE453" s="167" t="str">
        <f>IF(ISBLANK(Inputs!A61),"",Y453)</f>
        <v/>
      </c>
      <c r="AF453" s="167"/>
      <c r="AG453" s="329" t="str">
        <f>IF(ISBLANK(Inputs!$A61),"",
IF(OR(AE453="Solved",AE453="--"),"--",
((Mat.Conc_Alpha.1*Mat.Conc_f.c*$AB453*MIN(AE453*Mat.Conc_Beta.1,$Y453))
+(Mat.Conc_Alpha.1*Mat.Conc_f.c*$V453*MAX(0,AE453*Mat.Conc_Beta.1-$Y453)))
-($J453*MIN(Mat.Rebar_f.y,(Mat.Rebar_epsilon.cl*($S453-AE453)/AE453)*Mat.PT_E.s))
-($M453*Mat.PT_f.pu*(1-Mat.PT_k*AE453/$P453))))</f>
        <v/>
      </c>
      <c r="AH453" s="329"/>
      <c r="AI453" s="167" t="str">
        <f>IF(ISBLANK(Inputs!$A61),"",
IF(ABS(AG453)&lt;=0.001,"Solved",IF(AG453&gt;0,0.85*AE453,1.15*AE453)))</f>
        <v/>
      </c>
      <c r="AJ453" s="167"/>
      <c r="AK453" s="329" t="str">
        <f>IF(ISBLANK(Inputs!$A61),"",
IF(OR(AI453="Solved",AI453="--"),"--",
((Mat.Conc_Alpha.1*Mat.Conc_f.c*$AB453*MIN(AI453*Mat.Conc_Beta.1,$Y453))
+(Mat.Conc_Alpha.1*Mat.Conc_f.c*$V453*MAX(0,AI453*Mat.Conc_Beta.1-$Y453)))
-($J453*MIN(Mat.Rebar_f.y,(Mat.Rebar_epsilon.cl*($S453-AI453)/AI453)*Mat.PT_E.s))
-($M453*Mat.PT_f.pu*(1-Mat.PT_k*AI453/$P453))))</f>
        <v/>
      </c>
      <c r="AL453" s="329"/>
      <c r="AM453" s="167" t="str">
        <f>IF(ISBLANK(Inputs!$A61),"",
IF(AK453="--","Solved",
IF(ABS(AK453)&lt;=0.001,"Solved",AI453-AK453*(AI453-AE453)/(AK453-AG453))))</f>
        <v/>
      </c>
      <c r="AN453" s="167"/>
      <c r="AO453" s="329" t="str">
        <f>IF(ISBLANK(Inputs!$A61),"",
IF(OR(AM453="Solved",AM453="--"),"--",
((Mat.Conc_Alpha.1*Mat.Conc_f.c*$AB453*MIN(AM453*Mat.Conc_Beta.1,$Y453))
+(Mat.Conc_Alpha.1*Mat.Conc_f.c*$V453*MAX(0,AM453*Mat.Conc_Beta.1-$Y453)))
-($J453*MIN(Mat.Rebar_f.y,(Mat.Rebar_epsilon.cl*($S453-AM453)/AM453)*Mat.PT_E.s))
-($M453*Mat.PT_f.pu*(1-Mat.PT_k*AM453/$P453))))</f>
        <v/>
      </c>
      <c r="AP453" s="329"/>
      <c r="AQ453" s="167" t="str">
        <f>IF(ISBLANK(Inputs!$A61),"",
IF(AO453="--","Solved",
IF(ABS(AO453)&lt;=0.001,"Solved",AM453-AO453*(AM453-AI453)/(AO453-AK453))))</f>
        <v/>
      </c>
      <c r="AR453" s="167"/>
      <c r="AS453" s="329" t="str">
        <f>IF(ISBLANK(Inputs!$A61),"",
IF(OR(AQ453="Solved",AQ453="--"),"--",
((Mat.Conc_Alpha.1*Mat.Conc_f.c*$AB453*MIN(AQ453*Mat.Conc_Beta.1,$Y453))
+(Mat.Conc_Alpha.1*Mat.Conc_f.c*$V453*MAX(0,AQ453*Mat.Conc_Beta.1-$Y453)))
-($J453*MIN(Mat.Rebar_f.y,(Mat.Rebar_epsilon.cl*($S453-AQ453)/AQ453)*Mat.PT_E.s))
-($M453*Mat.PT_f.pu*(1-Mat.PT_k*AQ453/$P453))))</f>
        <v/>
      </c>
      <c r="AT453" s="329"/>
      <c r="AU453" s="167" t="str">
        <f>IF(ISBLANK(Inputs!$A61),"",
IF(AS453="--","Solved",
IF(ABS(AS453)&lt;=0.001,"Solved",AQ453-AS453*(AQ453-AM453)/(AS453-AO453))))</f>
        <v/>
      </c>
      <c r="AV453" s="167"/>
      <c r="AW453" s="329" t="str">
        <f>IF(ISBLANK(Inputs!$A61),"",
IF(OR(AU453="Solved",AU453="--"),"--",
((Mat.Conc_Alpha.1*Mat.Conc_f.c*$AB453*MIN(AU453*Mat.Conc_Beta.1,$Y453))
+(Mat.Conc_Alpha.1*Mat.Conc_f.c*$V453*MAX(0,AU453*Mat.Conc_Beta.1-$Y453)))
-($J453*MIN(Mat.Rebar_f.y,(Mat.Rebar_epsilon.cl*($S453-AU453)/AU453)*Mat.PT_E.s))
-($M453*Mat.PT_f.pu*(1-Mat.PT_k*AU453/$P453))))</f>
        <v/>
      </c>
      <c r="AX453" s="329"/>
      <c r="AY453" s="167" t="str">
        <f>IF(ISBLANK(Inputs!$A61),"",
IF(AW453="--","Solved",
IF(ABS(AW453)&lt;=0.001,"Solved",AU453-AW453*(AU453-AQ453)/(AW453-AS453))))</f>
        <v/>
      </c>
      <c r="AZ453" s="167"/>
      <c r="BA453" s="329" t="str">
        <f>IF(ISBLANK(Inputs!$A61),"",
IF(OR(AY453="Solved",AY453="--"),"--",
((Mat.Conc_Alpha.1*Mat.Conc_f.c*$AB453*MIN(AY453*Mat.Conc_Beta.1,$Y453))
+(Mat.Conc_Alpha.1*Mat.Conc_f.c*$V453*MAX(0,AY453*Mat.Conc_Beta.1-$Y453)))
-($J453*MIN(Mat.Rebar_f.y,(Mat.Rebar_epsilon.cl*($S453-AY453)/AY453)*Mat.PT_E.s))
-($M453*Mat.PT_f.pu*(1-Mat.PT_k*AY453/$P453))))</f>
        <v/>
      </c>
      <c r="BB453" s="329"/>
      <c r="BC453" s="167" t="str">
        <f>IF(ISBLANK(Inputs!$A61),"",
IF(BA453="--","Solved",
IF(ABS(BA453)&lt;=0.001,"Solved",AY453-BA453*(AY453-AU453)/(BA453-AW453))))</f>
        <v/>
      </c>
      <c r="BD453" s="167"/>
      <c r="BE453" s="329" t="str">
        <f>IF(ISBLANK(Inputs!$A61),"",
IF(OR(BC453="Solved",BC453="--"),"--",
((Mat.Conc_Alpha.1*Mat.Conc_f.c*$AB453*MIN(BC453*Mat.Conc_Beta.1,$Y453))
+(Mat.Conc_Alpha.1*Mat.Conc_f.c*$V453*MAX(0,BC453*Mat.Conc_Beta.1-$Y453)))
-($J453*MIN(Mat.Rebar_f.y,(Mat.Rebar_epsilon.cl*($S453-BC453)/BC453)*Mat.PT_E.s))
-($M453*Mat.PT_f.pu*(1-Mat.PT_k*BC453/$P453))))</f>
        <v/>
      </c>
      <c r="BF453" s="329"/>
      <c r="BG453" s="167" t="str">
        <f>IF(ISBLANK(Inputs!$A61),"",
IF(BE453="--","Solved",
IF(ABS(BE453)&lt;=0.001,"Solved",BC453-BE453*(BC453-AY453)/(BE453-BA453))))</f>
        <v/>
      </c>
      <c r="BH453" s="167"/>
      <c r="BI453" s="329" t="str">
        <f>IF(ISBLANK(Inputs!$A61),"",
IF(OR(BG453="Solved",BG453="--"),"--",
((Mat.Conc_Alpha.1*Mat.Conc_f.c*$AB453*MIN(BG453*Mat.Conc_Beta.1,$Y453))
+(Mat.Conc_Alpha.1*Mat.Conc_f.c*$V453*MAX(0,BG453*Mat.Conc_Beta.1-$Y453)))
-($J453*MIN(Mat.Rebar_f.y,(Mat.Rebar_epsilon.cl*($S453-BG453)/BG453)*Mat.PT_E.s))
-($M453*Mat.PT_f.pu*(1-Mat.PT_k*BG453/$P453))))</f>
        <v/>
      </c>
      <c r="BJ453" s="329"/>
      <c r="BK453" s="167" t="str">
        <f>IF(ISBLANK(Inputs!$A61),"",
IF(BI453="--","Solved",
IF(ABS(BI453)&lt;=0.001,"Solved",BG453-BI453*(BG453-BC453)/(BI453-BE453))))</f>
        <v/>
      </c>
      <c r="BL453" s="167"/>
      <c r="BM453" s="329" t="str">
        <f>IF(ISBLANK(Inputs!$A61),"",
IF(OR(BK453="Solved",BK453="--"),"--",
((Mat.Conc_Alpha.1*Mat.Conc_f.c*$AB453*MIN(BK453*Mat.Conc_Beta.1,$Y453))
+(Mat.Conc_Alpha.1*Mat.Conc_f.c*$V453*MAX(0,BK453*Mat.Conc_Beta.1-$Y453)))
-($J453*MIN(Mat.Rebar_f.y,(Mat.Rebar_epsilon.cl*($S453-BK453)/BK453)*Mat.PT_E.s))
-($M453*Mat.PT_f.pu*(1-Mat.PT_k*BK453/$P453))))</f>
        <v/>
      </c>
      <c r="BN453" s="329"/>
      <c r="BO453" s="167" t="str">
        <f>IF(ISBLANK(Inputs!$A61),"",
IF(BM453="--","Solved",
IF(ABS(BM453)&lt;=0.001,"Solved",BK453-BM453*(BK453-BG453)/(BM453-BI453))))</f>
        <v/>
      </c>
      <c r="BP453" s="167"/>
      <c r="BQ453" s="329" t="str">
        <f>IF(ISBLANK(Inputs!$A61),"",
IF(OR(BO453="Solved",BO453="--"),"--",
((Mat.Conc_Alpha.1*Mat.Conc_f.c*$AB453*MIN(BO453*Mat.Conc_Beta.1,$Y453))
+(Mat.Conc_Alpha.1*Mat.Conc_f.c*$V453*MAX(0,BO453*Mat.Conc_Beta.1-$Y453)))
-($J453*MIN(Mat.Rebar_f.y,(Mat.Rebar_epsilon.cl*($S453-BO453)/BO453)*Mat.PT_E.s))
-($M453*Mat.PT_f.pu*(1-Mat.PT_k*BO453/$P453))))</f>
        <v/>
      </c>
      <c r="BR453" s="329"/>
      <c r="BT453" s="98"/>
      <c r="BU453" s="70"/>
      <c r="BV453" s="70"/>
      <c r="BW453" s="8"/>
      <c r="BX453" s="8"/>
      <c r="BY453" s="8"/>
      <c r="BZ453" s="8"/>
      <c r="CA453" s="8"/>
      <c r="CB453" s="10"/>
    </row>
    <row r="454" spans="3:80" ht="15" customHeight="1" x14ac:dyDescent="0.25">
      <c r="C454" s="69"/>
      <c r="F454" s="167" t="str">
        <f>IF(ISBLANK(Inputs!A62),"",Inputs!A62)</f>
        <v/>
      </c>
      <c r="G454" s="167"/>
      <c r="H454" s="167" t="str">
        <f>IF(ISBLANK(Inputs!B62),"",Inputs!B62)</f>
        <v/>
      </c>
      <c r="I454" s="167"/>
      <c r="J454" s="168" t="str">
        <f>IF(ISBLANK(Inputs!G62),"",Inputs!G62)</f>
        <v/>
      </c>
      <c r="K454" s="168"/>
      <c r="L454" s="168"/>
      <c r="M454" s="168" t="str">
        <f>IF(ISBLANK(Inputs!D62),"",Inputs!D62)</f>
        <v/>
      </c>
      <c r="N454" s="168"/>
      <c r="O454" s="168"/>
      <c r="P454" s="168" t="str">
        <f>IF(ISBLANK(Inputs!F62),"",Inputs!F62)</f>
        <v/>
      </c>
      <c r="Q454" s="168"/>
      <c r="R454" s="168"/>
      <c r="S454" s="168" t="str">
        <f>IF(ISBLANK(Inputs!H62),"",Inputs!H62)</f>
        <v/>
      </c>
      <c r="T454" s="168"/>
      <c r="U454" s="168"/>
      <c r="V454" s="168" t="str">
        <f>IF(ISBLANK(Inputs!E62),"",Inputs!E62)</f>
        <v/>
      </c>
      <c r="W454" s="168"/>
      <c r="X454" s="168"/>
      <c r="Y454" s="168" t="str">
        <f>IF(ISBLANK(Inputs!I62),"",Inputs!I62)</f>
        <v/>
      </c>
      <c r="Z454" s="168"/>
      <c r="AA454" s="168"/>
      <c r="AB454" s="168">
        <f>IF(ISBLANK(Inputs!J62),"",Inputs!J62)</f>
        <v>96</v>
      </c>
      <c r="AC454" s="168"/>
      <c r="AD454" s="168"/>
      <c r="AE454" s="167" t="str">
        <f>IF(ISBLANK(Inputs!A62),"",Y454)</f>
        <v/>
      </c>
      <c r="AF454" s="167"/>
      <c r="AG454" s="329" t="str">
        <f>IF(ISBLANK(Inputs!$A62),"",
IF(OR(AE454="Solved",AE454="--"),"--",
((Mat.Conc_Alpha.1*Mat.Conc_f.c*$AB454*MIN(AE454*Mat.Conc_Beta.1,$Y454))
+(Mat.Conc_Alpha.1*Mat.Conc_f.c*$V454*MAX(0,AE454*Mat.Conc_Beta.1-$Y454)))
-($J454*MIN(Mat.Rebar_f.y,(Mat.Rebar_epsilon.cl*($S454-AE454)/AE454)*Mat.PT_E.s))
-($M454*Mat.PT_f.pu*(1-Mat.PT_k*AE454/$P454))))</f>
        <v/>
      </c>
      <c r="AH454" s="329"/>
      <c r="AI454" s="167" t="str">
        <f>IF(ISBLANK(Inputs!$A62),"",
IF(ABS(AG454)&lt;=0.001,"Solved",IF(AG454&gt;0,0.85*AE454,1.15*AE454)))</f>
        <v/>
      </c>
      <c r="AJ454" s="167"/>
      <c r="AK454" s="329" t="str">
        <f>IF(ISBLANK(Inputs!$A62),"",
IF(OR(AI454="Solved",AI454="--"),"--",
((Mat.Conc_Alpha.1*Mat.Conc_f.c*$AB454*MIN(AI454*Mat.Conc_Beta.1,$Y454))
+(Mat.Conc_Alpha.1*Mat.Conc_f.c*$V454*MAX(0,AI454*Mat.Conc_Beta.1-$Y454)))
-($J454*MIN(Mat.Rebar_f.y,(Mat.Rebar_epsilon.cl*($S454-AI454)/AI454)*Mat.PT_E.s))
-($M454*Mat.PT_f.pu*(1-Mat.PT_k*AI454/$P454))))</f>
        <v/>
      </c>
      <c r="AL454" s="329"/>
      <c r="AM454" s="167" t="str">
        <f>IF(ISBLANK(Inputs!$A62),"",
IF(AK454="--","Solved",
IF(ABS(AK454)&lt;=0.001,"Solved",AI454-AK454*(AI454-AE454)/(AK454-AG454))))</f>
        <v/>
      </c>
      <c r="AN454" s="167"/>
      <c r="AO454" s="329" t="str">
        <f>IF(ISBLANK(Inputs!$A62),"",
IF(OR(AM454="Solved",AM454="--"),"--",
((Mat.Conc_Alpha.1*Mat.Conc_f.c*$AB454*MIN(AM454*Mat.Conc_Beta.1,$Y454))
+(Mat.Conc_Alpha.1*Mat.Conc_f.c*$V454*MAX(0,AM454*Mat.Conc_Beta.1-$Y454)))
-($J454*MIN(Mat.Rebar_f.y,(Mat.Rebar_epsilon.cl*($S454-AM454)/AM454)*Mat.PT_E.s))
-($M454*Mat.PT_f.pu*(1-Mat.PT_k*AM454/$P454))))</f>
        <v/>
      </c>
      <c r="AP454" s="329"/>
      <c r="AQ454" s="167" t="str">
        <f>IF(ISBLANK(Inputs!$A62),"",
IF(AO454="--","Solved",
IF(ABS(AO454)&lt;=0.001,"Solved",AM454-AO454*(AM454-AI454)/(AO454-AK454))))</f>
        <v/>
      </c>
      <c r="AR454" s="167"/>
      <c r="AS454" s="329" t="str">
        <f>IF(ISBLANK(Inputs!$A62),"",
IF(OR(AQ454="Solved",AQ454="--"),"--",
((Mat.Conc_Alpha.1*Mat.Conc_f.c*$AB454*MIN(AQ454*Mat.Conc_Beta.1,$Y454))
+(Mat.Conc_Alpha.1*Mat.Conc_f.c*$V454*MAX(0,AQ454*Mat.Conc_Beta.1-$Y454)))
-($J454*MIN(Mat.Rebar_f.y,(Mat.Rebar_epsilon.cl*($S454-AQ454)/AQ454)*Mat.PT_E.s))
-($M454*Mat.PT_f.pu*(1-Mat.PT_k*AQ454/$P454))))</f>
        <v/>
      </c>
      <c r="AT454" s="329"/>
      <c r="AU454" s="167" t="str">
        <f>IF(ISBLANK(Inputs!$A62),"",
IF(AS454="--","Solved",
IF(ABS(AS454)&lt;=0.001,"Solved",AQ454-AS454*(AQ454-AM454)/(AS454-AO454))))</f>
        <v/>
      </c>
      <c r="AV454" s="167"/>
      <c r="AW454" s="329" t="str">
        <f>IF(ISBLANK(Inputs!$A62),"",
IF(OR(AU454="Solved",AU454="--"),"--",
((Mat.Conc_Alpha.1*Mat.Conc_f.c*$AB454*MIN(AU454*Mat.Conc_Beta.1,$Y454))
+(Mat.Conc_Alpha.1*Mat.Conc_f.c*$V454*MAX(0,AU454*Mat.Conc_Beta.1-$Y454)))
-($J454*MIN(Mat.Rebar_f.y,(Mat.Rebar_epsilon.cl*($S454-AU454)/AU454)*Mat.PT_E.s))
-($M454*Mat.PT_f.pu*(1-Mat.PT_k*AU454/$P454))))</f>
        <v/>
      </c>
      <c r="AX454" s="329"/>
      <c r="AY454" s="167" t="str">
        <f>IF(ISBLANK(Inputs!$A62),"",
IF(AW454="--","Solved",
IF(ABS(AW454)&lt;=0.001,"Solved",AU454-AW454*(AU454-AQ454)/(AW454-AS454))))</f>
        <v/>
      </c>
      <c r="AZ454" s="167"/>
      <c r="BA454" s="329" t="str">
        <f>IF(ISBLANK(Inputs!$A62),"",
IF(OR(AY454="Solved",AY454="--"),"--",
((Mat.Conc_Alpha.1*Mat.Conc_f.c*$AB454*MIN(AY454*Mat.Conc_Beta.1,$Y454))
+(Mat.Conc_Alpha.1*Mat.Conc_f.c*$V454*MAX(0,AY454*Mat.Conc_Beta.1-$Y454)))
-($J454*MIN(Mat.Rebar_f.y,(Mat.Rebar_epsilon.cl*($S454-AY454)/AY454)*Mat.PT_E.s))
-($M454*Mat.PT_f.pu*(1-Mat.PT_k*AY454/$P454))))</f>
        <v/>
      </c>
      <c r="BB454" s="329"/>
      <c r="BC454" s="167" t="str">
        <f>IF(ISBLANK(Inputs!$A62),"",
IF(BA454="--","Solved",
IF(ABS(BA454)&lt;=0.001,"Solved",AY454-BA454*(AY454-AU454)/(BA454-AW454))))</f>
        <v/>
      </c>
      <c r="BD454" s="167"/>
      <c r="BE454" s="329" t="str">
        <f>IF(ISBLANK(Inputs!$A62),"",
IF(OR(BC454="Solved",BC454="--"),"--",
((Mat.Conc_Alpha.1*Mat.Conc_f.c*$AB454*MIN(BC454*Mat.Conc_Beta.1,$Y454))
+(Mat.Conc_Alpha.1*Mat.Conc_f.c*$V454*MAX(0,BC454*Mat.Conc_Beta.1-$Y454)))
-($J454*MIN(Mat.Rebar_f.y,(Mat.Rebar_epsilon.cl*($S454-BC454)/BC454)*Mat.PT_E.s))
-($M454*Mat.PT_f.pu*(1-Mat.PT_k*BC454/$P454))))</f>
        <v/>
      </c>
      <c r="BF454" s="329"/>
      <c r="BG454" s="167" t="str">
        <f>IF(ISBLANK(Inputs!$A62),"",
IF(BE454="--","Solved",
IF(ABS(BE454)&lt;=0.001,"Solved",BC454-BE454*(BC454-AY454)/(BE454-BA454))))</f>
        <v/>
      </c>
      <c r="BH454" s="167"/>
      <c r="BI454" s="329" t="str">
        <f>IF(ISBLANK(Inputs!$A62),"",
IF(OR(BG454="Solved",BG454="--"),"--",
((Mat.Conc_Alpha.1*Mat.Conc_f.c*$AB454*MIN(BG454*Mat.Conc_Beta.1,$Y454))
+(Mat.Conc_Alpha.1*Mat.Conc_f.c*$V454*MAX(0,BG454*Mat.Conc_Beta.1-$Y454)))
-($J454*MIN(Mat.Rebar_f.y,(Mat.Rebar_epsilon.cl*($S454-BG454)/BG454)*Mat.PT_E.s))
-($M454*Mat.PT_f.pu*(1-Mat.PT_k*BG454/$P454))))</f>
        <v/>
      </c>
      <c r="BJ454" s="329"/>
      <c r="BK454" s="167" t="str">
        <f>IF(ISBLANK(Inputs!$A62),"",
IF(BI454="--","Solved",
IF(ABS(BI454)&lt;=0.001,"Solved",BG454-BI454*(BG454-BC454)/(BI454-BE454))))</f>
        <v/>
      </c>
      <c r="BL454" s="167"/>
      <c r="BM454" s="329" t="str">
        <f>IF(ISBLANK(Inputs!$A62),"",
IF(OR(BK454="Solved",BK454="--"),"--",
((Mat.Conc_Alpha.1*Mat.Conc_f.c*$AB454*MIN(BK454*Mat.Conc_Beta.1,$Y454))
+(Mat.Conc_Alpha.1*Mat.Conc_f.c*$V454*MAX(0,BK454*Mat.Conc_Beta.1-$Y454)))
-($J454*MIN(Mat.Rebar_f.y,(Mat.Rebar_epsilon.cl*($S454-BK454)/BK454)*Mat.PT_E.s))
-($M454*Mat.PT_f.pu*(1-Mat.PT_k*BK454/$P454))))</f>
        <v/>
      </c>
      <c r="BN454" s="329"/>
      <c r="BO454" s="167" t="str">
        <f>IF(ISBLANK(Inputs!$A62),"",
IF(BM454="--","Solved",
IF(ABS(BM454)&lt;=0.001,"Solved",BK454-BM454*(BK454-BG454)/(BM454-BI454))))</f>
        <v/>
      </c>
      <c r="BP454" s="167"/>
      <c r="BQ454" s="329" t="str">
        <f>IF(ISBLANK(Inputs!$A62),"",
IF(OR(BO454="Solved",BO454="--"),"--",
((Mat.Conc_Alpha.1*Mat.Conc_f.c*$AB454*MIN(BO454*Mat.Conc_Beta.1,$Y454))
+(Mat.Conc_Alpha.1*Mat.Conc_f.c*$V454*MAX(0,BO454*Mat.Conc_Beta.1-$Y454)))
-($J454*MIN(Mat.Rebar_f.y,(Mat.Rebar_epsilon.cl*($S454-BO454)/BO454)*Mat.PT_E.s))
-($M454*Mat.PT_f.pu*(1-Mat.PT_k*BO454/$P454))))</f>
        <v/>
      </c>
      <c r="BR454" s="329"/>
      <c r="BT454" s="98"/>
      <c r="BU454" s="70"/>
      <c r="BV454" s="70"/>
      <c r="BW454" s="8"/>
      <c r="BX454" s="8"/>
      <c r="BY454" s="8"/>
      <c r="BZ454" s="8"/>
      <c r="CA454" s="8"/>
      <c r="CB454" s="10"/>
    </row>
    <row r="455" spans="3:80" ht="15" customHeight="1" x14ac:dyDescent="0.25">
      <c r="C455" s="69"/>
      <c r="F455" s="167" t="str">
        <f>IF(ISBLANK(Inputs!A63),"",Inputs!A63)</f>
        <v/>
      </c>
      <c r="G455" s="167"/>
      <c r="H455" s="167" t="str">
        <f>IF(ISBLANK(Inputs!B63),"",Inputs!B63)</f>
        <v/>
      </c>
      <c r="I455" s="167"/>
      <c r="J455" s="168" t="str">
        <f>IF(ISBLANK(Inputs!G63),"",Inputs!G63)</f>
        <v/>
      </c>
      <c r="K455" s="168"/>
      <c r="L455" s="168"/>
      <c r="M455" s="168" t="str">
        <f>IF(ISBLANK(Inputs!D63),"",Inputs!D63)</f>
        <v/>
      </c>
      <c r="N455" s="168"/>
      <c r="O455" s="168"/>
      <c r="P455" s="168" t="str">
        <f>IF(ISBLANK(Inputs!F63),"",Inputs!F63)</f>
        <v/>
      </c>
      <c r="Q455" s="168"/>
      <c r="R455" s="168"/>
      <c r="S455" s="168" t="str">
        <f>IF(ISBLANK(Inputs!H63),"",Inputs!H63)</f>
        <v/>
      </c>
      <c r="T455" s="168"/>
      <c r="U455" s="168"/>
      <c r="V455" s="168" t="str">
        <f>IF(ISBLANK(Inputs!E63),"",Inputs!E63)</f>
        <v/>
      </c>
      <c r="W455" s="168"/>
      <c r="X455" s="168"/>
      <c r="Y455" s="168" t="str">
        <f>IF(ISBLANK(Inputs!I63),"",Inputs!I63)</f>
        <v/>
      </c>
      <c r="Z455" s="168"/>
      <c r="AA455" s="168"/>
      <c r="AB455" s="168">
        <f>IF(ISBLANK(Inputs!J63),"",Inputs!J63)</f>
        <v>96</v>
      </c>
      <c r="AC455" s="168"/>
      <c r="AD455" s="168"/>
      <c r="AE455" s="167" t="str">
        <f>IF(ISBLANK(Inputs!A63),"",Y455)</f>
        <v/>
      </c>
      <c r="AF455" s="167"/>
      <c r="AG455" s="329" t="str">
        <f>IF(ISBLANK(Inputs!$A63),"",
IF(OR(AE455="Solved",AE455="--"),"--",
((Mat.Conc_Alpha.1*Mat.Conc_f.c*$AB455*MIN(AE455*Mat.Conc_Beta.1,$Y455))
+(Mat.Conc_Alpha.1*Mat.Conc_f.c*$V455*MAX(0,AE455*Mat.Conc_Beta.1-$Y455)))
-($J455*MIN(Mat.Rebar_f.y,(Mat.Rebar_epsilon.cl*($S455-AE455)/AE455)*Mat.PT_E.s))
-($M455*Mat.PT_f.pu*(1-Mat.PT_k*AE455/$P455))))</f>
        <v/>
      </c>
      <c r="AH455" s="329"/>
      <c r="AI455" s="167" t="str">
        <f>IF(ISBLANK(Inputs!$A63),"",
IF(ABS(AG455)&lt;=0.001,"Solved",IF(AG455&gt;0,0.85*AE455,1.15*AE455)))</f>
        <v/>
      </c>
      <c r="AJ455" s="167"/>
      <c r="AK455" s="329" t="str">
        <f>IF(ISBLANK(Inputs!$A63),"",
IF(OR(AI455="Solved",AI455="--"),"--",
((Mat.Conc_Alpha.1*Mat.Conc_f.c*$AB455*MIN(AI455*Mat.Conc_Beta.1,$Y455))
+(Mat.Conc_Alpha.1*Mat.Conc_f.c*$V455*MAX(0,AI455*Mat.Conc_Beta.1-$Y455)))
-($J455*MIN(Mat.Rebar_f.y,(Mat.Rebar_epsilon.cl*($S455-AI455)/AI455)*Mat.PT_E.s))
-($M455*Mat.PT_f.pu*(1-Mat.PT_k*AI455/$P455))))</f>
        <v/>
      </c>
      <c r="AL455" s="329"/>
      <c r="AM455" s="167" t="str">
        <f>IF(ISBLANK(Inputs!$A63),"",
IF(AK455="--","Solved",
IF(ABS(AK455)&lt;=0.001,"Solved",AI455-AK455*(AI455-AE455)/(AK455-AG455))))</f>
        <v/>
      </c>
      <c r="AN455" s="167"/>
      <c r="AO455" s="329" t="str">
        <f>IF(ISBLANK(Inputs!$A63),"",
IF(OR(AM455="Solved",AM455="--"),"--",
((Mat.Conc_Alpha.1*Mat.Conc_f.c*$AB455*MIN(AM455*Mat.Conc_Beta.1,$Y455))
+(Mat.Conc_Alpha.1*Mat.Conc_f.c*$V455*MAX(0,AM455*Mat.Conc_Beta.1-$Y455)))
-($J455*MIN(Mat.Rebar_f.y,(Mat.Rebar_epsilon.cl*($S455-AM455)/AM455)*Mat.PT_E.s))
-($M455*Mat.PT_f.pu*(1-Mat.PT_k*AM455/$P455))))</f>
        <v/>
      </c>
      <c r="AP455" s="329"/>
      <c r="AQ455" s="167" t="str">
        <f>IF(ISBLANK(Inputs!$A63),"",
IF(AO455="--","Solved",
IF(ABS(AO455)&lt;=0.001,"Solved",AM455-AO455*(AM455-AI455)/(AO455-AK455))))</f>
        <v/>
      </c>
      <c r="AR455" s="167"/>
      <c r="AS455" s="329" t="str">
        <f>IF(ISBLANK(Inputs!$A63),"",
IF(OR(AQ455="Solved",AQ455="--"),"--",
((Mat.Conc_Alpha.1*Mat.Conc_f.c*$AB455*MIN(AQ455*Mat.Conc_Beta.1,$Y455))
+(Mat.Conc_Alpha.1*Mat.Conc_f.c*$V455*MAX(0,AQ455*Mat.Conc_Beta.1-$Y455)))
-($J455*MIN(Mat.Rebar_f.y,(Mat.Rebar_epsilon.cl*($S455-AQ455)/AQ455)*Mat.PT_E.s))
-($M455*Mat.PT_f.pu*(1-Mat.PT_k*AQ455/$P455))))</f>
        <v/>
      </c>
      <c r="AT455" s="329"/>
      <c r="AU455" s="167" t="str">
        <f>IF(ISBLANK(Inputs!$A63),"",
IF(AS455="--","Solved",
IF(ABS(AS455)&lt;=0.001,"Solved",AQ455-AS455*(AQ455-AM455)/(AS455-AO455))))</f>
        <v/>
      </c>
      <c r="AV455" s="167"/>
      <c r="AW455" s="329" t="str">
        <f>IF(ISBLANK(Inputs!$A63),"",
IF(OR(AU455="Solved",AU455="--"),"--",
((Mat.Conc_Alpha.1*Mat.Conc_f.c*$AB455*MIN(AU455*Mat.Conc_Beta.1,$Y455))
+(Mat.Conc_Alpha.1*Mat.Conc_f.c*$V455*MAX(0,AU455*Mat.Conc_Beta.1-$Y455)))
-($J455*MIN(Mat.Rebar_f.y,(Mat.Rebar_epsilon.cl*($S455-AU455)/AU455)*Mat.PT_E.s))
-($M455*Mat.PT_f.pu*(1-Mat.PT_k*AU455/$P455))))</f>
        <v/>
      </c>
      <c r="AX455" s="329"/>
      <c r="AY455" s="167" t="str">
        <f>IF(ISBLANK(Inputs!$A63),"",
IF(AW455="--","Solved",
IF(ABS(AW455)&lt;=0.001,"Solved",AU455-AW455*(AU455-AQ455)/(AW455-AS455))))</f>
        <v/>
      </c>
      <c r="AZ455" s="167"/>
      <c r="BA455" s="329" t="str">
        <f>IF(ISBLANK(Inputs!$A63),"",
IF(OR(AY455="Solved",AY455="--"),"--",
((Mat.Conc_Alpha.1*Mat.Conc_f.c*$AB455*MIN(AY455*Mat.Conc_Beta.1,$Y455))
+(Mat.Conc_Alpha.1*Mat.Conc_f.c*$V455*MAX(0,AY455*Mat.Conc_Beta.1-$Y455)))
-($J455*MIN(Mat.Rebar_f.y,(Mat.Rebar_epsilon.cl*($S455-AY455)/AY455)*Mat.PT_E.s))
-($M455*Mat.PT_f.pu*(1-Mat.PT_k*AY455/$P455))))</f>
        <v/>
      </c>
      <c r="BB455" s="329"/>
      <c r="BC455" s="167" t="str">
        <f>IF(ISBLANK(Inputs!$A63),"",
IF(BA455="--","Solved",
IF(ABS(BA455)&lt;=0.001,"Solved",AY455-BA455*(AY455-AU455)/(BA455-AW455))))</f>
        <v/>
      </c>
      <c r="BD455" s="167"/>
      <c r="BE455" s="329" t="str">
        <f>IF(ISBLANK(Inputs!$A63),"",
IF(OR(BC455="Solved",BC455="--"),"--",
((Mat.Conc_Alpha.1*Mat.Conc_f.c*$AB455*MIN(BC455*Mat.Conc_Beta.1,$Y455))
+(Mat.Conc_Alpha.1*Mat.Conc_f.c*$V455*MAX(0,BC455*Mat.Conc_Beta.1-$Y455)))
-($J455*MIN(Mat.Rebar_f.y,(Mat.Rebar_epsilon.cl*($S455-BC455)/BC455)*Mat.PT_E.s))
-($M455*Mat.PT_f.pu*(1-Mat.PT_k*BC455/$P455))))</f>
        <v/>
      </c>
      <c r="BF455" s="329"/>
      <c r="BG455" s="167" t="str">
        <f>IF(ISBLANK(Inputs!$A63),"",
IF(BE455="--","Solved",
IF(ABS(BE455)&lt;=0.001,"Solved",BC455-BE455*(BC455-AY455)/(BE455-BA455))))</f>
        <v/>
      </c>
      <c r="BH455" s="167"/>
      <c r="BI455" s="329" t="str">
        <f>IF(ISBLANK(Inputs!$A63),"",
IF(OR(BG455="Solved",BG455="--"),"--",
((Mat.Conc_Alpha.1*Mat.Conc_f.c*$AB455*MIN(BG455*Mat.Conc_Beta.1,$Y455))
+(Mat.Conc_Alpha.1*Mat.Conc_f.c*$V455*MAX(0,BG455*Mat.Conc_Beta.1-$Y455)))
-($J455*MIN(Mat.Rebar_f.y,(Mat.Rebar_epsilon.cl*($S455-BG455)/BG455)*Mat.PT_E.s))
-($M455*Mat.PT_f.pu*(1-Mat.PT_k*BG455/$P455))))</f>
        <v/>
      </c>
      <c r="BJ455" s="329"/>
      <c r="BK455" s="167" t="str">
        <f>IF(ISBLANK(Inputs!$A63),"",
IF(BI455="--","Solved",
IF(ABS(BI455)&lt;=0.001,"Solved",BG455-BI455*(BG455-BC455)/(BI455-BE455))))</f>
        <v/>
      </c>
      <c r="BL455" s="167"/>
      <c r="BM455" s="329" t="str">
        <f>IF(ISBLANK(Inputs!$A63),"",
IF(OR(BK455="Solved",BK455="--"),"--",
((Mat.Conc_Alpha.1*Mat.Conc_f.c*$AB455*MIN(BK455*Mat.Conc_Beta.1,$Y455))
+(Mat.Conc_Alpha.1*Mat.Conc_f.c*$V455*MAX(0,BK455*Mat.Conc_Beta.1-$Y455)))
-($J455*MIN(Mat.Rebar_f.y,(Mat.Rebar_epsilon.cl*($S455-BK455)/BK455)*Mat.PT_E.s))
-($M455*Mat.PT_f.pu*(1-Mat.PT_k*BK455/$P455))))</f>
        <v/>
      </c>
      <c r="BN455" s="329"/>
      <c r="BO455" s="167" t="str">
        <f>IF(ISBLANK(Inputs!$A63),"",
IF(BM455="--","Solved",
IF(ABS(BM455)&lt;=0.001,"Solved",BK455-BM455*(BK455-BG455)/(BM455-BI455))))</f>
        <v/>
      </c>
      <c r="BP455" s="167"/>
      <c r="BQ455" s="329" t="str">
        <f>IF(ISBLANK(Inputs!$A63),"",
IF(OR(BO455="Solved",BO455="--"),"--",
((Mat.Conc_Alpha.1*Mat.Conc_f.c*$AB455*MIN(BO455*Mat.Conc_Beta.1,$Y455))
+(Mat.Conc_Alpha.1*Mat.Conc_f.c*$V455*MAX(0,BO455*Mat.Conc_Beta.1-$Y455)))
-($J455*MIN(Mat.Rebar_f.y,(Mat.Rebar_epsilon.cl*($S455-BO455)/BO455)*Mat.PT_E.s))
-($M455*Mat.PT_f.pu*(1-Mat.PT_k*BO455/$P455))))</f>
        <v/>
      </c>
      <c r="BR455" s="329"/>
      <c r="BT455" s="98"/>
      <c r="BU455" s="70"/>
      <c r="BV455" s="70"/>
      <c r="BW455" s="8"/>
      <c r="BX455" s="8"/>
      <c r="BY455" s="8"/>
      <c r="BZ455" s="8"/>
      <c r="CA455" s="8"/>
      <c r="CB455" s="10"/>
    </row>
    <row r="456" spans="3:80" ht="15" customHeight="1" x14ac:dyDescent="0.25">
      <c r="C456" s="69"/>
      <c r="F456" s="167" t="str">
        <f>IF(ISBLANK(Inputs!A64),"",Inputs!A64)</f>
        <v/>
      </c>
      <c r="G456" s="167"/>
      <c r="H456" s="167" t="str">
        <f>IF(ISBLANK(Inputs!B64),"",Inputs!B64)</f>
        <v/>
      </c>
      <c r="I456" s="167"/>
      <c r="J456" s="168" t="str">
        <f>IF(ISBLANK(Inputs!G64),"",Inputs!G64)</f>
        <v/>
      </c>
      <c r="K456" s="168"/>
      <c r="L456" s="168"/>
      <c r="M456" s="168" t="str">
        <f>IF(ISBLANK(Inputs!D64),"",Inputs!D64)</f>
        <v/>
      </c>
      <c r="N456" s="168"/>
      <c r="O456" s="168"/>
      <c r="P456" s="168" t="str">
        <f>IF(ISBLANK(Inputs!F64),"",Inputs!F64)</f>
        <v/>
      </c>
      <c r="Q456" s="168"/>
      <c r="R456" s="168"/>
      <c r="S456" s="168" t="str">
        <f>IF(ISBLANK(Inputs!H64),"",Inputs!H64)</f>
        <v/>
      </c>
      <c r="T456" s="168"/>
      <c r="U456" s="168"/>
      <c r="V456" s="168" t="str">
        <f>IF(ISBLANK(Inputs!E64),"",Inputs!E64)</f>
        <v/>
      </c>
      <c r="W456" s="168"/>
      <c r="X456" s="168"/>
      <c r="Y456" s="168" t="str">
        <f>IF(ISBLANK(Inputs!I64),"",Inputs!I64)</f>
        <v/>
      </c>
      <c r="Z456" s="168"/>
      <c r="AA456" s="168"/>
      <c r="AB456" s="168">
        <f>IF(ISBLANK(Inputs!J64),"",Inputs!J64)</f>
        <v>96</v>
      </c>
      <c r="AC456" s="168"/>
      <c r="AD456" s="168"/>
      <c r="AE456" s="167" t="str">
        <f>IF(ISBLANK(Inputs!A64),"",Y456)</f>
        <v/>
      </c>
      <c r="AF456" s="167"/>
      <c r="AG456" s="329" t="str">
        <f>IF(ISBLANK(Inputs!$A64),"",
IF(OR(AE456="Solved",AE456="--"),"--",
((Mat.Conc_Alpha.1*Mat.Conc_f.c*$AB456*MIN(AE456*Mat.Conc_Beta.1,$Y456))
+(Mat.Conc_Alpha.1*Mat.Conc_f.c*$V456*MAX(0,AE456*Mat.Conc_Beta.1-$Y456)))
-($J456*MIN(Mat.Rebar_f.y,(Mat.Rebar_epsilon.cl*($S456-AE456)/AE456)*Mat.PT_E.s))
-($M456*Mat.PT_f.pu*(1-Mat.PT_k*AE456/$P456))))</f>
        <v/>
      </c>
      <c r="AH456" s="329"/>
      <c r="AI456" s="167" t="str">
        <f>IF(ISBLANK(Inputs!$A64),"",
IF(ABS(AG456)&lt;=0.001,"Solved",IF(AG456&gt;0,0.85*AE456,1.15*AE456)))</f>
        <v/>
      </c>
      <c r="AJ456" s="167"/>
      <c r="AK456" s="329" t="str">
        <f>IF(ISBLANK(Inputs!$A64),"",
IF(OR(AI456="Solved",AI456="--"),"--",
((Mat.Conc_Alpha.1*Mat.Conc_f.c*$AB456*MIN(AI456*Mat.Conc_Beta.1,$Y456))
+(Mat.Conc_Alpha.1*Mat.Conc_f.c*$V456*MAX(0,AI456*Mat.Conc_Beta.1-$Y456)))
-($J456*MIN(Mat.Rebar_f.y,(Mat.Rebar_epsilon.cl*($S456-AI456)/AI456)*Mat.PT_E.s))
-($M456*Mat.PT_f.pu*(1-Mat.PT_k*AI456/$P456))))</f>
        <v/>
      </c>
      <c r="AL456" s="329"/>
      <c r="AM456" s="167" t="str">
        <f>IF(ISBLANK(Inputs!$A64),"",
IF(AK456="--","Solved",
IF(ABS(AK456)&lt;=0.001,"Solved",AI456-AK456*(AI456-AE456)/(AK456-AG456))))</f>
        <v/>
      </c>
      <c r="AN456" s="167"/>
      <c r="AO456" s="329" t="str">
        <f>IF(ISBLANK(Inputs!$A64),"",
IF(OR(AM456="Solved",AM456="--"),"--",
((Mat.Conc_Alpha.1*Mat.Conc_f.c*$AB456*MIN(AM456*Mat.Conc_Beta.1,$Y456))
+(Mat.Conc_Alpha.1*Mat.Conc_f.c*$V456*MAX(0,AM456*Mat.Conc_Beta.1-$Y456)))
-($J456*MIN(Mat.Rebar_f.y,(Mat.Rebar_epsilon.cl*($S456-AM456)/AM456)*Mat.PT_E.s))
-($M456*Mat.PT_f.pu*(1-Mat.PT_k*AM456/$P456))))</f>
        <v/>
      </c>
      <c r="AP456" s="329"/>
      <c r="AQ456" s="167" t="str">
        <f>IF(ISBLANK(Inputs!$A64),"",
IF(AO456="--","Solved",
IF(ABS(AO456)&lt;=0.001,"Solved",AM456-AO456*(AM456-AI456)/(AO456-AK456))))</f>
        <v/>
      </c>
      <c r="AR456" s="167"/>
      <c r="AS456" s="329" t="str">
        <f>IF(ISBLANK(Inputs!$A64),"",
IF(OR(AQ456="Solved",AQ456="--"),"--",
((Mat.Conc_Alpha.1*Mat.Conc_f.c*$AB456*MIN(AQ456*Mat.Conc_Beta.1,$Y456))
+(Mat.Conc_Alpha.1*Mat.Conc_f.c*$V456*MAX(0,AQ456*Mat.Conc_Beta.1-$Y456)))
-($J456*MIN(Mat.Rebar_f.y,(Mat.Rebar_epsilon.cl*($S456-AQ456)/AQ456)*Mat.PT_E.s))
-($M456*Mat.PT_f.pu*(1-Mat.PT_k*AQ456/$P456))))</f>
        <v/>
      </c>
      <c r="AT456" s="329"/>
      <c r="AU456" s="167" t="str">
        <f>IF(ISBLANK(Inputs!$A64),"",
IF(AS456="--","Solved",
IF(ABS(AS456)&lt;=0.001,"Solved",AQ456-AS456*(AQ456-AM456)/(AS456-AO456))))</f>
        <v/>
      </c>
      <c r="AV456" s="167"/>
      <c r="AW456" s="329" t="str">
        <f>IF(ISBLANK(Inputs!$A64),"",
IF(OR(AU456="Solved",AU456="--"),"--",
((Mat.Conc_Alpha.1*Mat.Conc_f.c*$AB456*MIN(AU456*Mat.Conc_Beta.1,$Y456))
+(Mat.Conc_Alpha.1*Mat.Conc_f.c*$V456*MAX(0,AU456*Mat.Conc_Beta.1-$Y456)))
-($J456*MIN(Mat.Rebar_f.y,(Mat.Rebar_epsilon.cl*($S456-AU456)/AU456)*Mat.PT_E.s))
-($M456*Mat.PT_f.pu*(1-Mat.PT_k*AU456/$P456))))</f>
        <v/>
      </c>
      <c r="AX456" s="329"/>
      <c r="AY456" s="167" t="str">
        <f>IF(ISBLANK(Inputs!$A64),"",
IF(AW456="--","Solved",
IF(ABS(AW456)&lt;=0.001,"Solved",AU456-AW456*(AU456-AQ456)/(AW456-AS456))))</f>
        <v/>
      </c>
      <c r="AZ456" s="167"/>
      <c r="BA456" s="329" t="str">
        <f>IF(ISBLANK(Inputs!$A64),"",
IF(OR(AY456="Solved",AY456="--"),"--",
((Mat.Conc_Alpha.1*Mat.Conc_f.c*$AB456*MIN(AY456*Mat.Conc_Beta.1,$Y456))
+(Mat.Conc_Alpha.1*Mat.Conc_f.c*$V456*MAX(0,AY456*Mat.Conc_Beta.1-$Y456)))
-($J456*MIN(Mat.Rebar_f.y,(Mat.Rebar_epsilon.cl*($S456-AY456)/AY456)*Mat.PT_E.s))
-($M456*Mat.PT_f.pu*(1-Mat.PT_k*AY456/$P456))))</f>
        <v/>
      </c>
      <c r="BB456" s="329"/>
      <c r="BC456" s="167" t="str">
        <f>IF(ISBLANK(Inputs!$A64),"",
IF(BA456="--","Solved",
IF(ABS(BA456)&lt;=0.001,"Solved",AY456-BA456*(AY456-AU456)/(BA456-AW456))))</f>
        <v/>
      </c>
      <c r="BD456" s="167"/>
      <c r="BE456" s="329" t="str">
        <f>IF(ISBLANK(Inputs!$A64),"",
IF(OR(BC456="Solved",BC456="--"),"--",
((Mat.Conc_Alpha.1*Mat.Conc_f.c*$AB456*MIN(BC456*Mat.Conc_Beta.1,$Y456))
+(Mat.Conc_Alpha.1*Mat.Conc_f.c*$V456*MAX(0,BC456*Mat.Conc_Beta.1-$Y456)))
-($J456*MIN(Mat.Rebar_f.y,(Mat.Rebar_epsilon.cl*($S456-BC456)/BC456)*Mat.PT_E.s))
-($M456*Mat.PT_f.pu*(1-Mat.PT_k*BC456/$P456))))</f>
        <v/>
      </c>
      <c r="BF456" s="329"/>
      <c r="BG456" s="167" t="str">
        <f>IF(ISBLANK(Inputs!$A64),"",
IF(BE456="--","Solved",
IF(ABS(BE456)&lt;=0.001,"Solved",BC456-BE456*(BC456-AY456)/(BE456-BA456))))</f>
        <v/>
      </c>
      <c r="BH456" s="167"/>
      <c r="BI456" s="329" t="str">
        <f>IF(ISBLANK(Inputs!$A64),"",
IF(OR(BG456="Solved",BG456="--"),"--",
((Mat.Conc_Alpha.1*Mat.Conc_f.c*$AB456*MIN(BG456*Mat.Conc_Beta.1,$Y456))
+(Mat.Conc_Alpha.1*Mat.Conc_f.c*$V456*MAX(0,BG456*Mat.Conc_Beta.1-$Y456)))
-($J456*MIN(Mat.Rebar_f.y,(Mat.Rebar_epsilon.cl*($S456-BG456)/BG456)*Mat.PT_E.s))
-($M456*Mat.PT_f.pu*(1-Mat.PT_k*BG456/$P456))))</f>
        <v/>
      </c>
      <c r="BJ456" s="329"/>
      <c r="BK456" s="167" t="str">
        <f>IF(ISBLANK(Inputs!$A64),"",
IF(BI456="--","Solved",
IF(ABS(BI456)&lt;=0.001,"Solved",BG456-BI456*(BG456-BC456)/(BI456-BE456))))</f>
        <v/>
      </c>
      <c r="BL456" s="167"/>
      <c r="BM456" s="329" t="str">
        <f>IF(ISBLANK(Inputs!$A64),"",
IF(OR(BK456="Solved",BK456="--"),"--",
((Mat.Conc_Alpha.1*Mat.Conc_f.c*$AB456*MIN(BK456*Mat.Conc_Beta.1,$Y456))
+(Mat.Conc_Alpha.1*Mat.Conc_f.c*$V456*MAX(0,BK456*Mat.Conc_Beta.1-$Y456)))
-($J456*MIN(Mat.Rebar_f.y,(Mat.Rebar_epsilon.cl*($S456-BK456)/BK456)*Mat.PT_E.s))
-($M456*Mat.PT_f.pu*(1-Mat.PT_k*BK456/$P456))))</f>
        <v/>
      </c>
      <c r="BN456" s="329"/>
      <c r="BO456" s="167" t="str">
        <f>IF(ISBLANK(Inputs!$A64),"",
IF(BM456="--","Solved",
IF(ABS(BM456)&lt;=0.001,"Solved",BK456-BM456*(BK456-BG456)/(BM456-BI456))))</f>
        <v/>
      </c>
      <c r="BP456" s="167"/>
      <c r="BQ456" s="329" t="str">
        <f>IF(ISBLANK(Inputs!$A64),"",
IF(OR(BO456="Solved",BO456="--"),"--",
((Mat.Conc_Alpha.1*Mat.Conc_f.c*$AB456*MIN(BO456*Mat.Conc_Beta.1,$Y456))
+(Mat.Conc_Alpha.1*Mat.Conc_f.c*$V456*MAX(0,BO456*Mat.Conc_Beta.1-$Y456)))
-($J456*MIN(Mat.Rebar_f.y,(Mat.Rebar_epsilon.cl*($S456-BO456)/BO456)*Mat.PT_E.s))
-($M456*Mat.PT_f.pu*(1-Mat.PT_k*BO456/$P456))))</f>
        <v/>
      </c>
      <c r="BR456" s="329"/>
      <c r="BT456" s="98"/>
      <c r="BU456" s="70"/>
      <c r="BV456" s="70"/>
      <c r="BW456" s="8"/>
      <c r="BX456" s="8"/>
      <c r="BY456" s="8"/>
      <c r="BZ456" s="8"/>
      <c r="CA456" s="8"/>
      <c r="CB456" s="10"/>
    </row>
    <row r="457" spans="3:80" ht="15" customHeight="1" x14ac:dyDescent="0.25">
      <c r="C457" s="69"/>
      <c r="F457" s="167" t="str">
        <f>IF(ISBLANK(Inputs!A65),"",Inputs!A65)</f>
        <v/>
      </c>
      <c r="G457" s="167"/>
      <c r="H457" s="167" t="str">
        <f>IF(ISBLANK(Inputs!B65),"",Inputs!B65)</f>
        <v/>
      </c>
      <c r="I457" s="167"/>
      <c r="J457" s="168" t="str">
        <f>IF(ISBLANK(Inputs!G65),"",Inputs!G65)</f>
        <v/>
      </c>
      <c r="K457" s="168"/>
      <c r="L457" s="168"/>
      <c r="M457" s="168" t="str">
        <f>IF(ISBLANK(Inputs!D65),"",Inputs!D65)</f>
        <v/>
      </c>
      <c r="N457" s="168"/>
      <c r="O457" s="168"/>
      <c r="P457" s="168" t="str">
        <f>IF(ISBLANK(Inputs!F65),"",Inputs!F65)</f>
        <v/>
      </c>
      <c r="Q457" s="168"/>
      <c r="R457" s="168"/>
      <c r="S457" s="168" t="str">
        <f>IF(ISBLANK(Inputs!H65),"",Inputs!H65)</f>
        <v/>
      </c>
      <c r="T457" s="168"/>
      <c r="U457" s="168"/>
      <c r="V457" s="168" t="str">
        <f>IF(ISBLANK(Inputs!E65),"",Inputs!E65)</f>
        <v/>
      </c>
      <c r="W457" s="168"/>
      <c r="X457" s="168"/>
      <c r="Y457" s="168" t="str">
        <f>IF(ISBLANK(Inputs!I65),"",Inputs!I65)</f>
        <v/>
      </c>
      <c r="Z457" s="168"/>
      <c r="AA457" s="168"/>
      <c r="AB457" s="168">
        <f>IF(ISBLANK(Inputs!J65),"",Inputs!J65)</f>
        <v>96</v>
      </c>
      <c r="AC457" s="168"/>
      <c r="AD457" s="168"/>
      <c r="AE457" s="167" t="str">
        <f>IF(ISBLANK(Inputs!A65),"",Y457)</f>
        <v/>
      </c>
      <c r="AF457" s="167"/>
      <c r="AG457" s="329" t="str">
        <f>IF(ISBLANK(Inputs!$A65),"",
IF(OR(AE457="Solved",AE457="--"),"--",
((Mat.Conc_Alpha.1*Mat.Conc_f.c*$AB457*MIN(AE457*Mat.Conc_Beta.1,$Y457))
+(Mat.Conc_Alpha.1*Mat.Conc_f.c*$V457*MAX(0,AE457*Mat.Conc_Beta.1-$Y457)))
-($J457*MIN(Mat.Rebar_f.y,(Mat.Rebar_epsilon.cl*($S457-AE457)/AE457)*Mat.PT_E.s))
-($M457*Mat.PT_f.pu*(1-Mat.PT_k*AE457/$P457))))</f>
        <v/>
      </c>
      <c r="AH457" s="329"/>
      <c r="AI457" s="167" t="str">
        <f>IF(ISBLANK(Inputs!$A65),"",
IF(ABS(AG457)&lt;=0.001,"Solved",IF(AG457&gt;0,0.85*AE457,1.15*AE457)))</f>
        <v/>
      </c>
      <c r="AJ457" s="167"/>
      <c r="AK457" s="329" t="str">
        <f>IF(ISBLANK(Inputs!$A65),"",
IF(OR(AI457="Solved",AI457="--"),"--",
((Mat.Conc_Alpha.1*Mat.Conc_f.c*$AB457*MIN(AI457*Mat.Conc_Beta.1,$Y457))
+(Mat.Conc_Alpha.1*Mat.Conc_f.c*$V457*MAX(0,AI457*Mat.Conc_Beta.1-$Y457)))
-($J457*MIN(Mat.Rebar_f.y,(Mat.Rebar_epsilon.cl*($S457-AI457)/AI457)*Mat.PT_E.s))
-($M457*Mat.PT_f.pu*(1-Mat.PT_k*AI457/$P457))))</f>
        <v/>
      </c>
      <c r="AL457" s="329"/>
      <c r="AM457" s="167" t="str">
        <f>IF(ISBLANK(Inputs!$A65),"",
IF(AK457="--","Solved",
IF(ABS(AK457)&lt;=0.001,"Solved",AI457-AK457*(AI457-AE457)/(AK457-AG457))))</f>
        <v/>
      </c>
      <c r="AN457" s="167"/>
      <c r="AO457" s="329" t="str">
        <f>IF(ISBLANK(Inputs!$A65),"",
IF(OR(AM457="Solved",AM457="--"),"--",
((Mat.Conc_Alpha.1*Mat.Conc_f.c*$AB457*MIN(AM457*Mat.Conc_Beta.1,$Y457))
+(Mat.Conc_Alpha.1*Mat.Conc_f.c*$V457*MAX(0,AM457*Mat.Conc_Beta.1-$Y457)))
-($J457*MIN(Mat.Rebar_f.y,(Mat.Rebar_epsilon.cl*($S457-AM457)/AM457)*Mat.PT_E.s))
-($M457*Mat.PT_f.pu*(1-Mat.PT_k*AM457/$P457))))</f>
        <v/>
      </c>
      <c r="AP457" s="329"/>
      <c r="AQ457" s="167" t="str">
        <f>IF(ISBLANK(Inputs!$A65),"",
IF(AO457="--","Solved",
IF(ABS(AO457)&lt;=0.001,"Solved",AM457-AO457*(AM457-AI457)/(AO457-AK457))))</f>
        <v/>
      </c>
      <c r="AR457" s="167"/>
      <c r="AS457" s="329" t="str">
        <f>IF(ISBLANK(Inputs!$A65),"",
IF(OR(AQ457="Solved",AQ457="--"),"--",
((Mat.Conc_Alpha.1*Mat.Conc_f.c*$AB457*MIN(AQ457*Mat.Conc_Beta.1,$Y457))
+(Mat.Conc_Alpha.1*Mat.Conc_f.c*$V457*MAX(0,AQ457*Mat.Conc_Beta.1-$Y457)))
-($J457*MIN(Mat.Rebar_f.y,(Mat.Rebar_epsilon.cl*($S457-AQ457)/AQ457)*Mat.PT_E.s))
-($M457*Mat.PT_f.pu*(1-Mat.PT_k*AQ457/$P457))))</f>
        <v/>
      </c>
      <c r="AT457" s="329"/>
      <c r="AU457" s="167" t="str">
        <f>IF(ISBLANK(Inputs!$A65),"",
IF(AS457="--","Solved",
IF(ABS(AS457)&lt;=0.001,"Solved",AQ457-AS457*(AQ457-AM457)/(AS457-AO457))))</f>
        <v/>
      </c>
      <c r="AV457" s="167"/>
      <c r="AW457" s="329" t="str">
        <f>IF(ISBLANK(Inputs!$A65),"",
IF(OR(AU457="Solved",AU457="--"),"--",
((Mat.Conc_Alpha.1*Mat.Conc_f.c*$AB457*MIN(AU457*Mat.Conc_Beta.1,$Y457))
+(Mat.Conc_Alpha.1*Mat.Conc_f.c*$V457*MAX(0,AU457*Mat.Conc_Beta.1-$Y457)))
-($J457*MIN(Mat.Rebar_f.y,(Mat.Rebar_epsilon.cl*($S457-AU457)/AU457)*Mat.PT_E.s))
-($M457*Mat.PT_f.pu*(1-Mat.PT_k*AU457/$P457))))</f>
        <v/>
      </c>
      <c r="AX457" s="329"/>
      <c r="AY457" s="167" t="str">
        <f>IF(ISBLANK(Inputs!$A65),"",
IF(AW457="--","Solved",
IF(ABS(AW457)&lt;=0.001,"Solved",AU457-AW457*(AU457-AQ457)/(AW457-AS457))))</f>
        <v/>
      </c>
      <c r="AZ457" s="167"/>
      <c r="BA457" s="329" t="str">
        <f>IF(ISBLANK(Inputs!$A65),"",
IF(OR(AY457="Solved",AY457="--"),"--",
((Mat.Conc_Alpha.1*Mat.Conc_f.c*$AB457*MIN(AY457*Mat.Conc_Beta.1,$Y457))
+(Mat.Conc_Alpha.1*Mat.Conc_f.c*$V457*MAX(0,AY457*Mat.Conc_Beta.1-$Y457)))
-($J457*MIN(Mat.Rebar_f.y,(Mat.Rebar_epsilon.cl*($S457-AY457)/AY457)*Mat.PT_E.s))
-($M457*Mat.PT_f.pu*(1-Mat.PT_k*AY457/$P457))))</f>
        <v/>
      </c>
      <c r="BB457" s="329"/>
      <c r="BC457" s="167" t="str">
        <f>IF(ISBLANK(Inputs!$A65),"",
IF(BA457="--","Solved",
IF(ABS(BA457)&lt;=0.001,"Solved",AY457-BA457*(AY457-AU457)/(BA457-AW457))))</f>
        <v/>
      </c>
      <c r="BD457" s="167"/>
      <c r="BE457" s="329" t="str">
        <f>IF(ISBLANK(Inputs!$A65),"",
IF(OR(BC457="Solved",BC457="--"),"--",
((Mat.Conc_Alpha.1*Mat.Conc_f.c*$AB457*MIN(BC457*Mat.Conc_Beta.1,$Y457))
+(Mat.Conc_Alpha.1*Mat.Conc_f.c*$V457*MAX(0,BC457*Mat.Conc_Beta.1-$Y457)))
-($J457*MIN(Mat.Rebar_f.y,(Mat.Rebar_epsilon.cl*($S457-BC457)/BC457)*Mat.PT_E.s))
-($M457*Mat.PT_f.pu*(1-Mat.PT_k*BC457/$P457))))</f>
        <v/>
      </c>
      <c r="BF457" s="329"/>
      <c r="BG457" s="167" t="str">
        <f>IF(ISBLANK(Inputs!$A65),"",
IF(BE457="--","Solved",
IF(ABS(BE457)&lt;=0.001,"Solved",BC457-BE457*(BC457-AY457)/(BE457-BA457))))</f>
        <v/>
      </c>
      <c r="BH457" s="167"/>
      <c r="BI457" s="329" t="str">
        <f>IF(ISBLANK(Inputs!$A65),"",
IF(OR(BG457="Solved",BG457="--"),"--",
((Mat.Conc_Alpha.1*Mat.Conc_f.c*$AB457*MIN(BG457*Mat.Conc_Beta.1,$Y457))
+(Mat.Conc_Alpha.1*Mat.Conc_f.c*$V457*MAX(0,BG457*Mat.Conc_Beta.1-$Y457)))
-($J457*MIN(Mat.Rebar_f.y,(Mat.Rebar_epsilon.cl*($S457-BG457)/BG457)*Mat.PT_E.s))
-($M457*Mat.PT_f.pu*(1-Mat.PT_k*BG457/$P457))))</f>
        <v/>
      </c>
      <c r="BJ457" s="329"/>
      <c r="BK457" s="167" t="str">
        <f>IF(ISBLANK(Inputs!$A65),"",
IF(BI457="--","Solved",
IF(ABS(BI457)&lt;=0.001,"Solved",BG457-BI457*(BG457-BC457)/(BI457-BE457))))</f>
        <v/>
      </c>
      <c r="BL457" s="167"/>
      <c r="BM457" s="329" t="str">
        <f>IF(ISBLANK(Inputs!$A65),"",
IF(OR(BK457="Solved",BK457="--"),"--",
((Mat.Conc_Alpha.1*Mat.Conc_f.c*$AB457*MIN(BK457*Mat.Conc_Beta.1,$Y457))
+(Mat.Conc_Alpha.1*Mat.Conc_f.c*$V457*MAX(0,BK457*Mat.Conc_Beta.1-$Y457)))
-($J457*MIN(Mat.Rebar_f.y,(Mat.Rebar_epsilon.cl*($S457-BK457)/BK457)*Mat.PT_E.s))
-($M457*Mat.PT_f.pu*(1-Mat.PT_k*BK457/$P457))))</f>
        <v/>
      </c>
      <c r="BN457" s="329"/>
      <c r="BO457" s="167" t="str">
        <f>IF(ISBLANK(Inputs!$A65),"",
IF(BM457="--","Solved",
IF(ABS(BM457)&lt;=0.001,"Solved",BK457-BM457*(BK457-BG457)/(BM457-BI457))))</f>
        <v/>
      </c>
      <c r="BP457" s="167"/>
      <c r="BQ457" s="329" t="str">
        <f>IF(ISBLANK(Inputs!$A65),"",
IF(OR(BO457="Solved",BO457="--"),"--",
((Mat.Conc_Alpha.1*Mat.Conc_f.c*$AB457*MIN(BO457*Mat.Conc_Beta.1,$Y457))
+(Mat.Conc_Alpha.1*Mat.Conc_f.c*$V457*MAX(0,BO457*Mat.Conc_Beta.1-$Y457)))
-($J457*MIN(Mat.Rebar_f.y,(Mat.Rebar_epsilon.cl*($S457-BO457)/BO457)*Mat.PT_E.s))
-($M457*Mat.PT_f.pu*(1-Mat.PT_k*BO457/$P457))))</f>
        <v/>
      </c>
      <c r="BR457" s="329"/>
      <c r="BT457" s="98"/>
      <c r="BU457" s="70"/>
      <c r="BV457" s="70"/>
      <c r="BW457" s="8"/>
      <c r="BX457" s="8"/>
      <c r="BY457" s="8"/>
      <c r="BZ457" s="8"/>
      <c r="CA457" s="8"/>
      <c r="CB457" s="10"/>
    </row>
    <row r="458" spans="3:80" ht="15" customHeight="1" x14ac:dyDescent="0.25">
      <c r="C458" s="69"/>
      <c r="F458" s="167" t="str">
        <f>IF(ISBLANK(Inputs!A66),"",Inputs!A66)</f>
        <v/>
      </c>
      <c r="G458" s="167"/>
      <c r="H458" s="167" t="str">
        <f>IF(ISBLANK(Inputs!B66),"",Inputs!B66)</f>
        <v/>
      </c>
      <c r="I458" s="167"/>
      <c r="J458" s="168" t="str">
        <f>IF(ISBLANK(Inputs!G66),"",Inputs!G66)</f>
        <v/>
      </c>
      <c r="K458" s="168"/>
      <c r="L458" s="168"/>
      <c r="M458" s="168" t="str">
        <f>IF(ISBLANK(Inputs!D66),"",Inputs!D66)</f>
        <v/>
      </c>
      <c r="N458" s="168"/>
      <c r="O458" s="168"/>
      <c r="P458" s="168" t="str">
        <f>IF(ISBLANK(Inputs!F66),"",Inputs!F66)</f>
        <v/>
      </c>
      <c r="Q458" s="168"/>
      <c r="R458" s="168"/>
      <c r="S458" s="168" t="str">
        <f>IF(ISBLANK(Inputs!H66),"",Inputs!H66)</f>
        <v/>
      </c>
      <c r="T458" s="168"/>
      <c r="U458" s="168"/>
      <c r="V458" s="168" t="str">
        <f>IF(ISBLANK(Inputs!E66),"",Inputs!E66)</f>
        <v/>
      </c>
      <c r="W458" s="168"/>
      <c r="X458" s="168"/>
      <c r="Y458" s="168" t="str">
        <f>IF(ISBLANK(Inputs!I66),"",Inputs!I66)</f>
        <v/>
      </c>
      <c r="Z458" s="168"/>
      <c r="AA458" s="168"/>
      <c r="AB458" s="168">
        <f>IF(ISBLANK(Inputs!J66),"",Inputs!J66)</f>
        <v>96</v>
      </c>
      <c r="AC458" s="168"/>
      <c r="AD458" s="168"/>
      <c r="AE458" s="167" t="str">
        <f>IF(ISBLANK(Inputs!A66),"",Y458)</f>
        <v/>
      </c>
      <c r="AF458" s="167"/>
      <c r="AG458" s="329" t="str">
        <f>IF(ISBLANK(Inputs!$A66),"",
IF(OR(AE458="Solved",AE458="--"),"--",
((Mat.Conc_Alpha.1*Mat.Conc_f.c*$AB458*MIN(AE458*Mat.Conc_Beta.1,$Y458))
+(Mat.Conc_Alpha.1*Mat.Conc_f.c*$V458*MAX(0,AE458*Mat.Conc_Beta.1-$Y458)))
-($J458*MIN(Mat.Rebar_f.y,(Mat.Rebar_epsilon.cl*($S458-AE458)/AE458)*Mat.PT_E.s))
-($M458*Mat.PT_f.pu*(1-Mat.PT_k*AE458/$P458))))</f>
        <v/>
      </c>
      <c r="AH458" s="329"/>
      <c r="AI458" s="167" t="str">
        <f>IF(ISBLANK(Inputs!$A66),"",
IF(ABS(AG458)&lt;=0.001,"Solved",IF(AG458&gt;0,0.85*AE458,1.15*AE458)))</f>
        <v/>
      </c>
      <c r="AJ458" s="167"/>
      <c r="AK458" s="329" t="str">
        <f>IF(ISBLANK(Inputs!$A66),"",
IF(OR(AI458="Solved",AI458="--"),"--",
((Mat.Conc_Alpha.1*Mat.Conc_f.c*$AB458*MIN(AI458*Mat.Conc_Beta.1,$Y458))
+(Mat.Conc_Alpha.1*Mat.Conc_f.c*$V458*MAX(0,AI458*Mat.Conc_Beta.1-$Y458)))
-($J458*MIN(Mat.Rebar_f.y,(Mat.Rebar_epsilon.cl*($S458-AI458)/AI458)*Mat.PT_E.s))
-($M458*Mat.PT_f.pu*(1-Mat.PT_k*AI458/$P458))))</f>
        <v/>
      </c>
      <c r="AL458" s="329"/>
      <c r="AM458" s="167" t="str">
        <f>IF(ISBLANK(Inputs!$A66),"",
IF(AK458="--","Solved",
IF(ABS(AK458)&lt;=0.001,"Solved",AI458-AK458*(AI458-AE458)/(AK458-AG458))))</f>
        <v/>
      </c>
      <c r="AN458" s="167"/>
      <c r="AO458" s="329" t="str">
        <f>IF(ISBLANK(Inputs!$A66),"",
IF(OR(AM458="Solved",AM458="--"),"--",
((Mat.Conc_Alpha.1*Mat.Conc_f.c*$AB458*MIN(AM458*Mat.Conc_Beta.1,$Y458))
+(Mat.Conc_Alpha.1*Mat.Conc_f.c*$V458*MAX(0,AM458*Mat.Conc_Beta.1-$Y458)))
-($J458*MIN(Mat.Rebar_f.y,(Mat.Rebar_epsilon.cl*($S458-AM458)/AM458)*Mat.PT_E.s))
-($M458*Mat.PT_f.pu*(1-Mat.PT_k*AM458/$P458))))</f>
        <v/>
      </c>
      <c r="AP458" s="329"/>
      <c r="AQ458" s="167" t="str">
        <f>IF(ISBLANK(Inputs!$A66),"",
IF(AO458="--","Solved",
IF(ABS(AO458)&lt;=0.001,"Solved",AM458-AO458*(AM458-AI458)/(AO458-AK458))))</f>
        <v/>
      </c>
      <c r="AR458" s="167"/>
      <c r="AS458" s="329" t="str">
        <f>IF(ISBLANK(Inputs!$A66),"",
IF(OR(AQ458="Solved",AQ458="--"),"--",
((Mat.Conc_Alpha.1*Mat.Conc_f.c*$AB458*MIN(AQ458*Mat.Conc_Beta.1,$Y458))
+(Mat.Conc_Alpha.1*Mat.Conc_f.c*$V458*MAX(0,AQ458*Mat.Conc_Beta.1-$Y458)))
-($J458*MIN(Mat.Rebar_f.y,(Mat.Rebar_epsilon.cl*($S458-AQ458)/AQ458)*Mat.PT_E.s))
-($M458*Mat.PT_f.pu*(1-Mat.PT_k*AQ458/$P458))))</f>
        <v/>
      </c>
      <c r="AT458" s="329"/>
      <c r="AU458" s="167" t="str">
        <f>IF(ISBLANK(Inputs!$A66),"",
IF(AS458="--","Solved",
IF(ABS(AS458)&lt;=0.001,"Solved",AQ458-AS458*(AQ458-AM458)/(AS458-AO458))))</f>
        <v/>
      </c>
      <c r="AV458" s="167"/>
      <c r="AW458" s="329" t="str">
        <f>IF(ISBLANK(Inputs!$A66),"",
IF(OR(AU458="Solved",AU458="--"),"--",
((Mat.Conc_Alpha.1*Mat.Conc_f.c*$AB458*MIN(AU458*Mat.Conc_Beta.1,$Y458))
+(Mat.Conc_Alpha.1*Mat.Conc_f.c*$V458*MAX(0,AU458*Mat.Conc_Beta.1-$Y458)))
-($J458*MIN(Mat.Rebar_f.y,(Mat.Rebar_epsilon.cl*($S458-AU458)/AU458)*Mat.PT_E.s))
-($M458*Mat.PT_f.pu*(1-Mat.PT_k*AU458/$P458))))</f>
        <v/>
      </c>
      <c r="AX458" s="329"/>
      <c r="AY458" s="167" t="str">
        <f>IF(ISBLANK(Inputs!$A66),"",
IF(AW458="--","Solved",
IF(ABS(AW458)&lt;=0.001,"Solved",AU458-AW458*(AU458-AQ458)/(AW458-AS458))))</f>
        <v/>
      </c>
      <c r="AZ458" s="167"/>
      <c r="BA458" s="329" t="str">
        <f>IF(ISBLANK(Inputs!$A66),"",
IF(OR(AY458="Solved",AY458="--"),"--",
((Mat.Conc_Alpha.1*Mat.Conc_f.c*$AB458*MIN(AY458*Mat.Conc_Beta.1,$Y458))
+(Mat.Conc_Alpha.1*Mat.Conc_f.c*$V458*MAX(0,AY458*Mat.Conc_Beta.1-$Y458)))
-($J458*MIN(Mat.Rebar_f.y,(Mat.Rebar_epsilon.cl*($S458-AY458)/AY458)*Mat.PT_E.s))
-($M458*Mat.PT_f.pu*(1-Mat.PT_k*AY458/$P458))))</f>
        <v/>
      </c>
      <c r="BB458" s="329"/>
      <c r="BC458" s="167" t="str">
        <f>IF(ISBLANK(Inputs!$A66),"",
IF(BA458="--","Solved",
IF(ABS(BA458)&lt;=0.001,"Solved",AY458-BA458*(AY458-AU458)/(BA458-AW458))))</f>
        <v/>
      </c>
      <c r="BD458" s="167"/>
      <c r="BE458" s="329" t="str">
        <f>IF(ISBLANK(Inputs!$A66),"",
IF(OR(BC458="Solved",BC458="--"),"--",
((Mat.Conc_Alpha.1*Mat.Conc_f.c*$AB458*MIN(BC458*Mat.Conc_Beta.1,$Y458))
+(Mat.Conc_Alpha.1*Mat.Conc_f.c*$V458*MAX(0,BC458*Mat.Conc_Beta.1-$Y458)))
-($J458*MIN(Mat.Rebar_f.y,(Mat.Rebar_epsilon.cl*($S458-BC458)/BC458)*Mat.PT_E.s))
-($M458*Mat.PT_f.pu*(1-Mat.PT_k*BC458/$P458))))</f>
        <v/>
      </c>
      <c r="BF458" s="329"/>
      <c r="BG458" s="167" t="str">
        <f>IF(ISBLANK(Inputs!$A66),"",
IF(BE458="--","Solved",
IF(ABS(BE458)&lt;=0.001,"Solved",BC458-BE458*(BC458-AY458)/(BE458-BA458))))</f>
        <v/>
      </c>
      <c r="BH458" s="167"/>
      <c r="BI458" s="329" t="str">
        <f>IF(ISBLANK(Inputs!$A66),"",
IF(OR(BG458="Solved",BG458="--"),"--",
((Mat.Conc_Alpha.1*Mat.Conc_f.c*$AB458*MIN(BG458*Mat.Conc_Beta.1,$Y458))
+(Mat.Conc_Alpha.1*Mat.Conc_f.c*$V458*MAX(0,BG458*Mat.Conc_Beta.1-$Y458)))
-($J458*MIN(Mat.Rebar_f.y,(Mat.Rebar_epsilon.cl*($S458-BG458)/BG458)*Mat.PT_E.s))
-($M458*Mat.PT_f.pu*(1-Mat.PT_k*BG458/$P458))))</f>
        <v/>
      </c>
      <c r="BJ458" s="329"/>
      <c r="BK458" s="167" t="str">
        <f>IF(ISBLANK(Inputs!$A66),"",
IF(BI458="--","Solved",
IF(ABS(BI458)&lt;=0.001,"Solved",BG458-BI458*(BG458-BC458)/(BI458-BE458))))</f>
        <v/>
      </c>
      <c r="BL458" s="167"/>
      <c r="BM458" s="329" t="str">
        <f>IF(ISBLANK(Inputs!$A66),"",
IF(OR(BK458="Solved",BK458="--"),"--",
((Mat.Conc_Alpha.1*Mat.Conc_f.c*$AB458*MIN(BK458*Mat.Conc_Beta.1,$Y458))
+(Mat.Conc_Alpha.1*Mat.Conc_f.c*$V458*MAX(0,BK458*Mat.Conc_Beta.1-$Y458)))
-($J458*MIN(Mat.Rebar_f.y,(Mat.Rebar_epsilon.cl*($S458-BK458)/BK458)*Mat.PT_E.s))
-($M458*Mat.PT_f.pu*(1-Mat.PT_k*BK458/$P458))))</f>
        <v/>
      </c>
      <c r="BN458" s="329"/>
      <c r="BO458" s="167" t="str">
        <f>IF(ISBLANK(Inputs!$A66),"",
IF(BM458="--","Solved",
IF(ABS(BM458)&lt;=0.001,"Solved",BK458-BM458*(BK458-BG458)/(BM458-BI458))))</f>
        <v/>
      </c>
      <c r="BP458" s="167"/>
      <c r="BQ458" s="329" t="str">
        <f>IF(ISBLANK(Inputs!$A66),"",
IF(OR(BO458="Solved",BO458="--"),"--",
((Mat.Conc_Alpha.1*Mat.Conc_f.c*$AB458*MIN(BO458*Mat.Conc_Beta.1,$Y458))
+(Mat.Conc_Alpha.1*Mat.Conc_f.c*$V458*MAX(0,BO458*Mat.Conc_Beta.1-$Y458)))
-($J458*MIN(Mat.Rebar_f.y,(Mat.Rebar_epsilon.cl*($S458-BO458)/BO458)*Mat.PT_E.s))
-($M458*Mat.PT_f.pu*(1-Mat.PT_k*BO458/$P458))))</f>
        <v/>
      </c>
      <c r="BR458" s="329"/>
      <c r="BT458" s="98"/>
      <c r="BU458" s="70"/>
      <c r="BV458" s="70"/>
      <c r="BW458" s="8"/>
      <c r="BX458" s="8"/>
      <c r="BY458" s="8"/>
      <c r="BZ458" s="8"/>
      <c r="CA458" s="8"/>
      <c r="CB458" s="10"/>
    </row>
    <row r="459" spans="3:80" ht="15" customHeight="1" x14ac:dyDescent="0.25">
      <c r="C459" s="69"/>
      <c r="F459" s="167" t="str">
        <f>IF(ISBLANK(Inputs!A67),"",Inputs!A67)</f>
        <v/>
      </c>
      <c r="G459" s="167"/>
      <c r="H459" s="167" t="str">
        <f>IF(ISBLANK(Inputs!B67),"",Inputs!B67)</f>
        <v/>
      </c>
      <c r="I459" s="167"/>
      <c r="J459" s="168" t="str">
        <f>IF(ISBLANK(Inputs!G67),"",Inputs!G67)</f>
        <v/>
      </c>
      <c r="K459" s="168"/>
      <c r="L459" s="168"/>
      <c r="M459" s="168" t="str">
        <f>IF(ISBLANK(Inputs!D67),"",Inputs!D67)</f>
        <v/>
      </c>
      <c r="N459" s="168"/>
      <c r="O459" s="168"/>
      <c r="P459" s="168" t="str">
        <f>IF(ISBLANK(Inputs!F67),"",Inputs!F67)</f>
        <v/>
      </c>
      <c r="Q459" s="168"/>
      <c r="R459" s="168"/>
      <c r="S459" s="168" t="str">
        <f>IF(ISBLANK(Inputs!H67),"",Inputs!H67)</f>
        <v/>
      </c>
      <c r="T459" s="168"/>
      <c r="U459" s="168"/>
      <c r="V459" s="168" t="str">
        <f>IF(ISBLANK(Inputs!E67),"",Inputs!E67)</f>
        <v/>
      </c>
      <c r="W459" s="168"/>
      <c r="X459" s="168"/>
      <c r="Y459" s="168" t="str">
        <f>IF(ISBLANK(Inputs!I67),"",Inputs!I67)</f>
        <v/>
      </c>
      <c r="Z459" s="168"/>
      <c r="AA459" s="168"/>
      <c r="AB459" s="168">
        <f>IF(ISBLANK(Inputs!J67),"",Inputs!J67)</f>
        <v>96</v>
      </c>
      <c r="AC459" s="168"/>
      <c r="AD459" s="168"/>
      <c r="AE459" s="167" t="str">
        <f>IF(ISBLANK(Inputs!A67),"",Y459)</f>
        <v/>
      </c>
      <c r="AF459" s="167"/>
      <c r="AG459" s="329" t="str">
        <f>IF(ISBLANK(Inputs!$A67),"",
IF(OR(AE459="Solved",AE459="--"),"--",
((Mat.Conc_Alpha.1*Mat.Conc_f.c*$AB459*MIN(AE459*Mat.Conc_Beta.1,$Y459))
+(Mat.Conc_Alpha.1*Mat.Conc_f.c*$V459*MAX(0,AE459*Mat.Conc_Beta.1-$Y459)))
-($J459*MIN(Mat.Rebar_f.y,(Mat.Rebar_epsilon.cl*($S459-AE459)/AE459)*Mat.PT_E.s))
-($M459*Mat.PT_f.pu*(1-Mat.PT_k*AE459/$P459))))</f>
        <v/>
      </c>
      <c r="AH459" s="329"/>
      <c r="AI459" s="167" t="str">
        <f>IF(ISBLANK(Inputs!$A67),"",
IF(ABS(AG459)&lt;=0.001,"Solved",IF(AG459&gt;0,0.85*AE459,1.15*AE459)))</f>
        <v/>
      </c>
      <c r="AJ459" s="167"/>
      <c r="AK459" s="329" t="str">
        <f>IF(ISBLANK(Inputs!$A67),"",
IF(OR(AI459="Solved",AI459="--"),"--",
((Mat.Conc_Alpha.1*Mat.Conc_f.c*$AB459*MIN(AI459*Mat.Conc_Beta.1,$Y459))
+(Mat.Conc_Alpha.1*Mat.Conc_f.c*$V459*MAX(0,AI459*Mat.Conc_Beta.1-$Y459)))
-($J459*MIN(Mat.Rebar_f.y,(Mat.Rebar_epsilon.cl*($S459-AI459)/AI459)*Mat.PT_E.s))
-($M459*Mat.PT_f.pu*(1-Mat.PT_k*AI459/$P459))))</f>
        <v/>
      </c>
      <c r="AL459" s="329"/>
      <c r="AM459" s="167" t="str">
        <f>IF(ISBLANK(Inputs!$A67),"",
IF(AK459="--","Solved",
IF(ABS(AK459)&lt;=0.001,"Solved",AI459-AK459*(AI459-AE459)/(AK459-AG459))))</f>
        <v/>
      </c>
      <c r="AN459" s="167"/>
      <c r="AO459" s="329" t="str">
        <f>IF(ISBLANK(Inputs!$A67),"",
IF(OR(AM459="Solved",AM459="--"),"--",
((Mat.Conc_Alpha.1*Mat.Conc_f.c*$AB459*MIN(AM459*Mat.Conc_Beta.1,$Y459))
+(Mat.Conc_Alpha.1*Mat.Conc_f.c*$V459*MAX(0,AM459*Mat.Conc_Beta.1-$Y459)))
-($J459*MIN(Mat.Rebar_f.y,(Mat.Rebar_epsilon.cl*($S459-AM459)/AM459)*Mat.PT_E.s))
-($M459*Mat.PT_f.pu*(1-Mat.PT_k*AM459/$P459))))</f>
        <v/>
      </c>
      <c r="AP459" s="329"/>
      <c r="AQ459" s="167" t="str">
        <f>IF(ISBLANK(Inputs!$A67),"",
IF(AO459="--","Solved",
IF(ABS(AO459)&lt;=0.001,"Solved",AM459-AO459*(AM459-AI459)/(AO459-AK459))))</f>
        <v/>
      </c>
      <c r="AR459" s="167"/>
      <c r="AS459" s="329" t="str">
        <f>IF(ISBLANK(Inputs!$A67),"",
IF(OR(AQ459="Solved",AQ459="--"),"--",
((Mat.Conc_Alpha.1*Mat.Conc_f.c*$AB459*MIN(AQ459*Mat.Conc_Beta.1,$Y459))
+(Mat.Conc_Alpha.1*Mat.Conc_f.c*$V459*MAX(0,AQ459*Mat.Conc_Beta.1-$Y459)))
-($J459*MIN(Mat.Rebar_f.y,(Mat.Rebar_epsilon.cl*($S459-AQ459)/AQ459)*Mat.PT_E.s))
-($M459*Mat.PT_f.pu*(1-Mat.PT_k*AQ459/$P459))))</f>
        <v/>
      </c>
      <c r="AT459" s="329"/>
      <c r="AU459" s="167" t="str">
        <f>IF(ISBLANK(Inputs!$A67),"",
IF(AS459="--","Solved",
IF(ABS(AS459)&lt;=0.001,"Solved",AQ459-AS459*(AQ459-AM459)/(AS459-AO459))))</f>
        <v/>
      </c>
      <c r="AV459" s="167"/>
      <c r="AW459" s="329" t="str">
        <f>IF(ISBLANK(Inputs!$A67),"",
IF(OR(AU459="Solved",AU459="--"),"--",
((Mat.Conc_Alpha.1*Mat.Conc_f.c*$AB459*MIN(AU459*Mat.Conc_Beta.1,$Y459))
+(Mat.Conc_Alpha.1*Mat.Conc_f.c*$V459*MAX(0,AU459*Mat.Conc_Beta.1-$Y459)))
-($J459*MIN(Mat.Rebar_f.y,(Mat.Rebar_epsilon.cl*($S459-AU459)/AU459)*Mat.PT_E.s))
-($M459*Mat.PT_f.pu*(1-Mat.PT_k*AU459/$P459))))</f>
        <v/>
      </c>
      <c r="AX459" s="329"/>
      <c r="AY459" s="167" t="str">
        <f>IF(ISBLANK(Inputs!$A67),"",
IF(AW459="--","Solved",
IF(ABS(AW459)&lt;=0.001,"Solved",AU459-AW459*(AU459-AQ459)/(AW459-AS459))))</f>
        <v/>
      </c>
      <c r="AZ459" s="167"/>
      <c r="BA459" s="329" t="str">
        <f>IF(ISBLANK(Inputs!$A67),"",
IF(OR(AY459="Solved",AY459="--"),"--",
((Mat.Conc_Alpha.1*Mat.Conc_f.c*$AB459*MIN(AY459*Mat.Conc_Beta.1,$Y459))
+(Mat.Conc_Alpha.1*Mat.Conc_f.c*$V459*MAX(0,AY459*Mat.Conc_Beta.1-$Y459)))
-($J459*MIN(Mat.Rebar_f.y,(Mat.Rebar_epsilon.cl*($S459-AY459)/AY459)*Mat.PT_E.s))
-($M459*Mat.PT_f.pu*(1-Mat.PT_k*AY459/$P459))))</f>
        <v/>
      </c>
      <c r="BB459" s="329"/>
      <c r="BC459" s="167" t="str">
        <f>IF(ISBLANK(Inputs!$A67),"",
IF(BA459="--","Solved",
IF(ABS(BA459)&lt;=0.001,"Solved",AY459-BA459*(AY459-AU459)/(BA459-AW459))))</f>
        <v/>
      </c>
      <c r="BD459" s="167"/>
      <c r="BE459" s="329" t="str">
        <f>IF(ISBLANK(Inputs!$A67),"",
IF(OR(BC459="Solved",BC459="--"),"--",
((Mat.Conc_Alpha.1*Mat.Conc_f.c*$AB459*MIN(BC459*Mat.Conc_Beta.1,$Y459))
+(Mat.Conc_Alpha.1*Mat.Conc_f.c*$V459*MAX(0,BC459*Mat.Conc_Beta.1-$Y459)))
-($J459*MIN(Mat.Rebar_f.y,(Mat.Rebar_epsilon.cl*($S459-BC459)/BC459)*Mat.PT_E.s))
-($M459*Mat.PT_f.pu*(1-Mat.PT_k*BC459/$P459))))</f>
        <v/>
      </c>
      <c r="BF459" s="329"/>
      <c r="BG459" s="167" t="str">
        <f>IF(ISBLANK(Inputs!$A67),"",
IF(BE459="--","Solved",
IF(ABS(BE459)&lt;=0.001,"Solved",BC459-BE459*(BC459-AY459)/(BE459-BA459))))</f>
        <v/>
      </c>
      <c r="BH459" s="167"/>
      <c r="BI459" s="329" t="str">
        <f>IF(ISBLANK(Inputs!$A67),"",
IF(OR(BG459="Solved",BG459="--"),"--",
((Mat.Conc_Alpha.1*Mat.Conc_f.c*$AB459*MIN(BG459*Mat.Conc_Beta.1,$Y459))
+(Mat.Conc_Alpha.1*Mat.Conc_f.c*$V459*MAX(0,BG459*Mat.Conc_Beta.1-$Y459)))
-($J459*MIN(Mat.Rebar_f.y,(Mat.Rebar_epsilon.cl*($S459-BG459)/BG459)*Mat.PT_E.s))
-($M459*Mat.PT_f.pu*(1-Mat.PT_k*BG459/$P459))))</f>
        <v/>
      </c>
      <c r="BJ459" s="329"/>
      <c r="BK459" s="167" t="str">
        <f>IF(ISBLANK(Inputs!$A67),"",
IF(BI459="--","Solved",
IF(ABS(BI459)&lt;=0.001,"Solved",BG459-BI459*(BG459-BC459)/(BI459-BE459))))</f>
        <v/>
      </c>
      <c r="BL459" s="167"/>
      <c r="BM459" s="329" t="str">
        <f>IF(ISBLANK(Inputs!$A67),"",
IF(OR(BK459="Solved",BK459="--"),"--",
((Mat.Conc_Alpha.1*Mat.Conc_f.c*$AB459*MIN(BK459*Mat.Conc_Beta.1,$Y459))
+(Mat.Conc_Alpha.1*Mat.Conc_f.c*$V459*MAX(0,BK459*Mat.Conc_Beta.1-$Y459)))
-($J459*MIN(Mat.Rebar_f.y,(Mat.Rebar_epsilon.cl*($S459-BK459)/BK459)*Mat.PT_E.s))
-($M459*Mat.PT_f.pu*(1-Mat.PT_k*BK459/$P459))))</f>
        <v/>
      </c>
      <c r="BN459" s="329"/>
      <c r="BO459" s="167" t="str">
        <f>IF(ISBLANK(Inputs!$A67),"",
IF(BM459="--","Solved",
IF(ABS(BM459)&lt;=0.001,"Solved",BK459-BM459*(BK459-BG459)/(BM459-BI459))))</f>
        <v/>
      </c>
      <c r="BP459" s="167"/>
      <c r="BQ459" s="329" t="str">
        <f>IF(ISBLANK(Inputs!$A67),"",
IF(OR(BO459="Solved",BO459="--"),"--",
((Mat.Conc_Alpha.1*Mat.Conc_f.c*$AB459*MIN(BO459*Mat.Conc_Beta.1,$Y459))
+(Mat.Conc_Alpha.1*Mat.Conc_f.c*$V459*MAX(0,BO459*Mat.Conc_Beta.1-$Y459)))
-($J459*MIN(Mat.Rebar_f.y,(Mat.Rebar_epsilon.cl*($S459-BO459)/BO459)*Mat.PT_E.s))
-($M459*Mat.PT_f.pu*(1-Mat.PT_k*BO459/$P459))))</f>
        <v/>
      </c>
      <c r="BR459" s="329"/>
      <c r="BT459" s="98"/>
      <c r="BU459" s="70"/>
      <c r="BV459" s="70"/>
      <c r="BW459" s="8"/>
      <c r="BX459" s="8"/>
      <c r="BY459" s="8"/>
      <c r="BZ459" s="8"/>
      <c r="CA459" s="8"/>
      <c r="CB459" s="10"/>
    </row>
    <row r="460" spans="3:80" ht="15" customHeight="1" x14ac:dyDescent="0.25">
      <c r="C460" s="69"/>
      <c r="F460" s="167" t="str">
        <f>IF(ISBLANK(Inputs!A68),"",Inputs!A68)</f>
        <v/>
      </c>
      <c r="G460" s="167"/>
      <c r="H460" s="167" t="str">
        <f>IF(ISBLANK(Inputs!B68),"",Inputs!B68)</f>
        <v/>
      </c>
      <c r="I460" s="167"/>
      <c r="J460" s="168" t="str">
        <f>IF(ISBLANK(Inputs!G68),"",Inputs!G68)</f>
        <v/>
      </c>
      <c r="K460" s="168"/>
      <c r="L460" s="168"/>
      <c r="M460" s="168" t="str">
        <f>IF(ISBLANK(Inputs!D68),"",Inputs!D68)</f>
        <v/>
      </c>
      <c r="N460" s="168"/>
      <c r="O460" s="168"/>
      <c r="P460" s="168" t="str">
        <f>IF(ISBLANK(Inputs!F68),"",Inputs!F68)</f>
        <v/>
      </c>
      <c r="Q460" s="168"/>
      <c r="R460" s="168"/>
      <c r="S460" s="168" t="str">
        <f>IF(ISBLANK(Inputs!H68),"",Inputs!H68)</f>
        <v/>
      </c>
      <c r="T460" s="168"/>
      <c r="U460" s="168"/>
      <c r="V460" s="168" t="str">
        <f>IF(ISBLANK(Inputs!E68),"",Inputs!E68)</f>
        <v/>
      </c>
      <c r="W460" s="168"/>
      <c r="X460" s="168"/>
      <c r="Y460" s="168" t="str">
        <f>IF(ISBLANK(Inputs!I68),"",Inputs!I68)</f>
        <v/>
      </c>
      <c r="Z460" s="168"/>
      <c r="AA460" s="168"/>
      <c r="AB460" s="168">
        <f>IF(ISBLANK(Inputs!J68),"",Inputs!J68)</f>
        <v>96</v>
      </c>
      <c r="AC460" s="168"/>
      <c r="AD460" s="168"/>
      <c r="AE460" s="167" t="str">
        <f>IF(ISBLANK(Inputs!A68),"",Y460)</f>
        <v/>
      </c>
      <c r="AF460" s="167"/>
      <c r="AG460" s="329" t="str">
        <f>IF(ISBLANK(Inputs!$A68),"",
IF(OR(AE460="Solved",AE460="--"),"--",
((Mat.Conc_Alpha.1*Mat.Conc_f.c*$AB460*MIN(AE460*Mat.Conc_Beta.1,$Y460))
+(Mat.Conc_Alpha.1*Mat.Conc_f.c*$V460*MAX(0,AE460*Mat.Conc_Beta.1-$Y460)))
-($J460*MIN(Mat.Rebar_f.y,(Mat.Rebar_epsilon.cl*($S460-AE460)/AE460)*Mat.PT_E.s))
-($M460*Mat.PT_f.pu*(1-Mat.PT_k*AE460/$P460))))</f>
        <v/>
      </c>
      <c r="AH460" s="329"/>
      <c r="AI460" s="167" t="str">
        <f>IF(ISBLANK(Inputs!$A68),"",
IF(ABS(AG460)&lt;=0.001,"Solved",IF(AG460&gt;0,0.85*AE460,1.15*AE460)))</f>
        <v/>
      </c>
      <c r="AJ460" s="167"/>
      <c r="AK460" s="329" t="str">
        <f>IF(ISBLANK(Inputs!$A68),"",
IF(OR(AI460="Solved",AI460="--"),"--",
((Mat.Conc_Alpha.1*Mat.Conc_f.c*$AB460*MIN(AI460*Mat.Conc_Beta.1,$Y460))
+(Mat.Conc_Alpha.1*Mat.Conc_f.c*$V460*MAX(0,AI460*Mat.Conc_Beta.1-$Y460)))
-($J460*MIN(Mat.Rebar_f.y,(Mat.Rebar_epsilon.cl*($S460-AI460)/AI460)*Mat.PT_E.s))
-($M460*Mat.PT_f.pu*(1-Mat.PT_k*AI460/$P460))))</f>
        <v/>
      </c>
      <c r="AL460" s="329"/>
      <c r="AM460" s="167" t="str">
        <f>IF(ISBLANK(Inputs!$A68),"",
IF(AK460="--","Solved",
IF(ABS(AK460)&lt;=0.001,"Solved",AI460-AK460*(AI460-AE460)/(AK460-AG460))))</f>
        <v/>
      </c>
      <c r="AN460" s="167"/>
      <c r="AO460" s="329" t="str">
        <f>IF(ISBLANK(Inputs!$A68),"",
IF(OR(AM460="Solved",AM460="--"),"--",
((Mat.Conc_Alpha.1*Mat.Conc_f.c*$AB460*MIN(AM460*Mat.Conc_Beta.1,$Y460))
+(Mat.Conc_Alpha.1*Mat.Conc_f.c*$V460*MAX(0,AM460*Mat.Conc_Beta.1-$Y460)))
-($J460*MIN(Mat.Rebar_f.y,(Mat.Rebar_epsilon.cl*($S460-AM460)/AM460)*Mat.PT_E.s))
-($M460*Mat.PT_f.pu*(1-Mat.PT_k*AM460/$P460))))</f>
        <v/>
      </c>
      <c r="AP460" s="329"/>
      <c r="AQ460" s="167" t="str">
        <f>IF(ISBLANK(Inputs!$A68),"",
IF(AO460="--","Solved",
IF(ABS(AO460)&lt;=0.001,"Solved",AM460-AO460*(AM460-AI460)/(AO460-AK460))))</f>
        <v/>
      </c>
      <c r="AR460" s="167"/>
      <c r="AS460" s="329" t="str">
        <f>IF(ISBLANK(Inputs!$A68),"",
IF(OR(AQ460="Solved",AQ460="--"),"--",
((Mat.Conc_Alpha.1*Mat.Conc_f.c*$AB460*MIN(AQ460*Mat.Conc_Beta.1,$Y460))
+(Mat.Conc_Alpha.1*Mat.Conc_f.c*$V460*MAX(0,AQ460*Mat.Conc_Beta.1-$Y460)))
-($J460*MIN(Mat.Rebar_f.y,(Mat.Rebar_epsilon.cl*($S460-AQ460)/AQ460)*Mat.PT_E.s))
-($M460*Mat.PT_f.pu*(1-Mat.PT_k*AQ460/$P460))))</f>
        <v/>
      </c>
      <c r="AT460" s="329"/>
      <c r="AU460" s="167" t="str">
        <f>IF(ISBLANK(Inputs!$A68),"",
IF(AS460="--","Solved",
IF(ABS(AS460)&lt;=0.001,"Solved",AQ460-AS460*(AQ460-AM460)/(AS460-AO460))))</f>
        <v/>
      </c>
      <c r="AV460" s="167"/>
      <c r="AW460" s="329" t="str">
        <f>IF(ISBLANK(Inputs!$A68),"",
IF(OR(AU460="Solved",AU460="--"),"--",
((Mat.Conc_Alpha.1*Mat.Conc_f.c*$AB460*MIN(AU460*Mat.Conc_Beta.1,$Y460))
+(Mat.Conc_Alpha.1*Mat.Conc_f.c*$V460*MAX(0,AU460*Mat.Conc_Beta.1-$Y460)))
-($J460*MIN(Mat.Rebar_f.y,(Mat.Rebar_epsilon.cl*($S460-AU460)/AU460)*Mat.PT_E.s))
-($M460*Mat.PT_f.pu*(1-Mat.PT_k*AU460/$P460))))</f>
        <v/>
      </c>
      <c r="AX460" s="329"/>
      <c r="AY460" s="167" t="str">
        <f>IF(ISBLANK(Inputs!$A68),"",
IF(AW460="--","Solved",
IF(ABS(AW460)&lt;=0.001,"Solved",AU460-AW460*(AU460-AQ460)/(AW460-AS460))))</f>
        <v/>
      </c>
      <c r="AZ460" s="167"/>
      <c r="BA460" s="329" t="str">
        <f>IF(ISBLANK(Inputs!$A68),"",
IF(OR(AY460="Solved",AY460="--"),"--",
((Mat.Conc_Alpha.1*Mat.Conc_f.c*$AB460*MIN(AY460*Mat.Conc_Beta.1,$Y460))
+(Mat.Conc_Alpha.1*Mat.Conc_f.c*$V460*MAX(0,AY460*Mat.Conc_Beta.1-$Y460)))
-($J460*MIN(Mat.Rebar_f.y,(Mat.Rebar_epsilon.cl*($S460-AY460)/AY460)*Mat.PT_E.s))
-($M460*Mat.PT_f.pu*(1-Mat.PT_k*AY460/$P460))))</f>
        <v/>
      </c>
      <c r="BB460" s="329"/>
      <c r="BC460" s="167" t="str">
        <f>IF(ISBLANK(Inputs!$A68),"",
IF(BA460="--","Solved",
IF(ABS(BA460)&lt;=0.001,"Solved",AY460-BA460*(AY460-AU460)/(BA460-AW460))))</f>
        <v/>
      </c>
      <c r="BD460" s="167"/>
      <c r="BE460" s="329" t="str">
        <f>IF(ISBLANK(Inputs!$A68),"",
IF(OR(BC460="Solved",BC460="--"),"--",
((Mat.Conc_Alpha.1*Mat.Conc_f.c*$AB460*MIN(BC460*Mat.Conc_Beta.1,$Y460))
+(Mat.Conc_Alpha.1*Mat.Conc_f.c*$V460*MAX(0,BC460*Mat.Conc_Beta.1-$Y460)))
-($J460*MIN(Mat.Rebar_f.y,(Mat.Rebar_epsilon.cl*($S460-BC460)/BC460)*Mat.PT_E.s))
-($M460*Mat.PT_f.pu*(1-Mat.PT_k*BC460/$P460))))</f>
        <v/>
      </c>
      <c r="BF460" s="329"/>
      <c r="BG460" s="167" t="str">
        <f>IF(ISBLANK(Inputs!$A68),"",
IF(BE460="--","Solved",
IF(ABS(BE460)&lt;=0.001,"Solved",BC460-BE460*(BC460-AY460)/(BE460-BA460))))</f>
        <v/>
      </c>
      <c r="BH460" s="167"/>
      <c r="BI460" s="329" t="str">
        <f>IF(ISBLANK(Inputs!$A68),"",
IF(OR(BG460="Solved",BG460="--"),"--",
((Mat.Conc_Alpha.1*Mat.Conc_f.c*$AB460*MIN(BG460*Mat.Conc_Beta.1,$Y460))
+(Mat.Conc_Alpha.1*Mat.Conc_f.c*$V460*MAX(0,BG460*Mat.Conc_Beta.1-$Y460)))
-($J460*MIN(Mat.Rebar_f.y,(Mat.Rebar_epsilon.cl*($S460-BG460)/BG460)*Mat.PT_E.s))
-($M460*Mat.PT_f.pu*(1-Mat.PT_k*BG460/$P460))))</f>
        <v/>
      </c>
      <c r="BJ460" s="329"/>
      <c r="BK460" s="167" t="str">
        <f>IF(ISBLANK(Inputs!$A68),"",
IF(BI460="--","Solved",
IF(ABS(BI460)&lt;=0.001,"Solved",BG460-BI460*(BG460-BC460)/(BI460-BE460))))</f>
        <v/>
      </c>
      <c r="BL460" s="167"/>
      <c r="BM460" s="329" t="str">
        <f>IF(ISBLANK(Inputs!$A68),"",
IF(OR(BK460="Solved",BK460="--"),"--",
((Mat.Conc_Alpha.1*Mat.Conc_f.c*$AB460*MIN(BK460*Mat.Conc_Beta.1,$Y460))
+(Mat.Conc_Alpha.1*Mat.Conc_f.c*$V460*MAX(0,BK460*Mat.Conc_Beta.1-$Y460)))
-($J460*MIN(Mat.Rebar_f.y,(Mat.Rebar_epsilon.cl*($S460-BK460)/BK460)*Mat.PT_E.s))
-($M460*Mat.PT_f.pu*(1-Mat.PT_k*BK460/$P460))))</f>
        <v/>
      </c>
      <c r="BN460" s="329"/>
      <c r="BO460" s="167" t="str">
        <f>IF(ISBLANK(Inputs!$A68),"",
IF(BM460="--","Solved",
IF(ABS(BM460)&lt;=0.001,"Solved",BK460-BM460*(BK460-BG460)/(BM460-BI460))))</f>
        <v/>
      </c>
      <c r="BP460" s="167"/>
      <c r="BQ460" s="329" t="str">
        <f>IF(ISBLANK(Inputs!$A68),"",
IF(OR(BO460="Solved",BO460="--"),"--",
((Mat.Conc_Alpha.1*Mat.Conc_f.c*$AB460*MIN(BO460*Mat.Conc_Beta.1,$Y460))
+(Mat.Conc_Alpha.1*Mat.Conc_f.c*$V460*MAX(0,BO460*Mat.Conc_Beta.1-$Y460)))
-($J460*MIN(Mat.Rebar_f.y,(Mat.Rebar_epsilon.cl*($S460-BO460)/BO460)*Mat.PT_E.s))
-($M460*Mat.PT_f.pu*(1-Mat.PT_k*BO460/$P460))))</f>
        <v/>
      </c>
      <c r="BR460" s="329"/>
      <c r="BT460" s="98"/>
      <c r="BU460" s="70"/>
      <c r="BV460" s="70"/>
      <c r="BW460" s="8"/>
      <c r="BX460" s="8"/>
      <c r="BY460" s="8"/>
      <c r="BZ460" s="8"/>
      <c r="CA460" s="8"/>
      <c r="CB460" s="10"/>
    </row>
    <row r="461" spans="3:80" ht="15" customHeight="1" x14ac:dyDescent="0.25">
      <c r="C461" s="69"/>
      <c r="F461" s="167" t="str">
        <f>IF(ISBLANK(Inputs!A69),"",Inputs!A69)</f>
        <v/>
      </c>
      <c r="G461" s="167"/>
      <c r="H461" s="167" t="str">
        <f>IF(ISBLANK(Inputs!B69),"",Inputs!B69)</f>
        <v/>
      </c>
      <c r="I461" s="167"/>
      <c r="J461" s="168" t="str">
        <f>IF(ISBLANK(Inputs!G69),"",Inputs!G69)</f>
        <v/>
      </c>
      <c r="K461" s="168"/>
      <c r="L461" s="168"/>
      <c r="M461" s="168" t="str">
        <f>IF(ISBLANK(Inputs!D69),"",Inputs!D69)</f>
        <v/>
      </c>
      <c r="N461" s="168"/>
      <c r="O461" s="168"/>
      <c r="P461" s="168" t="str">
        <f>IF(ISBLANK(Inputs!F69),"",Inputs!F69)</f>
        <v/>
      </c>
      <c r="Q461" s="168"/>
      <c r="R461" s="168"/>
      <c r="S461" s="168" t="str">
        <f>IF(ISBLANK(Inputs!H69),"",Inputs!H69)</f>
        <v/>
      </c>
      <c r="T461" s="168"/>
      <c r="U461" s="168"/>
      <c r="V461" s="168" t="str">
        <f>IF(ISBLANK(Inputs!E69),"",Inputs!E69)</f>
        <v/>
      </c>
      <c r="W461" s="168"/>
      <c r="X461" s="168"/>
      <c r="Y461" s="168" t="str">
        <f>IF(ISBLANK(Inputs!I69),"",Inputs!I69)</f>
        <v/>
      </c>
      <c r="Z461" s="168"/>
      <c r="AA461" s="168"/>
      <c r="AB461" s="168">
        <f>IF(ISBLANK(Inputs!J69),"",Inputs!J69)</f>
        <v>96</v>
      </c>
      <c r="AC461" s="168"/>
      <c r="AD461" s="168"/>
      <c r="AE461" s="167" t="str">
        <f>IF(ISBLANK(Inputs!A69),"",Y461)</f>
        <v/>
      </c>
      <c r="AF461" s="167"/>
      <c r="AG461" s="329" t="str">
        <f>IF(ISBLANK(Inputs!$A69),"",
IF(OR(AE461="Solved",AE461="--"),"--",
((Mat.Conc_Alpha.1*Mat.Conc_f.c*$AB461*MIN(AE461*Mat.Conc_Beta.1,$Y461))
+(Mat.Conc_Alpha.1*Mat.Conc_f.c*$V461*MAX(0,AE461*Mat.Conc_Beta.1-$Y461)))
-($J461*MIN(Mat.Rebar_f.y,(Mat.Rebar_epsilon.cl*($S461-AE461)/AE461)*Mat.PT_E.s))
-($M461*Mat.PT_f.pu*(1-Mat.PT_k*AE461/$P461))))</f>
        <v/>
      </c>
      <c r="AH461" s="329"/>
      <c r="AI461" s="167" t="str">
        <f>IF(ISBLANK(Inputs!$A69),"",
IF(ABS(AG461)&lt;=0.001,"Solved",IF(AG461&gt;0,0.85*AE461,1.15*AE461)))</f>
        <v/>
      </c>
      <c r="AJ461" s="167"/>
      <c r="AK461" s="329" t="str">
        <f>IF(ISBLANK(Inputs!$A69),"",
IF(OR(AI461="Solved",AI461="--"),"--",
((Mat.Conc_Alpha.1*Mat.Conc_f.c*$AB461*MIN(AI461*Mat.Conc_Beta.1,$Y461))
+(Mat.Conc_Alpha.1*Mat.Conc_f.c*$V461*MAX(0,AI461*Mat.Conc_Beta.1-$Y461)))
-($J461*MIN(Mat.Rebar_f.y,(Mat.Rebar_epsilon.cl*($S461-AI461)/AI461)*Mat.PT_E.s))
-($M461*Mat.PT_f.pu*(1-Mat.PT_k*AI461/$P461))))</f>
        <v/>
      </c>
      <c r="AL461" s="329"/>
      <c r="AM461" s="167" t="str">
        <f>IF(ISBLANK(Inputs!$A69),"",
IF(AK461="--","Solved",
IF(ABS(AK461)&lt;=0.001,"Solved",AI461-AK461*(AI461-AE461)/(AK461-AG461))))</f>
        <v/>
      </c>
      <c r="AN461" s="167"/>
      <c r="AO461" s="329" t="str">
        <f>IF(ISBLANK(Inputs!$A69),"",
IF(OR(AM461="Solved",AM461="--"),"--",
((Mat.Conc_Alpha.1*Mat.Conc_f.c*$AB461*MIN(AM461*Mat.Conc_Beta.1,$Y461))
+(Mat.Conc_Alpha.1*Mat.Conc_f.c*$V461*MAX(0,AM461*Mat.Conc_Beta.1-$Y461)))
-($J461*MIN(Mat.Rebar_f.y,(Mat.Rebar_epsilon.cl*($S461-AM461)/AM461)*Mat.PT_E.s))
-($M461*Mat.PT_f.pu*(1-Mat.PT_k*AM461/$P461))))</f>
        <v/>
      </c>
      <c r="AP461" s="329"/>
      <c r="AQ461" s="167" t="str">
        <f>IF(ISBLANK(Inputs!$A69),"",
IF(AO461="--","Solved",
IF(ABS(AO461)&lt;=0.001,"Solved",AM461-AO461*(AM461-AI461)/(AO461-AK461))))</f>
        <v/>
      </c>
      <c r="AR461" s="167"/>
      <c r="AS461" s="329" t="str">
        <f>IF(ISBLANK(Inputs!$A69),"",
IF(OR(AQ461="Solved",AQ461="--"),"--",
((Mat.Conc_Alpha.1*Mat.Conc_f.c*$AB461*MIN(AQ461*Mat.Conc_Beta.1,$Y461))
+(Mat.Conc_Alpha.1*Mat.Conc_f.c*$V461*MAX(0,AQ461*Mat.Conc_Beta.1-$Y461)))
-($J461*MIN(Mat.Rebar_f.y,(Mat.Rebar_epsilon.cl*($S461-AQ461)/AQ461)*Mat.PT_E.s))
-($M461*Mat.PT_f.pu*(1-Mat.PT_k*AQ461/$P461))))</f>
        <v/>
      </c>
      <c r="AT461" s="329"/>
      <c r="AU461" s="167" t="str">
        <f>IF(ISBLANK(Inputs!$A69),"",
IF(AS461="--","Solved",
IF(ABS(AS461)&lt;=0.001,"Solved",AQ461-AS461*(AQ461-AM461)/(AS461-AO461))))</f>
        <v/>
      </c>
      <c r="AV461" s="167"/>
      <c r="AW461" s="329" t="str">
        <f>IF(ISBLANK(Inputs!$A69),"",
IF(OR(AU461="Solved",AU461="--"),"--",
((Mat.Conc_Alpha.1*Mat.Conc_f.c*$AB461*MIN(AU461*Mat.Conc_Beta.1,$Y461))
+(Mat.Conc_Alpha.1*Mat.Conc_f.c*$V461*MAX(0,AU461*Mat.Conc_Beta.1-$Y461)))
-($J461*MIN(Mat.Rebar_f.y,(Mat.Rebar_epsilon.cl*($S461-AU461)/AU461)*Mat.PT_E.s))
-($M461*Mat.PT_f.pu*(1-Mat.PT_k*AU461/$P461))))</f>
        <v/>
      </c>
      <c r="AX461" s="329"/>
      <c r="AY461" s="167" t="str">
        <f>IF(ISBLANK(Inputs!$A69),"",
IF(AW461="--","Solved",
IF(ABS(AW461)&lt;=0.001,"Solved",AU461-AW461*(AU461-AQ461)/(AW461-AS461))))</f>
        <v/>
      </c>
      <c r="AZ461" s="167"/>
      <c r="BA461" s="329" t="str">
        <f>IF(ISBLANK(Inputs!$A69),"",
IF(OR(AY461="Solved",AY461="--"),"--",
((Mat.Conc_Alpha.1*Mat.Conc_f.c*$AB461*MIN(AY461*Mat.Conc_Beta.1,$Y461))
+(Mat.Conc_Alpha.1*Mat.Conc_f.c*$V461*MAX(0,AY461*Mat.Conc_Beta.1-$Y461)))
-($J461*MIN(Mat.Rebar_f.y,(Mat.Rebar_epsilon.cl*($S461-AY461)/AY461)*Mat.PT_E.s))
-($M461*Mat.PT_f.pu*(1-Mat.PT_k*AY461/$P461))))</f>
        <v/>
      </c>
      <c r="BB461" s="329"/>
      <c r="BC461" s="167" t="str">
        <f>IF(ISBLANK(Inputs!$A69),"",
IF(BA461="--","Solved",
IF(ABS(BA461)&lt;=0.001,"Solved",AY461-BA461*(AY461-AU461)/(BA461-AW461))))</f>
        <v/>
      </c>
      <c r="BD461" s="167"/>
      <c r="BE461" s="329" t="str">
        <f>IF(ISBLANK(Inputs!$A69),"",
IF(OR(BC461="Solved",BC461="--"),"--",
((Mat.Conc_Alpha.1*Mat.Conc_f.c*$AB461*MIN(BC461*Mat.Conc_Beta.1,$Y461))
+(Mat.Conc_Alpha.1*Mat.Conc_f.c*$V461*MAX(0,BC461*Mat.Conc_Beta.1-$Y461)))
-($J461*MIN(Mat.Rebar_f.y,(Mat.Rebar_epsilon.cl*($S461-BC461)/BC461)*Mat.PT_E.s))
-($M461*Mat.PT_f.pu*(1-Mat.PT_k*BC461/$P461))))</f>
        <v/>
      </c>
      <c r="BF461" s="329"/>
      <c r="BG461" s="167" t="str">
        <f>IF(ISBLANK(Inputs!$A69),"",
IF(BE461="--","Solved",
IF(ABS(BE461)&lt;=0.001,"Solved",BC461-BE461*(BC461-AY461)/(BE461-BA461))))</f>
        <v/>
      </c>
      <c r="BH461" s="167"/>
      <c r="BI461" s="329" t="str">
        <f>IF(ISBLANK(Inputs!$A69),"",
IF(OR(BG461="Solved",BG461="--"),"--",
((Mat.Conc_Alpha.1*Mat.Conc_f.c*$AB461*MIN(BG461*Mat.Conc_Beta.1,$Y461))
+(Mat.Conc_Alpha.1*Mat.Conc_f.c*$V461*MAX(0,BG461*Mat.Conc_Beta.1-$Y461)))
-($J461*MIN(Mat.Rebar_f.y,(Mat.Rebar_epsilon.cl*($S461-BG461)/BG461)*Mat.PT_E.s))
-($M461*Mat.PT_f.pu*(1-Mat.PT_k*BG461/$P461))))</f>
        <v/>
      </c>
      <c r="BJ461" s="329"/>
      <c r="BK461" s="167" t="str">
        <f>IF(ISBLANK(Inputs!$A69),"",
IF(BI461="--","Solved",
IF(ABS(BI461)&lt;=0.001,"Solved",BG461-BI461*(BG461-BC461)/(BI461-BE461))))</f>
        <v/>
      </c>
      <c r="BL461" s="167"/>
      <c r="BM461" s="329" t="str">
        <f>IF(ISBLANK(Inputs!$A69),"",
IF(OR(BK461="Solved",BK461="--"),"--",
((Mat.Conc_Alpha.1*Mat.Conc_f.c*$AB461*MIN(BK461*Mat.Conc_Beta.1,$Y461))
+(Mat.Conc_Alpha.1*Mat.Conc_f.c*$V461*MAX(0,BK461*Mat.Conc_Beta.1-$Y461)))
-($J461*MIN(Mat.Rebar_f.y,(Mat.Rebar_epsilon.cl*($S461-BK461)/BK461)*Mat.PT_E.s))
-($M461*Mat.PT_f.pu*(1-Mat.PT_k*BK461/$P461))))</f>
        <v/>
      </c>
      <c r="BN461" s="329"/>
      <c r="BO461" s="167" t="str">
        <f>IF(ISBLANK(Inputs!$A69),"",
IF(BM461="--","Solved",
IF(ABS(BM461)&lt;=0.001,"Solved",BK461-BM461*(BK461-BG461)/(BM461-BI461))))</f>
        <v/>
      </c>
      <c r="BP461" s="167"/>
      <c r="BQ461" s="329" t="str">
        <f>IF(ISBLANK(Inputs!$A69),"",
IF(OR(BO461="Solved",BO461="--"),"--",
((Mat.Conc_Alpha.1*Mat.Conc_f.c*$AB461*MIN(BO461*Mat.Conc_Beta.1,$Y461))
+(Mat.Conc_Alpha.1*Mat.Conc_f.c*$V461*MAX(0,BO461*Mat.Conc_Beta.1-$Y461)))
-($J461*MIN(Mat.Rebar_f.y,(Mat.Rebar_epsilon.cl*($S461-BO461)/BO461)*Mat.PT_E.s))
-($M461*Mat.PT_f.pu*(1-Mat.PT_k*BO461/$P461))))</f>
        <v/>
      </c>
      <c r="BR461" s="329"/>
      <c r="BT461" s="98"/>
      <c r="BU461" s="70"/>
      <c r="BV461" s="70"/>
      <c r="BW461" s="8"/>
      <c r="BX461" s="8"/>
      <c r="BY461" s="8"/>
      <c r="BZ461" s="8"/>
      <c r="CA461" s="8"/>
      <c r="CB461" s="10"/>
    </row>
    <row r="462" spans="3:80" ht="15" customHeight="1" x14ac:dyDescent="0.25">
      <c r="C462" s="69"/>
      <c r="F462" s="167" t="str">
        <f>IF(ISBLANK(Inputs!A70),"",Inputs!A70)</f>
        <v/>
      </c>
      <c r="G462" s="167"/>
      <c r="H462" s="167" t="str">
        <f>IF(ISBLANK(Inputs!B70),"",Inputs!B70)</f>
        <v/>
      </c>
      <c r="I462" s="167"/>
      <c r="J462" s="168" t="str">
        <f>IF(ISBLANK(Inputs!G70),"",Inputs!G70)</f>
        <v/>
      </c>
      <c r="K462" s="168"/>
      <c r="L462" s="168"/>
      <c r="M462" s="168" t="str">
        <f>IF(ISBLANK(Inputs!D70),"",Inputs!D70)</f>
        <v/>
      </c>
      <c r="N462" s="168"/>
      <c r="O462" s="168"/>
      <c r="P462" s="168" t="str">
        <f>IF(ISBLANK(Inputs!F70),"",Inputs!F70)</f>
        <v/>
      </c>
      <c r="Q462" s="168"/>
      <c r="R462" s="168"/>
      <c r="S462" s="168" t="str">
        <f>IF(ISBLANK(Inputs!H70),"",Inputs!H70)</f>
        <v/>
      </c>
      <c r="T462" s="168"/>
      <c r="U462" s="168"/>
      <c r="V462" s="168" t="str">
        <f>IF(ISBLANK(Inputs!E70),"",Inputs!E70)</f>
        <v/>
      </c>
      <c r="W462" s="168"/>
      <c r="X462" s="168"/>
      <c r="Y462" s="168" t="str">
        <f>IF(ISBLANK(Inputs!I70),"",Inputs!I70)</f>
        <v/>
      </c>
      <c r="Z462" s="168"/>
      <c r="AA462" s="168"/>
      <c r="AB462" s="168">
        <f>IF(ISBLANK(Inputs!J70),"",Inputs!J70)</f>
        <v>96</v>
      </c>
      <c r="AC462" s="168"/>
      <c r="AD462" s="168"/>
      <c r="AE462" s="167" t="str">
        <f>IF(ISBLANK(Inputs!A70),"",Y462)</f>
        <v/>
      </c>
      <c r="AF462" s="167"/>
      <c r="AG462" s="329" t="str">
        <f>IF(ISBLANK(Inputs!$A70),"",
IF(OR(AE462="Solved",AE462="--"),"--",
((Mat.Conc_Alpha.1*Mat.Conc_f.c*$AB462*MIN(AE462*Mat.Conc_Beta.1,$Y462))
+(Mat.Conc_Alpha.1*Mat.Conc_f.c*$V462*MAX(0,AE462*Mat.Conc_Beta.1-$Y462)))
-($J462*MIN(Mat.Rebar_f.y,(Mat.Rebar_epsilon.cl*($S462-AE462)/AE462)*Mat.PT_E.s))
-($M462*Mat.PT_f.pu*(1-Mat.PT_k*AE462/$P462))))</f>
        <v/>
      </c>
      <c r="AH462" s="329"/>
      <c r="AI462" s="167" t="str">
        <f>IF(ISBLANK(Inputs!$A70),"",
IF(ABS(AG462)&lt;=0.001,"Solved",IF(AG462&gt;0,0.85*AE462,1.15*AE462)))</f>
        <v/>
      </c>
      <c r="AJ462" s="167"/>
      <c r="AK462" s="329" t="str">
        <f>IF(ISBLANK(Inputs!$A70),"",
IF(OR(AI462="Solved",AI462="--"),"--",
((Mat.Conc_Alpha.1*Mat.Conc_f.c*$AB462*MIN(AI462*Mat.Conc_Beta.1,$Y462))
+(Mat.Conc_Alpha.1*Mat.Conc_f.c*$V462*MAX(0,AI462*Mat.Conc_Beta.1-$Y462)))
-($J462*MIN(Mat.Rebar_f.y,(Mat.Rebar_epsilon.cl*($S462-AI462)/AI462)*Mat.PT_E.s))
-($M462*Mat.PT_f.pu*(1-Mat.PT_k*AI462/$P462))))</f>
        <v/>
      </c>
      <c r="AL462" s="329"/>
      <c r="AM462" s="167" t="str">
        <f>IF(ISBLANK(Inputs!$A70),"",
IF(AK462="--","Solved",
IF(ABS(AK462)&lt;=0.001,"Solved",AI462-AK462*(AI462-AE462)/(AK462-AG462))))</f>
        <v/>
      </c>
      <c r="AN462" s="167"/>
      <c r="AO462" s="329" t="str">
        <f>IF(ISBLANK(Inputs!$A70),"",
IF(OR(AM462="Solved",AM462="--"),"--",
((Mat.Conc_Alpha.1*Mat.Conc_f.c*$AB462*MIN(AM462*Mat.Conc_Beta.1,$Y462))
+(Mat.Conc_Alpha.1*Mat.Conc_f.c*$V462*MAX(0,AM462*Mat.Conc_Beta.1-$Y462)))
-($J462*MIN(Mat.Rebar_f.y,(Mat.Rebar_epsilon.cl*($S462-AM462)/AM462)*Mat.PT_E.s))
-($M462*Mat.PT_f.pu*(1-Mat.PT_k*AM462/$P462))))</f>
        <v/>
      </c>
      <c r="AP462" s="329"/>
      <c r="AQ462" s="167" t="str">
        <f>IF(ISBLANK(Inputs!$A70),"",
IF(AO462="--","Solved",
IF(ABS(AO462)&lt;=0.001,"Solved",AM462-AO462*(AM462-AI462)/(AO462-AK462))))</f>
        <v/>
      </c>
      <c r="AR462" s="167"/>
      <c r="AS462" s="329" t="str">
        <f>IF(ISBLANK(Inputs!$A70),"",
IF(OR(AQ462="Solved",AQ462="--"),"--",
((Mat.Conc_Alpha.1*Mat.Conc_f.c*$AB462*MIN(AQ462*Mat.Conc_Beta.1,$Y462))
+(Mat.Conc_Alpha.1*Mat.Conc_f.c*$V462*MAX(0,AQ462*Mat.Conc_Beta.1-$Y462)))
-($J462*MIN(Mat.Rebar_f.y,(Mat.Rebar_epsilon.cl*($S462-AQ462)/AQ462)*Mat.PT_E.s))
-($M462*Mat.PT_f.pu*(1-Mat.PT_k*AQ462/$P462))))</f>
        <v/>
      </c>
      <c r="AT462" s="329"/>
      <c r="AU462" s="167" t="str">
        <f>IF(ISBLANK(Inputs!$A70),"",
IF(AS462="--","Solved",
IF(ABS(AS462)&lt;=0.001,"Solved",AQ462-AS462*(AQ462-AM462)/(AS462-AO462))))</f>
        <v/>
      </c>
      <c r="AV462" s="167"/>
      <c r="AW462" s="329" t="str">
        <f>IF(ISBLANK(Inputs!$A70),"",
IF(OR(AU462="Solved",AU462="--"),"--",
((Mat.Conc_Alpha.1*Mat.Conc_f.c*$AB462*MIN(AU462*Mat.Conc_Beta.1,$Y462))
+(Mat.Conc_Alpha.1*Mat.Conc_f.c*$V462*MAX(0,AU462*Mat.Conc_Beta.1-$Y462)))
-($J462*MIN(Mat.Rebar_f.y,(Mat.Rebar_epsilon.cl*($S462-AU462)/AU462)*Mat.PT_E.s))
-($M462*Mat.PT_f.pu*(1-Mat.PT_k*AU462/$P462))))</f>
        <v/>
      </c>
      <c r="AX462" s="329"/>
      <c r="AY462" s="167" t="str">
        <f>IF(ISBLANK(Inputs!$A70),"",
IF(AW462="--","Solved",
IF(ABS(AW462)&lt;=0.001,"Solved",AU462-AW462*(AU462-AQ462)/(AW462-AS462))))</f>
        <v/>
      </c>
      <c r="AZ462" s="167"/>
      <c r="BA462" s="329" t="str">
        <f>IF(ISBLANK(Inputs!$A70),"",
IF(OR(AY462="Solved",AY462="--"),"--",
((Mat.Conc_Alpha.1*Mat.Conc_f.c*$AB462*MIN(AY462*Mat.Conc_Beta.1,$Y462))
+(Mat.Conc_Alpha.1*Mat.Conc_f.c*$V462*MAX(0,AY462*Mat.Conc_Beta.1-$Y462)))
-($J462*MIN(Mat.Rebar_f.y,(Mat.Rebar_epsilon.cl*($S462-AY462)/AY462)*Mat.PT_E.s))
-($M462*Mat.PT_f.pu*(1-Mat.PT_k*AY462/$P462))))</f>
        <v/>
      </c>
      <c r="BB462" s="329"/>
      <c r="BC462" s="167" t="str">
        <f>IF(ISBLANK(Inputs!$A70),"",
IF(BA462="--","Solved",
IF(ABS(BA462)&lt;=0.001,"Solved",AY462-BA462*(AY462-AU462)/(BA462-AW462))))</f>
        <v/>
      </c>
      <c r="BD462" s="167"/>
      <c r="BE462" s="329" t="str">
        <f>IF(ISBLANK(Inputs!$A70),"",
IF(OR(BC462="Solved",BC462="--"),"--",
((Mat.Conc_Alpha.1*Mat.Conc_f.c*$AB462*MIN(BC462*Mat.Conc_Beta.1,$Y462))
+(Mat.Conc_Alpha.1*Mat.Conc_f.c*$V462*MAX(0,BC462*Mat.Conc_Beta.1-$Y462)))
-($J462*MIN(Mat.Rebar_f.y,(Mat.Rebar_epsilon.cl*($S462-BC462)/BC462)*Mat.PT_E.s))
-($M462*Mat.PT_f.pu*(1-Mat.PT_k*BC462/$P462))))</f>
        <v/>
      </c>
      <c r="BF462" s="329"/>
      <c r="BG462" s="167" t="str">
        <f>IF(ISBLANK(Inputs!$A70),"",
IF(BE462="--","Solved",
IF(ABS(BE462)&lt;=0.001,"Solved",BC462-BE462*(BC462-AY462)/(BE462-BA462))))</f>
        <v/>
      </c>
      <c r="BH462" s="167"/>
      <c r="BI462" s="329" t="str">
        <f>IF(ISBLANK(Inputs!$A70),"",
IF(OR(BG462="Solved",BG462="--"),"--",
((Mat.Conc_Alpha.1*Mat.Conc_f.c*$AB462*MIN(BG462*Mat.Conc_Beta.1,$Y462))
+(Mat.Conc_Alpha.1*Mat.Conc_f.c*$V462*MAX(0,BG462*Mat.Conc_Beta.1-$Y462)))
-($J462*MIN(Mat.Rebar_f.y,(Mat.Rebar_epsilon.cl*($S462-BG462)/BG462)*Mat.PT_E.s))
-($M462*Mat.PT_f.pu*(1-Mat.PT_k*BG462/$P462))))</f>
        <v/>
      </c>
      <c r="BJ462" s="329"/>
      <c r="BK462" s="167" t="str">
        <f>IF(ISBLANK(Inputs!$A70),"",
IF(BI462="--","Solved",
IF(ABS(BI462)&lt;=0.001,"Solved",BG462-BI462*(BG462-BC462)/(BI462-BE462))))</f>
        <v/>
      </c>
      <c r="BL462" s="167"/>
      <c r="BM462" s="329" t="str">
        <f>IF(ISBLANK(Inputs!$A70),"",
IF(OR(BK462="Solved",BK462="--"),"--",
((Mat.Conc_Alpha.1*Mat.Conc_f.c*$AB462*MIN(BK462*Mat.Conc_Beta.1,$Y462))
+(Mat.Conc_Alpha.1*Mat.Conc_f.c*$V462*MAX(0,BK462*Mat.Conc_Beta.1-$Y462)))
-($J462*MIN(Mat.Rebar_f.y,(Mat.Rebar_epsilon.cl*($S462-BK462)/BK462)*Mat.PT_E.s))
-($M462*Mat.PT_f.pu*(1-Mat.PT_k*BK462/$P462))))</f>
        <v/>
      </c>
      <c r="BN462" s="329"/>
      <c r="BO462" s="167" t="str">
        <f>IF(ISBLANK(Inputs!$A70),"",
IF(BM462="--","Solved",
IF(ABS(BM462)&lt;=0.001,"Solved",BK462-BM462*(BK462-BG462)/(BM462-BI462))))</f>
        <v/>
      </c>
      <c r="BP462" s="167"/>
      <c r="BQ462" s="329" t="str">
        <f>IF(ISBLANK(Inputs!$A70),"",
IF(OR(BO462="Solved",BO462="--"),"--",
((Mat.Conc_Alpha.1*Mat.Conc_f.c*$AB462*MIN(BO462*Mat.Conc_Beta.1,$Y462))
+(Mat.Conc_Alpha.1*Mat.Conc_f.c*$V462*MAX(0,BO462*Mat.Conc_Beta.1-$Y462)))
-($J462*MIN(Mat.Rebar_f.y,(Mat.Rebar_epsilon.cl*($S462-BO462)/BO462)*Mat.PT_E.s))
-($M462*Mat.PT_f.pu*(1-Mat.PT_k*BO462/$P462))))</f>
        <v/>
      </c>
      <c r="BR462" s="329"/>
      <c r="BT462" s="98"/>
      <c r="BU462" s="70"/>
      <c r="BV462" s="70"/>
      <c r="BW462" s="8"/>
      <c r="BX462" s="8"/>
      <c r="BY462" s="8"/>
      <c r="BZ462" s="8"/>
      <c r="CA462" s="8"/>
      <c r="CB462" s="10"/>
    </row>
    <row r="463" spans="3:80" ht="15" customHeight="1" x14ac:dyDescent="0.25">
      <c r="C463" s="69"/>
      <c r="F463" s="167" t="str">
        <f>IF(ISBLANK(Inputs!A71),"",Inputs!A71)</f>
        <v/>
      </c>
      <c r="G463" s="167"/>
      <c r="H463" s="167" t="str">
        <f>IF(ISBLANK(Inputs!B71),"",Inputs!B71)</f>
        <v/>
      </c>
      <c r="I463" s="167"/>
      <c r="J463" s="168" t="str">
        <f>IF(ISBLANK(Inputs!G71),"",Inputs!G71)</f>
        <v/>
      </c>
      <c r="K463" s="168"/>
      <c r="L463" s="168"/>
      <c r="M463" s="168" t="str">
        <f>IF(ISBLANK(Inputs!D71),"",Inputs!D71)</f>
        <v/>
      </c>
      <c r="N463" s="168"/>
      <c r="O463" s="168"/>
      <c r="P463" s="168" t="str">
        <f>IF(ISBLANK(Inputs!F71),"",Inputs!F71)</f>
        <v/>
      </c>
      <c r="Q463" s="168"/>
      <c r="R463" s="168"/>
      <c r="S463" s="168" t="str">
        <f>IF(ISBLANK(Inputs!H71),"",Inputs!H71)</f>
        <v/>
      </c>
      <c r="T463" s="168"/>
      <c r="U463" s="168"/>
      <c r="V463" s="168" t="str">
        <f>IF(ISBLANK(Inputs!E71),"",Inputs!E71)</f>
        <v/>
      </c>
      <c r="W463" s="168"/>
      <c r="X463" s="168"/>
      <c r="Y463" s="168" t="str">
        <f>IF(ISBLANK(Inputs!I71),"",Inputs!I71)</f>
        <v/>
      </c>
      <c r="Z463" s="168"/>
      <c r="AA463" s="168"/>
      <c r="AB463" s="168">
        <f>IF(ISBLANK(Inputs!J71),"",Inputs!J71)</f>
        <v>96</v>
      </c>
      <c r="AC463" s="168"/>
      <c r="AD463" s="168"/>
      <c r="AE463" s="167" t="str">
        <f>IF(ISBLANK(Inputs!A71),"",Y463)</f>
        <v/>
      </c>
      <c r="AF463" s="167"/>
      <c r="AG463" s="329" t="str">
        <f>IF(ISBLANK(Inputs!$A71),"",
IF(OR(AE463="Solved",AE463="--"),"--",
((Mat.Conc_Alpha.1*Mat.Conc_f.c*$AB463*MIN(AE463*Mat.Conc_Beta.1,$Y463))
+(Mat.Conc_Alpha.1*Mat.Conc_f.c*$V463*MAX(0,AE463*Mat.Conc_Beta.1-$Y463)))
-($J463*MIN(Mat.Rebar_f.y,(Mat.Rebar_epsilon.cl*($S463-AE463)/AE463)*Mat.PT_E.s))
-($M463*Mat.PT_f.pu*(1-Mat.PT_k*AE463/$P463))))</f>
        <v/>
      </c>
      <c r="AH463" s="329"/>
      <c r="AI463" s="167" t="str">
        <f>IF(ISBLANK(Inputs!$A71),"",
IF(ABS(AG463)&lt;=0.001,"Solved",IF(AG463&gt;0,0.85*AE463,1.15*AE463)))</f>
        <v/>
      </c>
      <c r="AJ463" s="167"/>
      <c r="AK463" s="329" t="str">
        <f>IF(ISBLANK(Inputs!$A71),"",
IF(OR(AI463="Solved",AI463="--"),"--",
((Mat.Conc_Alpha.1*Mat.Conc_f.c*$AB463*MIN(AI463*Mat.Conc_Beta.1,$Y463))
+(Mat.Conc_Alpha.1*Mat.Conc_f.c*$V463*MAX(0,AI463*Mat.Conc_Beta.1-$Y463)))
-($J463*MIN(Mat.Rebar_f.y,(Mat.Rebar_epsilon.cl*($S463-AI463)/AI463)*Mat.PT_E.s))
-($M463*Mat.PT_f.pu*(1-Mat.PT_k*AI463/$P463))))</f>
        <v/>
      </c>
      <c r="AL463" s="329"/>
      <c r="AM463" s="167" t="str">
        <f>IF(ISBLANK(Inputs!$A71),"",
IF(AK463="--","Solved",
IF(ABS(AK463)&lt;=0.001,"Solved",AI463-AK463*(AI463-AE463)/(AK463-AG463))))</f>
        <v/>
      </c>
      <c r="AN463" s="167"/>
      <c r="AO463" s="329" t="str">
        <f>IF(ISBLANK(Inputs!$A71),"",
IF(OR(AM463="Solved",AM463="--"),"--",
((Mat.Conc_Alpha.1*Mat.Conc_f.c*$AB463*MIN(AM463*Mat.Conc_Beta.1,$Y463))
+(Mat.Conc_Alpha.1*Mat.Conc_f.c*$V463*MAX(0,AM463*Mat.Conc_Beta.1-$Y463)))
-($J463*MIN(Mat.Rebar_f.y,(Mat.Rebar_epsilon.cl*($S463-AM463)/AM463)*Mat.PT_E.s))
-($M463*Mat.PT_f.pu*(1-Mat.PT_k*AM463/$P463))))</f>
        <v/>
      </c>
      <c r="AP463" s="329"/>
      <c r="AQ463" s="167" t="str">
        <f>IF(ISBLANK(Inputs!$A71),"",
IF(AO463="--","Solved",
IF(ABS(AO463)&lt;=0.001,"Solved",AM463-AO463*(AM463-AI463)/(AO463-AK463))))</f>
        <v/>
      </c>
      <c r="AR463" s="167"/>
      <c r="AS463" s="329" t="str">
        <f>IF(ISBLANK(Inputs!$A71),"",
IF(OR(AQ463="Solved",AQ463="--"),"--",
((Mat.Conc_Alpha.1*Mat.Conc_f.c*$AB463*MIN(AQ463*Mat.Conc_Beta.1,$Y463))
+(Mat.Conc_Alpha.1*Mat.Conc_f.c*$V463*MAX(0,AQ463*Mat.Conc_Beta.1-$Y463)))
-($J463*MIN(Mat.Rebar_f.y,(Mat.Rebar_epsilon.cl*($S463-AQ463)/AQ463)*Mat.PT_E.s))
-($M463*Mat.PT_f.pu*(1-Mat.PT_k*AQ463/$P463))))</f>
        <v/>
      </c>
      <c r="AT463" s="329"/>
      <c r="AU463" s="167" t="str">
        <f>IF(ISBLANK(Inputs!$A71),"",
IF(AS463="--","Solved",
IF(ABS(AS463)&lt;=0.001,"Solved",AQ463-AS463*(AQ463-AM463)/(AS463-AO463))))</f>
        <v/>
      </c>
      <c r="AV463" s="167"/>
      <c r="AW463" s="329" t="str">
        <f>IF(ISBLANK(Inputs!$A71),"",
IF(OR(AU463="Solved",AU463="--"),"--",
((Mat.Conc_Alpha.1*Mat.Conc_f.c*$AB463*MIN(AU463*Mat.Conc_Beta.1,$Y463))
+(Mat.Conc_Alpha.1*Mat.Conc_f.c*$V463*MAX(0,AU463*Mat.Conc_Beta.1-$Y463)))
-($J463*MIN(Mat.Rebar_f.y,(Mat.Rebar_epsilon.cl*($S463-AU463)/AU463)*Mat.PT_E.s))
-($M463*Mat.PT_f.pu*(1-Mat.PT_k*AU463/$P463))))</f>
        <v/>
      </c>
      <c r="AX463" s="329"/>
      <c r="AY463" s="167" t="str">
        <f>IF(ISBLANK(Inputs!$A71),"",
IF(AW463="--","Solved",
IF(ABS(AW463)&lt;=0.001,"Solved",AU463-AW463*(AU463-AQ463)/(AW463-AS463))))</f>
        <v/>
      </c>
      <c r="AZ463" s="167"/>
      <c r="BA463" s="329" t="str">
        <f>IF(ISBLANK(Inputs!$A71),"",
IF(OR(AY463="Solved",AY463="--"),"--",
((Mat.Conc_Alpha.1*Mat.Conc_f.c*$AB463*MIN(AY463*Mat.Conc_Beta.1,$Y463))
+(Mat.Conc_Alpha.1*Mat.Conc_f.c*$V463*MAX(0,AY463*Mat.Conc_Beta.1-$Y463)))
-($J463*MIN(Mat.Rebar_f.y,(Mat.Rebar_epsilon.cl*($S463-AY463)/AY463)*Mat.PT_E.s))
-($M463*Mat.PT_f.pu*(1-Mat.PT_k*AY463/$P463))))</f>
        <v/>
      </c>
      <c r="BB463" s="329"/>
      <c r="BC463" s="167" t="str">
        <f>IF(ISBLANK(Inputs!$A71),"",
IF(BA463="--","Solved",
IF(ABS(BA463)&lt;=0.001,"Solved",AY463-BA463*(AY463-AU463)/(BA463-AW463))))</f>
        <v/>
      </c>
      <c r="BD463" s="167"/>
      <c r="BE463" s="329" t="str">
        <f>IF(ISBLANK(Inputs!$A71),"",
IF(OR(BC463="Solved",BC463="--"),"--",
((Mat.Conc_Alpha.1*Mat.Conc_f.c*$AB463*MIN(BC463*Mat.Conc_Beta.1,$Y463))
+(Mat.Conc_Alpha.1*Mat.Conc_f.c*$V463*MAX(0,BC463*Mat.Conc_Beta.1-$Y463)))
-($J463*MIN(Mat.Rebar_f.y,(Mat.Rebar_epsilon.cl*($S463-BC463)/BC463)*Mat.PT_E.s))
-($M463*Mat.PT_f.pu*(1-Mat.PT_k*BC463/$P463))))</f>
        <v/>
      </c>
      <c r="BF463" s="329"/>
      <c r="BG463" s="167" t="str">
        <f>IF(ISBLANK(Inputs!$A71),"",
IF(BE463="--","Solved",
IF(ABS(BE463)&lt;=0.001,"Solved",BC463-BE463*(BC463-AY463)/(BE463-BA463))))</f>
        <v/>
      </c>
      <c r="BH463" s="167"/>
      <c r="BI463" s="329" t="str">
        <f>IF(ISBLANK(Inputs!$A71),"",
IF(OR(BG463="Solved",BG463="--"),"--",
((Mat.Conc_Alpha.1*Mat.Conc_f.c*$AB463*MIN(BG463*Mat.Conc_Beta.1,$Y463))
+(Mat.Conc_Alpha.1*Mat.Conc_f.c*$V463*MAX(0,BG463*Mat.Conc_Beta.1-$Y463)))
-($J463*MIN(Mat.Rebar_f.y,(Mat.Rebar_epsilon.cl*($S463-BG463)/BG463)*Mat.PT_E.s))
-($M463*Mat.PT_f.pu*(1-Mat.PT_k*BG463/$P463))))</f>
        <v/>
      </c>
      <c r="BJ463" s="329"/>
      <c r="BK463" s="167" t="str">
        <f>IF(ISBLANK(Inputs!$A71),"",
IF(BI463="--","Solved",
IF(ABS(BI463)&lt;=0.001,"Solved",BG463-BI463*(BG463-BC463)/(BI463-BE463))))</f>
        <v/>
      </c>
      <c r="BL463" s="167"/>
      <c r="BM463" s="329" t="str">
        <f>IF(ISBLANK(Inputs!$A71),"",
IF(OR(BK463="Solved",BK463="--"),"--",
((Mat.Conc_Alpha.1*Mat.Conc_f.c*$AB463*MIN(BK463*Mat.Conc_Beta.1,$Y463))
+(Mat.Conc_Alpha.1*Mat.Conc_f.c*$V463*MAX(0,BK463*Mat.Conc_Beta.1-$Y463)))
-($J463*MIN(Mat.Rebar_f.y,(Mat.Rebar_epsilon.cl*($S463-BK463)/BK463)*Mat.PT_E.s))
-($M463*Mat.PT_f.pu*(1-Mat.PT_k*BK463/$P463))))</f>
        <v/>
      </c>
      <c r="BN463" s="329"/>
      <c r="BO463" s="167" t="str">
        <f>IF(ISBLANK(Inputs!$A71),"",
IF(BM463="--","Solved",
IF(ABS(BM463)&lt;=0.001,"Solved",BK463-BM463*(BK463-BG463)/(BM463-BI463))))</f>
        <v/>
      </c>
      <c r="BP463" s="167"/>
      <c r="BQ463" s="329" t="str">
        <f>IF(ISBLANK(Inputs!$A71),"",
IF(OR(BO463="Solved",BO463="--"),"--",
((Mat.Conc_Alpha.1*Mat.Conc_f.c*$AB463*MIN(BO463*Mat.Conc_Beta.1,$Y463))
+(Mat.Conc_Alpha.1*Mat.Conc_f.c*$V463*MAX(0,BO463*Mat.Conc_Beta.1-$Y463)))
-($J463*MIN(Mat.Rebar_f.y,(Mat.Rebar_epsilon.cl*($S463-BO463)/BO463)*Mat.PT_E.s))
-($M463*Mat.PT_f.pu*(1-Mat.PT_k*BO463/$P463))))</f>
        <v/>
      </c>
      <c r="BR463" s="329"/>
      <c r="BT463" s="98"/>
      <c r="BU463" s="70"/>
      <c r="BV463" s="70"/>
      <c r="BW463" s="8"/>
      <c r="BX463" s="8"/>
      <c r="BY463" s="8"/>
      <c r="BZ463" s="8"/>
      <c r="CA463" s="8"/>
      <c r="CB463" s="10"/>
    </row>
    <row r="464" spans="3:80" ht="15" customHeight="1" x14ac:dyDescent="0.25">
      <c r="C464" s="69"/>
      <c r="F464" s="167" t="str">
        <f>IF(ISBLANK(Inputs!A72),"",Inputs!A72)</f>
        <v/>
      </c>
      <c r="G464" s="167"/>
      <c r="H464" s="167" t="str">
        <f>IF(ISBLANK(Inputs!B72),"",Inputs!B72)</f>
        <v/>
      </c>
      <c r="I464" s="167"/>
      <c r="J464" s="168" t="str">
        <f>IF(ISBLANK(Inputs!G72),"",Inputs!G72)</f>
        <v/>
      </c>
      <c r="K464" s="168"/>
      <c r="L464" s="168"/>
      <c r="M464" s="168" t="str">
        <f>IF(ISBLANK(Inputs!D72),"",Inputs!D72)</f>
        <v/>
      </c>
      <c r="N464" s="168"/>
      <c r="O464" s="168"/>
      <c r="P464" s="168" t="str">
        <f>IF(ISBLANK(Inputs!F72),"",Inputs!F72)</f>
        <v/>
      </c>
      <c r="Q464" s="168"/>
      <c r="R464" s="168"/>
      <c r="S464" s="168" t="str">
        <f>IF(ISBLANK(Inputs!H72),"",Inputs!H72)</f>
        <v/>
      </c>
      <c r="T464" s="168"/>
      <c r="U464" s="168"/>
      <c r="V464" s="168" t="str">
        <f>IF(ISBLANK(Inputs!E72),"",Inputs!E72)</f>
        <v/>
      </c>
      <c r="W464" s="168"/>
      <c r="X464" s="168"/>
      <c r="Y464" s="168" t="str">
        <f>IF(ISBLANK(Inputs!I72),"",Inputs!I72)</f>
        <v/>
      </c>
      <c r="Z464" s="168"/>
      <c r="AA464" s="168"/>
      <c r="AB464" s="168">
        <f>IF(ISBLANK(Inputs!J72),"",Inputs!J72)</f>
        <v>96</v>
      </c>
      <c r="AC464" s="168"/>
      <c r="AD464" s="168"/>
      <c r="AE464" s="167" t="str">
        <f>IF(ISBLANK(Inputs!A72),"",Y464)</f>
        <v/>
      </c>
      <c r="AF464" s="167"/>
      <c r="AG464" s="329" t="str">
        <f>IF(ISBLANK(Inputs!$A72),"",
IF(OR(AE464="Solved",AE464="--"),"--",
((Mat.Conc_Alpha.1*Mat.Conc_f.c*$AB464*MIN(AE464*Mat.Conc_Beta.1,$Y464))
+(Mat.Conc_Alpha.1*Mat.Conc_f.c*$V464*MAX(0,AE464*Mat.Conc_Beta.1-$Y464)))
-($J464*MIN(Mat.Rebar_f.y,(Mat.Rebar_epsilon.cl*($S464-AE464)/AE464)*Mat.PT_E.s))
-($M464*Mat.PT_f.pu*(1-Mat.PT_k*AE464/$P464))))</f>
        <v/>
      </c>
      <c r="AH464" s="329"/>
      <c r="AI464" s="167" t="str">
        <f>IF(ISBLANK(Inputs!$A72),"",
IF(ABS(AG464)&lt;=0.001,"Solved",IF(AG464&gt;0,0.85*AE464,1.15*AE464)))</f>
        <v/>
      </c>
      <c r="AJ464" s="167"/>
      <c r="AK464" s="329" t="str">
        <f>IF(ISBLANK(Inputs!$A72),"",
IF(OR(AI464="Solved",AI464="--"),"--",
((Mat.Conc_Alpha.1*Mat.Conc_f.c*$AB464*MIN(AI464*Mat.Conc_Beta.1,$Y464))
+(Mat.Conc_Alpha.1*Mat.Conc_f.c*$V464*MAX(0,AI464*Mat.Conc_Beta.1-$Y464)))
-($J464*MIN(Mat.Rebar_f.y,(Mat.Rebar_epsilon.cl*($S464-AI464)/AI464)*Mat.PT_E.s))
-($M464*Mat.PT_f.pu*(1-Mat.PT_k*AI464/$P464))))</f>
        <v/>
      </c>
      <c r="AL464" s="329"/>
      <c r="AM464" s="167" t="str">
        <f>IF(ISBLANK(Inputs!$A72),"",
IF(AK464="--","Solved",
IF(ABS(AK464)&lt;=0.001,"Solved",AI464-AK464*(AI464-AE464)/(AK464-AG464))))</f>
        <v/>
      </c>
      <c r="AN464" s="167"/>
      <c r="AO464" s="329" t="str">
        <f>IF(ISBLANK(Inputs!$A72),"",
IF(OR(AM464="Solved",AM464="--"),"--",
((Mat.Conc_Alpha.1*Mat.Conc_f.c*$AB464*MIN(AM464*Mat.Conc_Beta.1,$Y464))
+(Mat.Conc_Alpha.1*Mat.Conc_f.c*$V464*MAX(0,AM464*Mat.Conc_Beta.1-$Y464)))
-($J464*MIN(Mat.Rebar_f.y,(Mat.Rebar_epsilon.cl*($S464-AM464)/AM464)*Mat.PT_E.s))
-($M464*Mat.PT_f.pu*(1-Mat.PT_k*AM464/$P464))))</f>
        <v/>
      </c>
      <c r="AP464" s="329"/>
      <c r="AQ464" s="167" t="str">
        <f>IF(ISBLANK(Inputs!$A72),"",
IF(AO464="--","Solved",
IF(ABS(AO464)&lt;=0.001,"Solved",AM464-AO464*(AM464-AI464)/(AO464-AK464))))</f>
        <v/>
      </c>
      <c r="AR464" s="167"/>
      <c r="AS464" s="329" t="str">
        <f>IF(ISBLANK(Inputs!$A72),"",
IF(OR(AQ464="Solved",AQ464="--"),"--",
((Mat.Conc_Alpha.1*Mat.Conc_f.c*$AB464*MIN(AQ464*Mat.Conc_Beta.1,$Y464))
+(Mat.Conc_Alpha.1*Mat.Conc_f.c*$V464*MAX(0,AQ464*Mat.Conc_Beta.1-$Y464)))
-($J464*MIN(Mat.Rebar_f.y,(Mat.Rebar_epsilon.cl*($S464-AQ464)/AQ464)*Mat.PT_E.s))
-($M464*Mat.PT_f.pu*(1-Mat.PT_k*AQ464/$P464))))</f>
        <v/>
      </c>
      <c r="AT464" s="329"/>
      <c r="AU464" s="167" t="str">
        <f>IF(ISBLANK(Inputs!$A72),"",
IF(AS464="--","Solved",
IF(ABS(AS464)&lt;=0.001,"Solved",AQ464-AS464*(AQ464-AM464)/(AS464-AO464))))</f>
        <v/>
      </c>
      <c r="AV464" s="167"/>
      <c r="AW464" s="329" t="str">
        <f>IF(ISBLANK(Inputs!$A72),"",
IF(OR(AU464="Solved",AU464="--"),"--",
((Mat.Conc_Alpha.1*Mat.Conc_f.c*$AB464*MIN(AU464*Mat.Conc_Beta.1,$Y464))
+(Mat.Conc_Alpha.1*Mat.Conc_f.c*$V464*MAX(0,AU464*Mat.Conc_Beta.1-$Y464)))
-($J464*MIN(Mat.Rebar_f.y,(Mat.Rebar_epsilon.cl*($S464-AU464)/AU464)*Mat.PT_E.s))
-($M464*Mat.PT_f.pu*(1-Mat.PT_k*AU464/$P464))))</f>
        <v/>
      </c>
      <c r="AX464" s="329"/>
      <c r="AY464" s="167" t="str">
        <f>IF(ISBLANK(Inputs!$A72),"",
IF(AW464="--","Solved",
IF(ABS(AW464)&lt;=0.001,"Solved",AU464-AW464*(AU464-AQ464)/(AW464-AS464))))</f>
        <v/>
      </c>
      <c r="AZ464" s="167"/>
      <c r="BA464" s="329" t="str">
        <f>IF(ISBLANK(Inputs!$A72),"",
IF(OR(AY464="Solved",AY464="--"),"--",
((Mat.Conc_Alpha.1*Mat.Conc_f.c*$AB464*MIN(AY464*Mat.Conc_Beta.1,$Y464))
+(Mat.Conc_Alpha.1*Mat.Conc_f.c*$V464*MAX(0,AY464*Mat.Conc_Beta.1-$Y464)))
-($J464*MIN(Mat.Rebar_f.y,(Mat.Rebar_epsilon.cl*($S464-AY464)/AY464)*Mat.PT_E.s))
-($M464*Mat.PT_f.pu*(1-Mat.PT_k*AY464/$P464))))</f>
        <v/>
      </c>
      <c r="BB464" s="329"/>
      <c r="BC464" s="167" t="str">
        <f>IF(ISBLANK(Inputs!$A72),"",
IF(BA464="--","Solved",
IF(ABS(BA464)&lt;=0.001,"Solved",AY464-BA464*(AY464-AU464)/(BA464-AW464))))</f>
        <v/>
      </c>
      <c r="BD464" s="167"/>
      <c r="BE464" s="329" t="str">
        <f>IF(ISBLANK(Inputs!$A72),"",
IF(OR(BC464="Solved",BC464="--"),"--",
((Mat.Conc_Alpha.1*Mat.Conc_f.c*$AB464*MIN(BC464*Mat.Conc_Beta.1,$Y464))
+(Mat.Conc_Alpha.1*Mat.Conc_f.c*$V464*MAX(0,BC464*Mat.Conc_Beta.1-$Y464)))
-($J464*MIN(Mat.Rebar_f.y,(Mat.Rebar_epsilon.cl*($S464-BC464)/BC464)*Mat.PT_E.s))
-($M464*Mat.PT_f.pu*(1-Mat.PT_k*BC464/$P464))))</f>
        <v/>
      </c>
      <c r="BF464" s="329"/>
      <c r="BG464" s="167" t="str">
        <f>IF(ISBLANK(Inputs!$A72),"",
IF(BE464="--","Solved",
IF(ABS(BE464)&lt;=0.001,"Solved",BC464-BE464*(BC464-AY464)/(BE464-BA464))))</f>
        <v/>
      </c>
      <c r="BH464" s="167"/>
      <c r="BI464" s="329" t="str">
        <f>IF(ISBLANK(Inputs!$A72),"",
IF(OR(BG464="Solved",BG464="--"),"--",
((Mat.Conc_Alpha.1*Mat.Conc_f.c*$AB464*MIN(BG464*Mat.Conc_Beta.1,$Y464))
+(Mat.Conc_Alpha.1*Mat.Conc_f.c*$V464*MAX(0,BG464*Mat.Conc_Beta.1-$Y464)))
-($J464*MIN(Mat.Rebar_f.y,(Mat.Rebar_epsilon.cl*($S464-BG464)/BG464)*Mat.PT_E.s))
-($M464*Mat.PT_f.pu*(1-Mat.PT_k*BG464/$P464))))</f>
        <v/>
      </c>
      <c r="BJ464" s="329"/>
      <c r="BK464" s="167" t="str">
        <f>IF(ISBLANK(Inputs!$A72),"",
IF(BI464="--","Solved",
IF(ABS(BI464)&lt;=0.001,"Solved",BG464-BI464*(BG464-BC464)/(BI464-BE464))))</f>
        <v/>
      </c>
      <c r="BL464" s="167"/>
      <c r="BM464" s="329" t="str">
        <f>IF(ISBLANK(Inputs!$A72),"",
IF(OR(BK464="Solved",BK464="--"),"--",
((Mat.Conc_Alpha.1*Mat.Conc_f.c*$AB464*MIN(BK464*Mat.Conc_Beta.1,$Y464))
+(Mat.Conc_Alpha.1*Mat.Conc_f.c*$V464*MAX(0,BK464*Mat.Conc_Beta.1-$Y464)))
-($J464*MIN(Mat.Rebar_f.y,(Mat.Rebar_epsilon.cl*($S464-BK464)/BK464)*Mat.PT_E.s))
-($M464*Mat.PT_f.pu*(1-Mat.PT_k*BK464/$P464))))</f>
        <v/>
      </c>
      <c r="BN464" s="329"/>
      <c r="BO464" s="167" t="str">
        <f>IF(ISBLANK(Inputs!$A72),"",
IF(BM464="--","Solved",
IF(ABS(BM464)&lt;=0.001,"Solved",BK464-BM464*(BK464-BG464)/(BM464-BI464))))</f>
        <v/>
      </c>
      <c r="BP464" s="167"/>
      <c r="BQ464" s="329" t="str">
        <f>IF(ISBLANK(Inputs!$A72),"",
IF(OR(BO464="Solved",BO464="--"),"--",
((Mat.Conc_Alpha.1*Mat.Conc_f.c*$AB464*MIN(BO464*Mat.Conc_Beta.1,$Y464))
+(Mat.Conc_Alpha.1*Mat.Conc_f.c*$V464*MAX(0,BO464*Mat.Conc_Beta.1-$Y464)))
-($J464*MIN(Mat.Rebar_f.y,(Mat.Rebar_epsilon.cl*($S464-BO464)/BO464)*Mat.PT_E.s))
-($M464*Mat.PT_f.pu*(1-Mat.PT_k*BO464/$P464))))</f>
        <v/>
      </c>
      <c r="BR464" s="329"/>
      <c r="BT464" s="98"/>
      <c r="BU464" s="70"/>
      <c r="BV464" s="70"/>
      <c r="BW464" s="8"/>
      <c r="BX464" s="8"/>
      <c r="BY464" s="8"/>
      <c r="BZ464" s="8"/>
      <c r="CA464" s="8"/>
      <c r="CB464" s="10"/>
    </row>
    <row r="465" spans="3:80" ht="15" customHeight="1" x14ac:dyDescent="0.25">
      <c r="C465" s="69"/>
      <c r="F465" s="167" t="str">
        <f>IF(ISBLANK(Inputs!A73),"",Inputs!A73)</f>
        <v/>
      </c>
      <c r="G465" s="167"/>
      <c r="H465" s="167" t="str">
        <f>IF(ISBLANK(Inputs!B73),"",Inputs!B73)</f>
        <v/>
      </c>
      <c r="I465" s="167"/>
      <c r="J465" s="168" t="str">
        <f>IF(ISBLANK(Inputs!G73),"",Inputs!G73)</f>
        <v/>
      </c>
      <c r="K465" s="168"/>
      <c r="L465" s="168"/>
      <c r="M465" s="168" t="str">
        <f>IF(ISBLANK(Inputs!D73),"",Inputs!D73)</f>
        <v/>
      </c>
      <c r="N465" s="168"/>
      <c r="O465" s="168"/>
      <c r="P465" s="168" t="str">
        <f>IF(ISBLANK(Inputs!F73),"",Inputs!F73)</f>
        <v/>
      </c>
      <c r="Q465" s="168"/>
      <c r="R465" s="168"/>
      <c r="S465" s="168" t="str">
        <f>IF(ISBLANK(Inputs!H73),"",Inputs!H73)</f>
        <v/>
      </c>
      <c r="T465" s="168"/>
      <c r="U465" s="168"/>
      <c r="V465" s="168" t="str">
        <f>IF(ISBLANK(Inputs!E73),"",Inputs!E73)</f>
        <v/>
      </c>
      <c r="W465" s="168"/>
      <c r="X465" s="168"/>
      <c r="Y465" s="168" t="str">
        <f>IF(ISBLANK(Inputs!I73),"",Inputs!I73)</f>
        <v/>
      </c>
      <c r="Z465" s="168"/>
      <c r="AA465" s="168"/>
      <c r="AB465" s="168">
        <f>IF(ISBLANK(Inputs!J73),"",Inputs!J73)</f>
        <v>96</v>
      </c>
      <c r="AC465" s="168"/>
      <c r="AD465" s="168"/>
      <c r="AE465" s="167" t="str">
        <f>IF(ISBLANK(Inputs!A73),"",Y465)</f>
        <v/>
      </c>
      <c r="AF465" s="167"/>
      <c r="AG465" s="329" t="str">
        <f>IF(ISBLANK(Inputs!$A73),"",
IF(OR(AE465="Solved",AE465="--"),"--",
((Mat.Conc_Alpha.1*Mat.Conc_f.c*$AB465*MIN(AE465*Mat.Conc_Beta.1,$Y465))
+(Mat.Conc_Alpha.1*Mat.Conc_f.c*$V465*MAX(0,AE465*Mat.Conc_Beta.1-$Y465)))
-($J465*MIN(Mat.Rebar_f.y,(Mat.Rebar_epsilon.cl*($S465-AE465)/AE465)*Mat.PT_E.s))
-($M465*Mat.PT_f.pu*(1-Mat.PT_k*AE465/$P465))))</f>
        <v/>
      </c>
      <c r="AH465" s="329"/>
      <c r="AI465" s="167" t="str">
        <f>IF(ISBLANK(Inputs!$A73),"",
IF(ABS(AG465)&lt;=0.001,"Solved",IF(AG465&gt;0,0.85*AE465,1.15*AE465)))</f>
        <v/>
      </c>
      <c r="AJ465" s="167"/>
      <c r="AK465" s="329" t="str">
        <f>IF(ISBLANK(Inputs!$A73),"",
IF(OR(AI465="Solved",AI465="--"),"--",
((Mat.Conc_Alpha.1*Mat.Conc_f.c*$AB465*MIN(AI465*Mat.Conc_Beta.1,$Y465))
+(Mat.Conc_Alpha.1*Mat.Conc_f.c*$V465*MAX(0,AI465*Mat.Conc_Beta.1-$Y465)))
-($J465*MIN(Mat.Rebar_f.y,(Mat.Rebar_epsilon.cl*($S465-AI465)/AI465)*Mat.PT_E.s))
-($M465*Mat.PT_f.pu*(1-Mat.PT_k*AI465/$P465))))</f>
        <v/>
      </c>
      <c r="AL465" s="329"/>
      <c r="AM465" s="167" t="str">
        <f>IF(ISBLANK(Inputs!$A73),"",
IF(AK465="--","Solved",
IF(ABS(AK465)&lt;=0.001,"Solved",AI465-AK465*(AI465-AE465)/(AK465-AG465))))</f>
        <v/>
      </c>
      <c r="AN465" s="167"/>
      <c r="AO465" s="329" t="str">
        <f>IF(ISBLANK(Inputs!$A73),"",
IF(OR(AM465="Solved",AM465="--"),"--",
((Mat.Conc_Alpha.1*Mat.Conc_f.c*$AB465*MIN(AM465*Mat.Conc_Beta.1,$Y465))
+(Mat.Conc_Alpha.1*Mat.Conc_f.c*$V465*MAX(0,AM465*Mat.Conc_Beta.1-$Y465)))
-($J465*MIN(Mat.Rebar_f.y,(Mat.Rebar_epsilon.cl*($S465-AM465)/AM465)*Mat.PT_E.s))
-($M465*Mat.PT_f.pu*(1-Mat.PT_k*AM465/$P465))))</f>
        <v/>
      </c>
      <c r="AP465" s="329"/>
      <c r="AQ465" s="167" t="str">
        <f>IF(ISBLANK(Inputs!$A73),"",
IF(AO465="--","Solved",
IF(ABS(AO465)&lt;=0.001,"Solved",AM465-AO465*(AM465-AI465)/(AO465-AK465))))</f>
        <v/>
      </c>
      <c r="AR465" s="167"/>
      <c r="AS465" s="329" t="str">
        <f>IF(ISBLANK(Inputs!$A73),"",
IF(OR(AQ465="Solved",AQ465="--"),"--",
((Mat.Conc_Alpha.1*Mat.Conc_f.c*$AB465*MIN(AQ465*Mat.Conc_Beta.1,$Y465))
+(Mat.Conc_Alpha.1*Mat.Conc_f.c*$V465*MAX(0,AQ465*Mat.Conc_Beta.1-$Y465)))
-($J465*MIN(Mat.Rebar_f.y,(Mat.Rebar_epsilon.cl*($S465-AQ465)/AQ465)*Mat.PT_E.s))
-($M465*Mat.PT_f.pu*(1-Mat.PT_k*AQ465/$P465))))</f>
        <v/>
      </c>
      <c r="AT465" s="329"/>
      <c r="AU465" s="167" t="str">
        <f>IF(ISBLANK(Inputs!$A73),"",
IF(AS465="--","Solved",
IF(ABS(AS465)&lt;=0.001,"Solved",AQ465-AS465*(AQ465-AM465)/(AS465-AO465))))</f>
        <v/>
      </c>
      <c r="AV465" s="167"/>
      <c r="AW465" s="329" t="str">
        <f>IF(ISBLANK(Inputs!$A73),"",
IF(OR(AU465="Solved",AU465="--"),"--",
((Mat.Conc_Alpha.1*Mat.Conc_f.c*$AB465*MIN(AU465*Mat.Conc_Beta.1,$Y465))
+(Mat.Conc_Alpha.1*Mat.Conc_f.c*$V465*MAX(0,AU465*Mat.Conc_Beta.1-$Y465)))
-($J465*MIN(Mat.Rebar_f.y,(Mat.Rebar_epsilon.cl*($S465-AU465)/AU465)*Mat.PT_E.s))
-($M465*Mat.PT_f.pu*(1-Mat.PT_k*AU465/$P465))))</f>
        <v/>
      </c>
      <c r="AX465" s="329"/>
      <c r="AY465" s="167" t="str">
        <f>IF(ISBLANK(Inputs!$A73),"",
IF(AW465="--","Solved",
IF(ABS(AW465)&lt;=0.001,"Solved",AU465-AW465*(AU465-AQ465)/(AW465-AS465))))</f>
        <v/>
      </c>
      <c r="AZ465" s="167"/>
      <c r="BA465" s="329" t="str">
        <f>IF(ISBLANK(Inputs!$A73),"",
IF(OR(AY465="Solved",AY465="--"),"--",
((Mat.Conc_Alpha.1*Mat.Conc_f.c*$AB465*MIN(AY465*Mat.Conc_Beta.1,$Y465))
+(Mat.Conc_Alpha.1*Mat.Conc_f.c*$V465*MAX(0,AY465*Mat.Conc_Beta.1-$Y465)))
-($J465*MIN(Mat.Rebar_f.y,(Mat.Rebar_epsilon.cl*($S465-AY465)/AY465)*Mat.PT_E.s))
-($M465*Mat.PT_f.pu*(1-Mat.PT_k*AY465/$P465))))</f>
        <v/>
      </c>
      <c r="BB465" s="329"/>
      <c r="BC465" s="167" t="str">
        <f>IF(ISBLANK(Inputs!$A73),"",
IF(BA465="--","Solved",
IF(ABS(BA465)&lt;=0.001,"Solved",AY465-BA465*(AY465-AU465)/(BA465-AW465))))</f>
        <v/>
      </c>
      <c r="BD465" s="167"/>
      <c r="BE465" s="329" t="str">
        <f>IF(ISBLANK(Inputs!$A73),"",
IF(OR(BC465="Solved",BC465="--"),"--",
((Mat.Conc_Alpha.1*Mat.Conc_f.c*$AB465*MIN(BC465*Mat.Conc_Beta.1,$Y465))
+(Mat.Conc_Alpha.1*Mat.Conc_f.c*$V465*MAX(0,BC465*Mat.Conc_Beta.1-$Y465)))
-($J465*MIN(Mat.Rebar_f.y,(Mat.Rebar_epsilon.cl*($S465-BC465)/BC465)*Mat.PT_E.s))
-($M465*Mat.PT_f.pu*(1-Mat.PT_k*BC465/$P465))))</f>
        <v/>
      </c>
      <c r="BF465" s="329"/>
      <c r="BG465" s="167" t="str">
        <f>IF(ISBLANK(Inputs!$A73),"",
IF(BE465="--","Solved",
IF(ABS(BE465)&lt;=0.001,"Solved",BC465-BE465*(BC465-AY465)/(BE465-BA465))))</f>
        <v/>
      </c>
      <c r="BH465" s="167"/>
      <c r="BI465" s="329" t="str">
        <f>IF(ISBLANK(Inputs!$A73),"",
IF(OR(BG465="Solved",BG465="--"),"--",
((Mat.Conc_Alpha.1*Mat.Conc_f.c*$AB465*MIN(BG465*Mat.Conc_Beta.1,$Y465))
+(Mat.Conc_Alpha.1*Mat.Conc_f.c*$V465*MAX(0,BG465*Mat.Conc_Beta.1-$Y465)))
-($J465*MIN(Mat.Rebar_f.y,(Mat.Rebar_epsilon.cl*($S465-BG465)/BG465)*Mat.PT_E.s))
-($M465*Mat.PT_f.pu*(1-Mat.PT_k*BG465/$P465))))</f>
        <v/>
      </c>
      <c r="BJ465" s="329"/>
      <c r="BK465" s="167" t="str">
        <f>IF(ISBLANK(Inputs!$A73),"",
IF(BI465="--","Solved",
IF(ABS(BI465)&lt;=0.001,"Solved",BG465-BI465*(BG465-BC465)/(BI465-BE465))))</f>
        <v/>
      </c>
      <c r="BL465" s="167"/>
      <c r="BM465" s="329" t="str">
        <f>IF(ISBLANK(Inputs!$A73),"",
IF(OR(BK465="Solved",BK465="--"),"--",
((Mat.Conc_Alpha.1*Mat.Conc_f.c*$AB465*MIN(BK465*Mat.Conc_Beta.1,$Y465))
+(Mat.Conc_Alpha.1*Mat.Conc_f.c*$V465*MAX(0,BK465*Mat.Conc_Beta.1-$Y465)))
-($J465*MIN(Mat.Rebar_f.y,(Mat.Rebar_epsilon.cl*($S465-BK465)/BK465)*Mat.PT_E.s))
-($M465*Mat.PT_f.pu*(1-Mat.PT_k*BK465/$P465))))</f>
        <v/>
      </c>
      <c r="BN465" s="329"/>
      <c r="BO465" s="167" t="str">
        <f>IF(ISBLANK(Inputs!$A73),"",
IF(BM465="--","Solved",
IF(ABS(BM465)&lt;=0.001,"Solved",BK465-BM465*(BK465-BG465)/(BM465-BI465))))</f>
        <v/>
      </c>
      <c r="BP465" s="167"/>
      <c r="BQ465" s="329" t="str">
        <f>IF(ISBLANK(Inputs!$A73),"",
IF(OR(BO465="Solved",BO465="--"),"--",
((Mat.Conc_Alpha.1*Mat.Conc_f.c*$AB465*MIN(BO465*Mat.Conc_Beta.1,$Y465))
+(Mat.Conc_Alpha.1*Mat.Conc_f.c*$V465*MAX(0,BO465*Mat.Conc_Beta.1-$Y465)))
-($J465*MIN(Mat.Rebar_f.y,(Mat.Rebar_epsilon.cl*($S465-BO465)/BO465)*Mat.PT_E.s))
-($M465*Mat.PT_f.pu*(1-Mat.PT_k*BO465/$P465))))</f>
        <v/>
      </c>
      <c r="BR465" s="329"/>
      <c r="BT465" s="98"/>
      <c r="BU465" s="70"/>
      <c r="BV465" s="70"/>
      <c r="BW465" s="8"/>
      <c r="BX465" s="8"/>
      <c r="BY465" s="8"/>
      <c r="BZ465" s="8"/>
      <c r="CA465" s="8"/>
      <c r="CB465" s="10"/>
    </row>
    <row r="466" spans="3:80" ht="15" customHeight="1" x14ac:dyDescent="0.25">
      <c r="C466" s="69"/>
      <c r="F466" s="167" t="str">
        <f>IF(ISBLANK(Inputs!A74),"",Inputs!A74)</f>
        <v/>
      </c>
      <c r="G466" s="167"/>
      <c r="H466" s="167" t="str">
        <f>IF(ISBLANK(Inputs!B74),"",Inputs!B74)</f>
        <v/>
      </c>
      <c r="I466" s="167"/>
      <c r="J466" s="168" t="str">
        <f>IF(ISBLANK(Inputs!G74),"",Inputs!G74)</f>
        <v/>
      </c>
      <c r="K466" s="168"/>
      <c r="L466" s="168"/>
      <c r="M466" s="168" t="str">
        <f>IF(ISBLANK(Inputs!D74),"",Inputs!D74)</f>
        <v/>
      </c>
      <c r="N466" s="168"/>
      <c r="O466" s="168"/>
      <c r="P466" s="168" t="str">
        <f>IF(ISBLANK(Inputs!F74),"",Inputs!F74)</f>
        <v/>
      </c>
      <c r="Q466" s="168"/>
      <c r="R466" s="168"/>
      <c r="S466" s="168" t="str">
        <f>IF(ISBLANK(Inputs!H74),"",Inputs!H74)</f>
        <v/>
      </c>
      <c r="T466" s="168"/>
      <c r="U466" s="168"/>
      <c r="V466" s="168" t="str">
        <f>IF(ISBLANK(Inputs!E74),"",Inputs!E74)</f>
        <v/>
      </c>
      <c r="W466" s="168"/>
      <c r="X466" s="168"/>
      <c r="Y466" s="168" t="str">
        <f>IF(ISBLANK(Inputs!I74),"",Inputs!I74)</f>
        <v/>
      </c>
      <c r="Z466" s="168"/>
      <c r="AA466" s="168"/>
      <c r="AB466" s="168">
        <f>IF(ISBLANK(Inputs!J74),"",Inputs!J74)</f>
        <v>96</v>
      </c>
      <c r="AC466" s="168"/>
      <c r="AD466" s="168"/>
      <c r="AE466" s="167" t="str">
        <f>IF(ISBLANK(Inputs!A74),"",Y466)</f>
        <v/>
      </c>
      <c r="AF466" s="167"/>
      <c r="AG466" s="329" t="str">
        <f>IF(ISBLANK(Inputs!$A74),"",
IF(OR(AE466="Solved",AE466="--"),"--",
((Mat.Conc_Alpha.1*Mat.Conc_f.c*$AB466*MIN(AE466*Mat.Conc_Beta.1,$Y466))
+(Mat.Conc_Alpha.1*Mat.Conc_f.c*$V466*MAX(0,AE466*Mat.Conc_Beta.1-$Y466)))
-($J466*MIN(Mat.Rebar_f.y,(Mat.Rebar_epsilon.cl*($S466-AE466)/AE466)*Mat.PT_E.s))
-($M466*Mat.PT_f.pu*(1-Mat.PT_k*AE466/$P466))))</f>
        <v/>
      </c>
      <c r="AH466" s="329"/>
      <c r="AI466" s="167" t="str">
        <f>IF(ISBLANK(Inputs!$A74),"",
IF(ABS(AG466)&lt;=0.001,"Solved",IF(AG466&gt;0,0.85*AE466,1.15*AE466)))</f>
        <v/>
      </c>
      <c r="AJ466" s="167"/>
      <c r="AK466" s="329" t="str">
        <f>IF(ISBLANK(Inputs!$A74),"",
IF(OR(AI466="Solved",AI466="--"),"--",
((Mat.Conc_Alpha.1*Mat.Conc_f.c*$AB466*MIN(AI466*Mat.Conc_Beta.1,$Y466))
+(Mat.Conc_Alpha.1*Mat.Conc_f.c*$V466*MAX(0,AI466*Mat.Conc_Beta.1-$Y466)))
-($J466*MIN(Mat.Rebar_f.y,(Mat.Rebar_epsilon.cl*($S466-AI466)/AI466)*Mat.PT_E.s))
-($M466*Mat.PT_f.pu*(1-Mat.PT_k*AI466/$P466))))</f>
        <v/>
      </c>
      <c r="AL466" s="329"/>
      <c r="AM466" s="167" t="str">
        <f>IF(ISBLANK(Inputs!$A74),"",
IF(AK466="--","Solved",
IF(ABS(AK466)&lt;=0.001,"Solved",AI466-AK466*(AI466-AE466)/(AK466-AG466))))</f>
        <v/>
      </c>
      <c r="AN466" s="167"/>
      <c r="AO466" s="329" t="str">
        <f>IF(ISBLANK(Inputs!$A74),"",
IF(OR(AM466="Solved",AM466="--"),"--",
((Mat.Conc_Alpha.1*Mat.Conc_f.c*$AB466*MIN(AM466*Mat.Conc_Beta.1,$Y466))
+(Mat.Conc_Alpha.1*Mat.Conc_f.c*$V466*MAX(0,AM466*Mat.Conc_Beta.1-$Y466)))
-($J466*MIN(Mat.Rebar_f.y,(Mat.Rebar_epsilon.cl*($S466-AM466)/AM466)*Mat.PT_E.s))
-($M466*Mat.PT_f.pu*(1-Mat.PT_k*AM466/$P466))))</f>
        <v/>
      </c>
      <c r="AP466" s="329"/>
      <c r="AQ466" s="167" t="str">
        <f>IF(ISBLANK(Inputs!$A74),"",
IF(AO466="--","Solved",
IF(ABS(AO466)&lt;=0.001,"Solved",AM466-AO466*(AM466-AI466)/(AO466-AK466))))</f>
        <v/>
      </c>
      <c r="AR466" s="167"/>
      <c r="AS466" s="329" t="str">
        <f>IF(ISBLANK(Inputs!$A74),"",
IF(OR(AQ466="Solved",AQ466="--"),"--",
((Mat.Conc_Alpha.1*Mat.Conc_f.c*$AB466*MIN(AQ466*Mat.Conc_Beta.1,$Y466))
+(Mat.Conc_Alpha.1*Mat.Conc_f.c*$V466*MAX(0,AQ466*Mat.Conc_Beta.1-$Y466)))
-($J466*MIN(Mat.Rebar_f.y,(Mat.Rebar_epsilon.cl*($S466-AQ466)/AQ466)*Mat.PT_E.s))
-($M466*Mat.PT_f.pu*(1-Mat.PT_k*AQ466/$P466))))</f>
        <v/>
      </c>
      <c r="AT466" s="329"/>
      <c r="AU466" s="167" t="str">
        <f>IF(ISBLANK(Inputs!$A74),"",
IF(AS466="--","Solved",
IF(ABS(AS466)&lt;=0.001,"Solved",AQ466-AS466*(AQ466-AM466)/(AS466-AO466))))</f>
        <v/>
      </c>
      <c r="AV466" s="167"/>
      <c r="AW466" s="329" t="str">
        <f>IF(ISBLANK(Inputs!$A74),"",
IF(OR(AU466="Solved",AU466="--"),"--",
((Mat.Conc_Alpha.1*Mat.Conc_f.c*$AB466*MIN(AU466*Mat.Conc_Beta.1,$Y466))
+(Mat.Conc_Alpha.1*Mat.Conc_f.c*$V466*MAX(0,AU466*Mat.Conc_Beta.1-$Y466)))
-($J466*MIN(Mat.Rebar_f.y,(Mat.Rebar_epsilon.cl*($S466-AU466)/AU466)*Mat.PT_E.s))
-($M466*Mat.PT_f.pu*(1-Mat.PT_k*AU466/$P466))))</f>
        <v/>
      </c>
      <c r="AX466" s="329"/>
      <c r="AY466" s="167" t="str">
        <f>IF(ISBLANK(Inputs!$A74),"",
IF(AW466="--","Solved",
IF(ABS(AW466)&lt;=0.001,"Solved",AU466-AW466*(AU466-AQ466)/(AW466-AS466))))</f>
        <v/>
      </c>
      <c r="AZ466" s="167"/>
      <c r="BA466" s="329" t="str">
        <f>IF(ISBLANK(Inputs!$A74),"",
IF(OR(AY466="Solved",AY466="--"),"--",
((Mat.Conc_Alpha.1*Mat.Conc_f.c*$AB466*MIN(AY466*Mat.Conc_Beta.1,$Y466))
+(Mat.Conc_Alpha.1*Mat.Conc_f.c*$V466*MAX(0,AY466*Mat.Conc_Beta.1-$Y466)))
-($J466*MIN(Mat.Rebar_f.y,(Mat.Rebar_epsilon.cl*($S466-AY466)/AY466)*Mat.PT_E.s))
-($M466*Mat.PT_f.pu*(1-Mat.PT_k*AY466/$P466))))</f>
        <v/>
      </c>
      <c r="BB466" s="329"/>
      <c r="BC466" s="167" t="str">
        <f>IF(ISBLANK(Inputs!$A74),"",
IF(BA466="--","Solved",
IF(ABS(BA466)&lt;=0.001,"Solved",AY466-BA466*(AY466-AU466)/(BA466-AW466))))</f>
        <v/>
      </c>
      <c r="BD466" s="167"/>
      <c r="BE466" s="329" t="str">
        <f>IF(ISBLANK(Inputs!$A74),"",
IF(OR(BC466="Solved",BC466="--"),"--",
((Mat.Conc_Alpha.1*Mat.Conc_f.c*$AB466*MIN(BC466*Mat.Conc_Beta.1,$Y466))
+(Mat.Conc_Alpha.1*Mat.Conc_f.c*$V466*MAX(0,BC466*Mat.Conc_Beta.1-$Y466)))
-($J466*MIN(Mat.Rebar_f.y,(Mat.Rebar_epsilon.cl*($S466-BC466)/BC466)*Mat.PT_E.s))
-($M466*Mat.PT_f.pu*(1-Mat.PT_k*BC466/$P466))))</f>
        <v/>
      </c>
      <c r="BF466" s="329"/>
      <c r="BG466" s="167" t="str">
        <f>IF(ISBLANK(Inputs!$A74),"",
IF(BE466="--","Solved",
IF(ABS(BE466)&lt;=0.001,"Solved",BC466-BE466*(BC466-AY466)/(BE466-BA466))))</f>
        <v/>
      </c>
      <c r="BH466" s="167"/>
      <c r="BI466" s="329" t="str">
        <f>IF(ISBLANK(Inputs!$A74),"",
IF(OR(BG466="Solved",BG466="--"),"--",
((Mat.Conc_Alpha.1*Mat.Conc_f.c*$AB466*MIN(BG466*Mat.Conc_Beta.1,$Y466))
+(Mat.Conc_Alpha.1*Mat.Conc_f.c*$V466*MAX(0,BG466*Mat.Conc_Beta.1-$Y466)))
-($J466*MIN(Mat.Rebar_f.y,(Mat.Rebar_epsilon.cl*($S466-BG466)/BG466)*Mat.PT_E.s))
-($M466*Mat.PT_f.pu*(1-Mat.PT_k*BG466/$P466))))</f>
        <v/>
      </c>
      <c r="BJ466" s="329"/>
      <c r="BK466" s="167" t="str">
        <f>IF(ISBLANK(Inputs!$A74),"",
IF(BI466="--","Solved",
IF(ABS(BI466)&lt;=0.001,"Solved",BG466-BI466*(BG466-BC466)/(BI466-BE466))))</f>
        <v/>
      </c>
      <c r="BL466" s="167"/>
      <c r="BM466" s="329" t="str">
        <f>IF(ISBLANK(Inputs!$A74),"",
IF(OR(BK466="Solved",BK466="--"),"--",
((Mat.Conc_Alpha.1*Mat.Conc_f.c*$AB466*MIN(BK466*Mat.Conc_Beta.1,$Y466))
+(Mat.Conc_Alpha.1*Mat.Conc_f.c*$V466*MAX(0,BK466*Mat.Conc_Beta.1-$Y466)))
-($J466*MIN(Mat.Rebar_f.y,(Mat.Rebar_epsilon.cl*($S466-BK466)/BK466)*Mat.PT_E.s))
-($M466*Mat.PT_f.pu*(1-Mat.PT_k*BK466/$P466))))</f>
        <v/>
      </c>
      <c r="BN466" s="329"/>
      <c r="BO466" s="167" t="str">
        <f>IF(ISBLANK(Inputs!$A74),"",
IF(BM466="--","Solved",
IF(ABS(BM466)&lt;=0.001,"Solved",BK466-BM466*(BK466-BG466)/(BM466-BI466))))</f>
        <v/>
      </c>
      <c r="BP466" s="167"/>
      <c r="BQ466" s="329" t="str">
        <f>IF(ISBLANK(Inputs!$A74),"",
IF(OR(BO466="Solved",BO466="--"),"--",
((Mat.Conc_Alpha.1*Mat.Conc_f.c*$AB466*MIN(BO466*Mat.Conc_Beta.1,$Y466))
+(Mat.Conc_Alpha.1*Mat.Conc_f.c*$V466*MAX(0,BO466*Mat.Conc_Beta.1-$Y466)))
-($J466*MIN(Mat.Rebar_f.y,(Mat.Rebar_epsilon.cl*($S466-BO466)/BO466)*Mat.PT_E.s))
-($M466*Mat.PT_f.pu*(1-Mat.PT_k*BO466/$P466))))</f>
        <v/>
      </c>
      <c r="BR466" s="329"/>
      <c r="BT466" s="98"/>
      <c r="BU466" s="70"/>
      <c r="BV466" s="70"/>
      <c r="BW466" s="8"/>
      <c r="BX466" s="8"/>
      <c r="BY466" s="8"/>
      <c r="BZ466" s="8"/>
      <c r="CA466" s="8"/>
      <c r="CB466" s="10"/>
    </row>
    <row r="467" spans="3:80" ht="15" customHeight="1" x14ac:dyDescent="0.25">
      <c r="C467" s="69"/>
      <c r="F467" s="167" t="str">
        <f>IF(ISBLANK(Inputs!A75),"",Inputs!A75)</f>
        <v/>
      </c>
      <c r="G467" s="167"/>
      <c r="H467" s="167" t="str">
        <f>IF(ISBLANK(Inputs!B75),"",Inputs!B75)</f>
        <v/>
      </c>
      <c r="I467" s="167"/>
      <c r="J467" s="168" t="str">
        <f>IF(ISBLANK(Inputs!G75),"",Inputs!G75)</f>
        <v/>
      </c>
      <c r="K467" s="168"/>
      <c r="L467" s="168"/>
      <c r="M467" s="168" t="str">
        <f>IF(ISBLANK(Inputs!D75),"",Inputs!D75)</f>
        <v/>
      </c>
      <c r="N467" s="168"/>
      <c r="O467" s="168"/>
      <c r="P467" s="168" t="str">
        <f>IF(ISBLANK(Inputs!F75),"",Inputs!F75)</f>
        <v/>
      </c>
      <c r="Q467" s="168"/>
      <c r="R467" s="168"/>
      <c r="S467" s="168" t="str">
        <f>IF(ISBLANK(Inputs!H75),"",Inputs!H75)</f>
        <v/>
      </c>
      <c r="T467" s="168"/>
      <c r="U467" s="168"/>
      <c r="V467" s="168" t="str">
        <f>IF(ISBLANK(Inputs!E75),"",Inputs!E75)</f>
        <v/>
      </c>
      <c r="W467" s="168"/>
      <c r="X467" s="168"/>
      <c r="Y467" s="168" t="str">
        <f>IF(ISBLANK(Inputs!I75),"",Inputs!I75)</f>
        <v/>
      </c>
      <c r="Z467" s="168"/>
      <c r="AA467" s="168"/>
      <c r="AB467" s="168">
        <f>IF(ISBLANK(Inputs!J75),"",Inputs!J75)</f>
        <v>96</v>
      </c>
      <c r="AC467" s="168"/>
      <c r="AD467" s="168"/>
      <c r="AE467" s="167" t="str">
        <f>IF(ISBLANK(Inputs!A75),"",Y467)</f>
        <v/>
      </c>
      <c r="AF467" s="167"/>
      <c r="AG467" s="329" t="str">
        <f>IF(ISBLANK(Inputs!$A75),"",
IF(OR(AE467="Solved",AE467="--"),"--",
((Mat.Conc_Alpha.1*Mat.Conc_f.c*$AB467*MIN(AE467*Mat.Conc_Beta.1,$Y467))
+(Mat.Conc_Alpha.1*Mat.Conc_f.c*$V467*MAX(0,AE467*Mat.Conc_Beta.1-$Y467)))
-($J467*MIN(Mat.Rebar_f.y,(Mat.Rebar_epsilon.cl*($S467-AE467)/AE467)*Mat.PT_E.s))
-($M467*Mat.PT_f.pu*(1-Mat.PT_k*AE467/$P467))))</f>
        <v/>
      </c>
      <c r="AH467" s="329"/>
      <c r="AI467" s="167" t="str">
        <f>IF(ISBLANK(Inputs!$A75),"",
IF(ABS(AG467)&lt;=0.001,"Solved",IF(AG467&gt;0,0.85*AE467,1.15*AE467)))</f>
        <v/>
      </c>
      <c r="AJ467" s="167"/>
      <c r="AK467" s="329" t="str">
        <f>IF(ISBLANK(Inputs!$A75),"",
IF(OR(AI467="Solved",AI467="--"),"--",
((Mat.Conc_Alpha.1*Mat.Conc_f.c*$AB467*MIN(AI467*Mat.Conc_Beta.1,$Y467))
+(Mat.Conc_Alpha.1*Mat.Conc_f.c*$V467*MAX(0,AI467*Mat.Conc_Beta.1-$Y467)))
-($J467*MIN(Mat.Rebar_f.y,(Mat.Rebar_epsilon.cl*($S467-AI467)/AI467)*Mat.PT_E.s))
-($M467*Mat.PT_f.pu*(1-Mat.PT_k*AI467/$P467))))</f>
        <v/>
      </c>
      <c r="AL467" s="329"/>
      <c r="AM467" s="167" t="str">
        <f>IF(ISBLANK(Inputs!$A75),"",
IF(AK467="--","Solved",
IF(ABS(AK467)&lt;=0.001,"Solved",AI467-AK467*(AI467-AE467)/(AK467-AG467))))</f>
        <v/>
      </c>
      <c r="AN467" s="167"/>
      <c r="AO467" s="329" t="str">
        <f>IF(ISBLANK(Inputs!$A75),"",
IF(OR(AM467="Solved",AM467="--"),"--",
((Mat.Conc_Alpha.1*Mat.Conc_f.c*$AB467*MIN(AM467*Mat.Conc_Beta.1,$Y467))
+(Mat.Conc_Alpha.1*Mat.Conc_f.c*$V467*MAX(0,AM467*Mat.Conc_Beta.1-$Y467)))
-($J467*MIN(Mat.Rebar_f.y,(Mat.Rebar_epsilon.cl*($S467-AM467)/AM467)*Mat.PT_E.s))
-($M467*Mat.PT_f.pu*(1-Mat.PT_k*AM467/$P467))))</f>
        <v/>
      </c>
      <c r="AP467" s="329"/>
      <c r="AQ467" s="167" t="str">
        <f>IF(ISBLANK(Inputs!$A75),"",
IF(AO467="--","Solved",
IF(ABS(AO467)&lt;=0.001,"Solved",AM467-AO467*(AM467-AI467)/(AO467-AK467))))</f>
        <v/>
      </c>
      <c r="AR467" s="167"/>
      <c r="AS467" s="329" t="str">
        <f>IF(ISBLANK(Inputs!$A75),"",
IF(OR(AQ467="Solved",AQ467="--"),"--",
((Mat.Conc_Alpha.1*Mat.Conc_f.c*$AB467*MIN(AQ467*Mat.Conc_Beta.1,$Y467))
+(Mat.Conc_Alpha.1*Mat.Conc_f.c*$V467*MAX(0,AQ467*Mat.Conc_Beta.1-$Y467)))
-($J467*MIN(Mat.Rebar_f.y,(Mat.Rebar_epsilon.cl*($S467-AQ467)/AQ467)*Mat.PT_E.s))
-($M467*Mat.PT_f.pu*(1-Mat.PT_k*AQ467/$P467))))</f>
        <v/>
      </c>
      <c r="AT467" s="329"/>
      <c r="AU467" s="167" t="str">
        <f>IF(ISBLANK(Inputs!$A75),"",
IF(AS467="--","Solved",
IF(ABS(AS467)&lt;=0.001,"Solved",AQ467-AS467*(AQ467-AM467)/(AS467-AO467))))</f>
        <v/>
      </c>
      <c r="AV467" s="167"/>
      <c r="AW467" s="329" t="str">
        <f>IF(ISBLANK(Inputs!$A75),"",
IF(OR(AU467="Solved",AU467="--"),"--",
((Mat.Conc_Alpha.1*Mat.Conc_f.c*$AB467*MIN(AU467*Mat.Conc_Beta.1,$Y467))
+(Mat.Conc_Alpha.1*Mat.Conc_f.c*$V467*MAX(0,AU467*Mat.Conc_Beta.1-$Y467)))
-($J467*MIN(Mat.Rebar_f.y,(Mat.Rebar_epsilon.cl*($S467-AU467)/AU467)*Mat.PT_E.s))
-($M467*Mat.PT_f.pu*(1-Mat.PT_k*AU467/$P467))))</f>
        <v/>
      </c>
      <c r="AX467" s="329"/>
      <c r="AY467" s="167" t="str">
        <f>IF(ISBLANK(Inputs!$A75),"",
IF(AW467="--","Solved",
IF(ABS(AW467)&lt;=0.001,"Solved",AU467-AW467*(AU467-AQ467)/(AW467-AS467))))</f>
        <v/>
      </c>
      <c r="AZ467" s="167"/>
      <c r="BA467" s="329" t="str">
        <f>IF(ISBLANK(Inputs!$A75),"",
IF(OR(AY467="Solved",AY467="--"),"--",
((Mat.Conc_Alpha.1*Mat.Conc_f.c*$AB467*MIN(AY467*Mat.Conc_Beta.1,$Y467))
+(Mat.Conc_Alpha.1*Mat.Conc_f.c*$V467*MAX(0,AY467*Mat.Conc_Beta.1-$Y467)))
-($J467*MIN(Mat.Rebar_f.y,(Mat.Rebar_epsilon.cl*($S467-AY467)/AY467)*Mat.PT_E.s))
-($M467*Mat.PT_f.pu*(1-Mat.PT_k*AY467/$P467))))</f>
        <v/>
      </c>
      <c r="BB467" s="329"/>
      <c r="BC467" s="167" t="str">
        <f>IF(ISBLANK(Inputs!$A75),"",
IF(BA467="--","Solved",
IF(ABS(BA467)&lt;=0.001,"Solved",AY467-BA467*(AY467-AU467)/(BA467-AW467))))</f>
        <v/>
      </c>
      <c r="BD467" s="167"/>
      <c r="BE467" s="329" t="str">
        <f>IF(ISBLANK(Inputs!$A75),"",
IF(OR(BC467="Solved",BC467="--"),"--",
((Mat.Conc_Alpha.1*Mat.Conc_f.c*$AB467*MIN(BC467*Mat.Conc_Beta.1,$Y467))
+(Mat.Conc_Alpha.1*Mat.Conc_f.c*$V467*MAX(0,BC467*Mat.Conc_Beta.1-$Y467)))
-($J467*MIN(Mat.Rebar_f.y,(Mat.Rebar_epsilon.cl*($S467-BC467)/BC467)*Mat.PT_E.s))
-($M467*Mat.PT_f.pu*(1-Mat.PT_k*BC467/$P467))))</f>
        <v/>
      </c>
      <c r="BF467" s="329"/>
      <c r="BG467" s="167" t="str">
        <f>IF(ISBLANK(Inputs!$A75),"",
IF(BE467="--","Solved",
IF(ABS(BE467)&lt;=0.001,"Solved",BC467-BE467*(BC467-AY467)/(BE467-BA467))))</f>
        <v/>
      </c>
      <c r="BH467" s="167"/>
      <c r="BI467" s="329" t="str">
        <f>IF(ISBLANK(Inputs!$A75),"",
IF(OR(BG467="Solved",BG467="--"),"--",
((Mat.Conc_Alpha.1*Mat.Conc_f.c*$AB467*MIN(BG467*Mat.Conc_Beta.1,$Y467))
+(Mat.Conc_Alpha.1*Mat.Conc_f.c*$V467*MAX(0,BG467*Mat.Conc_Beta.1-$Y467)))
-($J467*MIN(Mat.Rebar_f.y,(Mat.Rebar_epsilon.cl*($S467-BG467)/BG467)*Mat.PT_E.s))
-($M467*Mat.PT_f.pu*(1-Mat.PT_k*BG467/$P467))))</f>
        <v/>
      </c>
      <c r="BJ467" s="329"/>
      <c r="BK467" s="167" t="str">
        <f>IF(ISBLANK(Inputs!$A75),"",
IF(BI467="--","Solved",
IF(ABS(BI467)&lt;=0.001,"Solved",BG467-BI467*(BG467-BC467)/(BI467-BE467))))</f>
        <v/>
      </c>
      <c r="BL467" s="167"/>
      <c r="BM467" s="329" t="str">
        <f>IF(ISBLANK(Inputs!$A75),"",
IF(OR(BK467="Solved",BK467="--"),"--",
((Mat.Conc_Alpha.1*Mat.Conc_f.c*$AB467*MIN(BK467*Mat.Conc_Beta.1,$Y467))
+(Mat.Conc_Alpha.1*Mat.Conc_f.c*$V467*MAX(0,BK467*Mat.Conc_Beta.1-$Y467)))
-($J467*MIN(Mat.Rebar_f.y,(Mat.Rebar_epsilon.cl*($S467-BK467)/BK467)*Mat.PT_E.s))
-($M467*Mat.PT_f.pu*(1-Mat.PT_k*BK467/$P467))))</f>
        <v/>
      </c>
      <c r="BN467" s="329"/>
      <c r="BO467" s="167" t="str">
        <f>IF(ISBLANK(Inputs!$A75),"",
IF(BM467="--","Solved",
IF(ABS(BM467)&lt;=0.001,"Solved",BK467-BM467*(BK467-BG467)/(BM467-BI467))))</f>
        <v/>
      </c>
      <c r="BP467" s="167"/>
      <c r="BQ467" s="329" t="str">
        <f>IF(ISBLANK(Inputs!$A75),"",
IF(OR(BO467="Solved",BO467="--"),"--",
((Mat.Conc_Alpha.1*Mat.Conc_f.c*$AB467*MIN(BO467*Mat.Conc_Beta.1,$Y467))
+(Mat.Conc_Alpha.1*Mat.Conc_f.c*$V467*MAX(0,BO467*Mat.Conc_Beta.1-$Y467)))
-($J467*MIN(Mat.Rebar_f.y,(Mat.Rebar_epsilon.cl*($S467-BO467)/BO467)*Mat.PT_E.s))
-($M467*Mat.PT_f.pu*(1-Mat.PT_k*BO467/$P467))))</f>
        <v/>
      </c>
      <c r="BR467" s="329"/>
      <c r="BT467" s="98"/>
      <c r="BU467" s="70"/>
      <c r="BV467" s="70"/>
      <c r="BW467" s="8"/>
      <c r="BX467" s="8"/>
      <c r="BY467" s="8"/>
      <c r="BZ467" s="8"/>
      <c r="CA467" s="8"/>
      <c r="CB467" s="10"/>
    </row>
    <row r="468" spans="3:80" ht="15" customHeight="1" x14ac:dyDescent="0.25">
      <c r="C468" s="69"/>
      <c r="F468" s="167" t="str">
        <f>IF(ISBLANK(Inputs!A76),"",Inputs!A76)</f>
        <v/>
      </c>
      <c r="G468" s="167"/>
      <c r="H468" s="167" t="str">
        <f>IF(ISBLANK(Inputs!B76),"",Inputs!B76)</f>
        <v/>
      </c>
      <c r="I468" s="167"/>
      <c r="J468" s="168" t="str">
        <f>IF(ISBLANK(Inputs!G76),"",Inputs!G76)</f>
        <v/>
      </c>
      <c r="K468" s="168"/>
      <c r="L468" s="168"/>
      <c r="M468" s="168" t="str">
        <f>IF(ISBLANK(Inputs!D76),"",Inputs!D76)</f>
        <v/>
      </c>
      <c r="N468" s="168"/>
      <c r="O468" s="168"/>
      <c r="P468" s="168" t="str">
        <f>IF(ISBLANK(Inputs!F76),"",Inputs!F76)</f>
        <v/>
      </c>
      <c r="Q468" s="168"/>
      <c r="R468" s="168"/>
      <c r="S468" s="168" t="str">
        <f>IF(ISBLANK(Inputs!H76),"",Inputs!H76)</f>
        <v/>
      </c>
      <c r="T468" s="168"/>
      <c r="U468" s="168"/>
      <c r="V468" s="168" t="str">
        <f>IF(ISBLANK(Inputs!E76),"",Inputs!E76)</f>
        <v/>
      </c>
      <c r="W468" s="168"/>
      <c r="X468" s="168"/>
      <c r="Y468" s="168" t="str">
        <f>IF(ISBLANK(Inputs!I76),"",Inputs!I76)</f>
        <v/>
      </c>
      <c r="Z468" s="168"/>
      <c r="AA468" s="168"/>
      <c r="AB468" s="168">
        <f>IF(ISBLANK(Inputs!J76),"",Inputs!J76)</f>
        <v>96</v>
      </c>
      <c r="AC468" s="168"/>
      <c r="AD468" s="168"/>
      <c r="AE468" s="167" t="str">
        <f>IF(ISBLANK(Inputs!A76),"",Y468)</f>
        <v/>
      </c>
      <c r="AF468" s="167"/>
      <c r="AG468" s="329" t="str">
        <f>IF(ISBLANK(Inputs!$A76),"",
IF(OR(AE468="Solved",AE468="--"),"--",
((Mat.Conc_Alpha.1*Mat.Conc_f.c*$AB468*MIN(AE468*Mat.Conc_Beta.1,$Y468))
+(Mat.Conc_Alpha.1*Mat.Conc_f.c*$V468*MAX(0,AE468*Mat.Conc_Beta.1-$Y468)))
-($J468*MIN(Mat.Rebar_f.y,(Mat.Rebar_epsilon.cl*($S468-AE468)/AE468)*Mat.PT_E.s))
-($M468*Mat.PT_f.pu*(1-Mat.PT_k*AE468/$P468))))</f>
        <v/>
      </c>
      <c r="AH468" s="329"/>
      <c r="AI468" s="167" t="str">
        <f>IF(ISBLANK(Inputs!$A76),"",
IF(ABS(AG468)&lt;=0.001,"Solved",IF(AG468&gt;0,0.85*AE468,1.15*AE468)))</f>
        <v/>
      </c>
      <c r="AJ468" s="167"/>
      <c r="AK468" s="329" t="str">
        <f>IF(ISBLANK(Inputs!$A76),"",
IF(OR(AI468="Solved",AI468="--"),"--",
((Mat.Conc_Alpha.1*Mat.Conc_f.c*$AB468*MIN(AI468*Mat.Conc_Beta.1,$Y468))
+(Mat.Conc_Alpha.1*Mat.Conc_f.c*$V468*MAX(0,AI468*Mat.Conc_Beta.1-$Y468)))
-($J468*MIN(Mat.Rebar_f.y,(Mat.Rebar_epsilon.cl*($S468-AI468)/AI468)*Mat.PT_E.s))
-($M468*Mat.PT_f.pu*(1-Mat.PT_k*AI468/$P468))))</f>
        <v/>
      </c>
      <c r="AL468" s="329"/>
      <c r="AM468" s="167" t="str">
        <f>IF(ISBLANK(Inputs!$A76),"",
IF(AK468="--","Solved",
IF(ABS(AK468)&lt;=0.001,"Solved",AI468-AK468*(AI468-AE468)/(AK468-AG468))))</f>
        <v/>
      </c>
      <c r="AN468" s="167"/>
      <c r="AO468" s="329" t="str">
        <f>IF(ISBLANK(Inputs!$A76),"",
IF(OR(AM468="Solved",AM468="--"),"--",
((Mat.Conc_Alpha.1*Mat.Conc_f.c*$AB468*MIN(AM468*Mat.Conc_Beta.1,$Y468))
+(Mat.Conc_Alpha.1*Mat.Conc_f.c*$V468*MAX(0,AM468*Mat.Conc_Beta.1-$Y468)))
-($J468*MIN(Mat.Rebar_f.y,(Mat.Rebar_epsilon.cl*($S468-AM468)/AM468)*Mat.PT_E.s))
-($M468*Mat.PT_f.pu*(1-Mat.PT_k*AM468/$P468))))</f>
        <v/>
      </c>
      <c r="AP468" s="329"/>
      <c r="AQ468" s="167" t="str">
        <f>IF(ISBLANK(Inputs!$A76),"",
IF(AO468="--","Solved",
IF(ABS(AO468)&lt;=0.001,"Solved",AM468-AO468*(AM468-AI468)/(AO468-AK468))))</f>
        <v/>
      </c>
      <c r="AR468" s="167"/>
      <c r="AS468" s="329" t="str">
        <f>IF(ISBLANK(Inputs!$A76),"",
IF(OR(AQ468="Solved",AQ468="--"),"--",
((Mat.Conc_Alpha.1*Mat.Conc_f.c*$AB468*MIN(AQ468*Mat.Conc_Beta.1,$Y468))
+(Mat.Conc_Alpha.1*Mat.Conc_f.c*$V468*MAX(0,AQ468*Mat.Conc_Beta.1-$Y468)))
-($J468*MIN(Mat.Rebar_f.y,(Mat.Rebar_epsilon.cl*($S468-AQ468)/AQ468)*Mat.PT_E.s))
-($M468*Mat.PT_f.pu*(1-Mat.PT_k*AQ468/$P468))))</f>
        <v/>
      </c>
      <c r="AT468" s="329"/>
      <c r="AU468" s="167" t="str">
        <f>IF(ISBLANK(Inputs!$A76),"",
IF(AS468="--","Solved",
IF(ABS(AS468)&lt;=0.001,"Solved",AQ468-AS468*(AQ468-AM468)/(AS468-AO468))))</f>
        <v/>
      </c>
      <c r="AV468" s="167"/>
      <c r="AW468" s="329" t="str">
        <f>IF(ISBLANK(Inputs!$A76),"",
IF(OR(AU468="Solved",AU468="--"),"--",
((Mat.Conc_Alpha.1*Mat.Conc_f.c*$AB468*MIN(AU468*Mat.Conc_Beta.1,$Y468))
+(Mat.Conc_Alpha.1*Mat.Conc_f.c*$V468*MAX(0,AU468*Mat.Conc_Beta.1-$Y468)))
-($J468*MIN(Mat.Rebar_f.y,(Mat.Rebar_epsilon.cl*($S468-AU468)/AU468)*Mat.PT_E.s))
-($M468*Mat.PT_f.pu*(1-Mat.PT_k*AU468/$P468))))</f>
        <v/>
      </c>
      <c r="AX468" s="329"/>
      <c r="AY468" s="167" t="str">
        <f>IF(ISBLANK(Inputs!$A76),"",
IF(AW468="--","Solved",
IF(ABS(AW468)&lt;=0.001,"Solved",AU468-AW468*(AU468-AQ468)/(AW468-AS468))))</f>
        <v/>
      </c>
      <c r="AZ468" s="167"/>
      <c r="BA468" s="329" t="str">
        <f>IF(ISBLANK(Inputs!$A76),"",
IF(OR(AY468="Solved",AY468="--"),"--",
((Mat.Conc_Alpha.1*Mat.Conc_f.c*$AB468*MIN(AY468*Mat.Conc_Beta.1,$Y468))
+(Mat.Conc_Alpha.1*Mat.Conc_f.c*$V468*MAX(0,AY468*Mat.Conc_Beta.1-$Y468)))
-($J468*MIN(Mat.Rebar_f.y,(Mat.Rebar_epsilon.cl*($S468-AY468)/AY468)*Mat.PT_E.s))
-($M468*Mat.PT_f.pu*(1-Mat.PT_k*AY468/$P468))))</f>
        <v/>
      </c>
      <c r="BB468" s="329"/>
      <c r="BC468" s="167" t="str">
        <f>IF(ISBLANK(Inputs!$A76),"",
IF(BA468="--","Solved",
IF(ABS(BA468)&lt;=0.001,"Solved",AY468-BA468*(AY468-AU468)/(BA468-AW468))))</f>
        <v/>
      </c>
      <c r="BD468" s="167"/>
      <c r="BE468" s="329" t="str">
        <f>IF(ISBLANK(Inputs!$A76),"",
IF(OR(BC468="Solved",BC468="--"),"--",
((Mat.Conc_Alpha.1*Mat.Conc_f.c*$AB468*MIN(BC468*Mat.Conc_Beta.1,$Y468))
+(Mat.Conc_Alpha.1*Mat.Conc_f.c*$V468*MAX(0,BC468*Mat.Conc_Beta.1-$Y468)))
-($J468*MIN(Mat.Rebar_f.y,(Mat.Rebar_epsilon.cl*($S468-BC468)/BC468)*Mat.PT_E.s))
-($M468*Mat.PT_f.pu*(1-Mat.PT_k*BC468/$P468))))</f>
        <v/>
      </c>
      <c r="BF468" s="329"/>
      <c r="BG468" s="167" t="str">
        <f>IF(ISBLANK(Inputs!$A76),"",
IF(BE468="--","Solved",
IF(ABS(BE468)&lt;=0.001,"Solved",BC468-BE468*(BC468-AY468)/(BE468-BA468))))</f>
        <v/>
      </c>
      <c r="BH468" s="167"/>
      <c r="BI468" s="329" t="str">
        <f>IF(ISBLANK(Inputs!$A76),"",
IF(OR(BG468="Solved",BG468="--"),"--",
((Mat.Conc_Alpha.1*Mat.Conc_f.c*$AB468*MIN(BG468*Mat.Conc_Beta.1,$Y468))
+(Mat.Conc_Alpha.1*Mat.Conc_f.c*$V468*MAX(0,BG468*Mat.Conc_Beta.1-$Y468)))
-($J468*MIN(Mat.Rebar_f.y,(Mat.Rebar_epsilon.cl*($S468-BG468)/BG468)*Mat.PT_E.s))
-($M468*Mat.PT_f.pu*(1-Mat.PT_k*BG468/$P468))))</f>
        <v/>
      </c>
      <c r="BJ468" s="329"/>
      <c r="BK468" s="167" t="str">
        <f>IF(ISBLANK(Inputs!$A76),"",
IF(BI468="--","Solved",
IF(ABS(BI468)&lt;=0.001,"Solved",BG468-BI468*(BG468-BC468)/(BI468-BE468))))</f>
        <v/>
      </c>
      <c r="BL468" s="167"/>
      <c r="BM468" s="329" t="str">
        <f>IF(ISBLANK(Inputs!$A76),"",
IF(OR(BK468="Solved",BK468="--"),"--",
((Mat.Conc_Alpha.1*Mat.Conc_f.c*$AB468*MIN(BK468*Mat.Conc_Beta.1,$Y468))
+(Mat.Conc_Alpha.1*Mat.Conc_f.c*$V468*MAX(0,BK468*Mat.Conc_Beta.1-$Y468)))
-($J468*MIN(Mat.Rebar_f.y,(Mat.Rebar_epsilon.cl*($S468-BK468)/BK468)*Mat.PT_E.s))
-($M468*Mat.PT_f.pu*(1-Mat.PT_k*BK468/$P468))))</f>
        <v/>
      </c>
      <c r="BN468" s="329"/>
      <c r="BO468" s="167" t="str">
        <f>IF(ISBLANK(Inputs!$A76),"",
IF(BM468="--","Solved",
IF(ABS(BM468)&lt;=0.001,"Solved",BK468-BM468*(BK468-BG468)/(BM468-BI468))))</f>
        <v/>
      </c>
      <c r="BP468" s="167"/>
      <c r="BQ468" s="329" t="str">
        <f>IF(ISBLANK(Inputs!$A76),"",
IF(OR(BO468="Solved",BO468="--"),"--",
((Mat.Conc_Alpha.1*Mat.Conc_f.c*$AB468*MIN(BO468*Mat.Conc_Beta.1,$Y468))
+(Mat.Conc_Alpha.1*Mat.Conc_f.c*$V468*MAX(0,BO468*Mat.Conc_Beta.1-$Y468)))
-($J468*MIN(Mat.Rebar_f.y,(Mat.Rebar_epsilon.cl*($S468-BO468)/BO468)*Mat.PT_E.s))
-($M468*Mat.PT_f.pu*(1-Mat.PT_k*BO468/$P468))))</f>
        <v/>
      </c>
      <c r="BR468" s="329"/>
      <c r="BT468" s="98"/>
      <c r="BU468" s="70"/>
      <c r="BV468" s="70"/>
      <c r="BW468" s="8"/>
      <c r="BX468" s="8"/>
      <c r="BY468" s="8"/>
      <c r="BZ468" s="8"/>
      <c r="CA468" s="8"/>
      <c r="CB468" s="10"/>
    </row>
    <row r="469" spans="3:80" ht="15" customHeight="1" x14ac:dyDescent="0.25">
      <c r="C469" s="69"/>
      <c r="F469" s="167" t="str">
        <f>IF(ISBLANK(Inputs!A77),"",Inputs!A77)</f>
        <v/>
      </c>
      <c r="G469" s="167"/>
      <c r="H469" s="167" t="str">
        <f>IF(ISBLANK(Inputs!B77),"",Inputs!B77)</f>
        <v/>
      </c>
      <c r="I469" s="167"/>
      <c r="J469" s="168" t="str">
        <f>IF(ISBLANK(Inputs!G77),"",Inputs!G77)</f>
        <v/>
      </c>
      <c r="K469" s="168"/>
      <c r="L469" s="168"/>
      <c r="M469" s="168" t="str">
        <f>IF(ISBLANK(Inputs!D77),"",Inputs!D77)</f>
        <v/>
      </c>
      <c r="N469" s="168"/>
      <c r="O469" s="168"/>
      <c r="P469" s="168" t="str">
        <f>IF(ISBLANK(Inputs!F77),"",Inputs!F77)</f>
        <v/>
      </c>
      <c r="Q469" s="168"/>
      <c r="R469" s="168"/>
      <c r="S469" s="168" t="str">
        <f>IF(ISBLANK(Inputs!H77),"",Inputs!H77)</f>
        <v/>
      </c>
      <c r="T469" s="168"/>
      <c r="U469" s="168"/>
      <c r="V469" s="168" t="str">
        <f>IF(ISBLANK(Inputs!E77),"",Inputs!E77)</f>
        <v/>
      </c>
      <c r="W469" s="168"/>
      <c r="X469" s="168"/>
      <c r="Y469" s="168" t="str">
        <f>IF(ISBLANK(Inputs!I77),"",Inputs!I77)</f>
        <v/>
      </c>
      <c r="Z469" s="168"/>
      <c r="AA469" s="168"/>
      <c r="AB469" s="168">
        <f>IF(ISBLANK(Inputs!J77),"",Inputs!J77)</f>
        <v>96</v>
      </c>
      <c r="AC469" s="168"/>
      <c r="AD469" s="168"/>
      <c r="AE469" s="167" t="str">
        <f>IF(ISBLANK(Inputs!A77),"",Y469)</f>
        <v/>
      </c>
      <c r="AF469" s="167"/>
      <c r="AG469" s="329" t="str">
        <f>IF(ISBLANK(Inputs!$A77),"",
IF(OR(AE469="Solved",AE469="--"),"--",
((Mat.Conc_Alpha.1*Mat.Conc_f.c*$AB469*MIN(AE469*Mat.Conc_Beta.1,$Y469))
+(Mat.Conc_Alpha.1*Mat.Conc_f.c*$V469*MAX(0,AE469*Mat.Conc_Beta.1-$Y469)))
-($J469*MIN(Mat.Rebar_f.y,(Mat.Rebar_epsilon.cl*($S469-AE469)/AE469)*Mat.PT_E.s))
-($M469*Mat.PT_f.pu*(1-Mat.PT_k*AE469/$P469))))</f>
        <v/>
      </c>
      <c r="AH469" s="329"/>
      <c r="AI469" s="167" t="str">
        <f>IF(ISBLANK(Inputs!$A77),"",
IF(ABS(AG469)&lt;=0.001,"Solved",IF(AG469&gt;0,0.85*AE469,1.15*AE469)))</f>
        <v/>
      </c>
      <c r="AJ469" s="167"/>
      <c r="AK469" s="329" t="str">
        <f>IF(ISBLANK(Inputs!$A77),"",
IF(OR(AI469="Solved",AI469="--"),"--",
((Mat.Conc_Alpha.1*Mat.Conc_f.c*$AB469*MIN(AI469*Mat.Conc_Beta.1,$Y469))
+(Mat.Conc_Alpha.1*Mat.Conc_f.c*$V469*MAX(0,AI469*Mat.Conc_Beta.1-$Y469)))
-($J469*MIN(Mat.Rebar_f.y,(Mat.Rebar_epsilon.cl*($S469-AI469)/AI469)*Mat.PT_E.s))
-($M469*Mat.PT_f.pu*(1-Mat.PT_k*AI469/$P469))))</f>
        <v/>
      </c>
      <c r="AL469" s="329"/>
      <c r="AM469" s="167" t="str">
        <f>IF(ISBLANK(Inputs!$A77),"",
IF(AK469="--","Solved",
IF(ABS(AK469)&lt;=0.001,"Solved",AI469-AK469*(AI469-AE469)/(AK469-AG469))))</f>
        <v/>
      </c>
      <c r="AN469" s="167"/>
      <c r="AO469" s="329" t="str">
        <f>IF(ISBLANK(Inputs!$A77),"",
IF(OR(AM469="Solved",AM469="--"),"--",
((Mat.Conc_Alpha.1*Mat.Conc_f.c*$AB469*MIN(AM469*Mat.Conc_Beta.1,$Y469))
+(Mat.Conc_Alpha.1*Mat.Conc_f.c*$V469*MAX(0,AM469*Mat.Conc_Beta.1-$Y469)))
-($J469*MIN(Mat.Rebar_f.y,(Mat.Rebar_epsilon.cl*($S469-AM469)/AM469)*Mat.PT_E.s))
-($M469*Mat.PT_f.pu*(1-Mat.PT_k*AM469/$P469))))</f>
        <v/>
      </c>
      <c r="AP469" s="329"/>
      <c r="AQ469" s="167" t="str">
        <f>IF(ISBLANK(Inputs!$A77),"",
IF(AO469="--","Solved",
IF(ABS(AO469)&lt;=0.001,"Solved",AM469-AO469*(AM469-AI469)/(AO469-AK469))))</f>
        <v/>
      </c>
      <c r="AR469" s="167"/>
      <c r="AS469" s="329" t="str">
        <f>IF(ISBLANK(Inputs!$A77),"",
IF(OR(AQ469="Solved",AQ469="--"),"--",
((Mat.Conc_Alpha.1*Mat.Conc_f.c*$AB469*MIN(AQ469*Mat.Conc_Beta.1,$Y469))
+(Mat.Conc_Alpha.1*Mat.Conc_f.c*$V469*MAX(0,AQ469*Mat.Conc_Beta.1-$Y469)))
-($J469*MIN(Mat.Rebar_f.y,(Mat.Rebar_epsilon.cl*($S469-AQ469)/AQ469)*Mat.PT_E.s))
-($M469*Mat.PT_f.pu*(1-Mat.PT_k*AQ469/$P469))))</f>
        <v/>
      </c>
      <c r="AT469" s="329"/>
      <c r="AU469" s="167" t="str">
        <f>IF(ISBLANK(Inputs!$A77),"",
IF(AS469="--","Solved",
IF(ABS(AS469)&lt;=0.001,"Solved",AQ469-AS469*(AQ469-AM469)/(AS469-AO469))))</f>
        <v/>
      </c>
      <c r="AV469" s="167"/>
      <c r="AW469" s="329" t="str">
        <f>IF(ISBLANK(Inputs!$A77),"",
IF(OR(AU469="Solved",AU469="--"),"--",
((Mat.Conc_Alpha.1*Mat.Conc_f.c*$AB469*MIN(AU469*Mat.Conc_Beta.1,$Y469))
+(Mat.Conc_Alpha.1*Mat.Conc_f.c*$V469*MAX(0,AU469*Mat.Conc_Beta.1-$Y469)))
-($J469*MIN(Mat.Rebar_f.y,(Mat.Rebar_epsilon.cl*($S469-AU469)/AU469)*Mat.PT_E.s))
-($M469*Mat.PT_f.pu*(1-Mat.PT_k*AU469/$P469))))</f>
        <v/>
      </c>
      <c r="AX469" s="329"/>
      <c r="AY469" s="167" t="str">
        <f>IF(ISBLANK(Inputs!$A77),"",
IF(AW469="--","Solved",
IF(ABS(AW469)&lt;=0.001,"Solved",AU469-AW469*(AU469-AQ469)/(AW469-AS469))))</f>
        <v/>
      </c>
      <c r="AZ469" s="167"/>
      <c r="BA469" s="329" t="str">
        <f>IF(ISBLANK(Inputs!$A77),"",
IF(OR(AY469="Solved",AY469="--"),"--",
((Mat.Conc_Alpha.1*Mat.Conc_f.c*$AB469*MIN(AY469*Mat.Conc_Beta.1,$Y469))
+(Mat.Conc_Alpha.1*Mat.Conc_f.c*$V469*MAX(0,AY469*Mat.Conc_Beta.1-$Y469)))
-($J469*MIN(Mat.Rebar_f.y,(Mat.Rebar_epsilon.cl*($S469-AY469)/AY469)*Mat.PT_E.s))
-($M469*Mat.PT_f.pu*(1-Mat.PT_k*AY469/$P469))))</f>
        <v/>
      </c>
      <c r="BB469" s="329"/>
      <c r="BC469" s="167" t="str">
        <f>IF(ISBLANK(Inputs!$A77),"",
IF(BA469="--","Solved",
IF(ABS(BA469)&lt;=0.001,"Solved",AY469-BA469*(AY469-AU469)/(BA469-AW469))))</f>
        <v/>
      </c>
      <c r="BD469" s="167"/>
      <c r="BE469" s="329" t="str">
        <f>IF(ISBLANK(Inputs!$A77),"",
IF(OR(BC469="Solved",BC469="--"),"--",
((Mat.Conc_Alpha.1*Mat.Conc_f.c*$AB469*MIN(BC469*Mat.Conc_Beta.1,$Y469))
+(Mat.Conc_Alpha.1*Mat.Conc_f.c*$V469*MAX(0,BC469*Mat.Conc_Beta.1-$Y469)))
-($J469*MIN(Mat.Rebar_f.y,(Mat.Rebar_epsilon.cl*($S469-BC469)/BC469)*Mat.PT_E.s))
-($M469*Mat.PT_f.pu*(1-Mat.PT_k*BC469/$P469))))</f>
        <v/>
      </c>
      <c r="BF469" s="329"/>
      <c r="BG469" s="167" t="str">
        <f>IF(ISBLANK(Inputs!$A77),"",
IF(BE469="--","Solved",
IF(ABS(BE469)&lt;=0.001,"Solved",BC469-BE469*(BC469-AY469)/(BE469-BA469))))</f>
        <v/>
      </c>
      <c r="BH469" s="167"/>
      <c r="BI469" s="329" t="str">
        <f>IF(ISBLANK(Inputs!$A77),"",
IF(OR(BG469="Solved",BG469="--"),"--",
((Mat.Conc_Alpha.1*Mat.Conc_f.c*$AB469*MIN(BG469*Mat.Conc_Beta.1,$Y469))
+(Mat.Conc_Alpha.1*Mat.Conc_f.c*$V469*MAX(0,BG469*Mat.Conc_Beta.1-$Y469)))
-($J469*MIN(Mat.Rebar_f.y,(Mat.Rebar_epsilon.cl*($S469-BG469)/BG469)*Mat.PT_E.s))
-($M469*Mat.PT_f.pu*(1-Mat.PT_k*BG469/$P469))))</f>
        <v/>
      </c>
      <c r="BJ469" s="329"/>
      <c r="BK469" s="167" t="str">
        <f>IF(ISBLANK(Inputs!$A77),"",
IF(BI469="--","Solved",
IF(ABS(BI469)&lt;=0.001,"Solved",BG469-BI469*(BG469-BC469)/(BI469-BE469))))</f>
        <v/>
      </c>
      <c r="BL469" s="167"/>
      <c r="BM469" s="329" t="str">
        <f>IF(ISBLANK(Inputs!$A77),"",
IF(OR(BK469="Solved",BK469="--"),"--",
((Mat.Conc_Alpha.1*Mat.Conc_f.c*$AB469*MIN(BK469*Mat.Conc_Beta.1,$Y469))
+(Mat.Conc_Alpha.1*Mat.Conc_f.c*$V469*MAX(0,BK469*Mat.Conc_Beta.1-$Y469)))
-($J469*MIN(Mat.Rebar_f.y,(Mat.Rebar_epsilon.cl*($S469-BK469)/BK469)*Mat.PT_E.s))
-($M469*Mat.PT_f.pu*(1-Mat.PT_k*BK469/$P469))))</f>
        <v/>
      </c>
      <c r="BN469" s="329"/>
      <c r="BO469" s="167" t="str">
        <f>IF(ISBLANK(Inputs!$A77),"",
IF(BM469="--","Solved",
IF(ABS(BM469)&lt;=0.001,"Solved",BK469-BM469*(BK469-BG469)/(BM469-BI469))))</f>
        <v/>
      </c>
      <c r="BP469" s="167"/>
      <c r="BQ469" s="329" t="str">
        <f>IF(ISBLANK(Inputs!$A77),"",
IF(OR(BO469="Solved",BO469="--"),"--",
((Mat.Conc_Alpha.1*Mat.Conc_f.c*$AB469*MIN(BO469*Mat.Conc_Beta.1,$Y469))
+(Mat.Conc_Alpha.1*Mat.Conc_f.c*$V469*MAX(0,BO469*Mat.Conc_Beta.1-$Y469)))
-($J469*MIN(Mat.Rebar_f.y,(Mat.Rebar_epsilon.cl*($S469-BO469)/BO469)*Mat.PT_E.s))
-($M469*Mat.PT_f.pu*(1-Mat.PT_k*BO469/$P469))))</f>
        <v/>
      </c>
      <c r="BR469" s="329"/>
      <c r="BT469" s="98"/>
      <c r="BU469" s="70"/>
      <c r="BV469" s="70"/>
      <c r="BW469" s="8"/>
      <c r="BX469" s="8"/>
      <c r="BY469" s="8"/>
      <c r="BZ469" s="8"/>
      <c r="CA469" s="8"/>
      <c r="CB469" s="10"/>
    </row>
    <row r="470" spans="3:80" ht="15" customHeight="1" x14ac:dyDescent="0.25">
      <c r="C470" s="69"/>
      <c r="F470" s="167" t="str">
        <f>IF(ISBLANK(Inputs!A78),"",Inputs!A78)</f>
        <v/>
      </c>
      <c r="G470" s="167"/>
      <c r="H470" s="167" t="str">
        <f>IF(ISBLANK(Inputs!B78),"",Inputs!B78)</f>
        <v/>
      </c>
      <c r="I470" s="167"/>
      <c r="J470" s="168" t="str">
        <f>IF(ISBLANK(Inputs!G78),"",Inputs!G78)</f>
        <v/>
      </c>
      <c r="K470" s="168"/>
      <c r="L470" s="168"/>
      <c r="M470" s="168" t="str">
        <f>IF(ISBLANK(Inputs!D78),"",Inputs!D78)</f>
        <v/>
      </c>
      <c r="N470" s="168"/>
      <c r="O470" s="168"/>
      <c r="P470" s="168" t="str">
        <f>IF(ISBLANK(Inputs!F78),"",Inputs!F78)</f>
        <v/>
      </c>
      <c r="Q470" s="168"/>
      <c r="R470" s="168"/>
      <c r="S470" s="168" t="str">
        <f>IF(ISBLANK(Inputs!H78),"",Inputs!H78)</f>
        <v/>
      </c>
      <c r="T470" s="168"/>
      <c r="U470" s="168"/>
      <c r="V470" s="168" t="str">
        <f>IF(ISBLANK(Inputs!E78),"",Inputs!E78)</f>
        <v/>
      </c>
      <c r="W470" s="168"/>
      <c r="X470" s="168"/>
      <c r="Y470" s="168" t="str">
        <f>IF(ISBLANK(Inputs!I78),"",Inputs!I78)</f>
        <v/>
      </c>
      <c r="Z470" s="168"/>
      <c r="AA470" s="168"/>
      <c r="AB470" s="168">
        <f>IF(ISBLANK(Inputs!J78),"",Inputs!J78)</f>
        <v>96</v>
      </c>
      <c r="AC470" s="168"/>
      <c r="AD470" s="168"/>
      <c r="AE470" s="167" t="str">
        <f>IF(ISBLANK(Inputs!A78),"",Y470)</f>
        <v/>
      </c>
      <c r="AF470" s="167"/>
      <c r="AG470" s="329" t="str">
        <f>IF(ISBLANK(Inputs!$A78),"",
IF(OR(AE470="Solved",AE470="--"),"--",
((Mat.Conc_Alpha.1*Mat.Conc_f.c*$AB470*MIN(AE470*Mat.Conc_Beta.1,$Y470))
+(Mat.Conc_Alpha.1*Mat.Conc_f.c*$V470*MAX(0,AE470*Mat.Conc_Beta.1-$Y470)))
-($J470*MIN(Mat.Rebar_f.y,(Mat.Rebar_epsilon.cl*($S470-AE470)/AE470)*Mat.PT_E.s))
-($M470*Mat.PT_f.pu*(1-Mat.PT_k*AE470/$P470))))</f>
        <v/>
      </c>
      <c r="AH470" s="329"/>
      <c r="AI470" s="167" t="str">
        <f>IF(ISBLANK(Inputs!$A78),"",
IF(ABS(AG470)&lt;=0.001,"Solved",IF(AG470&gt;0,0.85*AE470,1.15*AE470)))</f>
        <v/>
      </c>
      <c r="AJ470" s="167"/>
      <c r="AK470" s="329" t="str">
        <f>IF(ISBLANK(Inputs!$A78),"",
IF(OR(AI470="Solved",AI470="--"),"--",
((Mat.Conc_Alpha.1*Mat.Conc_f.c*$AB470*MIN(AI470*Mat.Conc_Beta.1,$Y470))
+(Mat.Conc_Alpha.1*Mat.Conc_f.c*$V470*MAX(0,AI470*Mat.Conc_Beta.1-$Y470)))
-($J470*MIN(Mat.Rebar_f.y,(Mat.Rebar_epsilon.cl*($S470-AI470)/AI470)*Mat.PT_E.s))
-($M470*Mat.PT_f.pu*(1-Mat.PT_k*AI470/$P470))))</f>
        <v/>
      </c>
      <c r="AL470" s="329"/>
      <c r="AM470" s="167" t="str">
        <f>IF(ISBLANK(Inputs!$A78),"",
IF(AK470="--","Solved",
IF(ABS(AK470)&lt;=0.001,"Solved",AI470-AK470*(AI470-AE470)/(AK470-AG470))))</f>
        <v/>
      </c>
      <c r="AN470" s="167"/>
      <c r="AO470" s="329" t="str">
        <f>IF(ISBLANK(Inputs!$A78),"",
IF(OR(AM470="Solved",AM470="--"),"--",
((Mat.Conc_Alpha.1*Mat.Conc_f.c*$AB470*MIN(AM470*Mat.Conc_Beta.1,$Y470))
+(Mat.Conc_Alpha.1*Mat.Conc_f.c*$V470*MAX(0,AM470*Mat.Conc_Beta.1-$Y470)))
-($J470*MIN(Mat.Rebar_f.y,(Mat.Rebar_epsilon.cl*($S470-AM470)/AM470)*Mat.PT_E.s))
-($M470*Mat.PT_f.pu*(1-Mat.PT_k*AM470/$P470))))</f>
        <v/>
      </c>
      <c r="AP470" s="329"/>
      <c r="AQ470" s="167" t="str">
        <f>IF(ISBLANK(Inputs!$A78),"",
IF(AO470="--","Solved",
IF(ABS(AO470)&lt;=0.001,"Solved",AM470-AO470*(AM470-AI470)/(AO470-AK470))))</f>
        <v/>
      </c>
      <c r="AR470" s="167"/>
      <c r="AS470" s="329" t="str">
        <f>IF(ISBLANK(Inputs!$A78),"",
IF(OR(AQ470="Solved",AQ470="--"),"--",
((Mat.Conc_Alpha.1*Mat.Conc_f.c*$AB470*MIN(AQ470*Mat.Conc_Beta.1,$Y470))
+(Mat.Conc_Alpha.1*Mat.Conc_f.c*$V470*MAX(0,AQ470*Mat.Conc_Beta.1-$Y470)))
-($J470*MIN(Mat.Rebar_f.y,(Mat.Rebar_epsilon.cl*($S470-AQ470)/AQ470)*Mat.PT_E.s))
-($M470*Mat.PT_f.pu*(1-Mat.PT_k*AQ470/$P470))))</f>
        <v/>
      </c>
      <c r="AT470" s="329"/>
      <c r="AU470" s="167" t="str">
        <f>IF(ISBLANK(Inputs!$A78),"",
IF(AS470="--","Solved",
IF(ABS(AS470)&lt;=0.001,"Solved",AQ470-AS470*(AQ470-AM470)/(AS470-AO470))))</f>
        <v/>
      </c>
      <c r="AV470" s="167"/>
      <c r="AW470" s="329" t="str">
        <f>IF(ISBLANK(Inputs!$A78),"",
IF(OR(AU470="Solved",AU470="--"),"--",
((Mat.Conc_Alpha.1*Mat.Conc_f.c*$AB470*MIN(AU470*Mat.Conc_Beta.1,$Y470))
+(Mat.Conc_Alpha.1*Mat.Conc_f.c*$V470*MAX(0,AU470*Mat.Conc_Beta.1-$Y470)))
-($J470*MIN(Mat.Rebar_f.y,(Mat.Rebar_epsilon.cl*($S470-AU470)/AU470)*Mat.PT_E.s))
-($M470*Mat.PT_f.pu*(1-Mat.PT_k*AU470/$P470))))</f>
        <v/>
      </c>
      <c r="AX470" s="329"/>
      <c r="AY470" s="167" t="str">
        <f>IF(ISBLANK(Inputs!$A78),"",
IF(AW470="--","Solved",
IF(ABS(AW470)&lt;=0.001,"Solved",AU470-AW470*(AU470-AQ470)/(AW470-AS470))))</f>
        <v/>
      </c>
      <c r="AZ470" s="167"/>
      <c r="BA470" s="329" t="str">
        <f>IF(ISBLANK(Inputs!$A78),"",
IF(OR(AY470="Solved",AY470="--"),"--",
((Mat.Conc_Alpha.1*Mat.Conc_f.c*$AB470*MIN(AY470*Mat.Conc_Beta.1,$Y470))
+(Mat.Conc_Alpha.1*Mat.Conc_f.c*$V470*MAX(0,AY470*Mat.Conc_Beta.1-$Y470)))
-($J470*MIN(Mat.Rebar_f.y,(Mat.Rebar_epsilon.cl*($S470-AY470)/AY470)*Mat.PT_E.s))
-($M470*Mat.PT_f.pu*(1-Mat.PT_k*AY470/$P470))))</f>
        <v/>
      </c>
      <c r="BB470" s="329"/>
      <c r="BC470" s="167" t="str">
        <f>IF(ISBLANK(Inputs!$A78),"",
IF(BA470="--","Solved",
IF(ABS(BA470)&lt;=0.001,"Solved",AY470-BA470*(AY470-AU470)/(BA470-AW470))))</f>
        <v/>
      </c>
      <c r="BD470" s="167"/>
      <c r="BE470" s="329" t="str">
        <f>IF(ISBLANK(Inputs!$A78),"",
IF(OR(BC470="Solved",BC470="--"),"--",
((Mat.Conc_Alpha.1*Mat.Conc_f.c*$AB470*MIN(BC470*Mat.Conc_Beta.1,$Y470))
+(Mat.Conc_Alpha.1*Mat.Conc_f.c*$V470*MAX(0,BC470*Mat.Conc_Beta.1-$Y470)))
-($J470*MIN(Mat.Rebar_f.y,(Mat.Rebar_epsilon.cl*($S470-BC470)/BC470)*Mat.PT_E.s))
-($M470*Mat.PT_f.pu*(1-Mat.PT_k*BC470/$P470))))</f>
        <v/>
      </c>
      <c r="BF470" s="329"/>
      <c r="BG470" s="167" t="str">
        <f>IF(ISBLANK(Inputs!$A78),"",
IF(BE470="--","Solved",
IF(ABS(BE470)&lt;=0.001,"Solved",BC470-BE470*(BC470-AY470)/(BE470-BA470))))</f>
        <v/>
      </c>
      <c r="BH470" s="167"/>
      <c r="BI470" s="329" t="str">
        <f>IF(ISBLANK(Inputs!$A78),"",
IF(OR(BG470="Solved",BG470="--"),"--",
((Mat.Conc_Alpha.1*Mat.Conc_f.c*$AB470*MIN(BG470*Mat.Conc_Beta.1,$Y470))
+(Mat.Conc_Alpha.1*Mat.Conc_f.c*$V470*MAX(0,BG470*Mat.Conc_Beta.1-$Y470)))
-($J470*MIN(Mat.Rebar_f.y,(Mat.Rebar_epsilon.cl*($S470-BG470)/BG470)*Mat.PT_E.s))
-($M470*Mat.PT_f.pu*(1-Mat.PT_k*BG470/$P470))))</f>
        <v/>
      </c>
      <c r="BJ470" s="329"/>
      <c r="BK470" s="167" t="str">
        <f>IF(ISBLANK(Inputs!$A78),"",
IF(BI470="--","Solved",
IF(ABS(BI470)&lt;=0.001,"Solved",BG470-BI470*(BG470-BC470)/(BI470-BE470))))</f>
        <v/>
      </c>
      <c r="BL470" s="167"/>
      <c r="BM470" s="329" t="str">
        <f>IF(ISBLANK(Inputs!$A78),"",
IF(OR(BK470="Solved",BK470="--"),"--",
((Mat.Conc_Alpha.1*Mat.Conc_f.c*$AB470*MIN(BK470*Mat.Conc_Beta.1,$Y470))
+(Mat.Conc_Alpha.1*Mat.Conc_f.c*$V470*MAX(0,BK470*Mat.Conc_Beta.1-$Y470)))
-($J470*MIN(Mat.Rebar_f.y,(Mat.Rebar_epsilon.cl*($S470-BK470)/BK470)*Mat.PT_E.s))
-($M470*Mat.PT_f.pu*(1-Mat.PT_k*BK470/$P470))))</f>
        <v/>
      </c>
      <c r="BN470" s="329"/>
      <c r="BO470" s="167" t="str">
        <f>IF(ISBLANK(Inputs!$A78),"",
IF(BM470="--","Solved",
IF(ABS(BM470)&lt;=0.001,"Solved",BK470-BM470*(BK470-BG470)/(BM470-BI470))))</f>
        <v/>
      </c>
      <c r="BP470" s="167"/>
      <c r="BQ470" s="329" t="str">
        <f>IF(ISBLANK(Inputs!$A78),"",
IF(OR(BO470="Solved",BO470="--"),"--",
((Mat.Conc_Alpha.1*Mat.Conc_f.c*$AB470*MIN(BO470*Mat.Conc_Beta.1,$Y470))
+(Mat.Conc_Alpha.1*Mat.Conc_f.c*$V470*MAX(0,BO470*Mat.Conc_Beta.1-$Y470)))
-($J470*MIN(Mat.Rebar_f.y,(Mat.Rebar_epsilon.cl*($S470-BO470)/BO470)*Mat.PT_E.s))
-($M470*Mat.PT_f.pu*(1-Mat.PT_k*BO470/$P470))))</f>
        <v/>
      </c>
      <c r="BR470" s="329"/>
      <c r="BT470" s="98"/>
      <c r="BU470" s="70"/>
      <c r="BV470" s="70"/>
      <c r="BW470" s="8"/>
      <c r="BX470" s="8"/>
      <c r="BY470" s="8"/>
      <c r="BZ470" s="8"/>
      <c r="CA470" s="8"/>
      <c r="CB470" s="10"/>
    </row>
    <row r="471" spans="3:80" ht="15" customHeight="1" x14ac:dyDescent="0.25">
      <c r="C471" s="69"/>
      <c r="F471" s="167" t="str">
        <f>IF(ISBLANK(Inputs!A79),"",Inputs!A79)</f>
        <v/>
      </c>
      <c r="G471" s="167"/>
      <c r="H471" s="167" t="str">
        <f>IF(ISBLANK(Inputs!B79),"",Inputs!B79)</f>
        <v/>
      </c>
      <c r="I471" s="167"/>
      <c r="J471" s="168" t="str">
        <f>IF(ISBLANK(Inputs!G79),"",Inputs!G79)</f>
        <v/>
      </c>
      <c r="K471" s="168"/>
      <c r="L471" s="168"/>
      <c r="M471" s="168" t="str">
        <f>IF(ISBLANK(Inputs!D79),"",Inputs!D79)</f>
        <v/>
      </c>
      <c r="N471" s="168"/>
      <c r="O471" s="168"/>
      <c r="P471" s="168" t="str">
        <f>IF(ISBLANK(Inputs!F79),"",Inputs!F79)</f>
        <v/>
      </c>
      <c r="Q471" s="168"/>
      <c r="R471" s="168"/>
      <c r="S471" s="168" t="str">
        <f>IF(ISBLANK(Inputs!H79),"",Inputs!H79)</f>
        <v/>
      </c>
      <c r="T471" s="168"/>
      <c r="U471" s="168"/>
      <c r="V471" s="168" t="str">
        <f>IF(ISBLANK(Inputs!E79),"",Inputs!E79)</f>
        <v/>
      </c>
      <c r="W471" s="168"/>
      <c r="X471" s="168"/>
      <c r="Y471" s="168" t="str">
        <f>IF(ISBLANK(Inputs!I79),"",Inputs!I79)</f>
        <v/>
      </c>
      <c r="Z471" s="168"/>
      <c r="AA471" s="168"/>
      <c r="AB471" s="168">
        <f>IF(ISBLANK(Inputs!J79),"",Inputs!J79)</f>
        <v>96</v>
      </c>
      <c r="AC471" s="168"/>
      <c r="AD471" s="168"/>
      <c r="AE471" s="167" t="str">
        <f>IF(ISBLANK(Inputs!A79),"",Y471)</f>
        <v/>
      </c>
      <c r="AF471" s="167"/>
      <c r="AG471" s="329" t="str">
        <f>IF(ISBLANK(Inputs!$A79),"",
IF(OR(AE471="Solved",AE471="--"),"--",
((Mat.Conc_Alpha.1*Mat.Conc_f.c*$AB471*MIN(AE471*Mat.Conc_Beta.1,$Y471))
+(Mat.Conc_Alpha.1*Mat.Conc_f.c*$V471*MAX(0,AE471*Mat.Conc_Beta.1-$Y471)))
-($J471*MIN(Mat.Rebar_f.y,(Mat.Rebar_epsilon.cl*($S471-AE471)/AE471)*Mat.PT_E.s))
-($M471*Mat.PT_f.pu*(1-Mat.PT_k*AE471/$P471))))</f>
        <v/>
      </c>
      <c r="AH471" s="329"/>
      <c r="AI471" s="167" t="str">
        <f>IF(ISBLANK(Inputs!$A79),"",
IF(ABS(AG471)&lt;=0.001,"Solved",IF(AG471&gt;0,0.85*AE471,1.15*AE471)))</f>
        <v/>
      </c>
      <c r="AJ471" s="167"/>
      <c r="AK471" s="329" t="str">
        <f>IF(ISBLANK(Inputs!$A79),"",
IF(OR(AI471="Solved",AI471="--"),"--",
((Mat.Conc_Alpha.1*Mat.Conc_f.c*$AB471*MIN(AI471*Mat.Conc_Beta.1,$Y471))
+(Mat.Conc_Alpha.1*Mat.Conc_f.c*$V471*MAX(0,AI471*Mat.Conc_Beta.1-$Y471)))
-($J471*MIN(Mat.Rebar_f.y,(Mat.Rebar_epsilon.cl*($S471-AI471)/AI471)*Mat.PT_E.s))
-($M471*Mat.PT_f.pu*(1-Mat.PT_k*AI471/$P471))))</f>
        <v/>
      </c>
      <c r="AL471" s="329"/>
      <c r="AM471" s="167" t="str">
        <f>IF(ISBLANK(Inputs!$A79),"",
IF(AK471="--","Solved",
IF(ABS(AK471)&lt;=0.001,"Solved",AI471-AK471*(AI471-AE471)/(AK471-AG471))))</f>
        <v/>
      </c>
      <c r="AN471" s="167"/>
      <c r="AO471" s="329" t="str">
        <f>IF(ISBLANK(Inputs!$A79),"",
IF(OR(AM471="Solved",AM471="--"),"--",
((Mat.Conc_Alpha.1*Mat.Conc_f.c*$AB471*MIN(AM471*Mat.Conc_Beta.1,$Y471))
+(Mat.Conc_Alpha.1*Mat.Conc_f.c*$V471*MAX(0,AM471*Mat.Conc_Beta.1-$Y471)))
-($J471*MIN(Mat.Rebar_f.y,(Mat.Rebar_epsilon.cl*($S471-AM471)/AM471)*Mat.PT_E.s))
-($M471*Mat.PT_f.pu*(1-Mat.PT_k*AM471/$P471))))</f>
        <v/>
      </c>
      <c r="AP471" s="329"/>
      <c r="AQ471" s="167" t="str">
        <f>IF(ISBLANK(Inputs!$A79),"",
IF(AO471="--","Solved",
IF(ABS(AO471)&lt;=0.001,"Solved",AM471-AO471*(AM471-AI471)/(AO471-AK471))))</f>
        <v/>
      </c>
      <c r="AR471" s="167"/>
      <c r="AS471" s="329" t="str">
        <f>IF(ISBLANK(Inputs!$A79),"",
IF(OR(AQ471="Solved",AQ471="--"),"--",
((Mat.Conc_Alpha.1*Mat.Conc_f.c*$AB471*MIN(AQ471*Mat.Conc_Beta.1,$Y471))
+(Mat.Conc_Alpha.1*Mat.Conc_f.c*$V471*MAX(0,AQ471*Mat.Conc_Beta.1-$Y471)))
-($J471*MIN(Mat.Rebar_f.y,(Mat.Rebar_epsilon.cl*($S471-AQ471)/AQ471)*Mat.PT_E.s))
-($M471*Mat.PT_f.pu*(1-Mat.PT_k*AQ471/$P471))))</f>
        <v/>
      </c>
      <c r="AT471" s="329"/>
      <c r="AU471" s="167" t="str">
        <f>IF(ISBLANK(Inputs!$A79),"",
IF(AS471="--","Solved",
IF(ABS(AS471)&lt;=0.001,"Solved",AQ471-AS471*(AQ471-AM471)/(AS471-AO471))))</f>
        <v/>
      </c>
      <c r="AV471" s="167"/>
      <c r="AW471" s="329" t="str">
        <f>IF(ISBLANK(Inputs!$A79),"",
IF(OR(AU471="Solved",AU471="--"),"--",
((Mat.Conc_Alpha.1*Mat.Conc_f.c*$AB471*MIN(AU471*Mat.Conc_Beta.1,$Y471))
+(Mat.Conc_Alpha.1*Mat.Conc_f.c*$V471*MAX(0,AU471*Mat.Conc_Beta.1-$Y471)))
-($J471*MIN(Mat.Rebar_f.y,(Mat.Rebar_epsilon.cl*($S471-AU471)/AU471)*Mat.PT_E.s))
-($M471*Mat.PT_f.pu*(1-Mat.PT_k*AU471/$P471))))</f>
        <v/>
      </c>
      <c r="AX471" s="329"/>
      <c r="AY471" s="167" t="str">
        <f>IF(ISBLANK(Inputs!$A79),"",
IF(AW471="--","Solved",
IF(ABS(AW471)&lt;=0.001,"Solved",AU471-AW471*(AU471-AQ471)/(AW471-AS471))))</f>
        <v/>
      </c>
      <c r="AZ471" s="167"/>
      <c r="BA471" s="329" t="str">
        <f>IF(ISBLANK(Inputs!$A79),"",
IF(OR(AY471="Solved",AY471="--"),"--",
((Mat.Conc_Alpha.1*Mat.Conc_f.c*$AB471*MIN(AY471*Mat.Conc_Beta.1,$Y471))
+(Mat.Conc_Alpha.1*Mat.Conc_f.c*$V471*MAX(0,AY471*Mat.Conc_Beta.1-$Y471)))
-($J471*MIN(Mat.Rebar_f.y,(Mat.Rebar_epsilon.cl*($S471-AY471)/AY471)*Mat.PT_E.s))
-($M471*Mat.PT_f.pu*(1-Mat.PT_k*AY471/$P471))))</f>
        <v/>
      </c>
      <c r="BB471" s="329"/>
      <c r="BC471" s="167" t="str">
        <f>IF(ISBLANK(Inputs!$A79),"",
IF(BA471="--","Solved",
IF(ABS(BA471)&lt;=0.001,"Solved",AY471-BA471*(AY471-AU471)/(BA471-AW471))))</f>
        <v/>
      </c>
      <c r="BD471" s="167"/>
      <c r="BE471" s="329" t="str">
        <f>IF(ISBLANK(Inputs!$A79),"",
IF(OR(BC471="Solved",BC471="--"),"--",
((Mat.Conc_Alpha.1*Mat.Conc_f.c*$AB471*MIN(BC471*Mat.Conc_Beta.1,$Y471))
+(Mat.Conc_Alpha.1*Mat.Conc_f.c*$V471*MAX(0,BC471*Mat.Conc_Beta.1-$Y471)))
-($J471*MIN(Mat.Rebar_f.y,(Mat.Rebar_epsilon.cl*($S471-BC471)/BC471)*Mat.PT_E.s))
-($M471*Mat.PT_f.pu*(1-Mat.PT_k*BC471/$P471))))</f>
        <v/>
      </c>
      <c r="BF471" s="329"/>
      <c r="BG471" s="167" t="str">
        <f>IF(ISBLANK(Inputs!$A79),"",
IF(BE471="--","Solved",
IF(ABS(BE471)&lt;=0.001,"Solved",BC471-BE471*(BC471-AY471)/(BE471-BA471))))</f>
        <v/>
      </c>
      <c r="BH471" s="167"/>
      <c r="BI471" s="329" t="str">
        <f>IF(ISBLANK(Inputs!$A79),"",
IF(OR(BG471="Solved",BG471="--"),"--",
((Mat.Conc_Alpha.1*Mat.Conc_f.c*$AB471*MIN(BG471*Mat.Conc_Beta.1,$Y471))
+(Mat.Conc_Alpha.1*Mat.Conc_f.c*$V471*MAX(0,BG471*Mat.Conc_Beta.1-$Y471)))
-($J471*MIN(Mat.Rebar_f.y,(Mat.Rebar_epsilon.cl*($S471-BG471)/BG471)*Mat.PT_E.s))
-($M471*Mat.PT_f.pu*(1-Mat.PT_k*BG471/$P471))))</f>
        <v/>
      </c>
      <c r="BJ471" s="329"/>
      <c r="BK471" s="167" t="str">
        <f>IF(ISBLANK(Inputs!$A79),"",
IF(BI471="--","Solved",
IF(ABS(BI471)&lt;=0.001,"Solved",BG471-BI471*(BG471-BC471)/(BI471-BE471))))</f>
        <v/>
      </c>
      <c r="BL471" s="167"/>
      <c r="BM471" s="329" t="str">
        <f>IF(ISBLANK(Inputs!$A79),"",
IF(OR(BK471="Solved",BK471="--"),"--",
((Mat.Conc_Alpha.1*Mat.Conc_f.c*$AB471*MIN(BK471*Mat.Conc_Beta.1,$Y471))
+(Mat.Conc_Alpha.1*Mat.Conc_f.c*$V471*MAX(0,BK471*Mat.Conc_Beta.1-$Y471)))
-($J471*MIN(Mat.Rebar_f.y,(Mat.Rebar_epsilon.cl*($S471-BK471)/BK471)*Mat.PT_E.s))
-($M471*Mat.PT_f.pu*(1-Mat.PT_k*BK471/$P471))))</f>
        <v/>
      </c>
      <c r="BN471" s="329"/>
      <c r="BO471" s="167" t="str">
        <f>IF(ISBLANK(Inputs!$A79),"",
IF(BM471="--","Solved",
IF(ABS(BM471)&lt;=0.001,"Solved",BK471-BM471*(BK471-BG471)/(BM471-BI471))))</f>
        <v/>
      </c>
      <c r="BP471" s="167"/>
      <c r="BQ471" s="329" t="str">
        <f>IF(ISBLANK(Inputs!$A79),"",
IF(OR(BO471="Solved",BO471="--"),"--",
((Mat.Conc_Alpha.1*Mat.Conc_f.c*$AB471*MIN(BO471*Mat.Conc_Beta.1,$Y471))
+(Mat.Conc_Alpha.1*Mat.Conc_f.c*$V471*MAX(0,BO471*Mat.Conc_Beta.1-$Y471)))
-($J471*MIN(Mat.Rebar_f.y,(Mat.Rebar_epsilon.cl*($S471-BO471)/BO471)*Mat.PT_E.s))
-($M471*Mat.PT_f.pu*(1-Mat.PT_k*BO471/$P471))))</f>
        <v/>
      </c>
      <c r="BR471" s="329"/>
      <c r="BT471" s="98"/>
      <c r="BU471" s="70"/>
      <c r="BV471" s="70"/>
      <c r="BW471" s="8"/>
      <c r="BX471" s="8"/>
      <c r="BY471" s="8"/>
      <c r="BZ471" s="8"/>
      <c r="CA471" s="8"/>
      <c r="CB471" s="10"/>
    </row>
    <row r="472" spans="3:80" ht="15" customHeight="1" x14ac:dyDescent="0.25">
      <c r="C472" s="69"/>
      <c r="F472" s="167" t="str">
        <f>IF(ISBLANK(Inputs!A80),"",Inputs!A80)</f>
        <v/>
      </c>
      <c r="G472" s="167"/>
      <c r="H472" s="167" t="str">
        <f>IF(ISBLANK(Inputs!B80),"",Inputs!B80)</f>
        <v/>
      </c>
      <c r="I472" s="167"/>
      <c r="J472" s="168" t="str">
        <f>IF(ISBLANK(Inputs!G80),"",Inputs!G80)</f>
        <v/>
      </c>
      <c r="K472" s="168"/>
      <c r="L472" s="168"/>
      <c r="M472" s="168" t="str">
        <f>IF(ISBLANK(Inputs!D80),"",Inputs!D80)</f>
        <v/>
      </c>
      <c r="N472" s="168"/>
      <c r="O472" s="168"/>
      <c r="P472" s="168" t="str">
        <f>IF(ISBLANK(Inputs!F80),"",Inputs!F80)</f>
        <v/>
      </c>
      <c r="Q472" s="168"/>
      <c r="R472" s="168"/>
      <c r="S472" s="168" t="str">
        <f>IF(ISBLANK(Inputs!H80),"",Inputs!H80)</f>
        <v/>
      </c>
      <c r="T472" s="168"/>
      <c r="U472" s="168"/>
      <c r="V472" s="168" t="str">
        <f>IF(ISBLANK(Inputs!E80),"",Inputs!E80)</f>
        <v/>
      </c>
      <c r="W472" s="168"/>
      <c r="X472" s="168"/>
      <c r="Y472" s="168" t="str">
        <f>IF(ISBLANK(Inputs!I80),"",Inputs!I80)</f>
        <v/>
      </c>
      <c r="Z472" s="168"/>
      <c r="AA472" s="168"/>
      <c r="AB472" s="168">
        <f>IF(ISBLANK(Inputs!J80),"",Inputs!J80)</f>
        <v>96</v>
      </c>
      <c r="AC472" s="168"/>
      <c r="AD472" s="168"/>
      <c r="AE472" s="167" t="str">
        <f>IF(ISBLANK(Inputs!A80),"",Y472)</f>
        <v/>
      </c>
      <c r="AF472" s="167"/>
      <c r="AG472" s="329" t="str">
        <f>IF(ISBLANK(Inputs!$A80),"",
IF(OR(AE472="Solved",AE472="--"),"--",
((Mat.Conc_Alpha.1*Mat.Conc_f.c*$AB472*MIN(AE472*Mat.Conc_Beta.1,$Y472))
+(Mat.Conc_Alpha.1*Mat.Conc_f.c*$V472*MAX(0,AE472*Mat.Conc_Beta.1-$Y472)))
-($J472*MIN(Mat.Rebar_f.y,(Mat.Rebar_epsilon.cl*($S472-AE472)/AE472)*Mat.PT_E.s))
-($M472*Mat.PT_f.pu*(1-Mat.PT_k*AE472/$P472))))</f>
        <v/>
      </c>
      <c r="AH472" s="329"/>
      <c r="AI472" s="167" t="str">
        <f>IF(ISBLANK(Inputs!$A80),"",
IF(ABS(AG472)&lt;=0.001,"Solved",IF(AG472&gt;0,0.85*AE472,1.15*AE472)))</f>
        <v/>
      </c>
      <c r="AJ472" s="167"/>
      <c r="AK472" s="329" t="str">
        <f>IF(ISBLANK(Inputs!$A80),"",
IF(OR(AI472="Solved",AI472="--"),"--",
((Mat.Conc_Alpha.1*Mat.Conc_f.c*$AB472*MIN(AI472*Mat.Conc_Beta.1,$Y472))
+(Mat.Conc_Alpha.1*Mat.Conc_f.c*$V472*MAX(0,AI472*Mat.Conc_Beta.1-$Y472)))
-($J472*MIN(Mat.Rebar_f.y,(Mat.Rebar_epsilon.cl*($S472-AI472)/AI472)*Mat.PT_E.s))
-($M472*Mat.PT_f.pu*(1-Mat.PT_k*AI472/$P472))))</f>
        <v/>
      </c>
      <c r="AL472" s="329"/>
      <c r="AM472" s="167" t="str">
        <f>IF(ISBLANK(Inputs!$A80),"",
IF(AK472="--","Solved",
IF(ABS(AK472)&lt;=0.001,"Solved",AI472-AK472*(AI472-AE472)/(AK472-AG472))))</f>
        <v/>
      </c>
      <c r="AN472" s="167"/>
      <c r="AO472" s="329" t="str">
        <f>IF(ISBLANK(Inputs!$A80),"",
IF(OR(AM472="Solved",AM472="--"),"--",
((Mat.Conc_Alpha.1*Mat.Conc_f.c*$AB472*MIN(AM472*Mat.Conc_Beta.1,$Y472))
+(Mat.Conc_Alpha.1*Mat.Conc_f.c*$V472*MAX(0,AM472*Mat.Conc_Beta.1-$Y472)))
-($J472*MIN(Mat.Rebar_f.y,(Mat.Rebar_epsilon.cl*($S472-AM472)/AM472)*Mat.PT_E.s))
-($M472*Mat.PT_f.pu*(1-Mat.PT_k*AM472/$P472))))</f>
        <v/>
      </c>
      <c r="AP472" s="329"/>
      <c r="AQ472" s="167" t="str">
        <f>IF(ISBLANK(Inputs!$A80),"",
IF(AO472="--","Solved",
IF(ABS(AO472)&lt;=0.001,"Solved",AM472-AO472*(AM472-AI472)/(AO472-AK472))))</f>
        <v/>
      </c>
      <c r="AR472" s="167"/>
      <c r="AS472" s="329" t="str">
        <f>IF(ISBLANK(Inputs!$A80),"",
IF(OR(AQ472="Solved",AQ472="--"),"--",
((Mat.Conc_Alpha.1*Mat.Conc_f.c*$AB472*MIN(AQ472*Mat.Conc_Beta.1,$Y472))
+(Mat.Conc_Alpha.1*Mat.Conc_f.c*$V472*MAX(0,AQ472*Mat.Conc_Beta.1-$Y472)))
-($J472*MIN(Mat.Rebar_f.y,(Mat.Rebar_epsilon.cl*($S472-AQ472)/AQ472)*Mat.PT_E.s))
-($M472*Mat.PT_f.pu*(1-Mat.PT_k*AQ472/$P472))))</f>
        <v/>
      </c>
      <c r="AT472" s="329"/>
      <c r="AU472" s="167" t="str">
        <f>IF(ISBLANK(Inputs!$A80),"",
IF(AS472="--","Solved",
IF(ABS(AS472)&lt;=0.001,"Solved",AQ472-AS472*(AQ472-AM472)/(AS472-AO472))))</f>
        <v/>
      </c>
      <c r="AV472" s="167"/>
      <c r="AW472" s="329" t="str">
        <f>IF(ISBLANK(Inputs!$A80),"",
IF(OR(AU472="Solved",AU472="--"),"--",
((Mat.Conc_Alpha.1*Mat.Conc_f.c*$AB472*MIN(AU472*Mat.Conc_Beta.1,$Y472))
+(Mat.Conc_Alpha.1*Mat.Conc_f.c*$V472*MAX(0,AU472*Mat.Conc_Beta.1-$Y472)))
-($J472*MIN(Mat.Rebar_f.y,(Mat.Rebar_epsilon.cl*($S472-AU472)/AU472)*Mat.PT_E.s))
-($M472*Mat.PT_f.pu*(1-Mat.PT_k*AU472/$P472))))</f>
        <v/>
      </c>
      <c r="AX472" s="329"/>
      <c r="AY472" s="167" t="str">
        <f>IF(ISBLANK(Inputs!$A80),"",
IF(AW472="--","Solved",
IF(ABS(AW472)&lt;=0.001,"Solved",AU472-AW472*(AU472-AQ472)/(AW472-AS472))))</f>
        <v/>
      </c>
      <c r="AZ472" s="167"/>
      <c r="BA472" s="329" t="str">
        <f>IF(ISBLANK(Inputs!$A80),"",
IF(OR(AY472="Solved",AY472="--"),"--",
((Mat.Conc_Alpha.1*Mat.Conc_f.c*$AB472*MIN(AY472*Mat.Conc_Beta.1,$Y472))
+(Mat.Conc_Alpha.1*Mat.Conc_f.c*$V472*MAX(0,AY472*Mat.Conc_Beta.1-$Y472)))
-($J472*MIN(Mat.Rebar_f.y,(Mat.Rebar_epsilon.cl*($S472-AY472)/AY472)*Mat.PT_E.s))
-($M472*Mat.PT_f.pu*(1-Mat.PT_k*AY472/$P472))))</f>
        <v/>
      </c>
      <c r="BB472" s="329"/>
      <c r="BC472" s="167" t="str">
        <f>IF(ISBLANK(Inputs!$A80),"",
IF(BA472="--","Solved",
IF(ABS(BA472)&lt;=0.001,"Solved",AY472-BA472*(AY472-AU472)/(BA472-AW472))))</f>
        <v/>
      </c>
      <c r="BD472" s="167"/>
      <c r="BE472" s="329" t="str">
        <f>IF(ISBLANK(Inputs!$A80),"",
IF(OR(BC472="Solved",BC472="--"),"--",
((Mat.Conc_Alpha.1*Mat.Conc_f.c*$AB472*MIN(BC472*Mat.Conc_Beta.1,$Y472))
+(Mat.Conc_Alpha.1*Mat.Conc_f.c*$V472*MAX(0,BC472*Mat.Conc_Beta.1-$Y472)))
-($J472*MIN(Mat.Rebar_f.y,(Mat.Rebar_epsilon.cl*($S472-BC472)/BC472)*Mat.PT_E.s))
-($M472*Mat.PT_f.pu*(1-Mat.PT_k*BC472/$P472))))</f>
        <v/>
      </c>
      <c r="BF472" s="329"/>
      <c r="BG472" s="167" t="str">
        <f>IF(ISBLANK(Inputs!$A80),"",
IF(BE472="--","Solved",
IF(ABS(BE472)&lt;=0.001,"Solved",BC472-BE472*(BC472-AY472)/(BE472-BA472))))</f>
        <v/>
      </c>
      <c r="BH472" s="167"/>
      <c r="BI472" s="329" t="str">
        <f>IF(ISBLANK(Inputs!$A80),"",
IF(OR(BG472="Solved",BG472="--"),"--",
((Mat.Conc_Alpha.1*Mat.Conc_f.c*$AB472*MIN(BG472*Mat.Conc_Beta.1,$Y472))
+(Mat.Conc_Alpha.1*Mat.Conc_f.c*$V472*MAX(0,BG472*Mat.Conc_Beta.1-$Y472)))
-($J472*MIN(Mat.Rebar_f.y,(Mat.Rebar_epsilon.cl*($S472-BG472)/BG472)*Mat.PT_E.s))
-($M472*Mat.PT_f.pu*(1-Mat.PT_k*BG472/$P472))))</f>
        <v/>
      </c>
      <c r="BJ472" s="329"/>
      <c r="BK472" s="167" t="str">
        <f>IF(ISBLANK(Inputs!$A80),"",
IF(BI472="--","Solved",
IF(ABS(BI472)&lt;=0.001,"Solved",BG472-BI472*(BG472-BC472)/(BI472-BE472))))</f>
        <v/>
      </c>
      <c r="BL472" s="167"/>
      <c r="BM472" s="329" t="str">
        <f>IF(ISBLANK(Inputs!$A80),"",
IF(OR(BK472="Solved",BK472="--"),"--",
((Mat.Conc_Alpha.1*Mat.Conc_f.c*$AB472*MIN(BK472*Mat.Conc_Beta.1,$Y472))
+(Mat.Conc_Alpha.1*Mat.Conc_f.c*$V472*MAX(0,BK472*Mat.Conc_Beta.1-$Y472)))
-($J472*MIN(Mat.Rebar_f.y,(Mat.Rebar_epsilon.cl*($S472-BK472)/BK472)*Mat.PT_E.s))
-($M472*Mat.PT_f.pu*(1-Mat.PT_k*BK472/$P472))))</f>
        <v/>
      </c>
      <c r="BN472" s="329"/>
      <c r="BO472" s="167" t="str">
        <f>IF(ISBLANK(Inputs!$A80),"",
IF(BM472="--","Solved",
IF(ABS(BM472)&lt;=0.001,"Solved",BK472-BM472*(BK472-BG472)/(BM472-BI472))))</f>
        <v/>
      </c>
      <c r="BP472" s="167"/>
      <c r="BQ472" s="329" t="str">
        <f>IF(ISBLANK(Inputs!$A80),"",
IF(OR(BO472="Solved",BO472="--"),"--",
((Mat.Conc_Alpha.1*Mat.Conc_f.c*$AB472*MIN(BO472*Mat.Conc_Beta.1,$Y472))
+(Mat.Conc_Alpha.1*Mat.Conc_f.c*$V472*MAX(0,BO472*Mat.Conc_Beta.1-$Y472)))
-($J472*MIN(Mat.Rebar_f.y,(Mat.Rebar_epsilon.cl*($S472-BO472)/BO472)*Mat.PT_E.s))
-($M472*Mat.PT_f.pu*(1-Mat.PT_k*BO472/$P472))))</f>
        <v/>
      </c>
      <c r="BR472" s="329"/>
      <c r="BT472" s="98"/>
      <c r="BU472" s="70"/>
      <c r="BV472" s="70"/>
      <c r="BW472" s="8"/>
      <c r="BX472" s="8"/>
      <c r="BY472" s="8"/>
      <c r="BZ472" s="8"/>
      <c r="CA472" s="8"/>
      <c r="CB472" s="10"/>
    </row>
    <row r="473" spans="3:80" ht="15" customHeight="1" x14ac:dyDescent="0.25">
      <c r="C473" s="69"/>
      <c r="F473" s="167" t="str">
        <f>IF(ISBLANK(Inputs!A81),"",Inputs!A81)</f>
        <v/>
      </c>
      <c r="G473" s="167"/>
      <c r="H473" s="167" t="str">
        <f>IF(ISBLANK(Inputs!B81),"",Inputs!B81)</f>
        <v/>
      </c>
      <c r="I473" s="167"/>
      <c r="J473" s="168" t="str">
        <f>IF(ISBLANK(Inputs!G81),"",Inputs!G81)</f>
        <v/>
      </c>
      <c r="K473" s="168"/>
      <c r="L473" s="168"/>
      <c r="M473" s="168" t="str">
        <f>IF(ISBLANK(Inputs!D81),"",Inputs!D81)</f>
        <v/>
      </c>
      <c r="N473" s="168"/>
      <c r="O473" s="168"/>
      <c r="P473" s="168" t="str">
        <f>IF(ISBLANK(Inputs!F81),"",Inputs!F81)</f>
        <v/>
      </c>
      <c r="Q473" s="168"/>
      <c r="R473" s="168"/>
      <c r="S473" s="168" t="str">
        <f>IF(ISBLANK(Inputs!H81),"",Inputs!H81)</f>
        <v/>
      </c>
      <c r="T473" s="168"/>
      <c r="U473" s="168"/>
      <c r="V473" s="168" t="str">
        <f>IF(ISBLANK(Inputs!E81),"",Inputs!E81)</f>
        <v/>
      </c>
      <c r="W473" s="168"/>
      <c r="X473" s="168"/>
      <c r="Y473" s="168" t="str">
        <f>IF(ISBLANK(Inputs!I81),"",Inputs!I81)</f>
        <v/>
      </c>
      <c r="Z473" s="168"/>
      <c r="AA473" s="168"/>
      <c r="AB473" s="168">
        <f>IF(ISBLANK(Inputs!J81),"",Inputs!J81)</f>
        <v>96</v>
      </c>
      <c r="AC473" s="168"/>
      <c r="AD473" s="168"/>
      <c r="AE473" s="167" t="str">
        <f>IF(ISBLANK(Inputs!A81),"",Y473)</f>
        <v/>
      </c>
      <c r="AF473" s="167"/>
      <c r="AG473" s="329" t="str">
        <f>IF(ISBLANK(Inputs!$A81),"",
IF(OR(AE473="Solved",AE473="--"),"--",
((Mat.Conc_Alpha.1*Mat.Conc_f.c*$AB473*MIN(AE473*Mat.Conc_Beta.1,$Y473))
+(Mat.Conc_Alpha.1*Mat.Conc_f.c*$V473*MAX(0,AE473*Mat.Conc_Beta.1-$Y473)))
-($J473*MIN(Mat.Rebar_f.y,(Mat.Rebar_epsilon.cl*($S473-AE473)/AE473)*Mat.PT_E.s))
-($M473*Mat.PT_f.pu*(1-Mat.PT_k*AE473/$P473))))</f>
        <v/>
      </c>
      <c r="AH473" s="329"/>
      <c r="AI473" s="167" t="str">
        <f>IF(ISBLANK(Inputs!$A81),"",
IF(ABS(AG473)&lt;=0.001,"Solved",IF(AG473&gt;0,0.85*AE473,1.15*AE473)))</f>
        <v/>
      </c>
      <c r="AJ473" s="167"/>
      <c r="AK473" s="329" t="str">
        <f>IF(ISBLANK(Inputs!$A81),"",
IF(OR(AI473="Solved",AI473="--"),"--",
((Mat.Conc_Alpha.1*Mat.Conc_f.c*$AB473*MIN(AI473*Mat.Conc_Beta.1,$Y473))
+(Mat.Conc_Alpha.1*Mat.Conc_f.c*$V473*MAX(0,AI473*Mat.Conc_Beta.1-$Y473)))
-($J473*MIN(Mat.Rebar_f.y,(Mat.Rebar_epsilon.cl*($S473-AI473)/AI473)*Mat.PT_E.s))
-($M473*Mat.PT_f.pu*(1-Mat.PT_k*AI473/$P473))))</f>
        <v/>
      </c>
      <c r="AL473" s="329"/>
      <c r="AM473" s="167" t="str">
        <f>IF(ISBLANK(Inputs!$A81),"",
IF(AK473="--","Solved",
IF(ABS(AK473)&lt;=0.001,"Solved",AI473-AK473*(AI473-AE473)/(AK473-AG473))))</f>
        <v/>
      </c>
      <c r="AN473" s="167"/>
      <c r="AO473" s="329" t="str">
        <f>IF(ISBLANK(Inputs!$A81),"",
IF(OR(AM473="Solved",AM473="--"),"--",
((Mat.Conc_Alpha.1*Mat.Conc_f.c*$AB473*MIN(AM473*Mat.Conc_Beta.1,$Y473))
+(Mat.Conc_Alpha.1*Mat.Conc_f.c*$V473*MAX(0,AM473*Mat.Conc_Beta.1-$Y473)))
-($J473*MIN(Mat.Rebar_f.y,(Mat.Rebar_epsilon.cl*($S473-AM473)/AM473)*Mat.PT_E.s))
-($M473*Mat.PT_f.pu*(1-Mat.PT_k*AM473/$P473))))</f>
        <v/>
      </c>
      <c r="AP473" s="329"/>
      <c r="AQ473" s="167" t="str">
        <f>IF(ISBLANK(Inputs!$A81),"",
IF(AO473="--","Solved",
IF(ABS(AO473)&lt;=0.001,"Solved",AM473-AO473*(AM473-AI473)/(AO473-AK473))))</f>
        <v/>
      </c>
      <c r="AR473" s="167"/>
      <c r="AS473" s="329" t="str">
        <f>IF(ISBLANK(Inputs!$A81),"",
IF(OR(AQ473="Solved",AQ473="--"),"--",
((Mat.Conc_Alpha.1*Mat.Conc_f.c*$AB473*MIN(AQ473*Mat.Conc_Beta.1,$Y473))
+(Mat.Conc_Alpha.1*Mat.Conc_f.c*$V473*MAX(0,AQ473*Mat.Conc_Beta.1-$Y473)))
-($J473*MIN(Mat.Rebar_f.y,(Mat.Rebar_epsilon.cl*($S473-AQ473)/AQ473)*Mat.PT_E.s))
-($M473*Mat.PT_f.pu*(1-Mat.PT_k*AQ473/$P473))))</f>
        <v/>
      </c>
      <c r="AT473" s="329"/>
      <c r="AU473" s="167" t="str">
        <f>IF(ISBLANK(Inputs!$A81),"",
IF(AS473="--","Solved",
IF(ABS(AS473)&lt;=0.001,"Solved",AQ473-AS473*(AQ473-AM473)/(AS473-AO473))))</f>
        <v/>
      </c>
      <c r="AV473" s="167"/>
      <c r="AW473" s="329" t="str">
        <f>IF(ISBLANK(Inputs!$A81),"",
IF(OR(AU473="Solved",AU473="--"),"--",
((Mat.Conc_Alpha.1*Mat.Conc_f.c*$AB473*MIN(AU473*Mat.Conc_Beta.1,$Y473))
+(Mat.Conc_Alpha.1*Mat.Conc_f.c*$V473*MAX(0,AU473*Mat.Conc_Beta.1-$Y473)))
-($J473*MIN(Mat.Rebar_f.y,(Mat.Rebar_epsilon.cl*($S473-AU473)/AU473)*Mat.PT_E.s))
-($M473*Mat.PT_f.pu*(1-Mat.PT_k*AU473/$P473))))</f>
        <v/>
      </c>
      <c r="AX473" s="329"/>
      <c r="AY473" s="167" t="str">
        <f>IF(ISBLANK(Inputs!$A81),"",
IF(AW473="--","Solved",
IF(ABS(AW473)&lt;=0.001,"Solved",AU473-AW473*(AU473-AQ473)/(AW473-AS473))))</f>
        <v/>
      </c>
      <c r="AZ473" s="167"/>
      <c r="BA473" s="329" t="str">
        <f>IF(ISBLANK(Inputs!$A81),"",
IF(OR(AY473="Solved",AY473="--"),"--",
((Mat.Conc_Alpha.1*Mat.Conc_f.c*$AB473*MIN(AY473*Mat.Conc_Beta.1,$Y473))
+(Mat.Conc_Alpha.1*Mat.Conc_f.c*$V473*MAX(0,AY473*Mat.Conc_Beta.1-$Y473)))
-($J473*MIN(Mat.Rebar_f.y,(Mat.Rebar_epsilon.cl*($S473-AY473)/AY473)*Mat.PT_E.s))
-($M473*Mat.PT_f.pu*(1-Mat.PT_k*AY473/$P473))))</f>
        <v/>
      </c>
      <c r="BB473" s="329"/>
      <c r="BC473" s="167" t="str">
        <f>IF(ISBLANK(Inputs!$A81),"",
IF(BA473="--","Solved",
IF(ABS(BA473)&lt;=0.001,"Solved",AY473-BA473*(AY473-AU473)/(BA473-AW473))))</f>
        <v/>
      </c>
      <c r="BD473" s="167"/>
      <c r="BE473" s="329" t="str">
        <f>IF(ISBLANK(Inputs!$A81),"",
IF(OR(BC473="Solved",BC473="--"),"--",
((Mat.Conc_Alpha.1*Mat.Conc_f.c*$AB473*MIN(BC473*Mat.Conc_Beta.1,$Y473))
+(Mat.Conc_Alpha.1*Mat.Conc_f.c*$V473*MAX(0,BC473*Mat.Conc_Beta.1-$Y473)))
-($J473*MIN(Mat.Rebar_f.y,(Mat.Rebar_epsilon.cl*($S473-BC473)/BC473)*Mat.PT_E.s))
-($M473*Mat.PT_f.pu*(1-Mat.PT_k*BC473/$P473))))</f>
        <v/>
      </c>
      <c r="BF473" s="329"/>
      <c r="BG473" s="167" t="str">
        <f>IF(ISBLANK(Inputs!$A81),"",
IF(BE473="--","Solved",
IF(ABS(BE473)&lt;=0.001,"Solved",BC473-BE473*(BC473-AY473)/(BE473-BA473))))</f>
        <v/>
      </c>
      <c r="BH473" s="167"/>
      <c r="BI473" s="329" t="str">
        <f>IF(ISBLANK(Inputs!$A81),"",
IF(OR(BG473="Solved",BG473="--"),"--",
((Mat.Conc_Alpha.1*Mat.Conc_f.c*$AB473*MIN(BG473*Mat.Conc_Beta.1,$Y473))
+(Mat.Conc_Alpha.1*Mat.Conc_f.c*$V473*MAX(0,BG473*Mat.Conc_Beta.1-$Y473)))
-($J473*MIN(Mat.Rebar_f.y,(Mat.Rebar_epsilon.cl*($S473-BG473)/BG473)*Mat.PT_E.s))
-($M473*Mat.PT_f.pu*(1-Mat.PT_k*BG473/$P473))))</f>
        <v/>
      </c>
      <c r="BJ473" s="329"/>
      <c r="BK473" s="167" t="str">
        <f>IF(ISBLANK(Inputs!$A81),"",
IF(BI473="--","Solved",
IF(ABS(BI473)&lt;=0.001,"Solved",BG473-BI473*(BG473-BC473)/(BI473-BE473))))</f>
        <v/>
      </c>
      <c r="BL473" s="167"/>
      <c r="BM473" s="329" t="str">
        <f>IF(ISBLANK(Inputs!$A81),"",
IF(OR(BK473="Solved",BK473="--"),"--",
((Mat.Conc_Alpha.1*Mat.Conc_f.c*$AB473*MIN(BK473*Mat.Conc_Beta.1,$Y473))
+(Mat.Conc_Alpha.1*Mat.Conc_f.c*$V473*MAX(0,BK473*Mat.Conc_Beta.1-$Y473)))
-($J473*MIN(Mat.Rebar_f.y,(Mat.Rebar_epsilon.cl*($S473-BK473)/BK473)*Mat.PT_E.s))
-($M473*Mat.PT_f.pu*(1-Mat.PT_k*BK473/$P473))))</f>
        <v/>
      </c>
      <c r="BN473" s="329"/>
      <c r="BO473" s="167" t="str">
        <f>IF(ISBLANK(Inputs!$A81),"",
IF(BM473="--","Solved",
IF(ABS(BM473)&lt;=0.001,"Solved",BK473-BM473*(BK473-BG473)/(BM473-BI473))))</f>
        <v/>
      </c>
      <c r="BP473" s="167"/>
      <c r="BQ473" s="329" t="str">
        <f>IF(ISBLANK(Inputs!$A81),"",
IF(OR(BO473="Solved",BO473="--"),"--",
((Mat.Conc_Alpha.1*Mat.Conc_f.c*$AB473*MIN(BO473*Mat.Conc_Beta.1,$Y473))
+(Mat.Conc_Alpha.1*Mat.Conc_f.c*$V473*MAX(0,BO473*Mat.Conc_Beta.1-$Y473)))
-($J473*MIN(Mat.Rebar_f.y,(Mat.Rebar_epsilon.cl*($S473-BO473)/BO473)*Mat.PT_E.s))
-($M473*Mat.PT_f.pu*(1-Mat.PT_k*BO473/$P473))))</f>
        <v/>
      </c>
      <c r="BR473" s="329"/>
      <c r="BT473" s="98"/>
      <c r="BU473" s="70"/>
      <c r="BV473" s="70"/>
      <c r="BW473" s="8"/>
      <c r="BX473" s="8"/>
      <c r="BY473" s="8"/>
      <c r="BZ473" s="8"/>
      <c r="CA473" s="8"/>
      <c r="CB473" s="10"/>
    </row>
    <row r="474" spans="3:80" ht="15" customHeight="1" x14ac:dyDescent="0.25">
      <c r="C474" s="69"/>
      <c r="F474" s="167" t="str">
        <f>IF(ISBLANK(Inputs!A82),"",Inputs!A82)</f>
        <v/>
      </c>
      <c r="G474" s="167"/>
      <c r="H474" s="167" t="str">
        <f>IF(ISBLANK(Inputs!B82),"",Inputs!B82)</f>
        <v/>
      </c>
      <c r="I474" s="167"/>
      <c r="J474" s="168" t="str">
        <f>IF(ISBLANK(Inputs!G82),"",Inputs!G82)</f>
        <v/>
      </c>
      <c r="K474" s="168"/>
      <c r="L474" s="168"/>
      <c r="M474" s="168" t="str">
        <f>IF(ISBLANK(Inputs!D82),"",Inputs!D82)</f>
        <v/>
      </c>
      <c r="N474" s="168"/>
      <c r="O474" s="168"/>
      <c r="P474" s="168" t="str">
        <f>IF(ISBLANK(Inputs!F82),"",Inputs!F82)</f>
        <v/>
      </c>
      <c r="Q474" s="168"/>
      <c r="R474" s="168"/>
      <c r="S474" s="168" t="str">
        <f>IF(ISBLANK(Inputs!H82),"",Inputs!H82)</f>
        <v/>
      </c>
      <c r="T474" s="168"/>
      <c r="U474" s="168"/>
      <c r="V474" s="168" t="str">
        <f>IF(ISBLANK(Inputs!E82),"",Inputs!E82)</f>
        <v/>
      </c>
      <c r="W474" s="168"/>
      <c r="X474" s="168"/>
      <c r="Y474" s="168" t="str">
        <f>IF(ISBLANK(Inputs!I82),"",Inputs!I82)</f>
        <v/>
      </c>
      <c r="Z474" s="168"/>
      <c r="AA474" s="168"/>
      <c r="AB474" s="168">
        <f>IF(ISBLANK(Inputs!J82),"",Inputs!J82)</f>
        <v>96</v>
      </c>
      <c r="AC474" s="168"/>
      <c r="AD474" s="168"/>
      <c r="AE474" s="167" t="str">
        <f>IF(ISBLANK(Inputs!A82),"",Y474)</f>
        <v/>
      </c>
      <c r="AF474" s="167"/>
      <c r="AG474" s="329" t="str">
        <f>IF(ISBLANK(Inputs!$A82),"",
IF(OR(AE474="Solved",AE474="--"),"--",
((Mat.Conc_Alpha.1*Mat.Conc_f.c*$AB474*MIN(AE474*Mat.Conc_Beta.1,$Y474))
+(Mat.Conc_Alpha.1*Mat.Conc_f.c*$V474*MAX(0,AE474*Mat.Conc_Beta.1-$Y474)))
-($J474*MIN(Mat.Rebar_f.y,(Mat.Rebar_epsilon.cl*($S474-AE474)/AE474)*Mat.PT_E.s))
-($M474*Mat.PT_f.pu*(1-Mat.PT_k*AE474/$P474))))</f>
        <v/>
      </c>
      <c r="AH474" s="329"/>
      <c r="AI474" s="167" t="str">
        <f>IF(ISBLANK(Inputs!$A82),"",
IF(ABS(AG474)&lt;=0.001,"Solved",IF(AG474&gt;0,0.85*AE474,1.15*AE474)))</f>
        <v/>
      </c>
      <c r="AJ474" s="167"/>
      <c r="AK474" s="329" t="str">
        <f>IF(ISBLANK(Inputs!$A82),"",
IF(OR(AI474="Solved",AI474="--"),"--",
((Mat.Conc_Alpha.1*Mat.Conc_f.c*$AB474*MIN(AI474*Mat.Conc_Beta.1,$Y474))
+(Mat.Conc_Alpha.1*Mat.Conc_f.c*$V474*MAX(0,AI474*Mat.Conc_Beta.1-$Y474)))
-($J474*MIN(Mat.Rebar_f.y,(Mat.Rebar_epsilon.cl*($S474-AI474)/AI474)*Mat.PT_E.s))
-($M474*Mat.PT_f.pu*(1-Mat.PT_k*AI474/$P474))))</f>
        <v/>
      </c>
      <c r="AL474" s="329"/>
      <c r="AM474" s="167" t="str">
        <f>IF(ISBLANK(Inputs!$A82),"",
IF(AK474="--","Solved",
IF(ABS(AK474)&lt;=0.001,"Solved",AI474-AK474*(AI474-AE474)/(AK474-AG474))))</f>
        <v/>
      </c>
      <c r="AN474" s="167"/>
      <c r="AO474" s="329" t="str">
        <f>IF(ISBLANK(Inputs!$A82),"",
IF(OR(AM474="Solved",AM474="--"),"--",
((Mat.Conc_Alpha.1*Mat.Conc_f.c*$AB474*MIN(AM474*Mat.Conc_Beta.1,$Y474))
+(Mat.Conc_Alpha.1*Mat.Conc_f.c*$V474*MAX(0,AM474*Mat.Conc_Beta.1-$Y474)))
-($J474*MIN(Mat.Rebar_f.y,(Mat.Rebar_epsilon.cl*($S474-AM474)/AM474)*Mat.PT_E.s))
-($M474*Mat.PT_f.pu*(1-Mat.PT_k*AM474/$P474))))</f>
        <v/>
      </c>
      <c r="AP474" s="329"/>
      <c r="AQ474" s="167" t="str">
        <f>IF(ISBLANK(Inputs!$A82),"",
IF(AO474="--","Solved",
IF(ABS(AO474)&lt;=0.001,"Solved",AM474-AO474*(AM474-AI474)/(AO474-AK474))))</f>
        <v/>
      </c>
      <c r="AR474" s="167"/>
      <c r="AS474" s="329" t="str">
        <f>IF(ISBLANK(Inputs!$A82),"",
IF(OR(AQ474="Solved",AQ474="--"),"--",
((Mat.Conc_Alpha.1*Mat.Conc_f.c*$AB474*MIN(AQ474*Mat.Conc_Beta.1,$Y474))
+(Mat.Conc_Alpha.1*Mat.Conc_f.c*$V474*MAX(0,AQ474*Mat.Conc_Beta.1-$Y474)))
-($J474*MIN(Mat.Rebar_f.y,(Mat.Rebar_epsilon.cl*($S474-AQ474)/AQ474)*Mat.PT_E.s))
-($M474*Mat.PT_f.pu*(1-Mat.PT_k*AQ474/$P474))))</f>
        <v/>
      </c>
      <c r="AT474" s="329"/>
      <c r="AU474" s="167" t="str">
        <f>IF(ISBLANK(Inputs!$A82),"",
IF(AS474="--","Solved",
IF(ABS(AS474)&lt;=0.001,"Solved",AQ474-AS474*(AQ474-AM474)/(AS474-AO474))))</f>
        <v/>
      </c>
      <c r="AV474" s="167"/>
      <c r="AW474" s="329" t="str">
        <f>IF(ISBLANK(Inputs!$A82),"",
IF(OR(AU474="Solved",AU474="--"),"--",
((Mat.Conc_Alpha.1*Mat.Conc_f.c*$AB474*MIN(AU474*Mat.Conc_Beta.1,$Y474))
+(Mat.Conc_Alpha.1*Mat.Conc_f.c*$V474*MAX(0,AU474*Mat.Conc_Beta.1-$Y474)))
-($J474*MIN(Mat.Rebar_f.y,(Mat.Rebar_epsilon.cl*($S474-AU474)/AU474)*Mat.PT_E.s))
-($M474*Mat.PT_f.pu*(1-Mat.PT_k*AU474/$P474))))</f>
        <v/>
      </c>
      <c r="AX474" s="329"/>
      <c r="AY474" s="167" t="str">
        <f>IF(ISBLANK(Inputs!$A82),"",
IF(AW474="--","Solved",
IF(ABS(AW474)&lt;=0.001,"Solved",AU474-AW474*(AU474-AQ474)/(AW474-AS474))))</f>
        <v/>
      </c>
      <c r="AZ474" s="167"/>
      <c r="BA474" s="329" t="str">
        <f>IF(ISBLANK(Inputs!$A82),"",
IF(OR(AY474="Solved",AY474="--"),"--",
((Mat.Conc_Alpha.1*Mat.Conc_f.c*$AB474*MIN(AY474*Mat.Conc_Beta.1,$Y474))
+(Mat.Conc_Alpha.1*Mat.Conc_f.c*$V474*MAX(0,AY474*Mat.Conc_Beta.1-$Y474)))
-($J474*MIN(Mat.Rebar_f.y,(Mat.Rebar_epsilon.cl*($S474-AY474)/AY474)*Mat.PT_E.s))
-($M474*Mat.PT_f.pu*(1-Mat.PT_k*AY474/$P474))))</f>
        <v/>
      </c>
      <c r="BB474" s="329"/>
      <c r="BC474" s="167" t="str">
        <f>IF(ISBLANK(Inputs!$A82),"",
IF(BA474="--","Solved",
IF(ABS(BA474)&lt;=0.001,"Solved",AY474-BA474*(AY474-AU474)/(BA474-AW474))))</f>
        <v/>
      </c>
      <c r="BD474" s="167"/>
      <c r="BE474" s="329" t="str">
        <f>IF(ISBLANK(Inputs!$A82),"",
IF(OR(BC474="Solved",BC474="--"),"--",
((Mat.Conc_Alpha.1*Mat.Conc_f.c*$AB474*MIN(BC474*Mat.Conc_Beta.1,$Y474))
+(Mat.Conc_Alpha.1*Mat.Conc_f.c*$V474*MAX(0,BC474*Mat.Conc_Beta.1-$Y474)))
-($J474*MIN(Mat.Rebar_f.y,(Mat.Rebar_epsilon.cl*($S474-BC474)/BC474)*Mat.PT_E.s))
-($M474*Mat.PT_f.pu*(1-Mat.PT_k*BC474/$P474))))</f>
        <v/>
      </c>
      <c r="BF474" s="329"/>
      <c r="BG474" s="167" t="str">
        <f>IF(ISBLANK(Inputs!$A82),"",
IF(BE474="--","Solved",
IF(ABS(BE474)&lt;=0.001,"Solved",BC474-BE474*(BC474-AY474)/(BE474-BA474))))</f>
        <v/>
      </c>
      <c r="BH474" s="167"/>
      <c r="BI474" s="329" t="str">
        <f>IF(ISBLANK(Inputs!$A82),"",
IF(OR(BG474="Solved",BG474="--"),"--",
((Mat.Conc_Alpha.1*Mat.Conc_f.c*$AB474*MIN(BG474*Mat.Conc_Beta.1,$Y474))
+(Mat.Conc_Alpha.1*Mat.Conc_f.c*$V474*MAX(0,BG474*Mat.Conc_Beta.1-$Y474)))
-($J474*MIN(Mat.Rebar_f.y,(Mat.Rebar_epsilon.cl*($S474-BG474)/BG474)*Mat.PT_E.s))
-($M474*Mat.PT_f.pu*(1-Mat.PT_k*BG474/$P474))))</f>
        <v/>
      </c>
      <c r="BJ474" s="329"/>
      <c r="BK474" s="167" t="str">
        <f>IF(ISBLANK(Inputs!$A82),"",
IF(BI474="--","Solved",
IF(ABS(BI474)&lt;=0.001,"Solved",BG474-BI474*(BG474-BC474)/(BI474-BE474))))</f>
        <v/>
      </c>
      <c r="BL474" s="167"/>
      <c r="BM474" s="329" t="str">
        <f>IF(ISBLANK(Inputs!$A82),"",
IF(OR(BK474="Solved",BK474="--"),"--",
((Mat.Conc_Alpha.1*Mat.Conc_f.c*$AB474*MIN(BK474*Mat.Conc_Beta.1,$Y474))
+(Mat.Conc_Alpha.1*Mat.Conc_f.c*$V474*MAX(0,BK474*Mat.Conc_Beta.1-$Y474)))
-($J474*MIN(Mat.Rebar_f.y,(Mat.Rebar_epsilon.cl*($S474-BK474)/BK474)*Mat.PT_E.s))
-($M474*Mat.PT_f.pu*(1-Mat.PT_k*BK474/$P474))))</f>
        <v/>
      </c>
      <c r="BN474" s="329"/>
      <c r="BO474" s="167" t="str">
        <f>IF(ISBLANK(Inputs!$A82),"",
IF(BM474="--","Solved",
IF(ABS(BM474)&lt;=0.001,"Solved",BK474-BM474*(BK474-BG474)/(BM474-BI474))))</f>
        <v/>
      </c>
      <c r="BP474" s="167"/>
      <c r="BQ474" s="329" t="str">
        <f>IF(ISBLANK(Inputs!$A82),"",
IF(OR(BO474="Solved",BO474="--"),"--",
((Mat.Conc_Alpha.1*Mat.Conc_f.c*$AB474*MIN(BO474*Mat.Conc_Beta.1,$Y474))
+(Mat.Conc_Alpha.1*Mat.Conc_f.c*$V474*MAX(0,BO474*Mat.Conc_Beta.1-$Y474)))
-($J474*MIN(Mat.Rebar_f.y,(Mat.Rebar_epsilon.cl*($S474-BO474)/BO474)*Mat.PT_E.s))
-($M474*Mat.PT_f.pu*(1-Mat.PT_k*BO474/$P474))))</f>
        <v/>
      </c>
      <c r="BR474" s="329"/>
      <c r="BT474" s="98"/>
      <c r="BU474" s="70"/>
      <c r="BV474" s="70"/>
      <c r="BW474" s="8"/>
      <c r="BX474" s="8"/>
      <c r="BY474" s="8"/>
      <c r="BZ474" s="8"/>
      <c r="CA474" s="8"/>
      <c r="CB474" s="10"/>
    </row>
    <row r="475" spans="3:80" ht="15" customHeight="1" x14ac:dyDescent="0.25">
      <c r="C475" s="69"/>
      <c r="F475" s="167" t="str">
        <f>IF(ISBLANK(Inputs!A83),"",Inputs!A83)</f>
        <v/>
      </c>
      <c r="G475" s="167"/>
      <c r="H475" s="167" t="str">
        <f>IF(ISBLANK(Inputs!B83),"",Inputs!B83)</f>
        <v/>
      </c>
      <c r="I475" s="167"/>
      <c r="J475" s="168" t="str">
        <f>IF(ISBLANK(Inputs!G83),"",Inputs!G83)</f>
        <v/>
      </c>
      <c r="K475" s="168"/>
      <c r="L475" s="168"/>
      <c r="M475" s="168" t="str">
        <f>IF(ISBLANK(Inputs!D83),"",Inputs!D83)</f>
        <v/>
      </c>
      <c r="N475" s="168"/>
      <c r="O475" s="168"/>
      <c r="P475" s="168" t="str">
        <f>IF(ISBLANK(Inputs!F83),"",Inputs!F83)</f>
        <v/>
      </c>
      <c r="Q475" s="168"/>
      <c r="R475" s="168"/>
      <c r="S475" s="168" t="str">
        <f>IF(ISBLANK(Inputs!H83),"",Inputs!H83)</f>
        <v/>
      </c>
      <c r="T475" s="168"/>
      <c r="U475" s="168"/>
      <c r="V475" s="168" t="str">
        <f>IF(ISBLANK(Inputs!E83),"",Inputs!E83)</f>
        <v/>
      </c>
      <c r="W475" s="168"/>
      <c r="X475" s="168"/>
      <c r="Y475" s="168" t="str">
        <f>IF(ISBLANK(Inputs!I83),"",Inputs!I83)</f>
        <v/>
      </c>
      <c r="Z475" s="168"/>
      <c r="AA475" s="168"/>
      <c r="AB475" s="168">
        <f>IF(ISBLANK(Inputs!J83),"",Inputs!J83)</f>
        <v>96</v>
      </c>
      <c r="AC475" s="168"/>
      <c r="AD475" s="168"/>
      <c r="AE475" s="167" t="str">
        <f>IF(ISBLANK(Inputs!A83),"",Y475)</f>
        <v/>
      </c>
      <c r="AF475" s="167"/>
      <c r="AG475" s="329" t="str">
        <f>IF(ISBLANK(Inputs!$A83),"",
IF(OR(AE475="Solved",AE475="--"),"--",
((Mat.Conc_Alpha.1*Mat.Conc_f.c*$AB475*MIN(AE475*Mat.Conc_Beta.1,$Y475))
+(Mat.Conc_Alpha.1*Mat.Conc_f.c*$V475*MAX(0,AE475*Mat.Conc_Beta.1-$Y475)))
-($J475*MIN(Mat.Rebar_f.y,(Mat.Rebar_epsilon.cl*($S475-AE475)/AE475)*Mat.PT_E.s))
-($M475*Mat.PT_f.pu*(1-Mat.PT_k*AE475/$P475))))</f>
        <v/>
      </c>
      <c r="AH475" s="329"/>
      <c r="AI475" s="167" t="str">
        <f>IF(ISBLANK(Inputs!$A83),"",
IF(ABS(AG475)&lt;=0.001,"Solved",IF(AG475&gt;0,0.85*AE475,1.15*AE475)))</f>
        <v/>
      </c>
      <c r="AJ475" s="167"/>
      <c r="AK475" s="329" t="str">
        <f>IF(ISBLANK(Inputs!$A83),"",
IF(OR(AI475="Solved",AI475="--"),"--",
((Mat.Conc_Alpha.1*Mat.Conc_f.c*$AB475*MIN(AI475*Mat.Conc_Beta.1,$Y475))
+(Mat.Conc_Alpha.1*Mat.Conc_f.c*$V475*MAX(0,AI475*Mat.Conc_Beta.1-$Y475)))
-($J475*MIN(Mat.Rebar_f.y,(Mat.Rebar_epsilon.cl*($S475-AI475)/AI475)*Mat.PT_E.s))
-($M475*Mat.PT_f.pu*(1-Mat.PT_k*AI475/$P475))))</f>
        <v/>
      </c>
      <c r="AL475" s="329"/>
      <c r="AM475" s="167" t="str">
        <f>IF(ISBLANK(Inputs!$A83),"",
IF(AK475="--","Solved",
IF(ABS(AK475)&lt;=0.001,"Solved",AI475-AK475*(AI475-AE475)/(AK475-AG475))))</f>
        <v/>
      </c>
      <c r="AN475" s="167"/>
      <c r="AO475" s="329" t="str">
        <f>IF(ISBLANK(Inputs!$A83),"",
IF(OR(AM475="Solved",AM475="--"),"--",
((Mat.Conc_Alpha.1*Mat.Conc_f.c*$AB475*MIN(AM475*Mat.Conc_Beta.1,$Y475))
+(Mat.Conc_Alpha.1*Mat.Conc_f.c*$V475*MAX(0,AM475*Mat.Conc_Beta.1-$Y475)))
-($J475*MIN(Mat.Rebar_f.y,(Mat.Rebar_epsilon.cl*($S475-AM475)/AM475)*Mat.PT_E.s))
-($M475*Mat.PT_f.pu*(1-Mat.PT_k*AM475/$P475))))</f>
        <v/>
      </c>
      <c r="AP475" s="329"/>
      <c r="AQ475" s="167" t="str">
        <f>IF(ISBLANK(Inputs!$A83),"",
IF(AO475="--","Solved",
IF(ABS(AO475)&lt;=0.001,"Solved",AM475-AO475*(AM475-AI475)/(AO475-AK475))))</f>
        <v/>
      </c>
      <c r="AR475" s="167"/>
      <c r="AS475" s="329" t="str">
        <f>IF(ISBLANK(Inputs!$A83),"",
IF(OR(AQ475="Solved",AQ475="--"),"--",
((Mat.Conc_Alpha.1*Mat.Conc_f.c*$AB475*MIN(AQ475*Mat.Conc_Beta.1,$Y475))
+(Mat.Conc_Alpha.1*Mat.Conc_f.c*$V475*MAX(0,AQ475*Mat.Conc_Beta.1-$Y475)))
-($J475*MIN(Mat.Rebar_f.y,(Mat.Rebar_epsilon.cl*($S475-AQ475)/AQ475)*Mat.PT_E.s))
-($M475*Mat.PT_f.pu*(1-Mat.PT_k*AQ475/$P475))))</f>
        <v/>
      </c>
      <c r="AT475" s="329"/>
      <c r="AU475" s="167" t="str">
        <f>IF(ISBLANK(Inputs!$A83),"",
IF(AS475="--","Solved",
IF(ABS(AS475)&lt;=0.001,"Solved",AQ475-AS475*(AQ475-AM475)/(AS475-AO475))))</f>
        <v/>
      </c>
      <c r="AV475" s="167"/>
      <c r="AW475" s="329" t="str">
        <f>IF(ISBLANK(Inputs!$A83),"",
IF(OR(AU475="Solved",AU475="--"),"--",
((Mat.Conc_Alpha.1*Mat.Conc_f.c*$AB475*MIN(AU475*Mat.Conc_Beta.1,$Y475))
+(Mat.Conc_Alpha.1*Mat.Conc_f.c*$V475*MAX(0,AU475*Mat.Conc_Beta.1-$Y475)))
-($J475*MIN(Mat.Rebar_f.y,(Mat.Rebar_epsilon.cl*($S475-AU475)/AU475)*Mat.PT_E.s))
-($M475*Mat.PT_f.pu*(1-Mat.PT_k*AU475/$P475))))</f>
        <v/>
      </c>
      <c r="AX475" s="329"/>
      <c r="AY475" s="167" t="str">
        <f>IF(ISBLANK(Inputs!$A83),"",
IF(AW475="--","Solved",
IF(ABS(AW475)&lt;=0.001,"Solved",AU475-AW475*(AU475-AQ475)/(AW475-AS475))))</f>
        <v/>
      </c>
      <c r="AZ475" s="167"/>
      <c r="BA475" s="329" t="str">
        <f>IF(ISBLANK(Inputs!$A83),"",
IF(OR(AY475="Solved",AY475="--"),"--",
((Mat.Conc_Alpha.1*Mat.Conc_f.c*$AB475*MIN(AY475*Mat.Conc_Beta.1,$Y475))
+(Mat.Conc_Alpha.1*Mat.Conc_f.c*$V475*MAX(0,AY475*Mat.Conc_Beta.1-$Y475)))
-($J475*MIN(Mat.Rebar_f.y,(Mat.Rebar_epsilon.cl*($S475-AY475)/AY475)*Mat.PT_E.s))
-($M475*Mat.PT_f.pu*(1-Mat.PT_k*AY475/$P475))))</f>
        <v/>
      </c>
      <c r="BB475" s="329"/>
      <c r="BC475" s="167" t="str">
        <f>IF(ISBLANK(Inputs!$A83),"",
IF(BA475="--","Solved",
IF(ABS(BA475)&lt;=0.001,"Solved",AY475-BA475*(AY475-AU475)/(BA475-AW475))))</f>
        <v/>
      </c>
      <c r="BD475" s="167"/>
      <c r="BE475" s="329" t="str">
        <f>IF(ISBLANK(Inputs!$A83),"",
IF(OR(BC475="Solved",BC475="--"),"--",
((Mat.Conc_Alpha.1*Mat.Conc_f.c*$AB475*MIN(BC475*Mat.Conc_Beta.1,$Y475))
+(Mat.Conc_Alpha.1*Mat.Conc_f.c*$V475*MAX(0,BC475*Mat.Conc_Beta.1-$Y475)))
-($J475*MIN(Mat.Rebar_f.y,(Mat.Rebar_epsilon.cl*($S475-BC475)/BC475)*Mat.PT_E.s))
-($M475*Mat.PT_f.pu*(1-Mat.PT_k*BC475/$P475))))</f>
        <v/>
      </c>
      <c r="BF475" s="329"/>
      <c r="BG475" s="167" t="str">
        <f>IF(ISBLANK(Inputs!$A83),"",
IF(BE475="--","Solved",
IF(ABS(BE475)&lt;=0.001,"Solved",BC475-BE475*(BC475-AY475)/(BE475-BA475))))</f>
        <v/>
      </c>
      <c r="BH475" s="167"/>
      <c r="BI475" s="329" t="str">
        <f>IF(ISBLANK(Inputs!$A83),"",
IF(OR(BG475="Solved",BG475="--"),"--",
((Mat.Conc_Alpha.1*Mat.Conc_f.c*$AB475*MIN(BG475*Mat.Conc_Beta.1,$Y475))
+(Mat.Conc_Alpha.1*Mat.Conc_f.c*$V475*MAX(0,BG475*Mat.Conc_Beta.1-$Y475)))
-($J475*MIN(Mat.Rebar_f.y,(Mat.Rebar_epsilon.cl*($S475-BG475)/BG475)*Mat.PT_E.s))
-($M475*Mat.PT_f.pu*(1-Mat.PT_k*BG475/$P475))))</f>
        <v/>
      </c>
      <c r="BJ475" s="329"/>
      <c r="BK475" s="167" t="str">
        <f>IF(ISBLANK(Inputs!$A83),"",
IF(BI475="--","Solved",
IF(ABS(BI475)&lt;=0.001,"Solved",BG475-BI475*(BG475-BC475)/(BI475-BE475))))</f>
        <v/>
      </c>
      <c r="BL475" s="167"/>
      <c r="BM475" s="329" t="str">
        <f>IF(ISBLANK(Inputs!$A83),"",
IF(OR(BK475="Solved",BK475="--"),"--",
((Mat.Conc_Alpha.1*Mat.Conc_f.c*$AB475*MIN(BK475*Mat.Conc_Beta.1,$Y475))
+(Mat.Conc_Alpha.1*Mat.Conc_f.c*$V475*MAX(0,BK475*Mat.Conc_Beta.1-$Y475)))
-($J475*MIN(Mat.Rebar_f.y,(Mat.Rebar_epsilon.cl*($S475-BK475)/BK475)*Mat.PT_E.s))
-($M475*Mat.PT_f.pu*(1-Mat.PT_k*BK475/$P475))))</f>
        <v/>
      </c>
      <c r="BN475" s="329"/>
      <c r="BO475" s="167" t="str">
        <f>IF(ISBLANK(Inputs!$A83),"",
IF(BM475="--","Solved",
IF(ABS(BM475)&lt;=0.001,"Solved",BK475-BM475*(BK475-BG475)/(BM475-BI475))))</f>
        <v/>
      </c>
      <c r="BP475" s="167"/>
      <c r="BQ475" s="329" t="str">
        <f>IF(ISBLANK(Inputs!$A83),"",
IF(OR(BO475="Solved",BO475="--"),"--",
((Mat.Conc_Alpha.1*Mat.Conc_f.c*$AB475*MIN(BO475*Mat.Conc_Beta.1,$Y475))
+(Mat.Conc_Alpha.1*Mat.Conc_f.c*$V475*MAX(0,BO475*Mat.Conc_Beta.1-$Y475)))
-($J475*MIN(Mat.Rebar_f.y,(Mat.Rebar_epsilon.cl*($S475-BO475)/BO475)*Mat.PT_E.s))
-($M475*Mat.PT_f.pu*(1-Mat.PT_k*BO475/$P475))))</f>
        <v/>
      </c>
      <c r="BR475" s="329"/>
      <c r="BT475" s="98"/>
      <c r="BU475" s="70"/>
      <c r="BV475" s="70"/>
      <c r="BW475" s="8"/>
      <c r="BX475" s="8"/>
      <c r="BY475" s="8"/>
      <c r="BZ475" s="8"/>
      <c r="CA475" s="8"/>
      <c r="CB475" s="10"/>
    </row>
    <row r="476" spans="3:80" ht="15" customHeight="1" x14ac:dyDescent="0.25">
      <c r="C476" s="69"/>
      <c r="F476" s="167" t="str">
        <f>IF(ISBLANK(Inputs!A84),"",Inputs!A84)</f>
        <v/>
      </c>
      <c r="G476" s="167"/>
      <c r="H476" s="167" t="str">
        <f>IF(ISBLANK(Inputs!B84),"",Inputs!B84)</f>
        <v/>
      </c>
      <c r="I476" s="167"/>
      <c r="J476" s="168" t="str">
        <f>IF(ISBLANK(Inputs!G84),"",Inputs!G84)</f>
        <v/>
      </c>
      <c r="K476" s="168"/>
      <c r="L476" s="168"/>
      <c r="M476" s="168" t="str">
        <f>IF(ISBLANK(Inputs!D84),"",Inputs!D84)</f>
        <v/>
      </c>
      <c r="N476" s="168"/>
      <c r="O476" s="168"/>
      <c r="P476" s="168" t="str">
        <f>IF(ISBLANK(Inputs!F84),"",Inputs!F84)</f>
        <v/>
      </c>
      <c r="Q476" s="168"/>
      <c r="R476" s="168"/>
      <c r="S476" s="168" t="str">
        <f>IF(ISBLANK(Inputs!H84),"",Inputs!H84)</f>
        <v/>
      </c>
      <c r="T476" s="168"/>
      <c r="U476" s="168"/>
      <c r="V476" s="168" t="str">
        <f>IF(ISBLANK(Inputs!E84),"",Inputs!E84)</f>
        <v/>
      </c>
      <c r="W476" s="168"/>
      <c r="X476" s="168"/>
      <c r="Y476" s="168" t="str">
        <f>IF(ISBLANK(Inputs!I84),"",Inputs!I84)</f>
        <v/>
      </c>
      <c r="Z476" s="168"/>
      <c r="AA476" s="168"/>
      <c r="AB476" s="168">
        <f>IF(ISBLANK(Inputs!J84),"",Inputs!J84)</f>
        <v>96</v>
      </c>
      <c r="AC476" s="168"/>
      <c r="AD476" s="168"/>
      <c r="AE476" s="167" t="str">
        <f>IF(ISBLANK(Inputs!A84),"",Y476)</f>
        <v/>
      </c>
      <c r="AF476" s="167"/>
      <c r="AG476" s="329" t="str">
        <f>IF(ISBLANK(Inputs!$A84),"",
IF(OR(AE476="Solved",AE476="--"),"--",
((Mat.Conc_Alpha.1*Mat.Conc_f.c*$AB476*MIN(AE476*Mat.Conc_Beta.1,$Y476))
+(Mat.Conc_Alpha.1*Mat.Conc_f.c*$V476*MAX(0,AE476*Mat.Conc_Beta.1-$Y476)))
-($J476*MIN(Mat.Rebar_f.y,(Mat.Rebar_epsilon.cl*($S476-AE476)/AE476)*Mat.PT_E.s))
-($M476*Mat.PT_f.pu*(1-Mat.PT_k*AE476/$P476))))</f>
        <v/>
      </c>
      <c r="AH476" s="329"/>
      <c r="AI476" s="167" t="str">
        <f>IF(ISBLANK(Inputs!$A84),"",
IF(ABS(AG476)&lt;=0.001,"Solved",IF(AG476&gt;0,0.85*AE476,1.15*AE476)))</f>
        <v/>
      </c>
      <c r="AJ476" s="167"/>
      <c r="AK476" s="329" t="str">
        <f>IF(ISBLANK(Inputs!$A84),"",
IF(OR(AI476="Solved",AI476="--"),"--",
((Mat.Conc_Alpha.1*Mat.Conc_f.c*$AB476*MIN(AI476*Mat.Conc_Beta.1,$Y476))
+(Mat.Conc_Alpha.1*Mat.Conc_f.c*$V476*MAX(0,AI476*Mat.Conc_Beta.1-$Y476)))
-($J476*MIN(Mat.Rebar_f.y,(Mat.Rebar_epsilon.cl*($S476-AI476)/AI476)*Mat.PT_E.s))
-($M476*Mat.PT_f.pu*(1-Mat.PT_k*AI476/$P476))))</f>
        <v/>
      </c>
      <c r="AL476" s="329"/>
      <c r="AM476" s="167" t="str">
        <f>IF(ISBLANK(Inputs!$A84),"",
IF(AK476="--","Solved",
IF(ABS(AK476)&lt;=0.001,"Solved",AI476-AK476*(AI476-AE476)/(AK476-AG476))))</f>
        <v/>
      </c>
      <c r="AN476" s="167"/>
      <c r="AO476" s="329" t="str">
        <f>IF(ISBLANK(Inputs!$A84),"",
IF(OR(AM476="Solved",AM476="--"),"--",
((Mat.Conc_Alpha.1*Mat.Conc_f.c*$AB476*MIN(AM476*Mat.Conc_Beta.1,$Y476))
+(Mat.Conc_Alpha.1*Mat.Conc_f.c*$V476*MAX(0,AM476*Mat.Conc_Beta.1-$Y476)))
-($J476*MIN(Mat.Rebar_f.y,(Mat.Rebar_epsilon.cl*($S476-AM476)/AM476)*Mat.PT_E.s))
-($M476*Mat.PT_f.pu*(1-Mat.PT_k*AM476/$P476))))</f>
        <v/>
      </c>
      <c r="AP476" s="329"/>
      <c r="AQ476" s="167" t="str">
        <f>IF(ISBLANK(Inputs!$A84),"",
IF(AO476="--","Solved",
IF(ABS(AO476)&lt;=0.001,"Solved",AM476-AO476*(AM476-AI476)/(AO476-AK476))))</f>
        <v/>
      </c>
      <c r="AR476" s="167"/>
      <c r="AS476" s="329" t="str">
        <f>IF(ISBLANK(Inputs!$A84),"",
IF(OR(AQ476="Solved",AQ476="--"),"--",
((Mat.Conc_Alpha.1*Mat.Conc_f.c*$AB476*MIN(AQ476*Mat.Conc_Beta.1,$Y476))
+(Mat.Conc_Alpha.1*Mat.Conc_f.c*$V476*MAX(0,AQ476*Mat.Conc_Beta.1-$Y476)))
-($J476*MIN(Mat.Rebar_f.y,(Mat.Rebar_epsilon.cl*($S476-AQ476)/AQ476)*Mat.PT_E.s))
-($M476*Mat.PT_f.pu*(1-Mat.PT_k*AQ476/$P476))))</f>
        <v/>
      </c>
      <c r="AT476" s="329"/>
      <c r="AU476" s="167" t="str">
        <f>IF(ISBLANK(Inputs!$A84),"",
IF(AS476="--","Solved",
IF(ABS(AS476)&lt;=0.001,"Solved",AQ476-AS476*(AQ476-AM476)/(AS476-AO476))))</f>
        <v/>
      </c>
      <c r="AV476" s="167"/>
      <c r="AW476" s="329" t="str">
        <f>IF(ISBLANK(Inputs!$A84),"",
IF(OR(AU476="Solved",AU476="--"),"--",
((Mat.Conc_Alpha.1*Mat.Conc_f.c*$AB476*MIN(AU476*Mat.Conc_Beta.1,$Y476))
+(Mat.Conc_Alpha.1*Mat.Conc_f.c*$V476*MAX(0,AU476*Mat.Conc_Beta.1-$Y476)))
-($J476*MIN(Mat.Rebar_f.y,(Mat.Rebar_epsilon.cl*($S476-AU476)/AU476)*Mat.PT_E.s))
-($M476*Mat.PT_f.pu*(1-Mat.PT_k*AU476/$P476))))</f>
        <v/>
      </c>
      <c r="AX476" s="329"/>
      <c r="AY476" s="167" t="str">
        <f>IF(ISBLANK(Inputs!$A84),"",
IF(AW476="--","Solved",
IF(ABS(AW476)&lt;=0.001,"Solved",AU476-AW476*(AU476-AQ476)/(AW476-AS476))))</f>
        <v/>
      </c>
      <c r="AZ476" s="167"/>
      <c r="BA476" s="329" t="str">
        <f>IF(ISBLANK(Inputs!$A84),"",
IF(OR(AY476="Solved",AY476="--"),"--",
((Mat.Conc_Alpha.1*Mat.Conc_f.c*$AB476*MIN(AY476*Mat.Conc_Beta.1,$Y476))
+(Mat.Conc_Alpha.1*Mat.Conc_f.c*$V476*MAX(0,AY476*Mat.Conc_Beta.1-$Y476)))
-($J476*MIN(Mat.Rebar_f.y,(Mat.Rebar_epsilon.cl*($S476-AY476)/AY476)*Mat.PT_E.s))
-($M476*Mat.PT_f.pu*(1-Mat.PT_k*AY476/$P476))))</f>
        <v/>
      </c>
      <c r="BB476" s="329"/>
      <c r="BC476" s="167" t="str">
        <f>IF(ISBLANK(Inputs!$A84),"",
IF(BA476="--","Solved",
IF(ABS(BA476)&lt;=0.001,"Solved",AY476-BA476*(AY476-AU476)/(BA476-AW476))))</f>
        <v/>
      </c>
      <c r="BD476" s="167"/>
      <c r="BE476" s="329" t="str">
        <f>IF(ISBLANK(Inputs!$A84),"",
IF(OR(BC476="Solved",BC476="--"),"--",
((Mat.Conc_Alpha.1*Mat.Conc_f.c*$AB476*MIN(BC476*Mat.Conc_Beta.1,$Y476))
+(Mat.Conc_Alpha.1*Mat.Conc_f.c*$V476*MAX(0,BC476*Mat.Conc_Beta.1-$Y476)))
-($J476*MIN(Mat.Rebar_f.y,(Mat.Rebar_epsilon.cl*($S476-BC476)/BC476)*Mat.PT_E.s))
-($M476*Mat.PT_f.pu*(1-Mat.PT_k*BC476/$P476))))</f>
        <v/>
      </c>
      <c r="BF476" s="329"/>
      <c r="BG476" s="167" t="str">
        <f>IF(ISBLANK(Inputs!$A84),"",
IF(BE476="--","Solved",
IF(ABS(BE476)&lt;=0.001,"Solved",BC476-BE476*(BC476-AY476)/(BE476-BA476))))</f>
        <v/>
      </c>
      <c r="BH476" s="167"/>
      <c r="BI476" s="329" t="str">
        <f>IF(ISBLANK(Inputs!$A84),"",
IF(OR(BG476="Solved",BG476="--"),"--",
((Mat.Conc_Alpha.1*Mat.Conc_f.c*$AB476*MIN(BG476*Mat.Conc_Beta.1,$Y476))
+(Mat.Conc_Alpha.1*Mat.Conc_f.c*$V476*MAX(0,BG476*Mat.Conc_Beta.1-$Y476)))
-($J476*MIN(Mat.Rebar_f.y,(Mat.Rebar_epsilon.cl*($S476-BG476)/BG476)*Mat.PT_E.s))
-($M476*Mat.PT_f.pu*(1-Mat.PT_k*BG476/$P476))))</f>
        <v/>
      </c>
      <c r="BJ476" s="329"/>
      <c r="BK476" s="167" t="str">
        <f>IF(ISBLANK(Inputs!$A84),"",
IF(BI476="--","Solved",
IF(ABS(BI476)&lt;=0.001,"Solved",BG476-BI476*(BG476-BC476)/(BI476-BE476))))</f>
        <v/>
      </c>
      <c r="BL476" s="167"/>
      <c r="BM476" s="329" t="str">
        <f>IF(ISBLANK(Inputs!$A84),"",
IF(OR(BK476="Solved",BK476="--"),"--",
((Mat.Conc_Alpha.1*Mat.Conc_f.c*$AB476*MIN(BK476*Mat.Conc_Beta.1,$Y476))
+(Mat.Conc_Alpha.1*Mat.Conc_f.c*$V476*MAX(0,BK476*Mat.Conc_Beta.1-$Y476)))
-($J476*MIN(Mat.Rebar_f.y,(Mat.Rebar_epsilon.cl*($S476-BK476)/BK476)*Mat.PT_E.s))
-($M476*Mat.PT_f.pu*(1-Mat.PT_k*BK476/$P476))))</f>
        <v/>
      </c>
      <c r="BN476" s="329"/>
      <c r="BO476" s="167" t="str">
        <f>IF(ISBLANK(Inputs!$A84),"",
IF(BM476="--","Solved",
IF(ABS(BM476)&lt;=0.001,"Solved",BK476-BM476*(BK476-BG476)/(BM476-BI476))))</f>
        <v/>
      </c>
      <c r="BP476" s="167"/>
      <c r="BQ476" s="329" t="str">
        <f>IF(ISBLANK(Inputs!$A84),"",
IF(OR(BO476="Solved",BO476="--"),"--",
((Mat.Conc_Alpha.1*Mat.Conc_f.c*$AB476*MIN(BO476*Mat.Conc_Beta.1,$Y476))
+(Mat.Conc_Alpha.1*Mat.Conc_f.c*$V476*MAX(0,BO476*Mat.Conc_Beta.1-$Y476)))
-($J476*MIN(Mat.Rebar_f.y,(Mat.Rebar_epsilon.cl*($S476-BO476)/BO476)*Mat.PT_E.s))
-($M476*Mat.PT_f.pu*(1-Mat.PT_k*BO476/$P476))))</f>
        <v/>
      </c>
      <c r="BR476" s="329"/>
      <c r="BT476" s="98"/>
      <c r="BU476" s="70"/>
      <c r="BV476" s="70"/>
      <c r="BW476" s="8"/>
      <c r="BX476" s="8"/>
      <c r="BY476" s="8"/>
      <c r="BZ476" s="8"/>
      <c r="CA476" s="8"/>
      <c r="CB476" s="10"/>
    </row>
    <row r="477" spans="3:80" ht="15" customHeight="1" x14ac:dyDescent="0.25">
      <c r="C477" s="69"/>
      <c r="F477" s="167" t="str">
        <f>IF(ISBLANK(Inputs!A85),"",Inputs!A85)</f>
        <v/>
      </c>
      <c r="G477" s="167"/>
      <c r="H477" s="167" t="str">
        <f>IF(ISBLANK(Inputs!B85),"",Inputs!B85)</f>
        <v/>
      </c>
      <c r="I477" s="167"/>
      <c r="J477" s="168" t="str">
        <f>IF(ISBLANK(Inputs!G85),"",Inputs!G85)</f>
        <v/>
      </c>
      <c r="K477" s="168"/>
      <c r="L477" s="168"/>
      <c r="M477" s="168" t="str">
        <f>IF(ISBLANK(Inputs!D85),"",Inputs!D85)</f>
        <v/>
      </c>
      <c r="N477" s="168"/>
      <c r="O477" s="168"/>
      <c r="P477" s="168" t="str">
        <f>IF(ISBLANK(Inputs!F85),"",Inputs!F85)</f>
        <v/>
      </c>
      <c r="Q477" s="168"/>
      <c r="R477" s="168"/>
      <c r="S477" s="168" t="str">
        <f>IF(ISBLANK(Inputs!H85),"",Inputs!H85)</f>
        <v/>
      </c>
      <c r="T477" s="168"/>
      <c r="U477" s="168"/>
      <c r="V477" s="168" t="str">
        <f>IF(ISBLANK(Inputs!E85),"",Inputs!E85)</f>
        <v/>
      </c>
      <c r="W477" s="168"/>
      <c r="X477" s="168"/>
      <c r="Y477" s="168" t="str">
        <f>IF(ISBLANK(Inputs!I85),"",Inputs!I85)</f>
        <v/>
      </c>
      <c r="Z477" s="168"/>
      <c r="AA477" s="168"/>
      <c r="AB477" s="168">
        <f>IF(ISBLANK(Inputs!J85),"",Inputs!J85)</f>
        <v>96</v>
      </c>
      <c r="AC477" s="168"/>
      <c r="AD477" s="168"/>
      <c r="AE477" s="167" t="str">
        <f>IF(ISBLANK(Inputs!A85),"",Y477)</f>
        <v/>
      </c>
      <c r="AF477" s="167"/>
      <c r="AG477" s="329" t="str">
        <f>IF(ISBLANK(Inputs!$A85),"",
IF(OR(AE477="Solved",AE477="--"),"--",
((Mat.Conc_Alpha.1*Mat.Conc_f.c*$AB477*MIN(AE477*Mat.Conc_Beta.1,$Y477))
+(Mat.Conc_Alpha.1*Mat.Conc_f.c*$V477*MAX(0,AE477*Mat.Conc_Beta.1-$Y477)))
-($J477*MIN(Mat.Rebar_f.y,(Mat.Rebar_epsilon.cl*($S477-AE477)/AE477)*Mat.PT_E.s))
-($M477*Mat.PT_f.pu*(1-Mat.PT_k*AE477/$P477))))</f>
        <v/>
      </c>
      <c r="AH477" s="329"/>
      <c r="AI477" s="167" t="str">
        <f>IF(ISBLANK(Inputs!$A85),"",
IF(ABS(AG477)&lt;=0.001,"Solved",IF(AG477&gt;0,0.85*AE477,1.15*AE477)))</f>
        <v/>
      </c>
      <c r="AJ477" s="167"/>
      <c r="AK477" s="329" t="str">
        <f>IF(ISBLANK(Inputs!$A85),"",
IF(OR(AI477="Solved",AI477="--"),"--",
((Mat.Conc_Alpha.1*Mat.Conc_f.c*$AB477*MIN(AI477*Mat.Conc_Beta.1,$Y477))
+(Mat.Conc_Alpha.1*Mat.Conc_f.c*$V477*MAX(0,AI477*Mat.Conc_Beta.1-$Y477)))
-($J477*MIN(Mat.Rebar_f.y,(Mat.Rebar_epsilon.cl*($S477-AI477)/AI477)*Mat.PT_E.s))
-($M477*Mat.PT_f.pu*(1-Mat.PT_k*AI477/$P477))))</f>
        <v/>
      </c>
      <c r="AL477" s="329"/>
      <c r="AM477" s="167" t="str">
        <f>IF(ISBLANK(Inputs!$A85),"",
IF(AK477="--","Solved",
IF(ABS(AK477)&lt;=0.001,"Solved",AI477-AK477*(AI477-AE477)/(AK477-AG477))))</f>
        <v/>
      </c>
      <c r="AN477" s="167"/>
      <c r="AO477" s="329" t="str">
        <f>IF(ISBLANK(Inputs!$A85),"",
IF(OR(AM477="Solved",AM477="--"),"--",
((Mat.Conc_Alpha.1*Mat.Conc_f.c*$AB477*MIN(AM477*Mat.Conc_Beta.1,$Y477))
+(Mat.Conc_Alpha.1*Mat.Conc_f.c*$V477*MAX(0,AM477*Mat.Conc_Beta.1-$Y477)))
-($J477*MIN(Mat.Rebar_f.y,(Mat.Rebar_epsilon.cl*($S477-AM477)/AM477)*Mat.PT_E.s))
-($M477*Mat.PT_f.pu*(1-Mat.PT_k*AM477/$P477))))</f>
        <v/>
      </c>
      <c r="AP477" s="329"/>
      <c r="AQ477" s="167" t="str">
        <f>IF(ISBLANK(Inputs!$A85),"",
IF(AO477="--","Solved",
IF(ABS(AO477)&lt;=0.001,"Solved",AM477-AO477*(AM477-AI477)/(AO477-AK477))))</f>
        <v/>
      </c>
      <c r="AR477" s="167"/>
      <c r="AS477" s="329" t="str">
        <f>IF(ISBLANK(Inputs!$A85),"",
IF(OR(AQ477="Solved",AQ477="--"),"--",
((Mat.Conc_Alpha.1*Mat.Conc_f.c*$AB477*MIN(AQ477*Mat.Conc_Beta.1,$Y477))
+(Mat.Conc_Alpha.1*Mat.Conc_f.c*$V477*MAX(0,AQ477*Mat.Conc_Beta.1-$Y477)))
-($J477*MIN(Mat.Rebar_f.y,(Mat.Rebar_epsilon.cl*($S477-AQ477)/AQ477)*Mat.PT_E.s))
-($M477*Mat.PT_f.pu*(1-Mat.PT_k*AQ477/$P477))))</f>
        <v/>
      </c>
      <c r="AT477" s="329"/>
      <c r="AU477" s="167" t="str">
        <f>IF(ISBLANK(Inputs!$A85),"",
IF(AS477="--","Solved",
IF(ABS(AS477)&lt;=0.001,"Solved",AQ477-AS477*(AQ477-AM477)/(AS477-AO477))))</f>
        <v/>
      </c>
      <c r="AV477" s="167"/>
      <c r="AW477" s="329" t="str">
        <f>IF(ISBLANK(Inputs!$A85),"",
IF(OR(AU477="Solved",AU477="--"),"--",
((Mat.Conc_Alpha.1*Mat.Conc_f.c*$AB477*MIN(AU477*Mat.Conc_Beta.1,$Y477))
+(Mat.Conc_Alpha.1*Mat.Conc_f.c*$V477*MAX(0,AU477*Mat.Conc_Beta.1-$Y477)))
-($J477*MIN(Mat.Rebar_f.y,(Mat.Rebar_epsilon.cl*($S477-AU477)/AU477)*Mat.PT_E.s))
-($M477*Mat.PT_f.pu*(1-Mat.PT_k*AU477/$P477))))</f>
        <v/>
      </c>
      <c r="AX477" s="329"/>
      <c r="AY477" s="167" t="str">
        <f>IF(ISBLANK(Inputs!$A85),"",
IF(AW477="--","Solved",
IF(ABS(AW477)&lt;=0.001,"Solved",AU477-AW477*(AU477-AQ477)/(AW477-AS477))))</f>
        <v/>
      </c>
      <c r="AZ477" s="167"/>
      <c r="BA477" s="329" t="str">
        <f>IF(ISBLANK(Inputs!$A85),"",
IF(OR(AY477="Solved",AY477="--"),"--",
((Mat.Conc_Alpha.1*Mat.Conc_f.c*$AB477*MIN(AY477*Mat.Conc_Beta.1,$Y477))
+(Mat.Conc_Alpha.1*Mat.Conc_f.c*$V477*MAX(0,AY477*Mat.Conc_Beta.1-$Y477)))
-($J477*MIN(Mat.Rebar_f.y,(Mat.Rebar_epsilon.cl*($S477-AY477)/AY477)*Mat.PT_E.s))
-($M477*Mat.PT_f.pu*(1-Mat.PT_k*AY477/$P477))))</f>
        <v/>
      </c>
      <c r="BB477" s="329"/>
      <c r="BC477" s="167" t="str">
        <f>IF(ISBLANK(Inputs!$A85),"",
IF(BA477="--","Solved",
IF(ABS(BA477)&lt;=0.001,"Solved",AY477-BA477*(AY477-AU477)/(BA477-AW477))))</f>
        <v/>
      </c>
      <c r="BD477" s="167"/>
      <c r="BE477" s="329" t="str">
        <f>IF(ISBLANK(Inputs!$A85),"",
IF(OR(BC477="Solved",BC477="--"),"--",
((Mat.Conc_Alpha.1*Mat.Conc_f.c*$AB477*MIN(BC477*Mat.Conc_Beta.1,$Y477))
+(Mat.Conc_Alpha.1*Mat.Conc_f.c*$V477*MAX(0,BC477*Mat.Conc_Beta.1-$Y477)))
-($J477*MIN(Mat.Rebar_f.y,(Mat.Rebar_epsilon.cl*($S477-BC477)/BC477)*Mat.PT_E.s))
-($M477*Mat.PT_f.pu*(1-Mat.PT_k*BC477/$P477))))</f>
        <v/>
      </c>
      <c r="BF477" s="329"/>
      <c r="BG477" s="167" t="str">
        <f>IF(ISBLANK(Inputs!$A85),"",
IF(BE477="--","Solved",
IF(ABS(BE477)&lt;=0.001,"Solved",BC477-BE477*(BC477-AY477)/(BE477-BA477))))</f>
        <v/>
      </c>
      <c r="BH477" s="167"/>
      <c r="BI477" s="329" t="str">
        <f>IF(ISBLANK(Inputs!$A85),"",
IF(OR(BG477="Solved",BG477="--"),"--",
((Mat.Conc_Alpha.1*Mat.Conc_f.c*$AB477*MIN(BG477*Mat.Conc_Beta.1,$Y477))
+(Mat.Conc_Alpha.1*Mat.Conc_f.c*$V477*MAX(0,BG477*Mat.Conc_Beta.1-$Y477)))
-($J477*MIN(Mat.Rebar_f.y,(Mat.Rebar_epsilon.cl*($S477-BG477)/BG477)*Mat.PT_E.s))
-($M477*Mat.PT_f.pu*(1-Mat.PT_k*BG477/$P477))))</f>
        <v/>
      </c>
      <c r="BJ477" s="329"/>
      <c r="BK477" s="167" t="str">
        <f>IF(ISBLANK(Inputs!$A85),"",
IF(BI477="--","Solved",
IF(ABS(BI477)&lt;=0.001,"Solved",BG477-BI477*(BG477-BC477)/(BI477-BE477))))</f>
        <v/>
      </c>
      <c r="BL477" s="167"/>
      <c r="BM477" s="329" t="str">
        <f>IF(ISBLANK(Inputs!$A85),"",
IF(OR(BK477="Solved",BK477="--"),"--",
((Mat.Conc_Alpha.1*Mat.Conc_f.c*$AB477*MIN(BK477*Mat.Conc_Beta.1,$Y477))
+(Mat.Conc_Alpha.1*Mat.Conc_f.c*$V477*MAX(0,BK477*Mat.Conc_Beta.1-$Y477)))
-($J477*MIN(Mat.Rebar_f.y,(Mat.Rebar_epsilon.cl*($S477-BK477)/BK477)*Mat.PT_E.s))
-($M477*Mat.PT_f.pu*(1-Mat.PT_k*BK477/$P477))))</f>
        <v/>
      </c>
      <c r="BN477" s="329"/>
      <c r="BO477" s="167" t="str">
        <f>IF(ISBLANK(Inputs!$A85),"",
IF(BM477="--","Solved",
IF(ABS(BM477)&lt;=0.001,"Solved",BK477-BM477*(BK477-BG477)/(BM477-BI477))))</f>
        <v/>
      </c>
      <c r="BP477" s="167"/>
      <c r="BQ477" s="329" t="str">
        <f>IF(ISBLANK(Inputs!$A85),"",
IF(OR(BO477="Solved",BO477="--"),"--",
((Mat.Conc_Alpha.1*Mat.Conc_f.c*$AB477*MIN(BO477*Mat.Conc_Beta.1,$Y477))
+(Mat.Conc_Alpha.1*Mat.Conc_f.c*$V477*MAX(0,BO477*Mat.Conc_Beta.1-$Y477)))
-($J477*MIN(Mat.Rebar_f.y,(Mat.Rebar_epsilon.cl*($S477-BO477)/BO477)*Mat.PT_E.s))
-($M477*Mat.PT_f.pu*(1-Mat.PT_k*BO477/$P477))))</f>
        <v/>
      </c>
      <c r="BR477" s="329"/>
      <c r="BT477" s="98"/>
      <c r="BU477" s="70"/>
      <c r="BV477" s="70"/>
      <c r="BW477" s="8"/>
      <c r="BX477" s="8"/>
      <c r="BY477" s="8"/>
      <c r="BZ477" s="8"/>
      <c r="CA477" s="8"/>
      <c r="CB477" s="10"/>
    </row>
    <row r="478" spans="3:80" ht="15" customHeight="1" x14ac:dyDescent="0.25">
      <c r="C478" s="69"/>
      <c r="F478" s="167" t="str">
        <f>IF(ISBLANK(Inputs!A86),"",Inputs!A86)</f>
        <v/>
      </c>
      <c r="G478" s="167"/>
      <c r="H478" s="167" t="str">
        <f>IF(ISBLANK(Inputs!B86),"",Inputs!B86)</f>
        <v/>
      </c>
      <c r="I478" s="167"/>
      <c r="J478" s="168" t="str">
        <f>IF(ISBLANK(Inputs!G86),"",Inputs!G86)</f>
        <v/>
      </c>
      <c r="K478" s="168"/>
      <c r="L478" s="168"/>
      <c r="M478" s="168" t="str">
        <f>IF(ISBLANK(Inputs!D86),"",Inputs!D86)</f>
        <v/>
      </c>
      <c r="N478" s="168"/>
      <c r="O478" s="168"/>
      <c r="P478" s="168" t="str">
        <f>IF(ISBLANK(Inputs!F86),"",Inputs!F86)</f>
        <v/>
      </c>
      <c r="Q478" s="168"/>
      <c r="R478" s="168"/>
      <c r="S478" s="168" t="str">
        <f>IF(ISBLANK(Inputs!H86),"",Inputs!H86)</f>
        <v/>
      </c>
      <c r="T478" s="168"/>
      <c r="U478" s="168"/>
      <c r="V478" s="168" t="str">
        <f>IF(ISBLANK(Inputs!E86),"",Inputs!E86)</f>
        <v/>
      </c>
      <c r="W478" s="168"/>
      <c r="X478" s="168"/>
      <c r="Y478" s="168" t="str">
        <f>IF(ISBLANK(Inputs!I86),"",Inputs!I86)</f>
        <v/>
      </c>
      <c r="Z478" s="168"/>
      <c r="AA478" s="168"/>
      <c r="AB478" s="168">
        <f>IF(ISBLANK(Inputs!J86),"",Inputs!J86)</f>
        <v>96</v>
      </c>
      <c r="AC478" s="168"/>
      <c r="AD478" s="168"/>
      <c r="AE478" s="167" t="str">
        <f>IF(ISBLANK(Inputs!A86),"",Y478)</f>
        <v/>
      </c>
      <c r="AF478" s="167"/>
      <c r="AG478" s="329" t="str">
        <f>IF(ISBLANK(Inputs!$A86),"",
IF(OR(AE478="Solved",AE478="--"),"--",
((Mat.Conc_Alpha.1*Mat.Conc_f.c*$AB478*MIN(AE478*Mat.Conc_Beta.1,$Y478))
+(Mat.Conc_Alpha.1*Mat.Conc_f.c*$V478*MAX(0,AE478*Mat.Conc_Beta.1-$Y478)))
-($J478*MIN(Mat.Rebar_f.y,(Mat.Rebar_epsilon.cl*($S478-AE478)/AE478)*Mat.PT_E.s))
-($M478*Mat.PT_f.pu*(1-Mat.PT_k*AE478/$P478))))</f>
        <v/>
      </c>
      <c r="AH478" s="329"/>
      <c r="AI478" s="167" t="str">
        <f>IF(ISBLANK(Inputs!$A86),"",
IF(ABS(AG478)&lt;=0.001,"Solved",IF(AG478&gt;0,0.85*AE478,1.15*AE478)))</f>
        <v/>
      </c>
      <c r="AJ478" s="167"/>
      <c r="AK478" s="329" t="str">
        <f>IF(ISBLANK(Inputs!$A86),"",
IF(OR(AI478="Solved",AI478="--"),"--",
((Mat.Conc_Alpha.1*Mat.Conc_f.c*$AB478*MIN(AI478*Mat.Conc_Beta.1,$Y478))
+(Mat.Conc_Alpha.1*Mat.Conc_f.c*$V478*MAX(0,AI478*Mat.Conc_Beta.1-$Y478)))
-($J478*MIN(Mat.Rebar_f.y,(Mat.Rebar_epsilon.cl*($S478-AI478)/AI478)*Mat.PT_E.s))
-($M478*Mat.PT_f.pu*(1-Mat.PT_k*AI478/$P478))))</f>
        <v/>
      </c>
      <c r="AL478" s="329"/>
      <c r="AM478" s="167" t="str">
        <f>IF(ISBLANK(Inputs!$A86),"",
IF(AK478="--","Solved",
IF(ABS(AK478)&lt;=0.001,"Solved",AI478-AK478*(AI478-AE478)/(AK478-AG478))))</f>
        <v/>
      </c>
      <c r="AN478" s="167"/>
      <c r="AO478" s="329" t="str">
        <f>IF(ISBLANK(Inputs!$A86),"",
IF(OR(AM478="Solved",AM478="--"),"--",
((Mat.Conc_Alpha.1*Mat.Conc_f.c*$AB478*MIN(AM478*Mat.Conc_Beta.1,$Y478))
+(Mat.Conc_Alpha.1*Mat.Conc_f.c*$V478*MAX(0,AM478*Mat.Conc_Beta.1-$Y478)))
-($J478*MIN(Mat.Rebar_f.y,(Mat.Rebar_epsilon.cl*($S478-AM478)/AM478)*Mat.PT_E.s))
-($M478*Mat.PT_f.pu*(1-Mat.PT_k*AM478/$P478))))</f>
        <v/>
      </c>
      <c r="AP478" s="329"/>
      <c r="AQ478" s="167" t="str">
        <f>IF(ISBLANK(Inputs!$A86),"",
IF(AO478="--","Solved",
IF(ABS(AO478)&lt;=0.001,"Solved",AM478-AO478*(AM478-AI478)/(AO478-AK478))))</f>
        <v/>
      </c>
      <c r="AR478" s="167"/>
      <c r="AS478" s="329" t="str">
        <f>IF(ISBLANK(Inputs!$A86),"",
IF(OR(AQ478="Solved",AQ478="--"),"--",
((Mat.Conc_Alpha.1*Mat.Conc_f.c*$AB478*MIN(AQ478*Mat.Conc_Beta.1,$Y478))
+(Mat.Conc_Alpha.1*Mat.Conc_f.c*$V478*MAX(0,AQ478*Mat.Conc_Beta.1-$Y478)))
-($J478*MIN(Mat.Rebar_f.y,(Mat.Rebar_epsilon.cl*($S478-AQ478)/AQ478)*Mat.PT_E.s))
-($M478*Mat.PT_f.pu*(1-Mat.PT_k*AQ478/$P478))))</f>
        <v/>
      </c>
      <c r="AT478" s="329"/>
      <c r="AU478" s="167" t="str">
        <f>IF(ISBLANK(Inputs!$A86),"",
IF(AS478="--","Solved",
IF(ABS(AS478)&lt;=0.001,"Solved",AQ478-AS478*(AQ478-AM478)/(AS478-AO478))))</f>
        <v/>
      </c>
      <c r="AV478" s="167"/>
      <c r="AW478" s="329" t="str">
        <f>IF(ISBLANK(Inputs!$A86),"",
IF(OR(AU478="Solved",AU478="--"),"--",
((Mat.Conc_Alpha.1*Mat.Conc_f.c*$AB478*MIN(AU478*Mat.Conc_Beta.1,$Y478))
+(Mat.Conc_Alpha.1*Mat.Conc_f.c*$V478*MAX(0,AU478*Mat.Conc_Beta.1-$Y478)))
-($J478*MIN(Mat.Rebar_f.y,(Mat.Rebar_epsilon.cl*($S478-AU478)/AU478)*Mat.PT_E.s))
-($M478*Mat.PT_f.pu*(1-Mat.PT_k*AU478/$P478))))</f>
        <v/>
      </c>
      <c r="AX478" s="329"/>
      <c r="AY478" s="167" t="str">
        <f>IF(ISBLANK(Inputs!$A86),"",
IF(AW478="--","Solved",
IF(ABS(AW478)&lt;=0.001,"Solved",AU478-AW478*(AU478-AQ478)/(AW478-AS478))))</f>
        <v/>
      </c>
      <c r="AZ478" s="167"/>
      <c r="BA478" s="329" t="str">
        <f>IF(ISBLANK(Inputs!$A86),"",
IF(OR(AY478="Solved",AY478="--"),"--",
((Mat.Conc_Alpha.1*Mat.Conc_f.c*$AB478*MIN(AY478*Mat.Conc_Beta.1,$Y478))
+(Mat.Conc_Alpha.1*Mat.Conc_f.c*$V478*MAX(0,AY478*Mat.Conc_Beta.1-$Y478)))
-($J478*MIN(Mat.Rebar_f.y,(Mat.Rebar_epsilon.cl*($S478-AY478)/AY478)*Mat.PT_E.s))
-($M478*Mat.PT_f.pu*(1-Mat.PT_k*AY478/$P478))))</f>
        <v/>
      </c>
      <c r="BB478" s="329"/>
      <c r="BC478" s="167" t="str">
        <f>IF(ISBLANK(Inputs!$A86),"",
IF(BA478="--","Solved",
IF(ABS(BA478)&lt;=0.001,"Solved",AY478-BA478*(AY478-AU478)/(BA478-AW478))))</f>
        <v/>
      </c>
      <c r="BD478" s="167"/>
      <c r="BE478" s="329" t="str">
        <f>IF(ISBLANK(Inputs!$A86),"",
IF(OR(BC478="Solved",BC478="--"),"--",
((Mat.Conc_Alpha.1*Mat.Conc_f.c*$AB478*MIN(BC478*Mat.Conc_Beta.1,$Y478))
+(Mat.Conc_Alpha.1*Mat.Conc_f.c*$V478*MAX(0,BC478*Mat.Conc_Beta.1-$Y478)))
-($J478*MIN(Mat.Rebar_f.y,(Mat.Rebar_epsilon.cl*($S478-BC478)/BC478)*Mat.PT_E.s))
-($M478*Mat.PT_f.pu*(1-Mat.PT_k*BC478/$P478))))</f>
        <v/>
      </c>
      <c r="BF478" s="329"/>
      <c r="BG478" s="167" t="str">
        <f>IF(ISBLANK(Inputs!$A86),"",
IF(BE478="--","Solved",
IF(ABS(BE478)&lt;=0.001,"Solved",BC478-BE478*(BC478-AY478)/(BE478-BA478))))</f>
        <v/>
      </c>
      <c r="BH478" s="167"/>
      <c r="BI478" s="329" t="str">
        <f>IF(ISBLANK(Inputs!$A86),"",
IF(OR(BG478="Solved",BG478="--"),"--",
((Mat.Conc_Alpha.1*Mat.Conc_f.c*$AB478*MIN(BG478*Mat.Conc_Beta.1,$Y478))
+(Mat.Conc_Alpha.1*Mat.Conc_f.c*$V478*MAX(0,BG478*Mat.Conc_Beta.1-$Y478)))
-($J478*MIN(Mat.Rebar_f.y,(Mat.Rebar_epsilon.cl*($S478-BG478)/BG478)*Mat.PT_E.s))
-($M478*Mat.PT_f.pu*(1-Mat.PT_k*BG478/$P478))))</f>
        <v/>
      </c>
      <c r="BJ478" s="329"/>
      <c r="BK478" s="167" t="str">
        <f>IF(ISBLANK(Inputs!$A86),"",
IF(BI478="--","Solved",
IF(ABS(BI478)&lt;=0.001,"Solved",BG478-BI478*(BG478-BC478)/(BI478-BE478))))</f>
        <v/>
      </c>
      <c r="BL478" s="167"/>
      <c r="BM478" s="329" t="str">
        <f>IF(ISBLANK(Inputs!$A86),"",
IF(OR(BK478="Solved",BK478="--"),"--",
((Mat.Conc_Alpha.1*Mat.Conc_f.c*$AB478*MIN(BK478*Mat.Conc_Beta.1,$Y478))
+(Mat.Conc_Alpha.1*Mat.Conc_f.c*$V478*MAX(0,BK478*Mat.Conc_Beta.1-$Y478)))
-($J478*MIN(Mat.Rebar_f.y,(Mat.Rebar_epsilon.cl*($S478-BK478)/BK478)*Mat.PT_E.s))
-($M478*Mat.PT_f.pu*(1-Mat.PT_k*BK478/$P478))))</f>
        <v/>
      </c>
      <c r="BN478" s="329"/>
      <c r="BO478" s="167" t="str">
        <f>IF(ISBLANK(Inputs!$A86),"",
IF(BM478="--","Solved",
IF(ABS(BM478)&lt;=0.001,"Solved",BK478-BM478*(BK478-BG478)/(BM478-BI478))))</f>
        <v/>
      </c>
      <c r="BP478" s="167"/>
      <c r="BQ478" s="329" t="str">
        <f>IF(ISBLANK(Inputs!$A86),"",
IF(OR(BO478="Solved",BO478="--"),"--",
((Mat.Conc_Alpha.1*Mat.Conc_f.c*$AB478*MIN(BO478*Mat.Conc_Beta.1,$Y478))
+(Mat.Conc_Alpha.1*Mat.Conc_f.c*$V478*MAX(0,BO478*Mat.Conc_Beta.1-$Y478)))
-($J478*MIN(Mat.Rebar_f.y,(Mat.Rebar_epsilon.cl*($S478-BO478)/BO478)*Mat.PT_E.s))
-($M478*Mat.PT_f.pu*(1-Mat.PT_k*BO478/$P478))))</f>
        <v/>
      </c>
      <c r="BR478" s="329"/>
      <c r="BT478" s="98"/>
      <c r="BU478" s="70"/>
      <c r="BV478" s="70"/>
      <c r="BW478" s="8"/>
      <c r="BX478" s="8"/>
      <c r="BY478" s="8"/>
      <c r="BZ478" s="8"/>
      <c r="CA478" s="8"/>
      <c r="CB478" s="10"/>
    </row>
    <row r="479" spans="3:80" ht="15" customHeight="1" x14ac:dyDescent="0.25">
      <c r="C479" s="69"/>
      <c r="F479" s="167" t="str">
        <f>IF(ISBLANK(Inputs!A87),"",Inputs!A87)</f>
        <v/>
      </c>
      <c r="G479" s="167"/>
      <c r="H479" s="167" t="str">
        <f>IF(ISBLANK(Inputs!B87),"",Inputs!B87)</f>
        <v/>
      </c>
      <c r="I479" s="167"/>
      <c r="J479" s="168" t="str">
        <f>IF(ISBLANK(Inputs!G87),"",Inputs!G87)</f>
        <v/>
      </c>
      <c r="K479" s="168"/>
      <c r="L479" s="168"/>
      <c r="M479" s="168" t="str">
        <f>IF(ISBLANK(Inputs!D87),"",Inputs!D87)</f>
        <v/>
      </c>
      <c r="N479" s="168"/>
      <c r="O479" s="168"/>
      <c r="P479" s="168" t="str">
        <f>IF(ISBLANK(Inputs!F87),"",Inputs!F87)</f>
        <v/>
      </c>
      <c r="Q479" s="168"/>
      <c r="R479" s="168"/>
      <c r="S479" s="168" t="str">
        <f>IF(ISBLANK(Inputs!H87),"",Inputs!H87)</f>
        <v/>
      </c>
      <c r="T479" s="168"/>
      <c r="U479" s="168"/>
      <c r="V479" s="168" t="str">
        <f>IF(ISBLANK(Inputs!E87),"",Inputs!E87)</f>
        <v/>
      </c>
      <c r="W479" s="168"/>
      <c r="X479" s="168"/>
      <c r="Y479" s="168" t="str">
        <f>IF(ISBLANK(Inputs!I87),"",Inputs!I87)</f>
        <v/>
      </c>
      <c r="Z479" s="168"/>
      <c r="AA479" s="168"/>
      <c r="AB479" s="168">
        <f>IF(ISBLANK(Inputs!J87),"",Inputs!J87)</f>
        <v>96</v>
      </c>
      <c r="AC479" s="168"/>
      <c r="AD479" s="168"/>
      <c r="AE479" s="167" t="str">
        <f>IF(ISBLANK(Inputs!A87),"",Y479)</f>
        <v/>
      </c>
      <c r="AF479" s="167"/>
      <c r="AG479" s="329" t="str">
        <f>IF(ISBLANK(Inputs!$A87),"",
IF(OR(AE479="Solved",AE479="--"),"--",
((Mat.Conc_Alpha.1*Mat.Conc_f.c*$AB479*MIN(AE479*Mat.Conc_Beta.1,$Y479))
+(Mat.Conc_Alpha.1*Mat.Conc_f.c*$V479*MAX(0,AE479*Mat.Conc_Beta.1-$Y479)))
-($J479*MIN(Mat.Rebar_f.y,(Mat.Rebar_epsilon.cl*($S479-AE479)/AE479)*Mat.PT_E.s))
-($M479*Mat.PT_f.pu*(1-Mat.PT_k*AE479/$P479))))</f>
        <v/>
      </c>
      <c r="AH479" s="329"/>
      <c r="AI479" s="167" t="str">
        <f>IF(ISBLANK(Inputs!$A87),"",
IF(ABS(AG479)&lt;=0.001,"Solved",IF(AG479&gt;0,0.85*AE479,1.15*AE479)))</f>
        <v/>
      </c>
      <c r="AJ479" s="167"/>
      <c r="AK479" s="329" t="str">
        <f>IF(ISBLANK(Inputs!$A87),"",
IF(OR(AI479="Solved",AI479="--"),"--",
((Mat.Conc_Alpha.1*Mat.Conc_f.c*$AB479*MIN(AI479*Mat.Conc_Beta.1,$Y479))
+(Mat.Conc_Alpha.1*Mat.Conc_f.c*$V479*MAX(0,AI479*Mat.Conc_Beta.1-$Y479)))
-($J479*MIN(Mat.Rebar_f.y,(Mat.Rebar_epsilon.cl*($S479-AI479)/AI479)*Mat.PT_E.s))
-($M479*Mat.PT_f.pu*(1-Mat.PT_k*AI479/$P479))))</f>
        <v/>
      </c>
      <c r="AL479" s="329"/>
      <c r="AM479" s="167" t="str">
        <f>IF(ISBLANK(Inputs!$A87),"",
IF(AK479="--","Solved",
IF(ABS(AK479)&lt;=0.001,"Solved",AI479-AK479*(AI479-AE479)/(AK479-AG479))))</f>
        <v/>
      </c>
      <c r="AN479" s="167"/>
      <c r="AO479" s="329" t="str">
        <f>IF(ISBLANK(Inputs!$A87),"",
IF(OR(AM479="Solved",AM479="--"),"--",
((Mat.Conc_Alpha.1*Mat.Conc_f.c*$AB479*MIN(AM479*Mat.Conc_Beta.1,$Y479))
+(Mat.Conc_Alpha.1*Mat.Conc_f.c*$V479*MAX(0,AM479*Mat.Conc_Beta.1-$Y479)))
-($J479*MIN(Mat.Rebar_f.y,(Mat.Rebar_epsilon.cl*($S479-AM479)/AM479)*Mat.PT_E.s))
-($M479*Mat.PT_f.pu*(1-Mat.PT_k*AM479/$P479))))</f>
        <v/>
      </c>
      <c r="AP479" s="329"/>
      <c r="AQ479" s="167" t="str">
        <f>IF(ISBLANK(Inputs!$A87),"",
IF(AO479="--","Solved",
IF(ABS(AO479)&lt;=0.001,"Solved",AM479-AO479*(AM479-AI479)/(AO479-AK479))))</f>
        <v/>
      </c>
      <c r="AR479" s="167"/>
      <c r="AS479" s="329" t="str">
        <f>IF(ISBLANK(Inputs!$A87),"",
IF(OR(AQ479="Solved",AQ479="--"),"--",
((Mat.Conc_Alpha.1*Mat.Conc_f.c*$AB479*MIN(AQ479*Mat.Conc_Beta.1,$Y479))
+(Mat.Conc_Alpha.1*Mat.Conc_f.c*$V479*MAX(0,AQ479*Mat.Conc_Beta.1-$Y479)))
-($J479*MIN(Mat.Rebar_f.y,(Mat.Rebar_epsilon.cl*($S479-AQ479)/AQ479)*Mat.PT_E.s))
-($M479*Mat.PT_f.pu*(1-Mat.PT_k*AQ479/$P479))))</f>
        <v/>
      </c>
      <c r="AT479" s="329"/>
      <c r="AU479" s="167" t="str">
        <f>IF(ISBLANK(Inputs!$A87),"",
IF(AS479="--","Solved",
IF(ABS(AS479)&lt;=0.001,"Solved",AQ479-AS479*(AQ479-AM479)/(AS479-AO479))))</f>
        <v/>
      </c>
      <c r="AV479" s="167"/>
      <c r="AW479" s="329" t="str">
        <f>IF(ISBLANK(Inputs!$A87),"",
IF(OR(AU479="Solved",AU479="--"),"--",
((Mat.Conc_Alpha.1*Mat.Conc_f.c*$AB479*MIN(AU479*Mat.Conc_Beta.1,$Y479))
+(Mat.Conc_Alpha.1*Mat.Conc_f.c*$V479*MAX(0,AU479*Mat.Conc_Beta.1-$Y479)))
-($J479*MIN(Mat.Rebar_f.y,(Mat.Rebar_epsilon.cl*($S479-AU479)/AU479)*Mat.PT_E.s))
-($M479*Mat.PT_f.pu*(1-Mat.PT_k*AU479/$P479))))</f>
        <v/>
      </c>
      <c r="AX479" s="329"/>
      <c r="AY479" s="167" t="str">
        <f>IF(ISBLANK(Inputs!$A87),"",
IF(AW479="--","Solved",
IF(ABS(AW479)&lt;=0.001,"Solved",AU479-AW479*(AU479-AQ479)/(AW479-AS479))))</f>
        <v/>
      </c>
      <c r="AZ479" s="167"/>
      <c r="BA479" s="329" t="str">
        <f>IF(ISBLANK(Inputs!$A87),"",
IF(OR(AY479="Solved",AY479="--"),"--",
((Mat.Conc_Alpha.1*Mat.Conc_f.c*$AB479*MIN(AY479*Mat.Conc_Beta.1,$Y479))
+(Mat.Conc_Alpha.1*Mat.Conc_f.c*$V479*MAX(0,AY479*Mat.Conc_Beta.1-$Y479)))
-($J479*MIN(Mat.Rebar_f.y,(Mat.Rebar_epsilon.cl*($S479-AY479)/AY479)*Mat.PT_E.s))
-($M479*Mat.PT_f.pu*(1-Mat.PT_k*AY479/$P479))))</f>
        <v/>
      </c>
      <c r="BB479" s="329"/>
      <c r="BC479" s="167" t="str">
        <f>IF(ISBLANK(Inputs!$A87),"",
IF(BA479="--","Solved",
IF(ABS(BA479)&lt;=0.001,"Solved",AY479-BA479*(AY479-AU479)/(BA479-AW479))))</f>
        <v/>
      </c>
      <c r="BD479" s="167"/>
      <c r="BE479" s="329" t="str">
        <f>IF(ISBLANK(Inputs!$A87),"",
IF(OR(BC479="Solved",BC479="--"),"--",
((Mat.Conc_Alpha.1*Mat.Conc_f.c*$AB479*MIN(BC479*Mat.Conc_Beta.1,$Y479))
+(Mat.Conc_Alpha.1*Mat.Conc_f.c*$V479*MAX(0,BC479*Mat.Conc_Beta.1-$Y479)))
-($J479*MIN(Mat.Rebar_f.y,(Mat.Rebar_epsilon.cl*($S479-BC479)/BC479)*Mat.PT_E.s))
-($M479*Mat.PT_f.pu*(1-Mat.PT_k*BC479/$P479))))</f>
        <v/>
      </c>
      <c r="BF479" s="329"/>
      <c r="BG479" s="167" t="str">
        <f>IF(ISBLANK(Inputs!$A87),"",
IF(BE479="--","Solved",
IF(ABS(BE479)&lt;=0.001,"Solved",BC479-BE479*(BC479-AY479)/(BE479-BA479))))</f>
        <v/>
      </c>
      <c r="BH479" s="167"/>
      <c r="BI479" s="329" t="str">
        <f>IF(ISBLANK(Inputs!$A87),"",
IF(OR(BG479="Solved",BG479="--"),"--",
((Mat.Conc_Alpha.1*Mat.Conc_f.c*$AB479*MIN(BG479*Mat.Conc_Beta.1,$Y479))
+(Mat.Conc_Alpha.1*Mat.Conc_f.c*$V479*MAX(0,BG479*Mat.Conc_Beta.1-$Y479)))
-($J479*MIN(Mat.Rebar_f.y,(Mat.Rebar_epsilon.cl*($S479-BG479)/BG479)*Mat.PT_E.s))
-($M479*Mat.PT_f.pu*(1-Mat.PT_k*BG479/$P479))))</f>
        <v/>
      </c>
      <c r="BJ479" s="329"/>
      <c r="BK479" s="167" t="str">
        <f>IF(ISBLANK(Inputs!$A87),"",
IF(BI479="--","Solved",
IF(ABS(BI479)&lt;=0.001,"Solved",BG479-BI479*(BG479-BC479)/(BI479-BE479))))</f>
        <v/>
      </c>
      <c r="BL479" s="167"/>
      <c r="BM479" s="329" t="str">
        <f>IF(ISBLANK(Inputs!$A87),"",
IF(OR(BK479="Solved",BK479="--"),"--",
((Mat.Conc_Alpha.1*Mat.Conc_f.c*$AB479*MIN(BK479*Mat.Conc_Beta.1,$Y479))
+(Mat.Conc_Alpha.1*Mat.Conc_f.c*$V479*MAX(0,BK479*Mat.Conc_Beta.1-$Y479)))
-($J479*MIN(Mat.Rebar_f.y,(Mat.Rebar_epsilon.cl*($S479-BK479)/BK479)*Mat.PT_E.s))
-($M479*Mat.PT_f.pu*(1-Mat.PT_k*BK479/$P479))))</f>
        <v/>
      </c>
      <c r="BN479" s="329"/>
      <c r="BO479" s="167" t="str">
        <f>IF(ISBLANK(Inputs!$A87),"",
IF(BM479="--","Solved",
IF(ABS(BM479)&lt;=0.001,"Solved",BK479-BM479*(BK479-BG479)/(BM479-BI479))))</f>
        <v/>
      </c>
      <c r="BP479" s="167"/>
      <c r="BQ479" s="329" t="str">
        <f>IF(ISBLANK(Inputs!$A87),"",
IF(OR(BO479="Solved",BO479="--"),"--",
((Mat.Conc_Alpha.1*Mat.Conc_f.c*$AB479*MIN(BO479*Mat.Conc_Beta.1,$Y479))
+(Mat.Conc_Alpha.1*Mat.Conc_f.c*$V479*MAX(0,BO479*Mat.Conc_Beta.1-$Y479)))
-($J479*MIN(Mat.Rebar_f.y,(Mat.Rebar_epsilon.cl*($S479-BO479)/BO479)*Mat.PT_E.s))
-($M479*Mat.PT_f.pu*(1-Mat.PT_k*BO479/$P479))))</f>
        <v/>
      </c>
      <c r="BR479" s="329"/>
      <c r="BT479" s="98"/>
      <c r="BU479" s="70"/>
      <c r="BV479" s="70"/>
      <c r="BW479" s="8"/>
      <c r="BX479" s="8"/>
      <c r="BY479" s="8"/>
      <c r="BZ479" s="8"/>
      <c r="CA479" s="8"/>
      <c r="CB479" s="10"/>
    </row>
    <row r="480" spans="3:80" ht="15" customHeight="1" x14ac:dyDescent="0.25">
      <c r="C480" s="69"/>
      <c r="F480" s="167" t="str">
        <f>IF(ISBLANK(Inputs!A88),"",Inputs!A88)</f>
        <v/>
      </c>
      <c r="G480" s="167"/>
      <c r="H480" s="167" t="str">
        <f>IF(ISBLANK(Inputs!B88),"",Inputs!B88)</f>
        <v/>
      </c>
      <c r="I480" s="167"/>
      <c r="J480" s="168" t="str">
        <f>IF(ISBLANK(Inputs!G88),"",Inputs!G88)</f>
        <v/>
      </c>
      <c r="K480" s="168"/>
      <c r="L480" s="168"/>
      <c r="M480" s="168" t="str">
        <f>IF(ISBLANK(Inputs!D88),"",Inputs!D88)</f>
        <v/>
      </c>
      <c r="N480" s="168"/>
      <c r="O480" s="168"/>
      <c r="P480" s="168" t="str">
        <f>IF(ISBLANK(Inputs!F88),"",Inputs!F88)</f>
        <v/>
      </c>
      <c r="Q480" s="168"/>
      <c r="R480" s="168"/>
      <c r="S480" s="168" t="str">
        <f>IF(ISBLANK(Inputs!H88),"",Inputs!H88)</f>
        <v/>
      </c>
      <c r="T480" s="168"/>
      <c r="U480" s="168"/>
      <c r="V480" s="168" t="str">
        <f>IF(ISBLANK(Inputs!E88),"",Inputs!E88)</f>
        <v/>
      </c>
      <c r="W480" s="168"/>
      <c r="X480" s="168"/>
      <c r="Y480" s="168" t="str">
        <f>IF(ISBLANK(Inputs!I88),"",Inputs!I88)</f>
        <v/>
      </c>
      <c r="Z480" s="168"/>
      <c r="AA480" s="168"/>
      <c r="AB480" s="168">
        <f>IF(ISBLANK(Inputs!J88),"",Inputs!J88)</f>
        <v>96</v>
      </c>
      <c r="AC480" s="168"/>
      <c r="AD480" s="168"/>
      <c r="AE480" s="167" t="str">
        <f>IF(ISBLANK(Inputs!A88),"",Y480)</f>
        <v/>
      </c>
      <c r="AF480" s="167"/>
      <c r="AG480" s="329" t="str">
        <f>IF(ISBLANK(Inputs!$A88),"",
IF(OR(AE480="Solved",AE480="--"),"--",
((Mat.Conc_Alpha.1*Mat.Conc_f.c*$AB480*MIN(AE480*Mat.Conc_Beta.1,$Y480))
+(Mat.Conc_Alpha.1*Mat.Conc_f.c*$V480*MAX(0,AE480*Mat.Conc_Beta.1-$Y480)))
-($J480*MIN(Mat.Rebar_f.y,(Mat.Rebar_epsilon.cl*($S480-AE480)/AE480)*Mat.PT_E.s))
-($M480*Mat.PT_f.pu*(1-Mat.PT_k*AE480/$P480))))</f>
        <v/>
      </c>
      <c r="AH480" s="329"/>
      <c r="AI480" s="167" t="str">
        <f>IF(ISBLANK(Inputs!$A88),"",
IF(ABS(AG480)&lt;=0.001,"Solved",IF(AG480&gt;0,0.85*AE480,1.15*AE480)))</f>
        <v/>
      </c>
      <c r="AJ480" s="167"/>
      <c r="AK480" s="329" t="str">
        <f>IF(ISBLANK(Inputs!$A88),"",
IF(OR(AI480="Solved",AI480="--"),"--",
((Mat.Conc_Alpha.1*Mat.Conc_f.c*$AB480*MIN(AI480*Mat.Conc_Beta.1,$Y480))
+(Mat.Conc_Alpha.1*Mat.Conc_f.c*$V480*MAX(0,AI480*Mat.Conc_Beta.1-$Y480)))
-($J480*MIN(Mat.Rebar_f.y,(Mat.Rebar_epsilon.cl*($S480-AI480)/AI480)*Mat.PT_E.s))
-($M480*Mat.PT_f.pu*(1-Mat.PT_k*AI480/$P480))))</f>
        <v/>
      </c>
      <c r="AL480" s="329"/>
      <c r="AM480" s="167" t="str">
        <f>IF(ISBLANK(Inputs!$A88),"",
IF(AK480="--","Solved",
IF(ABS(AK480)&lt;=0.001,"Solved",AI480-AK480*(AI480-AE480)/(AK480-AG480))))</f>
        <v/>
      </c>
      <c r="AN480" s="167"/>
      <c r="AO480" s="329" t="str">
        <f>IF(ISBLANK(Inputs!$A88),"",
IF(OR(AM480="Solved",AM480="--"),"--",
((Mat.Conc_Alpha.1*Mat.Conc_f.c*$AB480*MIN(AM480*Mat.Conc_Beta.1,$Y480))
+(Mat.Conc_Alpha.1*Mat.Conc_f.c*$V480*MAX(0,AM480*Mat.Conc_Beta.1-$Y480)))
-($J480*MIN(Mat.Rebar_f.y,(Mat.Rebar_epsilon.cl*($S480-AM480)/AM480)*Mat.PT_E.s))
-($M480*Mat.PT_f.pu*(1-Mat.PT_k*AM480/$P480))))</f>
        <v/>
      </c>
      <c r="AP480" s="329"/>
      <c r="AQ480" s="167" t="str">
        <f>IF(ISBLANK(Inputs!$A88),"",
IF(AO480="--","Solved",
IF(ABS(AO480)&lt;=0.001,"Solved",AM480-AO480*(AM480-AI480)/(AO480-AK480))))</f>
        <v/>
      </c>
      <c r="AR480" s="167"/>
      <c r="AS480" s="329" t="str">
        <f>IF(ISBLANK(Inputs!$A88),"",
IF(OR(AQ480="Solved",AQ480="--"),"--",
((Mat.Conc_Alpha.1*Mat.Conc_f.c*$AB480*MIN(AQ480*Mat.Conc_Beta.1,$Y480))
+(Mat.Conc_Alpha.1*Mat.Conc_f.c*$V480*MAX(0,AQ480*Mat.Conc_Beta.1-$Y480)))
-($J480*MIN(Mat.Rebar_f.y,(Mat.Rebar_epsilon.cl*($S480-AQ480)/AQ480)*Mat.PT_E.s))
-($M480*Mat.PT_f.pu*(1-Mat.PT_k*AQ480/$P480))))</f>
        <v/>
      </c>
      <c r="AT480" s="329"/>
      <c r="AU480" s="167" t="str">
        <f>IF(ISBLANK(Inputs!$A88),"",
IF(AS480="--","Solved",
IF(ABS(AS480)&lt;=0.001,"Solved",AQ480-AS480*(AQ480-AM480)/(AS480-AO480))))</f>
        <v/>
      </c>
      <c r="AV480" s="167"/>
      <c r="AW480" s="329" t="str">
        <f>IF(ISBLANK(Inputs!$A88),"",
IF(OR(AU480="Solved",AU480="--"),"--",
((Mat.Conc_Alpha.1*Mat.Conc_f.c*$AB480*MIN(AU480*Mat.Conc_Beta.1,$Y480))
+(Mat.Conc_Alpha.1*Mat.Conc_f.c*$V480*MAX(0,AU480*Mat.Conc_Beta.1-$Y480)))
-($J480*MIN(Mat.Rebar_f.y,(Mat.Rebar_epsilon.cl*($S480-AU480)/AU480)*Mat.PT_E.s))
-($M480*Mat.PT_f.pu*(1-Mat.PT_k*AU480/$P480))))</f>
        <v/>
      </c>
      <c r="AX480" s="329"/>
      <c r="AY480" s="167" t="str">
        <f>IF(ISBLANK(Inputs!$A88),"",
IF(AW480="--","Solved",
IF(ABS(AW480)&lt;=0.001,"Solved",AU480-AW480*(AU480-AQ480)/(AW480-AS480))))</f>
        <v/>
      </c>
      <c r="AZ480" s="167"/>
      <c r="BA480" s="329" t="str">
        <f>IF(ISBLANK(Inputs!$A88),"",
IF(OR(AY480="Solved",AY480="--"),"--",
((Mat.Conc_Alpha.1*Mat.Conc_f.c*$AB480*MIN(AY480*Mat.Conc_Beta.1,$Y480))
+(Mat.Conc_Alpha.1*Mat.Conc_f.c*$V480*MAX(0,AY480*Mat.Conc_Beta.1-$Y480)))
-($J480*MIN(Mat.Rebar_f.y,(Mat.Rebar_epsilon.cl*($S480-AY480)/AY480)*Mat.PT_E.s))
-($M480*Mat.PT_f.pu*(1-Mat.PT_k*AY480/$P480))))</f>
        <v/>
      </c>
      <c r="BB480" s="329"/>
      <c r="BC480" s="167" t="str">
        <f>IF(ISBLANK(Inputs!$A88),"",
IF(BA480="--","Solved",
IF(ABS(BA480)&lt;=0.001,"Solved",AY480-BA480*(AY480-AU480)/(BA480-AW480))))</f>
        <v/>
      </c>
      <c r="BD480" s="167"/>
      <c r="BE480" s="329" t="str">
        <f>IF(ISBLANK(Inputs!$A88),"",
IF(OR(BC480="Solved",BC480="--"),"--",
((Mat.Conc_Alpha.1*Mat.Conc_f.c*$AB480*MIN(BC480*Mat.Conc_Beta.1,$Y480))
+(Mat.Conc_Alpha.1*Mat.Conc_f.c*$V480*MAX(0,BC480*Mat.Conc_Beta.1-$Y480)))
-($J480*MIN(Mat.Rebar_f.y,(Mat.Rebar_epsilon.cl*($S480-BC480)/BC480)*Mat.PT_E.s))
-($M480*Mat.PT_f.pu*(1-Mat.PT_k*BC480/$P480))))</f>
        <v/>
      </c>
      <c r="BF480" s="329"/>
      <c r="BG480" s="167" t="str">
        <f>IF(ISBLANK(Inputs!$A88),"",
IF(BE480="--","Solved",
IF(ABS(BE480)&lt;=0.001,"Solved",BC480-BE480*(BC480-AY480)/(BE480-BA480))))</f>
        <v/>
      </c>
      <c r="BH480" s="167"/>
      <c r="BI480" s="329" t="str">
        <f>IF(ISBLANK(Inputs!$A88),"",
IF(OR(BG480="Solved",BG480="--"),"--",
((Mat.Conc_Alpha.1*Mat.Conc_f.c*$AB480*MIN(BG480*Mat.Conc_Beta.1,$Y480))
+(Mat.Conc_Alpha.1*Mat.Conc_f.c*$V480*MAX(0,BG480*Mat.Conc_Beta.1-$Y480)))
-($J480*MIN(Mat.Rebar_f.y,(Mat.Rebar_epsilon.cl*($S480-BG480)/BG480)*Mat.PT_E.s))
-($M480*Mat.PT_f.pu*(1-Mat.PT_k*BG480/$P480))))</f>
        <v/>
      </c>
      <c r="BJ480" s="329"/>
      <c r="BK480" s="167" t="str">
        <f>IF(ISBLANK(Inputs!$A88),"",
IF(BI480="--","Solved",
IF(ABS(BI480)&lt;=0.001,"Solved",BG480-BI480*(BG480-BC480)/(BI480-BE480))))</f>
        <v/>
      </c>
      <c r="BL480" s="167"/>
      <c r="BM480" s="329" t="str">
        <f>IF(ISBLANK(Inputs!$A88),"",
IF(OR(BK480="Solved",BK480="--"),"--",
((Mat.Conc_Alpha.1*Mat.Conc_f.c*$AB480*MIN(BK480*Mat.Conc_Beta.1,$Y480))
+(Mat.Conc_Alpha.1*Mat.Conc_f.c*$V480*MAX(0,BK480*Mat.Conc_Beta.1-$Y480)))
-($J480*MIN(Mat.Rebar_f.y,(Mat.Rebar_epsilon.cl*($S480-BK480)/BK480)*Mat.PT_E.s))
-($M480*Mat.PT_f.pu*(1-Mat.PT_k*BK480/$P480))))</f>
        <v/>
      </c>
      <c r="BN480" s="329"/>
      <c r="BO480" s="167" t="str">
        <f>IF(ISBLANK(Inputs!$A88),"",
IF(BM480="--","Solved",
IF(ABS(BM480)&lt;=0.001,"Solved",BK480-BM480*(BK480-BG480)/(BM480-BI480))))</f>
        <v/>
      </c>
      <c r="BP480" s="167"/>
      <c r="BQ480" s="329" t="str">
        <f>IF(ISBLANK(Inputs!$A88),"",
IF(OR(BO480="Solved",BO480="--"),"--",
((Mat.Conc_Alpha.1*Mat.Conc_f.c*$AB480*MIN(BO480*Mat.Conc_Beta.1,$Y480))
+(Mat.Conc_Alpha.1*Mat.Conc_f.c*$V480*MAX(0,BO480*Mat.Conc_Beta.1-$Y480)))
-($J480*MIN(Mat.Rebar_f.y,(Mat.Rebar_epsilon.cl*($S480-BO480)/BO480)*Mat.PT_E.s))
-($M480*Mat.PT_f.pu*(1-Mat.PT_k*BO480/$P480))))</f>
        <v/>
      </c>
      <c r="BR480" s="329"/>
      <c r="BT480" s="98"/>
      <c r="BU480" s="70"/>
      <c r="BV480" s="70"/>
      <c r="BW480" s="8"/>
      <c r="BX480" s="8"/>
      <c r="BY480" s="8"/>
      <c r="BZ480" s="8"/>
      <c r="CA480" s="8"/>
      <c r="CB480" s="10"/>
    </row>
    <row r="481" spans="3:80" ht="15" customHeight="1" x14ac:dyDescent="0.25">
      <c r="C481" s="69"/>
      <c r="F481" s="167" t="str">
        <f>IF(ISBLANK(Inputs!A89),"",Inputs!A89)</f>
        <v/>
      </c>
      <c r="G481" s="167"/>
      <c r="H481" s="167" t="str">
        <f>IF(ISBLANK(Inputs!B89),"",Inputs!B89)</f>
        <v/>
      </c>
      <c r="I481" s="167"/>
      <c r="J481" s="168" t="str">
        <f>IF(ISBLANK(Inputs!G89),"",Inputs!G89)</f>
        <v/>
      </c>
      <c r="K481" s="168"/>
      <c r="L481" s="168"/>
      <c r="M481" s="168" t="str">
        <f>IF(ISBLANK(Inputs!D89),"",Inputs!D89)</f>
        <v/>
      </c>
      <c r="N481" s="168"/>
      <c r="O481" s="168"/>
      <c r="P481" s="168" t="str">
        <f>IF(ISBLANK(Inputs!F89),"",Inputs!F89)</f>
        <v/>
      </c>
      <c r="Q481" s="168"/>
      <c r="R481" s="168"/>
      <c r="S481" s="168" t="str">
        <f>IF(ISBLANK(Inputs!H89),"",Inputs!H89)</f>
        <v/>
      </c>
      <c r="T481" s="168"/>
      <c r="U481" s="168"/>
      <c r="V481" s="168" t="str">
        <f>IF(ISBLANK(Inputs!E89),"",Inputs!E89)</f>
        <v/>
      </c>
      <c r="W481" s="168"/>
      <c r="X481" s="168"/>
      <c r="Y481" s="168" t="str">
        <f>IF(ISBLANK(Inputs!I89),"",Inputs!I89)</f>
        <v/>
      </c>
      <c r="Z481" s="168"/>
      <c r="AA481" s="168"/>
      <c r="AB481" s="168">
        <f>IF(ISBLANK(Inputs!J89),"",Inputs!J89)</f>
        <v>96</v>
      </c>
      <c r="AC481" s="168"/>
      <c r="AD481" s="168"/>
      <c r="AE481" s="167" t="str">
        <f>IF(ISBLANK(Inputs!A89),"",Y481)</f>
        <v/>
      </c>
      <c r="AF481" s="167"/>
      <c r="AG481" s="329" t="str">
        <f>IF(ISBLANK(Inputs!$A89),"",
IF(OR(AE481="Solved",AE481="--"),"--",
((Mat.Conc_Alpha.1*Mat.Conc_f.c*$AB481*MIN(AE481*Mat.Conc_Beta.1,$Y481))
+(Mat.Conc_Alpha.1*Mat.Conc_f.c*$V481*MAX(0,AE481*Mat.Conc_Beta.1-$Y481)))
-($J481*MIN(Mat.Rebar_f.y,(Mat.Rebar_epsilon.cl*($S481-AE481)/AE481)*Mat.PT_E.s))
-($M481*Mat.PT_f.pu*(1-Mat.PT_k*AE481/$P481))))</f>
        <v/>
      </c>
      <c r="AH481" s="329"/>
      <c r="AI481" s="167" t="str">
        <f>IF(ISBLANK(Inputs!$A89),"",
IF(ABS(AG481)&lt;=0.001,"Solved",IF(AG481&gt;0,0.85*AE481,1.15*AE481)))</f>
        <v/>
      </c>
      <c r="AJ481" s="167"/>
      <c r="AK481" s="329" t="str">
        <f>IF(ISBLANK(Inputs!$A89),"",
IF(OR(AI481="Solved",AI481="--"),"--",
((Mat.Conc_Alpha.1*Mat.Conc_f.c*$AB481*MIN(AI481*Mat.Conc_Beta.1,$Y481))
+(Mat.Conc_Alpha.1*Mat.Conc_f.c*$V481*MAX(0,AI481*Mat.Conc_Beta.1-$Y481)))
-($J481*MIN(Mat.Rebar_f.y,(Mat.Rebar_epsilon.cl*($S481-AI481)/AI481)*Mat.PT_E.s))
-($M481*Mat.PT_f.pu*(1-Mat.PT_k*AI481/$P481))))</f>
        <v/>
      </c>
      <c r="AL481" s="329"/>
      <c r="AM481" s="167" t="str">
        <f>IF(ISBLANK(Inputs!$A89),"",
IF(AK481="--","Solved",
IF(ABS(AK481)&lt;=0.001,"Solved",AI481-AK481*(AI481-AE481)/(AK481-AG481))))</f>
        <v/>
      </c>
      <c r="AN481" s="167"/>
      <c r="AO481" s="329" t="str">
        <f>IF(ISBLANK(Inputs!$A89),"",
IF(OR(AM481="Solved",AM481="--"),"--",
((Mat.Conc_Alpha.1*Mat.Conc_f.c*$AB481*MIN(AM481*Mat.Conc_Beta.1,$Y481))
+(Mat.Conc_Alpha.1*Mat.Conc_f.c*$V481*MAX(0,AM481*Mat.Conc_Beta.1-$Y481)))
-($J481*MIN(Mat.Rebar_f.y,(Mat.Rebar_epsilon.cl*($S481-AM481)/AM481)*Mat.PT_E.s))
-($M481*Mat.PT_f.pu*(1-Mat.PT_k*AM481/$P481))))</f>
        <v/>
      </c>
      <c r="AP481" s="329"/>
      <c r="AQ481" s="167" t="str">
        <f>IF(ISBLANK(Inputs!$A89),"",
IF(AO481="--","Solved",
IF(ABS(AO481)&lt;=0.001,"Solved",AM481-AO481*(AM481-AI481)/(AO481-AK481))))</f>
        <v/>
      </c>
      <c r="AR481" s="167"/>
      <c r="AS481" s="329" t="str">
        <f>IF(ISBLANK(Inputs!$A89),"",
IF(OR(AQ481="Solved",AQ481="--"),"--",
((Mat.Conc_Alpha.1*Mat.Conc_f.c*$AB481*MIN(AQ481*Mat.Conc_Beta.1,$Y481))
+(Mat.Conc_Alpha.1*Mat.Conc_f.c*$V481*MAX(0,AQ481*Mat.Conc_Beta.1-$Y481)))
-($J481*MIN(Mat.Rebar_f.y,(Mat.Rebar_epsilon.cl*($S481-AQ481)/AQ481)*Mat.PT_E.s))
-($M481*Mat.PT_f.pu*(1-Mat.PT_k*AQ481/$P481))))</f>
        <v/>
      </c>
      <c r="AT481" s="329"/>
      <c r="AU481" s="167" t="str">
        <f>IF(ISBLANK(Inputs!$A89),"",
IF(AS481="--","Solved",
IF(ABS(AS481)&lt;=0.001,"Solved",AQ481-AS481*(AQ481-AM481)/(AS481-AO481))))</f>
        <v/>
      </c>
      <c r="AV481" s="167"/>
      <c r="AW481" s="329" t="str">
        <f>IF(ISBLANK(Inputs!$A89),"",
IF(OR(AU481="Solved",AU481="--"),"--",
((Mat.Conc_Alpha.1*Mat.Conc_f.c*$AB481*MIN(AU481*Mat.Conc_Beta.1,$Y481))
+(Mat.Conc_Alpha.1*Mat.Conc_f.c*$V481*MAX(0,AU481*Mat.Conc_Beta.1-$Y481)))
-($J481*MIN(Mat.Rebar_f.y,(Mat.Rebar_epsilon.cl*($S481-AU481)/AU481)*Mat.PT_E.s))
-($M481*Mat.PT_f.pu*(1-Mat.PT_k*AU481/$P481))))</f>
        <v/>
      </c>
      <c r="AX481" s="329"/>
      <c r="AY481" s="167" t="str">
        <f>IF(ISBLANK(Inputs!$A89),"",
IF(AW481="--","Solved",
IF(ABS(AW481)&lt;=0.001,"Solved",AU481-AW481*(AU481-AQ481)/(AW481-AS481))))</f>
        <v/>
      </c>
      <c r="AZ481" s="167"/>
      <c r="BA481" s="329" t="str">
        <f>IF(ISBLANK(Inputs!$A89),"",
IF(OR(AY481="Solved",AY481="--"),"--",
((Mat.Conc_Alpha.1*Mat.Conc_f.c*$AB481*MIN(AY481*Mat.Conc_Beta.1,$Y481))
+(Mat.Conc_Alpha.1*Mat.Conc_f.c*$V481*MAX(0,AY481*Mat.Conc_Beta.1-$Y481)))
-($J481*MIN(Mat.Rebar_f.y,(Mat.Rebar_epsilon.cl*($S481-AY481)/AY481)*Mat.PT_E.s))
-($M481*Mat.PT_f.pu*(1-Mat.PT_k*AY481/$P481))))</f>
        <v/>
      </c>
      <c r="BB481" s="329"/>
      <c r="BC481" s="167" t="str">
        <f>IF(ISBLANK(Inputs!$A89),"",
IF(BA481="--","Solved",
IF(ABS(BA481)&lt;=0.001,"Solved",AY481-BA481*(AY481-AU481)/(BA481-AW481))))</f>
        <v/>
      </c>
      <c r="BD481" s="167"/>
      <c r="BE481" s="329" t="str">
        <f>IF(ISBLANK(Inputs!$A89),"",
IF(OR(BC481="Solved",BC481="--"),"--",
((Mat.Conc_Alpha.1*Mat.Conc_f.c*$AB481*MIN(BC481*Mat.Conc_Beta.1,$Y481))
+(Mat.Conc_Alpha.1*Mat.Conc_f.c*$V481*MAX(0,BC481*Mat.Conc_Beta.1-$Y481)))
-($J481*MIN(Mat.Rebar_f.y,(Mat.Rebar_epsilon.cl*($S481-BC481)/BC481)*Mat.PT_E.s))
-($M481*Mat.PT_f.pu*(1-Mat.PT_k*BC481/$P481))))</f>
        <v/>
      </c>
      <c r="BF481" s="329"/>
      <c r="BG481" s="167" t="str">
        <f>IF(ISBLANK(Inputs!$A89),"",
IF(BE481="--","Solved",
IF(ABS(BE481)&lt;=0.001,"Solved",BC481-BE481*(BC481-AY481)/(BE481-BA481))))</f>
        <v/>
      </c>
      <c r="BH481" s="167"/>
      <c r="BI481" s="329" t="str">
        <f>IF(ISBLANK(Inputs!$A89),"",
IF(OR(BG481="Solved",BG481="--"),"--",
((Mat.Conc_Alpha.1*Mat.Conc_f.c*$AB481*MIN(BG481*Mat.Conc_Beta.1,$Y481))
+(Mat.Conc_Alpha.1*Mat.Conc_f.c*$V481*MAX(0,BG481*Mat.Conc_Beta.1-$Y481)))
-($J481*MIN(Mat.Rebar_f.y,(Mat.Rebar_epsilon.cl*($S481-BG481)/BG481)*Mat.PT_E.s))
-($M481*Mat.PT_f.pu*(1-Mat.PT_k*BG481/$P481))))</f>
        <v/>
      </c>
      <c r="BJ481" s="329"/>
      <c r="BK481" s="167" t="str">
        <f>IF(ISBLANK(Inputs!$A89),"",
IF(BI481="--","Solved",
IF(ABS(BI481)&lt;=0.001,"Solved",BG481-BI481*(BG481-BC481)/(BI481-BE481))))</f>
        <v/>
      </c>
      <c r="BL481" s="167"/>
      <c r="BM481" s="329" t="str">
        <f>IF(ISBLANK(Inputs!$A89),"",
IF(OR(BK481="Solved",BK481="--"),"--",
((Mat.Conc_Alpha.1*Mat.Conc_f.c*$AB481*MIN(BK481*Mat.Conc_Beta.1,$Y481))
+(Mat.Conc_Alpha.1*Mat.Conc_f.c*$V481*MAX(0,BK481*Mat.Conc_Beta.1-$Y481)))
-($J481*MIN(Mat.Rebar_f.y,(Mat.Rebar_epsilon.cl*($S481-BK481)/BK481)*Mat.PT_E.s))
-($M481*Mat.PT_f.pu*(1-Mat.PT_k*BK481/$P481))))</f>
        <v/>
      </c>
      <c r="BN481" s="329"/>
      <c r="BO481" s="167" t="str">
        <f>IF(ISBLANK(Inputs!$A89),"",
IF(BM481="--","Solved",
IF(ABS(BM481)&lt;=0.001,"Solved",BK481-BM481*(BK481-BG481)/(BM481-BI481))))</f>
        <v/>
      </c>
      <c r="BP481" s="167"/>
      <c r="BQ481" s="329" t="str">
        <f>IF(ISBLANK(Inputs!$A89),"",
IF(OR(BO481="Solved",BO481="--"),"--",
((Mat.Conc_Alpha.1*Mat.Conc_f.c*$AB481*MIN(BO481*Mat.Conc_Beta.1,$Y481))
+(Mat.Conc_Alpha.1*Mat.Conc_f.c*$V481*MAX(0,BO481*Mat.Conc_Beta.1-$Y481)))
-($J481*MIN(Mat.Rebar_f.y,(Mat.Rebar_epsilon.cl*($S481-BO481)/BO481)*Mat.PT_E.s))
-($M481*Mat.PT_f.pu*(1-Mat.PT_k*BO481/$P481))))</f>
        <v/>
      </c>
      <c r="BR481" s="329"/>
      <c r="BT481" s="98"/>
      <c r="BU481" s="70"/>
      <c r="BV481" s="70"/>
      <c r="BW481" s="8"/>
      <c r="BX481" s="8"/>
      <c r="BY481" s="8"/>
      <c r="BZ481" s="8"/>
      <c r="CA481" s="8"/>
      <c r="CB481" s="10"/>
    </row>
    <row r="482" spans="3:80" ht="15" customHeight="1" x14ac:dyDescent="0.25">
      <c r="C482" s="69"/>
      <c r="F482" s="167" t="str">
        <f>IF(ISBLANK(Inputs!A90),"",Inputs!A90)</f>
        <v/>
      </c>
      <c r="G482" s="167"/>
      <c r="H482" s="167" t="str">
        <f>IF(ISBLANK(Inputs!B90),"",Inputs!B90)</f>
        <v/>
      </c>
      <c r="I482" s="167"/>
      <c r="J482" s="168" t="str">
        <f>IF(ISBLANK(Inputs!G90),"",Inputs!G90)</f>
        <v/>
      </c>
      <c r="K482" s="168"/>
      <c r="L482" s="168"/>
      <c r="M482" s="168" t="str">
        <f>IF(ISBLANK(Inputs!D90),"",Inputs!D90)</f>
        <v/>
      </c>
      <c r="N482" s="168"/>
      <c r="O482" s="168"/>
      <c r="P482" s="168" t="str">
        <f>IF(ISBLANK(Inputs!F90),"",Inputs!F90)</f>
        <v/>
      </c>
      <c r="Q482" s="168"/>
      <c r="R482" s="168"/>
      <c r="S482" s="168" t="str">
        <f>IF(ISBLANK(Inputs!H90),"",Inputs!H90)</f>
        <v/>
      </c>
      <c r="T482" s="168"/>
      <c r="U482" s="168"/>
      <c r="V482" s="168" t="str">
        <f>IF(ISBLANK(Inputs!E90),"",Inputs!E90)</f>
        <v/>
      </c>
      <c r="W482" s="168"/>
      <c r="X482" s="168"/>
      <c r="Y482" s="168" t="str">
        <f>IF(ISBLANK(Inputs!I90),"",Inputs!I90)</f>
        <v/>
      </c>
      <c r="Z482" s="168"/>
      <c r="AA482" s="168"/>
      <c r="AB482" s="168">
        <f>IF(ISBLANK(Inputs!J90),"",Inputs!J90)</f>
        <v>96</v>
      </c>
      <c r="AC482" s="168"/>
      <c r="AD482" s="168"/>
      <c r="AE482" s="167" t="str">
        <f>IF(ISBLANK(Inputs!A90),"",Y482)</f>
        <v/>
      </c>
      <c r="AF482" s="167"/>
      <c r="AG482" s="329" t="str">
        <f>IF(ISBLANK(Inputs!$A90),"",
IF(OR(AE482="Solved",AE482="--"),"--",
((Mat.Conc_Alpha.1*Mat.Conc_f.c*$AB482*MIN(AE482*Mat.Conc_Beta.1,$Y482))
+(Mat.Conc_Alpha.1*Mat.Conc_f.c*$V482*MAX(0,AE482*Mat.Conc_Beta.1-$Y482)))
-($J482*MIN(Mat.Rebar_f.y,(Mat.Rebar_epsilon.cl*($S482-AE482)/AE482)*Mat.PT_E.s))
-($M482*Mat.PT_f.pu*(1-Mat.PT_k*AE482/$P482))))</f>
        <v/>
      </c>
      <c r="AH482" s="329"/>
      <c r="AI482" s="167" t="str">
        <f>IF(ISBLANK(Inputs!$A90),"",
IF(ABS(AG482)&lt;=0.001,"Solved",IF(AG482&gt;0,0.85*AE482,1.15*AE482)))</f>
        <v/>
      </c>
      <c r="AJ482" s="167"/>
      <c r="AK482" s="329" t="str">
        <f>IF(ISBLANK(Inputs!$A90),"",
IF(OR(AI482="Solved",AI482="--"),"--",
((Mat.Conc_Alpha.1*Mat.Conc_f.c*$AB482*MIN(AI482*Mat.Conc_Beta.1,$Y482))
+(Mat.Conc_Alpha.1*Mat.Conc_f.c*$V482*MAX(0,AI482*Mat.Conc_Beta.1-$Y482)))
-($J482*MIN(Mat.Rebar_f.y,(Mat.Rebar_epsilon.cl*($S482-AI482)/AI482)*Mat.PT_E.s))
-($M482*Mat.PT_f.pu*(1-Mat.PT_k*AI482/$P482))))</f>
        <v/>
      </c>
      <c r="AL482" s="329"/>
      <c r="AM482" s="167" t="str">
        <f>IF(ISBLANK(Inputs!$A90),"",
IF(AK482="--","Solved",
IF(ABS(AK482)&lt;=0.001,"Solved",AI482-AK482*(AI482-AE482)/(AK482-AG482))))</f>
        <v/>
      </c>
      <c r="AN482" s="167"/>
      <c r="AO482" s="329" t="str">
        <f>IF(ISBLANK(Inputs!$A90),"",
IF(OR(AM482="Solved",AM482="--"),"--",
((Mat.Conc_Alpha.1*Mat.Conc_f.c*$AB482*MIN(AM482*Mat.Conc_Beta.1,$Y482))
+(Mat.Conc_Alpha.1*Mat.Conc_f.c*$V482*MAX(0,AM482*Mat.Conc_Beta.1-$Y482)))
-($J482*MIN(Mat.Rebar_f.y,(Mat.Rebar_epsilon.cl*($S482-AM482)/AM482)*Mat.PT_E.s))
-($M482*Mat.PT_f.pu*(1-Mat.PT_k*AM482/$P482))))</f>
        <v/>
      </c>
      <c r="AP482" s="329"/>
      <c r="AQ482" s="167" t="str">
        <f>IF(ISBLANK(Inputs!$A90),"",
IF(AO482="--","Solved",
IF(ABS(AO482)&lt;=0.001,"Solved",AM482-AO482*(AM482-AI482)/(AO482-AK482))))</f>
        <v/>
      </c>
      <c r="AR482" s="167"/>
      <c r="AS482" s="329" t="str">
        <f>IF(ISBLANK(Inputs!$A90),"",
IF(OR(AQ482="Solved",AQ482="--"),"--",
((Mat.Conc_Alpha.1*Mat.Conc_f.c*$AB482*MIN(AQ482*Mat.Conc_Beta.1,$Y482))
+(Mat.Conc_Alpha.1*Mat.Conc_f.c*$V482*MAX(0,AQ482*Mat.Conc_Beta.1-$Y482)))
-($J482*MIN(Mat.Rebar_f.y,(Mat.Rebar_epsilon.cl*($S482-AQ482)/AQ482)*Mat.PT_E.s))
-($M482*Mat.PT_f.pu*(1-Mat.PT_k*AQ482/$P482))))</f>
        <v/>
      </c>
      <c r="AT482" s="329"/>
      <c r="AU482" s="167" t="str">
        <f>IF(ISBLANK(Inputs!$A90),"",
IF(AS482="--","Solved",
IF(ABS(AS482)&lt;=0.001,"Solved",AQ482-AS482*(AQ482-AM482)/(AS482-AO482))))</f>
        <v/>
      </c>
      <c r="AV482" s="167"/>
      <c r="AW482" s="329" t="str">
        <f>IF(ISBLANK(Inputs!$A90),"",
IF(OR(AU482="Solved",AU482="--"),"--",
((Mat.Conc_Alpha.1*Mat.Conc_f.c*$AB482*MIN(AU482*Mat.Conc_Beta.1,$Y482))
+(Mat.Conc_Alpha.1*Mat.Conc_f.c*$V482*MAX(0,AU482*Mat.Conc_Beta.1-$Y482)))
-($J482*MIN(Mat.Rebar_f.y,(Mat.Rebar_epsilon.cl*($S482-AU482)/AU482)*Mat.PT_E.s))
-($M482*Mat.PT_f.pu*(1-Mat.PT_k*AU482/$P482))))</f>
        <v/>
      </c>
      <c r="AX482" s="329"/>
      <c r="AY482" s="167" t="str">
        <f>IF(ISBLANK(Inputs!$A90),"",
IF(AW482="--","Solved",
IF(ABS(AW482)&lt;=0.001,"Solved",AU482-AW482*(AU482-AQ482)/(AW482-AS482))))</f>
        <v/>
      </c>
      <c r="AZ482" s="167"/>
      <c r="BA482" s="329" t="str">
        <f>IF(ISBLANK(Inputs!$A90),"",
IF(OR(AY482="Solved",AY482="--"),"--",
((Mat.Conc_Alpha.1*Mat.Conc_f.c*$AB482*MIN(AY482*Mat.Conc_Beta.1,$Y482))
+(Mat.Conc_Alpha.1*Mat.Conc_f.c*$V482*MAX(0,AY482*Mat.Conc_Beta.1-$Y482)))
-($J482*MIN(Mat.Rebar_f.y,(Mat.Rebar_epsilon.cl*($S482-AY482)/AY482)*Mat.PT_E.s))
-($M482*Mat.PT_f.pu*(1-Mat.PT_k*AY482/$P482))))</f>
        <v/>
      </c>
      <c r="BB482" s="329"/>
      <c r="BC482" s="167" t="str">
        <f>IF(ISBLANK(Inputs!$A90),"",
IF(BA482="--","Solved",
IF(ABS(BA482)&lt;=0.001,"Solved",AY482-BA482*(AY482-AU482)/(BA482-AW482))))</f>
        <v/>
      </c>
      <c r="BD482" s="167"/>
      <c r="BE482" s="329" t="str">
        <f>IF(ISBLANK(Inputs!$A90),"",
IF(OR(BC482="Solved",BC482="--"),"--",
((Mat.Conc_Alpha.1*Mat.Conc_f.c*$AB482*MIN(BC482*Mat.Conc_Beta.1,$Y482))
+(Mat.Conc_Alpha.1*Mat.Conc_f.c*$V482*MAX(0,BC482*Mat.Conc_Beta.1-$Y482)))
-($J482*MIN(Mat.Rebar_f.y,(Mat.Rebar_epsilon.cl*($S482-BC482)/BC482)*Mat.PT_E.s))
-($M482*Mat.PT_f.pu*(1-Mat.PT_k*BC482/$P482))))</f>
        <v/>
      </c>
      <c r="BF482" s="329"/>
      <c r="BG482" s="167" t="str">
        <f>IF(ISBLANK(Inputs!$A90),"",
IF(BE482="--","Solved",
IF(ABS(BE482)&lt;=0.001,"Solved",BC482-BE482*(BC482-AY482)/(BE482-BA482))))</f>
        <v/>
      </c>
      <c r="BH482" s="167"/>
      <c r="BI482" s="329" t="str">
        <f>IF(ISBLANK(Inputs!$A90),"",
IF(OR(BG482="Solved",BG482="--"),"--",
((Mat.Conc_Alpha.1*Mat.Conc_f.c*$AB482*MIN(BG482*Mat.Conc_Beta.1,$Y482))
+(Mat.Conc_Alpha.1*Mat.Conc_f.c*$V482*MAX(0,BG482*Mat.Conc_Beta.1-$Y482)))
-($J482*MIN(Mat.Rebar_f.y,(Mat.Rebar_epsilon.cl*($S482-BG482)/BG482)*Mat.PT_E.s))
-($M482*Mat.PT_f.pu*(1-Mat.PT_k*BG482/$P482))))</f>
        <v/>
      </c>
      <c r="BJ482" s="329"/>
      <c r="BK482" s="167" t="str">
        <f>IF(ISBLANK(Inputs!$A90),"",
IF(BI482="--","Solved",
IF(ABS(BI482)&lt;=0.001,"Solved",BG482-BI482*(BG482-BC482)/(BI482-BE482))))</f>
        <v/>
      </c>
      <c r="BL482" s="167"/>
      <c r="BM482" s="329" t="str">
        <f>IF(ISBLANK(Inputs!$A90),"",
IF(OR(BK482="Solved",BK482="--"),"--",
((Mat.Conc_Alpha.1*Mat.Conc_f.c*$AB482*MIN(BK482*Mat.Conc_Beta.1,$Y482))
+(Mat.Conc_Alpha.1*Mat.Conc_f.c*$V482*MAX(0,BK482*Mat.Conc_Beta.1-$Y482)))
-($J482*MIN(Mat.Rebar_f.y,(Mat.Rebar_epsilon.cl*($S482-BK482)/BK482)*Mat.PT_E.s))
-($M482*Mat.PT_f.pu*(1-Mat.PT_k*BK482/$P482))))</f>
        <v/>
      </c>
      <c r="BN482" s="329"/>
      <c r="BO482" s="167" t="str">
        <f>IF(ISBLANK(Inputs!$A90),"",
IF(BM482="--","Solved",
IF(ABS(BM482)&lt;=0.001,"Solved",BK482-BM482*(BK482-BG482)/(BM482-BI482))))</f>
        <v/>
      </c>
      <c r="BP482" s="167"/>
      <c r="BQ482" s="329" t="str">
        <f>IF(ISBLANK(Inputs!$A90),"",
IF(OR(BO482="Solved",BO482="--"),"--",
((Mat.Conc_Alpha.1*Mat.Conc_f.c*$AB482*MIN(BO482*Mat.Conc_Beta.1,$Y482))
+(Mat.Conc_Alpha.1*Mat.Conc_f.c*$V482*MAX(0,BO482*Mat.Conc_Beta.1-$Y482)))
-($J482*MIN(Mat.Rebar_f.y,(Mat.Rebar_epsilon.cl*($S482-BO482)/BO482)*Mat.PT_E.s))
-($M482*Mat.PT_f.pu*(1-Mat.PT_k*BO482/$P482))))</f>
        <v/>
      </c>
      <c r="BR482" s="329"/>
      <c r="BT482" s="98"/>
      <c r="BU482" s="70"/>
      <c r="BV482" s="70"/>
      <c r="BW482" s="8"/>
      <c r="BX482" s="8"/>
      <c r="BY482" s="8"/>
      <c r="BZ482" s="8"/>
      <c r="CA482" s="8"/>
      <c r="CB482" s="10"/>
    </row>
    <row r="483" spans="3:80" ht="15" customHeight="1" x14ac:dyDescent="0.25">
      <c r="C483" s="69"/>
      <c r="F483" s="167" t="str">
        <f>IF(ISBLANK(Inputs!A91),"",Inputs!A91)</f>
        <v/>
      </c>
      <c r="G483" s="167"/>
      <c r="H483" s="167" t="str">
        <f>IF(ISBLANK(Inputs!B91),"",Inputs!B91)</f>
        <v/>
      </c>
      <c r="I483" s="167"/>
      <c r="J483" s="168" t="str">
        <f>IF(ISBLANK(Inputs!G91),"",Inputs!G91)</f>
        <v/>
      </c>
      <c r="K483" s="168"/>
      <c r="L483" s="168"/>
      <c r="M483" s="168" t="str">
        <f>IF(ISBLANK(Inputs!D91),"",Inputs!D91)</f>
        <v/>
      </c>
      <c r="N483" s="168"/>
      <c r="O483" s="168"/>
      <c r="P483" s="168" t="str">
        <f>IF(ISBLANK(Inputs!F91),"",Inputs!F91)</f>
        <v/>
      </c>
      <c r="Q483" s="168"/>
      <c r="R483" s="168"/>
      <c r="S483" s="168" t="str">
        <f>IF(ISBLANK(Inputs!H91),"",Inputs!H91)</f>
        <v/>
      </c>
      <c r="T483" s="168"/>
      <c r="U483" s="168"/>
      <c r="V483" s="168" t="str">
        <f>IF(ISBLANK(Inputs!E91),"",Inputs!E91)</f>
        <v/>
      </c>
      <c r="W483" s="168"/>
      <c r="X483" s="168"/>
      <c r="Y483" s="168" t="str">
        <f>IF(ISBLANK(Inputs!I91),"",Inputs!I91)</f>
        <v/>
      </c>
      <c r="Z483" s="168"/>
      <c r="AA483" s="168"/>
      <c r="AB483" s="168">
        <f>IF(ISBLANK(Inputs!J91),"",Inputs!J91)</f>
        <v>96</v>
      </c>
      <c r="AC483" s="168"/>
      <c r="AD483" s="168"/>
      <c r="AE483" s="167" t="str">
        <f>IF(ISBLANK(Inputs!A91),"",Y483)</f>
        <v/>
      </c>
      <c r="AF483" s="167"/>
      <c r="AG483" s="329" t="str">
        <f>IF(ISBLANK(Inputs!$A91),"",
IF(OR(AE483="Solved",AE483="--"),"--",
((Mat.Conc_Alpha.1*Mat.Conc_f.c*$AB483*MIN(AE483*Mat.Conc_Beta.1,$Y483))
+(Mat.Conc_Alpha.1*Mat.Conc_f.c*$V483*MAX(0,AE483*Mat.Conc_Beta.1-$Y483)))
-($J483*MIN(Mat.Rebar_f.y,(Mat.Rebar_epsilon.cl*($S483-AE483)/AE483)*Mat.PT_E.s))
-($M483*Mat.PT_f.pu*(1-Mat.PT_k*AE483/$P483))))</f>
        <v/>
      </c>
      <c r="AH483" s="329"/>
      <c r="AI483" s="167" t="str">
        <f>IF(ISBLANK(Inputs!$A91),"",
IF(ABS(AG483)&lt;=0.001,"Solved",IF(AG483&gt;0,0.85*AE483,1.15*AE483)))</f>
        <v/>
      </c>
      <c r="AJ483" s="167"/>
      <c r="AK483" s="329" t="str">
        <f>IF(ISBLANK(Inputs!$A91),"",
IF(OR(AI483="Solved",AI483="--"),"--",
((Mat.Conc_Alpha.1*Mat.Conc_f.c*$AB483*MIN(AI483*Mat.Conc_Beta.1,$Y483))
+(Mat.Conc_Alpha.1*Mat.Conc_f.c*$V483*MAX(0,AI483*Mat.Conc_Beta.1-$Y483)))
-($J483*MIN(Mat.Rebar_f.y,(Mat.Rebar_epsilon.cl*($S483-AI483)/AI483)*Mat.PT_E.s))
-($M483*Mat.PT_f.pu*(1-Mat.PT_k*AI483/$P483))))</f>
        <v/>
      </c>
      <c r="AL483" s="329"/>
      <c r="AM483" s="167" t="str">
        <f>IF(ISBLANK(Inputs!$A91),"",
IF(AK483="--","Solved",
IF(ABS(AK483)&lt;=0.001,"Solved",AI483-AK483*(AI483-AE483)/(AK483-AG483))))</f>
        <v/>
      </c>
      <c r="AN483" s="167"/>
      <c r="AO483" s="329" t="str">
        <f>IF(ISBLANK(Inputs!$A91),"",
IF(OR(AM483="Solved",AM483="--"),"--",
((Mat.Conc_Alpha.1*Mat.Conc_f.c*$AB483*MIN(AM483*Mat.Conc_Beta.1,$Y483))
+(Mat.Conc_Alpha.1*Mat.Conc_f.c*$V483*MAX(0,AM483*Mat.Conc_Beta.1-$Y483)))
-($J483*MIN(Mat.Rebar_f.y,(Mat.Rebar_epsilon.cl*($S483-AM483)/AM483)*Mat.PT_E.s))
-($M483*Mat.PT_f.pu*(1-Mat.PT_k*AM483/$P483))))</f>
        <v/>
      </c>
      <c r="AP483" s="329"/>
      <c r="AQ483" s="167" t="str">
        <f>IF(ISBLANK(Inputs!$A91),"",
IF(AO483="--","Solved",
IF(ABS(AO483)&lt;=0.001,"Solved",AM483-AO483*(AM483-AI483)/(AO483-AK483))))</f>
        <v/>
      </c>
      <c r="AR483" s="167"/>
      <c r="AS483" s="329" t="str">
        <f>IF(ISBLANK(Inputs!$A91),"",
IF(OR(AQ483="Solved",AQ483="--"),"--",
((Mat.Conc_Alpha.1*Mat.Conc_f.c*$AB483*MIN(AQ483*Mat.Conc_Beta.1,$Y483))
+(Mat.Conc_Alpha.1*Mat.Conc_f.c*$V483*MAX(0,AQ483*Mat.Conc_Beta.1-$Y483)))
-($J483*MIN(Mat.Rebar_f.y,(Mat.Rebar_epsilon.cl*($S483-AQ483)/AQ483)*Mat.PT_E.s))
-($M483*Mat.PT_f.pu*(1-Mat.PT_k*AQ483/$P483))))</f>
        <v/>
      </c>
      <c r="AT483" s="329"/>
      <c r="AU483" s="167" t="str">
        <f>IF(ISBLANK(Inputs!$A91),"",
IF(AS483="--","Solved",
IF(ABS(AS483)&lt;=0.001,"Solved",AQ483-AS483*(AQ483-AM483)/(AS483-AO483))))</f>
        <v/>
      </c>
      <c r="AV483" s="167"/>
      <c r="AW483" s="329" t="str">
        <f>IF(ISBLANK(Inputs!$A91),"",
IF(OR(AU483="Solved",AU483="--"),"--",
((Mat.Conc_Alpha.1*Mat.Conc_f.c*$AB483*MIN(AU483*Mat.Conc_Beta.1,$Y483))
+(Mat.Conc_Alpha.1*Mat.Conc_f.c*$V483*MAX(0,AU483*Mat.Conc_Beta.1-$Y483)))
-($J483*MIN(Mat.Rebar_f.y,(Mat.Rebar_epsilon.cl*($S483-AU483)/AU483)*Mat.PT_E.s))
-($M483*Mat.PT_f.pu*(1-Mat.PT_k*AU483/$P483))))</f>
        <v/>
      </c>
      <c r="AX483" s="329"/>
      <c r="AY483" s="167" t="str">
        <f>IF(ISBLANK(Inputs!$A91),"",
IF(AW483="--","Solved",
IF(ABS(AW483)&lt;=0.001,"Solved",AU483-AW483*(AU483-AQ483)/(AW483-AS483))))</f>
        <v/>
      </c>
      <c r="AZ483" s="167"/>
      <c r="BA483" s="329" t="str">
        <f>IF(ISBLANK(Inputs!$A91),"",
IF(OR(AY483="Solved",AY483="--"),"--",
((Mat.Conc_Alpha.1*Mat.Conc_f.c*$AB483*MIN(AY483*Mat.Conc_Beta.1,$Y483))
+(Mat.Conc_Alpha.1*Mat.Conc_f.c*$V483*MAX(0,AY483*Mat.Conc_Beta.1-$Y483)))
-($J483*MIN(Mat.Rebar_f.y,(Mat.Rebar_epsilon.cl*($S483-AY483)/AY483)*Mat.PT_E.s))
-($M483*Mat.PT_f.pu*(1-Mat.PT_k*AY483/$P483))))</f>
        <v/>
      </c>
      <c r="BB483" s="329"/>
      <c r="BC483" s="167" t="str">
        <f>IF(ISBLANK(Inputs!$A91),"",
IF(BA483="--","Solved",
IF(ABS(BA483)&lt;=0.001,"Solved",AY483-BA483*(AY483-AU483)/(BA483-AW483))))</f>
        <v/>
      </c>
      <c r="BD483" s="167"/>
      <c r="BE483" s="329" t="str">
        <f>IF(ISBLANK(Inputs!$A91),"",
IF(OR(BC483="Solved",BC483="--"),"--",
((Mat.Conc_Alpha.1*Mat.Conc_f.c*$AB483*MIN(BC483*Mat.Conc_Beta.1,$Y483))
+(Mat.Conc_Alpha.1*Mat.Conc_f.c*$V483*MAX(0,BC483*Mat.Conc_Beta.1-$Y483)))
-($J483*MIN(Mat.Rebar_f.y,(Mat.Rebar_epsilon.cl*($S483-BC483)/BC483)*Mat.PT_E.s))
-($M483*Mat.PT_f.pu*(1-Mat.PT_k*BC483/$P483))))</f>
        <v/>
      </c>
      <c r="BF483" s="329"/>
      <c r="BG483" s="167" t="str">
        <f>IF(ISBLANK(Inputs!$A91),"",
IF(BE483="--","Solved",
IF(ABS(BE483)&lt;=0.001,"Solved",BC483-BE483*(BC483-AY483)/(BE483-BA483))))</f>
        <v/>
      </c>
      <c r="BH483" s="167"/>
      <c r="BI483" s="329" t="str">
        <f>IF(ISBLANK(Inputs!$A91),"",
IF(OR(BG483="Solved",BG483="--"),"--",
((Mat.Conc_Alpha.1*Mat.Conc_f.c*$AB483*MIN(BG483*Mat.Conc_Beta.1,$Y483))
+(Mat.Conc_Alpha.1*Mat.Conc_f.c*$V483*MAX(0,BG483*Mat.Conc_Beta.1-$Y483)))
-($J483*MIN(Mat.Rebar_f.y,(Mat.Rebar_epsilon.cl*($S483-BG483)/BG483)*Mat.PT_E.s))
-($M483*Mat.PT_f.pu*(1-Mat.PT_k*BG483/$P483))))</f>
        <v/>
      </c>
      <c r="BJ483" s="329"/>
      <c r="BK483" s="167" t="str">
        <f>IF(ISBLANK(Inputs!$A91),"",
IF(BI483="--","Solved",
IF(ABS(BI483)&lt;=0.001,"Solved",BG483-BI483*(BG483-BC483)/(BI483-BE483))))</f>
        <v/>
      </c>
      <c r="BL483" s="167"/>
      <c r="BM483" s="329" t="str">
        <f>IF(ISBLANK(Inputs!$A91),"",
IF(OR(BK483="Solved",BK483="--"),"--",
((Mat.Conc_Alpha.1*Mat.Conc_f.c*$AB483*MIN(BK483*Mat.Conc_Beta.1,$Y483))
+(Mat.Conc_Alpha.1*Mat.Conc_f.c*$V483*MAX(0,BK483*Mat.Conc_Beta.1-$Y483)))
-($J483*MIN(Mat.Rebar_f.y,(Mat.Rebar_epsilon.cl*($S483-BK483)/BK483)*Mat.PT_E.s))
-($M483*Mat.PT_f.pu*(1-Mat.PT_k*BK483/$P483))))</f>
        <v/>
      </c>
      <c r="BN483" s="329"/>
      <c r="BO483" s="167" t="str">
        <f>IF(ISBLANK(Inputs!$A91),"",
IF(BM483="--","Solved",
IF(ABS(BM483)&lt;=0.001,"Solved",BK483-BM483*(BK483-BG483)/(BM483-BI483))))</f>
        <v/>
      </c>
      <c r="BP483" s="167"/>
      <c r="BQ483" s="329" t="str">
        <f>IF(ISBLANK(Inputs!$A91),"",
IF(OR(BO483="Solved",BO483="--"),"--",
((Mat.Conc_Alpha.1*Mat.Conc_f.c*$AB483*MIN(BO483*Mat.Conc_Beta.1,$Y483))
+(Mat.Conc_Alpha.1*Mat.Conc_f.c*$V483*MAX(0,BO483*Mat.Conc_Beta.1-$Y483)))
-($J483*MIN(Mat.Rebar_f.y,(Mat.Rebar_epsilon.cl*($S483-BO483)/BO483)*Mat.PT_E.s))
-($M483*Mat.PT_f.pu*(1-Mat.PT_k*BO483/$P483))))</f>
        <v/>
      </c>
      <c r="BR483" s="329"/>
      <c r="BT483" s="98"/>
      <c r="BU483" s="70"/>
      <c r="BV483" s="70"/>
      <c r="BW483" s="8"/>
      <c r="BX483" s="8"/>
      <c r="BY483" s="8"/>
      <c r="BZ483" s="8"/>
      <c r="CA483" s="8"/>
      <c r="CB483" s="10"/>
    </row>
    <row r="484" spans="3:80" ht="15" customHeight="1" x14ac:dyDescent="0.25">
      <c r="C484" s="69"/>
      <c r="F484" s="167" t="str">
        <f>IF(ISBLANK(Inputs!A92),"",Inputs!A92)</f>
        <v/>
      </c>
      <c r="G484" s="167"/>
      <c r="H484" s="167" t="str">
        <f>IF(ISBLANK(Inputs!B92),"",Inputs!B92)</f>
        <v/>
      </c>
      <c r="I484" s="167"/>
      <c r="J484" s="168" t="str">
        <f>IF(ISBLANK(Inputs!G92),"",Inputs!G92)</f>
        <v/>
      </c>
      <c r="K484" s="168"/>
      <c r="L484" s="168"/>
      <c r="M484" s="168" t="str">
        <f>IF(ISBLANK(Inputs!D92),"",Inputs!D92)</f>
        <v/>
      </c>
      <c r="N484" s="168"/>
      <c r="O484" s="168"/>
      <c r="P484" s="168" t="str">
        <f>IF(ISBLANK(Inputs!F92),"",Inputs!F92)</f>
        <v/>
      </c>
      <c r="Q484" s="168"/>
      <c r="R484" s="168"/>
      <c r="S484" s="168" t="str">
        <f>IF(ISBLANK(Inputs!H92),"",Inputs!H92)</f>
        <v/>
      </c>
      <c r="T484" s="168"/>
      <c r="U484" s="168"/>
      <c r="V484" s="168" t="str">
        <f>IF(ISBLANK(Inputs!E92),"",Inputs!E92)</f>
        <v/>
      </c>
      <c r="W484" s="168"/>
      <c r="X484" s="168"/>
      <c r="Y484" s="168" t="str">
        <f>IF(ISBLANK(Inputs!I92),"",Inputs!I92)</f>
        <v/>
      </c>
      <c r="Z484" s="168"/>
      <c r="AA484" s="168"/>
      <c r="AB484" s="168">
        <f>IF(ISBLANK(Inputs!J92),"",Inputs!J92)</f>
        <v>96</v>
      </c>
      <c r="AC484" s="168"/>
      <c r="AD484" s="168"/>
      <c r="AE484" s="167" t="str">
        <f>IF(ISBLANK(Inputs!A92),"",Y484)</f>
        <v/>
      </c>
      <c r="AF484" s="167"/>
      <c r="AG484" s="329" t="str">
        <f>IF(ISBLANK(Inputs!$A92),"",
IF(OR(AE484="Solved",AE484="--"),"--",
((Mat.Conc_Alpha.1*Mat.Conc_f.c*$AB484*MIN(AE484*Mat.Conc_Beta.1,$Y484))
+(Mat.Conc_Alpha.1*Mat.Conc_f.c*$V484*MAX(0,AE484*Mat.Conc_Beta.1-$Y484)))
-($J484*MIN(Mat.Rebar_f.y,(Mat.Rebar_epsilon.cl*($S484-AE484)/AE484)*Mat.PT_E.s))
-($M484*Mat.PT_f.pu*(1-Mat.PT_k*AE484/$P484))))</f>
        <v/>
      </c>
      <c r="AH484" s="329"/>
      <c r="AI484" s="167" t="str">
        <f>IF(ISBLANK(Inputs!$A92),"",
IF(ABS(AG484)&lt;=0.001,"Solved",IF(AG484&gt;0,0.85*AE484,1.15*AE484)))</f>
        <v/>
      </c>
      <c r="AJ484" s="167"/>
      <c r="AK484" s="329" t="str">
        <f>IF(ISBLANK(Inputs!$A92),"",
IF(OR(AI484="Solved",AI484="--"),"--",
((Mat.Conc_Alpha.1*Mat.Conc_f.c*$AB484*MIN(AI484*Mat.Conc_Beta.1,$Y484))
+(Mat.Conc_Alpha.1*Mat.Conc_f.c*$V484*MAX(0,AI484*Mat.Conc_Beta.1-$Y484)))
-($J484*MIN(Mat.Rebar_f.y,(Mat.Rebar_epsilon.cl*($S484-AI484)/AI484)*Mat.PT_E.s))
-($M484*Mat.PT_f.pu*(1-Mat.PT_k*AI484/$P484))))</f>
        <v/>
      </c>
      <c r="AL484" s="329"/>
      <c r="AM484" s="167" t="str">
        <f>IF(ISBLANK(Inputs!$A92),"",
IF(AK484="--","Solved",
IF(ABS(AK484)&lt;=0.001,"Solved",AI484-AK484*(AI484-AE484)/(AK484-AG484))))</f>
        <v/>
      </c>
      <c r="AN484" s="167"/>
      <c r="AO484" s="329" t="str">
        <f>IF(ISBLANK(Inputs!$A92),"",
IF(OR(AM484="Solved",AM484="--"),"--",
((Mat.Conc_Alpha.1*Mat.Conc_f.c*$AB484*MIN(AM484*Mat.Conc_Beta.1,$Y484))
+(Mat.Conc_Alpha.1*Mat.Conc_f.c*$V484*MAX(0,AM484*Mat.Conc_Beta.1-$Y484)))
-($J484*MIN(Mat.Rebar_f.y,(Mat.Rebar_epsilon.cl*($S484-AM484)/AM484)*Mat.PT_E.s))
-($M484*Mat.PT_f.pu*(1-Mat.PT_k*AM484/$P484))))</f>
        <v/>
      </c>
      <c r="AP484" s="329"/>
      <c r="AQ484" s="167" t="str">
        <f>IF(ISBLANK(Inputs!$A92),"",
IF(AO484="--","Solved",
IF(ABS(AO484)&lt;=0.001,"Solved",AM484-AO484*(AM484-AI484)/(AO484-AK484))))</f>
        <v/>
      </c>
      <c r="AR484" s="167"/>
      <c r="AS484" s="329" t="str">
        <f>IF(ISBLANK(Inputs!$A92),"",
IF(OR(AQ484="Solved",AQ484="--"),"--",
((Mat.Conc_Alpha.1*Mat.Conc_f.c*$AB484*MIN(AQ484*Mat.Conc_Beta.1,$Y484))
+(Mat.Conc_Alpha.1*Mat.Conc_f.c*$V484*MAX(0,AQ484*Mat.Conc_Beta.1-$Y484)))
-($J484*MIN(Mat.Rebar_f.y,(Mat.Rebar_epsilon.cl*($S484-AQ484)/AQ484)*Mat.PT_E.s))
-($M484*Mat.PT_f.pu*(1-Mat.PT_k*AQ484/$P484))))</f>
        <v/>
      </c>
      <c r="AT484" s="329"/>
      <c r="AU484" s="167" t="str">
        <f>IF(ISBLANK(Inputs!$A92),"",
IF(AS484="--","Solved",
IF(ABS(AS484)&lt;=0.001,"Solved",AQ484-AS484*(AQ484-AM484)/(AS484-AO484))))</f>
        <v/>
      </c>
      <c r="AV484" s="167"/>
      <c r="AW484" s="329" t="str">
        <f>IF(ISBLANK(Inputs!$A92),"",
IF(OR(AU484="Solved",AU484="--"),"--",
((Mat.Conc_Alpha.1*Mat.Conc_f.c*$AB484*MIN(AU484*Mat.Conc_Beta.1,$Y484))
+(Mat.Conc_Alpha.1*Mat.Conc_f.c*$V484*MAX(0,AU484*Mat.Conc_Beta.1-$Y484)))
-($J484*MIN(Mat.Rebar_f.y,(Mat.Rebar_epsilon.cl*($S484-AU484)/AU484)*Mat.PT_E.s))
-($M484*Mat.PT_f.pu*(1-Mat.PT_k*AU484/$P484))))</f>
        <v/>
      </c>
      <c r="AX484" s="329"/>
      <c r="AY484" s="167" t="str">
        <f>IF(ISBLANK(Inputs!$A92),"",
IF(AW484="--","Solved",
IF(ABS(AW484)&lt;=0.001,"Solved",AU484-AW484*(AU484-AQ484)/(AW484-AS484))))</f>
        <v/>
      </c>
      <c r="AZ484" s="167"/>
      <c r="BA484" s="329" t="str">
        <f>IF(ISBLANK(Inputs!$A92),"",
IF(OR(AY484="Solved",AY484="--"),"--",
((Mat.Conc_Alpha.1*Mat.Conc_f.c*$AB484*MIN(AY484*Mat.Conc_Beta.1,$Y484))
+(Mat.Conc_Alpha.1*Mat.Conc_f.c*$V484*MAX(0,AY484*Mat.Conc_Beta.1-$Y484)))
-($J484*MIN(Mat.Rebar_f.y,(Mat.Rebar_epsilon.cl*($S484-AY484)/AY484)*Mat.PT_E.s))
-($M484*Mat.PT_f.pu*(1-Mat.PT_k*AY484/$P484))))</f>
        <v/>
      </c>
      <c r="BB484" s="329"/>
      <c r="BC484" s="167" t="str">
        <f>IF(ISBLANK(Inputs!$A92),"",
IF(BA484="--","Solved",
IF(ABS(BA484)&lt;=0.001,"Solved",AY484-BA484*(AY484-AU484)/(BA484-AW484))))</f>
        <v/>
      </c>
      <c r="BD484" s="167"/>
      <c r="BE484" s="329" t="str">
        <f>IF(ISBLANK(Inputs!$A92),"",
IF(OR(BC484="Solved",BC484="--"),"--",
((Mat.Conc_Alpha.1*Mat.Conc_f.c*$AB484*MIN(BC484*Mat.Conc_Beta.1,$Y484))
+(Mat.Conc_Alpha.1*Mat.Conc_f.c*$V484*MAX(0,BC484*Mat.Conc_Beta.1-$Y484)))
-($J484*MIN(Mat.Rebar_f.y,(Mat.Rebar_epsilon.cl*($S484-BC484)/BC484)*Mat.PT_E.s))
-($M484*Mat.PT_f.pu*(1-Mat.PT_k*BC484/$P484))))</f>
        <v/>
      </c>
      <c r="BF484" s="329"/>
      <c r="BG484" s="167" t="str">
        <f>IF(ISBLANK(Inputs!$A92),"",
IF(BE484="--","Solved",
IF(ABS(BE484)&lt;=0.001,"Solved",BC484-BE484*(BC484-AY484)/(BE484-BA484))))</f>
        <v/>
      </c>
      <c r="BH484" s="167"/>
      <c r="BI484" s="329" t="str">
        <f>IF(ISBLANK(Inputs!$A92),"",
IF(OR(BG484="Solved",BG484="--"),"--",
((Mat.Conc_Alpha.1*Mat.Conc_f.c*$AB484*MIN(BG484*Mat.Conc_Beta.1,$Y484))
+(Mat.Conc_Alpha.1*Mat.Conc_f.c*$V484*MAX(0,BG484*Mat.Conc_Beta.1-$Y484)))
-($J484*MIN(Mat.Rebar_f.y,(Mat.Rebar_epsilon.cl*($S484-BG484)/BG484)*Mat.PT_E.s))
-($M484*Mat.PT_f.pu*(1-Mat.PT_k*BG484/$P484))))</f>
        <v/>
      </c>
      <c r="BJ484" s="329"/>
      <c r="BK484" s="167" t="str">
        <f>IF(ISBLANK(Inputs!$A92),"",
IF(BI484="--","Solved",
IF(ABS(BI484)&lt;=0.001,"Solved",BG484-BI484*(BG484-BC484)/(BI484-BE484))))</f>
        <v/>
      </c>
      <c r="BL484" s="167"/>
      <c r="BM484" s="329" t="str">
        <f>IF(ISBLANK(Inputs!$A92),"",
IF(OR(BK484="Solved",BK484="--"),"--",
((Mat.Conc_Alpha.1*Mat.Conc_f.c*$AB484*MIN(BK484*Mat.Conc_Beta.1,$Y484))
+(Mat.Conc_Alpha.1*Mat.Conc_f.c*$V484*MAX(0,BK484*Mat.Conc_Beta.1-$Y484)))
-($J484*MIN(Mat.Rebar_f.y,(Mat.Rebar_epsilon.cl*($S484-BK484)/BK484)*Mat.PT_E.s))
-($M484*Mat.PT_f.pu*(1-Mat.PT_k*BK484/$P484))))</f>
        <v/>
      </c>
      <c r="BN484" s="329"/>
      <c r="BO484" s="167" t="str">
        <f>IF(ISBLANK(Inputs!$A92),"",
IF(BM484="--","Solved",
IF(ABS(BM484)&lt;=0.001,"Solved",BK484-BM484*(BK484-BG484)/(BM484-BI484))))</f>
        <v/>
      </c>
      <c r="BP484" s="167"/>
      <c r="BQ484" s="329" t="str">
        <f>IF(ISBLANK(Inputs!$A92),"",
IF(OR(BO484="Solved",BO484="--"),"--",
((Mat.Conc_Alpha.1*Mat.Conc_f.c*$AB484*MIN(BO484*Mat.Conc_Beta.1,$Y484))
+(Mat.Conc_Alpha.1*Mat.Conc_f.c*$V484*MAX(0,BO484*Mat.Conc_Beta.1-$Y484)))
-($J484*MIN(Mat.Rebar_f.y,(Mat.Rebar_epsilon.cl*($S484-BO484)/BO484)*Mat.PT_E.s))
-($M484*Mat.PT_f.pu*(1-Mat.PT_k*BO484/$P484))))</f>
        <v/>
      </c>
      <c r="BR484" s="329"/>
      <c r="BT484" s="98"/>
      <c r="BU484" s="70"/>
      <c r="BV484" s="70"/>
      <c r="BW484" s="8"/>
      <c r="BX484" s="8"/>
      <c r="BY484" s="8"/>
      <c r="BZ484" s="8"/>
      <c r="CA484" s="8"/>
      <c r="CB484" s="10"/>
    </row>
    <row r="485" spans="3:80" ht="15" customHeight="1" x14ac:dyDescent="0.25">
      <c r="C485" s="69"/>
      <c r="F485" s="167" t="str">
        <f>IF(ISBLANK(Inputs!A93),"",Inputs!A93)</f>
        <v/>
      </c>
      <c r="G485" s="167"/>
      <c r="H485" s="167" t="str">
        <f>IF(ISBLANK(Inputs!B93),"",Inputs!B93)</f>
        <v/>
      </c>
      <c r="I485" s="167"/>
      <c r="J485" s="168" t="str">
        <f>IF(ISBLANK(Inputs!G93),"",Inputs!G93)</f>
        <v/>
      </c>
      <c r="K485" s="168"/>
      <c r="L485" s="168"/>
      <c r="M485" s="168" t="str">
        <f>IF(ISBLANK(Inputs!D93),"",Inputs!D93)</f>
        <v/>
      </c>
      <c r="N485" s="168"/>
      <c r="O485" s="168"/>
      <c r="P485" s="168" t="str">
        <f>IF(ISBLANK(Inputs!F93),"",Inputs!F93)</f>
        <v/>
      </c>
      <c r="Q485" s="168"/>
      <c r="R485" s="168"/>
      <c r="S485" s="168" t="str">
        <f>IF(ISBLANK(Inputs!H93),"",Inputs!H93)</f>
        <v/>
      </c>
      <c r="T485" s="168"/>
      <c r="U485" s="168"/>
      <c r="V485" s="168" t="str">
        <f>IF(ISBLANK(Inputs!E93),"",Inputs!E93)</f>
        <v/>
      </c>
      <c r="W485" s="168"/>
      <c r="X485" s="168"/>
      <c r="Y485" s="168" t="str">
        <f>IF(ISBLANK(Inputs!I93),"",Inputs!I93)</f>
        <v/>
      </c>
      <c r="Z485" s="168"/>
      <c r="AA485" s="168"/>
      <c r="AB485" s="168">
        <f>IF(ISBLANK(Inputs!J93),"",Inputs!J93)</f>
        <v>96</v>
      </c>
      <c r="AC485" s="168"/>
      <c r="AD485" s="168"/>
      <c r="AE485" s="167" t="str">
        <f>IF(ISBLANK(Inputs!A93),"",Y485)</f>
        <v/>
      </c>
      <c r="AF485" s="167"/>
      <c r="AG485" s="329" t="str">
        <f>IF(ISBLANK(Inputs!$A93),"",
IF(OR(AE485="Solved",AE485="--"),"--",
((Mat.Conc_Alpha.1*Mat.Conc_f.c*$AB485*MIN(AE485*Mat.Conc_Beta.1,$Y485))
+(Mat.Conc_Alpha.1*Mat.Conc_f.c*$V485*MAX(0,AE485*Mat.Conc_Beta.1-$Y485)))
-($J485*MIN(Mat.Rebar_f.y,(Mat.Rebar_epsilon.cl*($S485-AE485)/AE485)*Mat.PT_E.s))
-($M485*Mat.PT_f.pu*(1-Mat.PT_k*AE485/$P485))))</f>
        <v/>
      </c>
      <c r="AH485" s="329"/>
      <c r="AI485" s="167" t="str">
        <f>IF(ISBLANK(Inputs!$A93),"",
IF(ABS(AG485)&lt;=0.001,"Solved",IF(AG485&gt;0,0.85*AE485,1.15*AE485)))</f>
        <v/>
      </c>
      <c r="AJ485" s="167"/>
      <c r="AK485" s="329" t="str">
        <f>IF(ISBLANK(Inputs!$A93),"",
IF(OR(AI485="Solved",AI485="--"),"--",
((Mat.Conc_Alpha.1*Mat.Conc_f.c*$AB485*MIN(AI485*Mat.Conc_Beta.1,$Y485))
+(Mat.Conc_Alpha.1*Mat.Conc_f.c*$V485*MAX(0,AI485*Mat.Conc_Beta.1-$Y485)))
-($J485*MIN(Mat.Rebar_f.y,(Mat.Rebar_epsilon.cl*($S485-AI485)/AI485)*Mat.PT_E.s))
-($M485*Mat.PT_f.pu*(1-Mat.PT_k*AI485/$P485))))</f>
        <v/>
      </c>
      <c r="AL485" s="329"/>
      <c r="AM485" s="167" t="str">
        <f>IF(ISBLANK(Inputs!$A93),"",
IF(AK485="--","Solved",
IF(ABS(AK485)&lt;=0.001,"Solved",AI485-AK485*(AI485-AE485)/(AK485-AG485))))</f>
        <v/>
      </c>
      <c r="AN485" s="167"/>
      <c r="AO485" s="329" t="str">
        <f>IF(ISBLANK(Inputs!$A93),"",
IF(OR(AM485="Solved",AM485="--"),"--",
((Mat.Conc_Alpha.1*Mat.Conc_f.c*$AB485*MIN(AM485*Mat.Conc_Beta.1,$Y485))
+(Mat.Conc_Alpha.1*Mat.Conc_f.c*$V485*MAX(0,AM485*Mat.Conc_Beta.1-$Y485)))
-($J485*MIN(Mat.Rebar_f.y,(Mat.Rebar_epsilon.cl*($S485-AM485)/AM485)*Mat.PT_E.s))
-($M485*Mat.PT_f.pu*(1-Mat.PT_k*AM485/$P485))))</f>
        <v/>
      </c>
      <c r="AP485" s="329"/>
      <c r="AQ485" s="167" t="str">
        <f>IF(ISBLANK(Inputs!$A93),"",
IF(AO485="--","Solved",
IF(ABS(AO485)&lt;=0.001,"Solved",AM485-AO485*(AM485-AI485)/(AO485-AK485))))</f>
        <v/>
      </c>
      <c r="AR485" s="167"/>
      <c r="AS485" s="329" t="str">
        <f>IF(ISBLANK(Inputs!$A93),"",
IF(OR(AQ485="Solved",AQ485="--"),"--",
((Mat.Conc_Alpha.1*Mat.Conc_f.c*$AB485*MIN(AQ485*Mat.Conc_Beta.1,$Y485))
+(Mat.Conc_Alpha.1*Mat.Conc_f.c*$V485*MAX(0,AQ485*Mat.Conc_Beta.1-$Y485)))
-($J485*MIN(Mat.Rebar_f.y,(Mat.Rebar_epsilon.cl*($S485-AQ485)/AQ485)*Mat.PT_E.s))
-($M485*Mat.PT_f.pu*(1-Mat.PT_k*AQ485/$P485))))</f>
        <v/>
      </c>
      <c r="AT485" s="329"/>
      <c r="AU485" s="167" t="str">
        <f>IF(ISBLANK(Inputs!$A93),"",
IF(AS485="--","Solved",
IF(ABS(AS485)&lt;=0.001,"Solved",AQ485-AS485*(AQ485-AM485)/(AS485-AO485))))</f>
        <v/>
      </c>
      <c r="AV485" s="167"/>
      <c r="AW485" s="329" t="str">
        <f>IF(ISBLANK(Inputs!$A93),"",
IF(OR(AU485="Solved",AU485="--"),"--",
((Mat.Conc_Alpha.1*Mat.Conc_f.c*$AB485*MIN(AU485*Mat.Conc_Beta.1,$Y485))
+(Mat.Conc_Alpha.1*Mat.Conc_f.c*$V485*MAX(0,AU485*Mat.Conc_Beta.1-$Y485)))
-($J485*MIN(Mat.Rebar_f.y,(Mat.Rebar_epsilon.cl*($S485-AU485)/AU485)*Mat.PT_E.s))
-($M485*Mat.PT_f.pu*(1-Mat.PT_k*AU485/$P485))))</f>
        <v/>
      </c>
      <c r="AX485" s="329"/>
      <c r="AY485" s="167" t="str">
        <f>IF(ISBLANK(Inputs!$A93),"",
IF(AW485="--","Solved",
IF(ABS(AW485)&lt;=0.001,"Solved",AU485-AW485*(AU485-AQ485)/(AW485-AS485))))</f>
        <v/>
      </c>
      <c r="AZ485" s="167"/>
      <c r="BA485" s="329" t="str">
        <f>IF(ISBLANK(Inputs!$A93),"",
IF(OR(AY485="Solved",AY485="--"),"--",
((Mat.Conc_Alpha.1*Mat.Conc_f.c*$AB485*MIN(AY485*Mat.Conc_Beta.1,$Y485))
+(Mat.Conc_Alpha.1*Mat.Conc_f.c*$V485*MAX(0,AY485*Mat.Conc_Beta.1-$Y485)))
-($J485*MIN(Mat.Rebar_f.y,(Mat.Rebar_epsilon.cl*($S485-AY485)/AY485)*Mat.PT_E.s))
-($M485*Mat.PT_f.pu*(1-Mat.PT_k*AY485/$P485))))</f>
        <v/>
      </c>
      <c r="BB485" s="329"/>
      <c r="BC485" s="167" t="str">
        <f>IF(ISBLANK(Inputs!$A93),"",
IF(BA485="--","Solved",
IF(ABS(BA485)&lt;=0.001,"Solved",AY485-BA485*(AY485-AU485)/(BA485-AW485))))</f>
        <v/>
      </c>
      <c r="BD485" s="167"/>
      <c r="BE485" s="329" t="str">
        <f>IF(ISBLANK(Inputs!$A93),"",
IF(OR(BC485="Solved",BC485="--"),"--",
((Mat.Conc_Alpha.1*Mat.Conc_f.c*$AB485*MIN(BC485*Mat.Conc_Beta.1,$Y485))
+(Mat.Conc_Alpha.1*Mat.Conc_f.c*$V485*MAX(0,BC485*Mat.Conc_Beta.1-$Y485)))
-($J485*MIN(Mat.Rebar_f.y,(Mat.Rebar_epsilon.cl*($S485-BC485)/BC485)*Mat.PT_E.s))
-($M485*Mat.PT_f.pu*(1-Mat.PT_k*BC485/$P485))))</f>
        <v/>
      </c>
      <c r="BF485" s="329"/>
      <c r="BG485" s="167" t="str">
        <f>IF(ISBLANK(Inputs!$A93),"",
IF(BE485="--","Solved",
IF(ABS(BE485)&lt;=0.001,"Solved",BC485-BE485*(BC485-AY485)/(BE485-BA485))))</f>
        <v/>
      </c>
      <c r="BH485" s="167"/>
      <c r="BI485" s="329" t="str">
        <f>IF(ISBLANK(Inputs!$A93),"",
IF(OR(BG485="Solved",BG485="--"),"--",
((Mat.Conc_Alpha.1*Mat.Conc_f.c*$AB485*MIN(BG485*Mat.Conc_Beta.1,$Y485))
+(Mat.Conc_Alpha.1*Mat.Conc_f.c*$V485*MAX(0,BG485*Mat.Conc_Beta.1-$Y485)))
-($J485*MIN(Mat.Rebar_f.y,(Mat.Rebar_epsilon.cl*($S485-BG485)/BG485)*Mat.PT_E.s))
-($M485*Mat.PT_f.pu*(1-Mat.PT_k*BG485/$P485))))</f>
        <v/>
      </c>
      <c r="BJ485" s="329"/>
      <c r="BK485" s="167" t="str">
        <f>IF(ISBLANK(Inputs!$A93),"",
IF(BI485="--","Solved",
IF(ABS(BI485)&lt;=0.001,"Solved",BG485-BI485*(BG485-BC485)/(BI485-BE485))))</f>
        <v/>
      </c>
      <c r="BL485" s="167"/>
      <c r="BM485" s="329" t="str">
        <f>IF(ISBLANK(Inputs!$A93),"",
IF(OR(BK485="Solved",BK485="--"),"--",
((Mat.Conc_Alpha.1*Mat.Conc_f.c*$AB485*MIN(BK485*Mat.Conc_Beta.1,$Y485))
+(Mat.Conc_Alpha.1*Mat.Conc_f.c*$V485*MAX(0,BK485*Mat.Conc_Beta.1-$Y485)))
-($J485*MIN(Mat.Rebar_f.y,(Mat.Rebar_epsilon.cl*($S485-BK485)/BK485)*Mat.PT_E.s))
-($M485*Mat.PT_f.pu*(1-Mat.PT_k*BK485/$P485))))</f>
        <v/>
      </c>
      <c r="BN485" s="329"/>
      <c r="BO485" s="167" t="str">
        <f>IF(ISBLANK(Inputs!$A93),"",
IF(BM485="--","Solved",
IF(ABS(BM485)&lt;=0.001,"Solved",BK485-BM485*(BK485-BG485)/(BM485-BI485))))</f>
        <v/>
      </c>
      <c r="BP485" s="167"/>
      <c r="BQ485" s="329" t="str">
        <f>IF(ISBLANK(Inputs!$A93),"",
IF(OR(BO485="Solved",BO485="--"),"--",
((Mat.Conc_Alpha.1*Mat.Conc_f.c*$AB485*MIN(BO485*Mat.Conc_Beta.1,$Y485))
+(Mat.Conc_Alpha.1*Mat.Conc_f.c*$V485*MAX(0,BO485*Mat.Conc_Beta.1-$Y485)))
-($J485*MIN(Mat.Rebar_f.y,(Mat.Rebar_epsilon.cl*($S485-BO485)/BO485)*Mat.PT_E.s))
-($M485*Mat.PT_f.pu*(1-Mat.PT_k*BO485/$P485))))</f>
        <v/>
      </c>
      <c r="BR485" s="329"/>
      <c r="BT485" s="98"/>
      <c r="BU485" s="70"/>
      <c r="BV485" s="70"/>
      <c r="BW485" s="8"/>
      <c r="BX485" s="8"/>
      <c r="BY485" s="8"/>
      <c r="BZ485" s="8"/>
      <c r="CA485" s="8"/>
      <c r="CB485" s="10"/>
    </row>
    <row r="486" spans="3:80" ht="15" customHeight="1" x14ac:dyDescent="0.25">
      <c r="C486" s="69"/>
      <c r="F486" s="167" t="str">
        <f>IF(ISBLANK(Inputs!A94),"",Inputs!A94)</f>
        <v/>
      </c>
      <c r="G486" s="167"/>
      <c r="H486" s="167" t="str">
        <f>IF(ISBLANK(Inputs!B94),"",Inputs!B94)</f>
        <v/>
      </c>
      <c r="I486" s="167"/>
      <c r="J486" s="168" t="str">
        <f>IF(ISBLANK(Inputs!G94),"",Inputs!G94)</f>
        <v/>
      </c>
      <c r="K486" s="168"/>
      <c r="L486" s="168"/>
      <c r="M486" s="168" t="str">
        <f>IF(ISBLANK(Inputs!D94),"",Inputs!D94)</f>
        <v/>
      </c>
      <c r="N486" s="168"/>
      <c r="O486" s="168"/>
      <c r="P486" s="168" t="str">
        <f>IF(ISBLANK(Inputs!F94),"",Inputs!F94)</f>
        <v/>
      </c>
      <c r="Q486" s="168"/>
      <c r="R486" s="168"/>
      <c r="S486" s="168" t="str">
        <f>IF(ISBLANK(Inputs!H94),"",Inputs!H94)</f>
        <v/>
      </c>
      <c r="T486" s="168"/>
      <c r="U486" s="168"/>
      <c r="V486" s="168" t="str">
        <f>IF(ISBLANK(Inputs!E94),"",Inputs!E94)</f>
        <v/>
      </c>
      <c r="W486" s="168"/>
      <c r="X486" s="168"/>
      <c r="Y486" s="168" t="str">
        <f>IF(ISBLANK(Inputs!I94),"",Inputs!I94)</f>
        <v/>
      </c>
      <c r="Z486" s="168"/>
      <c r="AA486" s="168"/>
      <c r="AB486" s="168">
        <f>IF(ISBLANK(Inputs!J94),"",Inputs!J94)</f>
        <v>96</v>
      </c>
      <c r="AC486" s="168"/>
      <c r="AD486" s="168"/>
      <c r="AE486" s="167" t="str">
        <f>IF(ISBLANK(Inputs!A94),"",Y486)</f>
        <v/>
      </c>
      <c r="AF486" s="167"/>
      <c r="AG486" s="329" t="str">
        <f>IF(ISBLANK(Inputs!$A94),"",
IF(OR(AE486="Solved",AE486="--"),"--",
((Mat.Conc_Alpha.1*Mat.Conc_f.c*$AB486*MIN(AE486*Mat.Conc_Beta.1,$Y486))
+(Mat.Conc_Alpha.1*Mat.Conc_f.c*$V486*MAX(0,AE486*Mat.Conc_Beta.1-$Y486)))
-($J486*MIN(Mat.Rebar_f.y,(Mat.Rebar_epsilon.cl*($S486-AE486)/AE486)*Mat.PT_E.s))
-($M486*Mat.PT_f.pu*(1-Mat.PT_k*AE486/$P486))))</f>
        <v/>
      </c>
      <c r="AH486" s="329"/>
      <c r="AI486" s="167" t="str">
        <f>IF(ISBLANK(Inputs!$A94),"",
IF(ABS(AG486)&lt;=0.001,"Solved",IF(AG486&gt;0,0.85*AE486,1.15*AE486)))</f>
        <v/>
      </c>
      <c r="AJ486" s="167"/>
      <c r="AK486" s="329" t="str">
        <f>IF(ISBLANK(Inputs!$A94),"",
IF(OR(AI486="Solved",AI486="--"),"--",
((Mat.Conc_Alpha.1*Mat.Conc_f.c*$AB486*MIN(AI486*Mat.Conc_Beta.1,$Y486))
+(Mat.Conc_Alpha.1*Mat.Conc_f.c*$V486*MAX(0,AI486*Mat.Conc_Beta.1-$Y486)))
-($J486*MIN(Mat.Rebar_f.y,(Mat.Rebar_epsilon.cl*($S486-AI486)/AI486)*Mat.PT_E.s))
-($M486*Mat.PT_f.pu*(1-Mat.PT_k*AI486/$P486))))</f>
        <v/>
      </c>
      <c r="AL486" s="329"/>
      <c r="AM486" s="167" t="str">
        <f>IF(ISBLANK(Inputs!$A94),"",
IF(AK486="--","Solved",
IF(ABS(AK486)&lt;=0.001,"Solved",AI486-AK486*(AI486-AE486)/(AK486-AG486))))</f>
        <v/>
      </c>
      <c r="AN486" s="167"/>
      <c r="AO486" s="329" t="str">
        <f>IF(ISBLANK(Inputs!$A94),"",
IF(OR(AM486="Solved",AM486="--"),"--",
((Mat.Conc_Alpha.1*Mat.Conc_f.c*$AB486*MIN(AM486*Mat.Conc_Beta.1,$Y486))
+(Mat.Conc_Alpha.1*Mat.Conc_f.c*$V486*MAX(0,AM486*Mat.Conc_Beta.1-$Y486)))
-($J486*MIN(Mat.Rebar_f.y,(Mat.Rebar_epsilon.cl*($S486-AM486)/AM486)*Mat.PT_E.s))
-($M486*Mat.PT_f.pu*(1-Mat.PT_k*AM486/$P486))))</f>
        <v/>
      </c>
      <c r="AP486" s="329"/>
      <c r="AQ486" s="167" t="str">
        <f>IF(ISBLANK(Inputs!$A94),"",
IF(AO486="--","Solved",
IF(ABS(AO486)&lt;=0.001,"Solved",AM486-AO486*(AM486-AI486)/(AO486-AK486))))</f>
        <v/>
      </c>
      <c r="AR486" s="167"/>
      <c r="AS486" s="329" t="str">
        <f>IF(ISBLANK(Inputs!$A94),"",
IF(OR(AQ486="Solved",AQ486="--"),"--",
((Mat.Conc_Alpha.1*Mat.Conc_f.c*$AB486*MIN(AQ486*Mat.Conc_Beta.1,$Y486))
+(Mat.Conc_Alpha.1*Mat.Conc_f.c*$V486*MAX(0,AQ486*Mat.Conc_Beta.1-$Y486)))
-($J486*MIN(Mat.Rebar_f.y,(Mat.Rebar_epsilon.cl*($S486-AQ486)/AQ486)*Mat.PT_E.s))
-($M486*Mat.PT_f.pu*(1-Mat.PT_k*AQ486/$P486))))</f>
        <v/>
      </c>
      <c r="AT486" s="329"/>
      <c r="AU486" s="167" t="str">
        <f>IF(ISBLANK(Inputs!$A94),"",
IF(AS486="--","Solved",
IF(ABS(AS486)&lt;=0.001,"Solved",AQ486-AS486*(AQ486-AM486)/(AS486-AO486))))</f>
        <v/>
      </c>
      <c r="AV486" s="167"/>
      <c r="AW486" s="329" t="str">
        <f>IF(ISBLANK(Inputs!$A94),"",
IF(OR(AU486="Solved",AU486="--"),"--",
((Mat.Conc_Alpha.1*Mat.Conc_f.c*$AB486*MIN(AU486*Mat.Conc_Beta.1,$Y486))
+(Mat.Conc_Alpha.1*Mat.Conc_f.c*$V486*MAX(0,AU486*Mat.Conc_Beta.1-$Y486)))
-($J486*MIN(Mat.Rebar_f.y,(Mat.Rebar_epsilon.cl*($S486-AU486)/AU486)*Mat.PT_E.s))
-($M486*Mat.PT_f.pu*(1-Mat.PT_k*AU486/$P486))))</f>
        <v/>
      </c>
      <c r="AX486" s="329"/>
      <c r="AY486" s="167" t="str">
        <f>IF(ISBLANK(Inputs!$A94),"",
IF(AW486="--","Solved",
IF(ABS(AW486)&lt;=0.001,"Solved",AU486-AW486*(AU486-AQ486)/(AW486-AS486))))</f>
        <v/>
      </c>
      <c r="AZ486" s="167"/>
      <c r="BA486" s="329" t="str">
        <f>IF(ISBLANK(Inputs!$A94),"",
IF(OR(AY486="Solved",AY486="--"),"--",
((Mat.Conc_Alpha.1*Mat.Conc_f.c*$AB486*MIN(AY486*Mat.Conc_Beta.1,$Y486))
+(Mat.Conc_Alpha.1*Mat.Conc_f.c*$V486*MAX(0,AY486*Mat.Conc_Beta.1-$Y486)))
-($J486*MIN(Mat.Rebar_f.y,(Mat.Rebar_epsilon.cl*($S486-AY486)/AY486)*Mat.PT_E.s))
-($M486*Mat.PT_f.pu*(1-Mat.PT_k*AY486/$P486))))</f>
        <v/>
      </c>
      <c r="BB486" s="329"/>
      <c r="BC486" s="167" t="str">
        <f>IF(ISBLANK(Inputs!$A94),"",
IF(BA486="--","Solved",
IF(ABS(BA486)&lt;=0.001,"Solved",AY486-BA486*(AY486-AU486)/(BA486-AW486))))</f>
        <v/>
      </c>
      <c r="BD486" s="167"/>
      <c r="BE486" s="329" t="str">
        <f>IF(ISBLANK(Inputs!$A94),"",
IF(OR(BC486="Solved",BC486="--"),"--",
((Mat.Conc_Alpha.1*Mat.Conc_f.c*$AB486*MIN(BC486*Mat.Conc_Beta.1,$Y486))
+(Mat.Conc_Alpha.1*Mat.Conc_f.c*$V486*MAX(0,BC486*Mat.Conc_Beta.1-$Y486)))
-($J486*MIN(Mat.Rebar_f.y,(Mat.Rebar_epsilon.cl*($S486-BC486)/BC486)*Mat.PT_E.s))
-($M486*Mat.PT_f.pu*(1-Mat.PT_k*BC486/$P486))))</f>
        <v/>
      </c>
      <c r="BF486" s="329"/>
      <c r="BG486" s="167" t="str">
        <f>IF(ISBLANK(Inputs!$A94),"",
IF(BE486="--","Solved",
IF(ABS(BE486)&lt;=0.001,"Solved",BC486-BE486*(BC486-AY486)/(BE486-BA486))))</f>
        <v/>
      </c>
      <c r="BH486" s="167"/>
      <c r="BI486" s="329" t="str">
        <f>IF(ISBLANK(Inputs!$A94),"",
IF(OR(BG486="Solved",BG486="--"),"--",
((Mat.Conc_Alpha.1*Mat.Conc_f.c*$AB486*MIN(BG486*Mat.Conc_Beta.1,$Y486))
+(Mat.Conc_Alpha.1*Mat.Conc_f.c*$V486*MAX(0,BG486*Mat.Conc_Beta.1-$Y486)))
-($J486*MIN(Mat.Rebar_f.y,(Mat.Rebar_epsilon.cl*($S486-BG486)/BG486)*Mat.PT_E.s))
-($M486*Mat.PT_f.pu*(1-Mat.PT_k*BG486/$P486))))</f>
        <v/>
      </c>
      <c r="BJ486" s="329"/>
      <c r="BK486" s="167" t="str">
        <f>IF(ISBLANK(Inputs!$A94),"",
IF(BI486="--","Solved",
IF(ABS(BI486)&lt;=0.001,"Solved",BG486-BI486*(BG486-BC486)/(BI486-BE486))))</f>
        <v/>
      </c>
      <c r="BL486" s="167"/>
      <c r="BM486" s="329" t="str">
        <f>IF(ISBLANK(Inputs!$A94),"",
IF(OR(BK486="Solved",BK486="--"),"--",
((Mat.Conc_Alpha.1*Mat.Conc_f.c*$AB486*MIN(BK486*Mat.Conc_Beta.1,$Y486))
+(Mat.Conc_Alpha.1*Mat.Conc_f.c*$V486*MAX(0,BK486*Mat.Conc_Beta.1-$Y486)))
-($J486*MIN(Mat.Rebar_f.y,(Mat.Rebar_epsilon.cl*($S486-BK486)/BK486)*Mat.PT_E.s))
-($M486*Mat.PT_f.pu*(1-Mat.PT_k*BK486/$P486))))</f>
        <v/>
      </c>
      <c r="BN486" s="329"/>
      <c r="BO486" s="167" t="str">
        <f>IF(ISBLANK(Inputs!$A94),"",
IF(BM486="--","Solved",
IF(ABS(BM486)&lt;=0.001,"Solved",BK486-BM486*(BK486-BG486)/(BM486-BI486))))</f>
        <v/>
      </c>
      <c r="BP486" s="167"/>
      <c r="BQ486" s="329" t="str">
        <f>IF(ISBLANK(Inputs!$A94),"",
IF(OR(BO486="Solved",BO486="--"),"--",
((Mat.Conc_Alpha.1*Mat.Conc_f.c*$AB486*MIN(BO486*Mat.Conc_Beta.1,$Y486))
+(Mat.Conc_Alpha.1*Mat.Conc_f.c*$V486*MAX(0,BO486*Mat.Conc_Beta.1-$Y486)))
-($J486*MIN(Mat.Rebar_f.y,(Mat.Rebar_epsilon.cl*($S486-BO486)/BO486)*Mat.PT_E.s))
-($M486*Mat.PT_f.pu*(1-Mat.PT_k*BO486/$P486))))</f>
        <v/>
      </c>
      <c r="BR486" s="329"/>
      <c r="BT486" s="98"/>
      <c r="BU486" s="70"/>
      <c r="BV486" s="70"/>
      <c r="BW486" s="8"/>
      <c r="BX486" s="8"/>
      <c r="BY486" s="8"/>
      <c r="BZ486" s="8"/>
      <c r="CA486" s="8"/>
      <c r="CB486" s="10"/>
    </row>
    <row r="487" spans="3:80" ht="15" customHeight="1" x14ac:dyDescent="0.25">
      <c r="C487" s="69"/>
      <c r="F487" s="167" t="str">
        <f>IF(ISBLANK(Inputs!A95),"",Inputs!A95)</f>
        <v/>
      </c>
      <c r="G487" s="167"/>
      <c r="H487" s="167" t="str">
        <f>IF(ISBLANK(Inputs!B95),"",Inputs!B95)</f>
        <v/>
      </c>
      <c r="I487" s="167"/>
      <c r="J487" s="168" t="str">
        <f>IF(ISBLANK(Inputs!G95),"",Inputs!G95)</f>
        <v/>
      </c>
      <c r="K487" s="168"/>
      <c r="L487" s="168"/>
      <c r="M487" s="168" t="str">
        <f>IF(ISBLANK(Inputs!D95),"",Inputs!D95)</f>
        <v/>
      </c>
      <c r="N487" s="168"/>
      <c r="O487" s="168"/>
      <c r="P487" s="168" t="str">
        <f>IF(ISBLANK(Inputs!F95),"",Inputs!F95)</f>
        <v/>
      </c>
      <c r="Q487" s="168"/>
      <c r="R487" s="168"/>
      <c r="S487" s="168" t="str">
        <f>IF(ISBLANK(Inputs!H95),"",Inputs!H95)</f>
        <v/>
      </c>
      <c r="T487" s="168"/>
      <c r="U487" s="168"/>
      <c r="V487" s="168" t="str">
        <f>IF(ISBLANK(Inputs!E95),"",Inputs!E95)</f>
        <v/>
      </c>
      <c r="W487" s="168"/>
      <c r="X487" s="168"/>
      <c r="Y487" s="168" t="str">
        <f>IF(ISBLANK(Inputs!I95),"",Inputs!I95)</f>
        <v/>
      </c>
      <c r="Z487" s="168"/>
      <c r="AA487" s="168"/>
      <c r="AB487" s="168">
        <f>IF(ISBLANK(Inputs!J95),"",Inputs!J95)</f>
        <v>96</v>
      </c>
      <c r="AC487" s="168"/>
      <c r="AD487" s="168"/>
      <c r="AE487" s="167" t="str">
        <f>IF(ISBLANK(Inputs!A95),"",Y487)</f>
        <v/>
      </c>
      <c r="AF487" s="167"/>
      <c r="AG487" s="329" t="str">
        <f>IF(ISBLANK(Inputs!$A95),"",
IF(OR(AE487="Solved",AE487="--"),"--",
((Mat.Conc_Alpha.1*Mat.Conc_f.c*$AB487*MIN(AE487*Mat.Conc_Beta.1,$Y487))
+(Mat.Conc_Alpha.1*Mat.Conc_f.c*$V487*MAX(0,AE487*Mat.Conc_Beta.1-$Y487)))
-($J487*MIN(Mat.Rebar_f.y,(Mat.Rebar_epsilon.cl*($S487-AE487)/AE487)*Mat.PT_E.s))
-($M487*Mat.PT_f.pu*(1-Mat.PT_k*AE487/$P487))))</f>
        <v/>
      </c>
      <c r="AH487" s="329"/>
      <c r="AI487" s="167" t="str">
        <f>IF(ISBLANK(Inputs!$A95),"",
IF(ABS(AG487)&lt;=0.001,"Solved",IF(AG487&gt;0,0.85*AE487,1.15*AE487)))</f>
        <v/>
      </c>
      <c r="AJ487" s="167"/>
      <c r="AK487" s="329" t="str">
        <f>IF(ISBLANK(Inputs!$A95),"",
IF(OR(AI487="Solved",AI487="--"),"--",
((Mat.Conc_Alpha.1*Mat.Conc_f.c*$AB487*MIN(AI487*Mat.Conc_Beta.1,$Y487))
+(Mat.Conc_Alpha.1*Mat.Conc_f.c*$V487*MAX(0,AI487*Mat.Conc_Beta.1-$Y487)))
-($J487*MIN(Mat.Rebar_f.y,(Mat.Rebar_epsilon.cl*($S487-AI487)/AI487)*Mat.PT_E.s))
-($M487*Mat.PT_f.pu*(1-Mat.PT_k*AI487/$P487))))</f>
        <v/>
      </c>
      <c r="AL487" s="329"/>
      <c r="AM487" s="167" t="str">
        <f>IF(ISBLANK(Inputs!$A95),"",
IF(AK487="--","Solved",
IF(ABS(AK487)&lt;=0.001,"Solved",AI487-AK487*(AI487-AE487)/(AK487-AG487))))</f>
        <v/>
      </c>
      <c r="AN487" s="167"/>
      <c r="AO487" s="329" t="str">
        <f>IF(ISBLANK(Inputs!$A95),"",
IF(OR(AM487="Solved",AM487="--"),"--",
((Mat.Conc_Alpha.1*Mat.Conc_f.c*$AB487*MIN(AM487*Mat.Conc_Beta.1,$Y487))
+(Mat.Conc_Alpha.1*Mat.Conc_f.c*$V487*MAX(0,AM487*Mat.Conc_Beta.1-$Y487)))
-($J487*MIN(Mat.Rebar_f.y,(Mat.Rebar_epsilon.cl*($S487-AM487)/AM487)*Mat.PT_E.s))
-($M487*Mat.PT_f.pu*(1-Mat.PT_k*AM487/$P487))))</f>
        <v/>
      </c>
      <c r="AP487" s="329"/>
      <c r="AQ487" s="167" t="str">
        <f>IF(ISBLANK(Inputs!$A95),"",
IF(AO487="--","Solved",
IF(ABS(AO487)&lt;=0.001,"Solved",AM487-AO487*(AM487-AI487)/(AO487-AK487))))</f>
        <v/>
      </c>
      <c r="AR487" s="167"/>
      <c r="AS487" s="329" t="str">
        <f>IF(ISBLANK(Inputs!$A95),"",
IF(OR(AQ487="Solved",AQ487="--"),"--",
((Mat.Conc_Alpha.1*Mat.Conc_f.c*$AB487*MIN(AQ487*Mat.Conc_Beta.1,$Y487))
+(Mat.Conc_Alpha.1*Mat.Conc_f.c*$V487*MAX(0,AQ487*Mat.Conc_Beta.1-$Y487)))
-($J487*MIN(Mat.Rebar_f.y,(Mat.Rebar_epsilon.cl*($S487-AQ487)/AQ487)*Mat.PT_E.s))
-($M487*Mat.PT_f.pu*(1-Mat.PT_k*AQ487/$P487))))</f>
        <v/>
      </c>
      <c r="AT487" s="329"/>
      <c r="AU487" s="167" t="str">
        <f>IF(ISBLANK(Inputs!$A95),"",
IF(AS487="--","Solved",
IF(ABS(AS487)&lt;=0.001,"Solved",AQ487-AS487*(AQ487-AM487)/(AS487-AO487))))</f>
        <v/>
      </c>
      <c r="AV487" s="167"/>
      <c r="AW487" s="329" t="str">
        <f>IF(ISBLANK(Inputs!$A95),"",
IF(OR(AU487="Solved",AU487="--"),"--",
((Mat.Conc_Alpha.1*Mat.Conc_f.c*$AB487*MIN(AU487*Mat.Conc_Beta.1,$Y487))
+(Mat.Conc_Alpha.1*Mat.Conc_f.c*$V487*MAX(0,AU487*Mat.Conc_Beta.1-$Y487)))
-($J487*MIN(Mat.Rebar_f.y,(Mat.Rebar_epsilon.cl*($S487-AU487)/AU487)*Mat.PT_E.s))
-($M487*Mat.PT_f.pu*(1-Mat.PT_k*AU487/$P487))))</f>
        <v/>
      </c>
      <c r="AX487" s="329"/>
      <c r="AY487" s="167" t="str">
        <f>IF(ISBLANK(Inputs!$A95),"",
IF(AW487="--","Solved",
IF(ABS(AW487)&lt;=0.001,"Solved",AU487-AW487*(AU487-AQ487)/(AW487-AS487))))</f>
        <v/>
      </c>
      <c r="AZ487" s="167"/>
      <c r="BA487" s="329" t="str">
        <f>IF(ISBLANK(Inputs!$A95),"",
IF(OR(AY487="Solved",AY487="--"),"--",
((Mat.Conc_Alpha.1*Mat.Conc_f.c*$AB487*MIN(AY487*Mat.Conc_Beta.1,$Y487))
+(Mat.Conc_Alpha.1*Mat.Conc_f.c*$V487*MAX(0,AY487*Mat.Conc_Beta.1-$Y487)))
-($J487*MIN(Mat.Rebar_f.y,(Mat.Rebar_epsilon.cl*($S487-AY487)/AY487)*Mat.PT_E.s))
-($M487*Mat.PT_f.pu*(1-Mat.PT_k*AY487/$P487))))</f>
        <v/>
      </c>
      <c r="BB487" s="329"/>
      <c r="BC487" s="167" t="str">
        <f>IF(ISBLANK(Inputs!$A95),"",
IF(BA487="--","Solved",
IF(ABS(BA487)&lt;=0.001,"Solved",AY487-BA487*(AY487-AU487)/(BA487-AW487))))</f>
        <v/>
      </c>
      <c r="BD487" s="167"/>
      <c r="BE487" s="329" t="str">
        <f>IF(ISBLANK(Inputs!$A95),"",
IF(OR(BC487="Solved",BC487="--"),"--",
((Mat.Conc_Alpha.1*Mat.Conc_f.c*$AB487*MIN(BC487*Mat.Conc_Beta.1,$Y487))
+(Mat.Conc_Alpha.1*Mat.Conc_f.c*$V487*MAX(0,BC487*Mat.Conc_Beta.1-$Y487)))
-($J487*MIN(Mat.Rebar_f.y,(Mat.Rebar_epsilon.cl*($S487-BC487)/BC487)*Mat.PT_E.s))
-($M487*Mat.PT_f.pu*(1-Mat.PT_k*BC487/$P487))))</f>
        <v/>
      </c>
      <c r="BF487" s="329"/>
      <c r="BG487" s="167" t="str">
        <f>IF(ISBLANK(Inputs!$A95),"",
IF(BE487="--","Solved",
IF(ABS(BE487)&lt;=0.001,"Solved",BC487-BE487*(BC487-AY487)/(BE487-BA487))))</f>
        <v/>
      </c>
      <c r="BH487" s="167"/>
      <c r="BI487" s="329" t="str">
        <f>IF(ISBLANK(Inputs!$A95),"",
IF(OR(BG487="Solved",BG487="--"),"--",
((Mat.Conc_Alpha.1*Mat.Conc_f.c*$AB487*MIN(BG487*Mat.Conc_Beta.1,$Y487))
+(Mat.Conc_Alpha.1*Mat.Conc_f.c*$V487*MAX(0,BG487*Mat.Conc_Beta.1-$Y487)))
-($J487*MIN(Mat.Rebar_f.y,(Mat.Rebar_epsilon.cl*($S487-BG487)/BG487)*Mat.PT_E.s))
-($M487*Mat.PT_f.pu*(1-Mat.PT_k*BG487/$P487))))</f>
        <v/>
      </c>
      <c r="BJ487" s="329"/>
      <c r="BK487" s="167" t="str">
        <f>IF(ISBLANK(Inputs!$A95),"",
IF(BI487="--","Solved",
IF(ABS(BI487)&lt;=0.001,"Solved",BG487-BI487*(BG487-BC487)/(BI487-BE487))))</f>
        <v/>
      </c>
      <c r="BL487" s="167"/>
      <c r="BM487" s="329" t="str">
        <f>IF(ISBLANK(Inputs!$A95),"",
IF(OR(BK487="Solved",BK487="--"),"--",
((Mat.Conc_Alpha.1*Mat.Conc_f.c*$AB487*MIN(BK487*Mat.Conc_Beta.1,$Y487))
+(Mat.Conc_Alpha.1*Mat.Conc_f.c*$V487*MAX(0,BK487*Mat.Conc_Beta.1-$Y487)))
-($J487*MIN(Mat.Rebar_f.y,(Mat.Rebar_epsilon.cl*($S487-BK487)/BK487)*Mat.PT_E.s))
-($M487*Mat.PT_f.pu*(1-Mat.PT_k*BK487/$P487))))</f>
        <v/>
      </c>
      <c r="BN487" s="329"/>
      <c r="BO487" s="167" t="str">
        <f>IF(ISBLANK(Inputs!$A95),"",
IF(BM487="--","Solved",
IF(ABS(BM487)&lt;=0.001,"Solved",BK487-BM487*(BK487-BG487)/(BM487-BI487))))</f>
        <v/>
      </c>
      <c r="BP487" s="167"/>
      <c r="BQ487" s="329" t="str">
        <f>IF(ISBLANK(Inputs!$A95),"",
IF(OR(BO487="Solved",BO487="--"),"--",
((Mat.Conc_Alpha.1*Mat.Conc_f.c*$AB487*MIN(BO487*Mat.Conc_Beta.1,$Y487))
+(Mat.Conc_Alpha.1*Mat.Conc_f.c*$V487*MAX(0,BO487*Mat.Conc_Beta.1-$Y487)))
-($J487*MIN(Mat.Rebar_f.y,(Mat.Rebar_epsilon.cl*($S487-BO487)/BO487)*Mat.PT_E.s))
-($M487*Mat.PT_f.pu*(1-Mat.PT_k*BO487/$P487))))</f>
        <v/>
      </c>
      <c r="BR487" s="329"/>
      <c r="BT487" s="98"/>
      <c r="BU487" s="70"/>
      <c r="BV487" s="70"/>
      <c r="BW487" s="8"/>
      <c r="BX487" s="8"/>
      <c r="BY487" s="8"/>
      <c r="BZ487" s="8"/>
      <c r="CA487" s="8"/>
      <c r="CB487" s="10"/>
    </row>
    <row r="488" spans="3:80" ht="15" customHeight="1" x14ac:dyDescent="0.25">
      <c r="C488" s="69"/>
      <c r="F488" s="167" t="str">
        <f>IF(ISBLANK(Inputs!A96),"",Inputs!A96)</f>
        <v/>
      </c>
      <c r="G488" s="167"/>
      <c r="H488" s="167" t="str">
        <f>IF(ISBLANK(Inputs!B96),"",Inputs!B96)</f>
        <v/>
      </c>
      <c r="I488" s="167"/>
      <c r="J488" s="168" t="str">
        <f>IF(ISBLANK(Inputs!G96),"",Inputs!G96)</f>
        <v/>
      </c>
      <c r="K488" s="168"/>
      <c r="L488" s="168"/>
      <c r="M488" s="168" t="str">
        <f>IF(ISBLANK(Inputs!D96),"",Inputs!D96)</f>
        <v/>
      </c>
      <c r="N488" s="168"/>
      <c r="O488" s="168"/>
      <c r="P488" s="168" t="str">
        <f>IF(ISBLANK(Inputs!F96),"",Inputs!F96)</f>
        <v/>
      </c>
      <c r="Q488" s="168"/>
      <c r="R488" s="168"/>
      <c r="S488" s="168" t="str">
        <f>IF(ISBLANK(Inputs!H96),"",Inputs!H96)</f>
        <v/>
      </c>
      <c r="T488" s="168"/>
      <c r="U488" s="168"/>
      <c r="V488" s="168" t="str">
        <f>IF(ISBLANK(Inputs!E96),"",Inputs!E96)</f>
        <v/>
      </c>
      <c r="W488" s="168"/>
      <c r="X488" s="168"/>
      <c r="Y488" s="168" t="str">
        <f>IF(ISBLANK(Inputs!I96),"",Inputs!I96)</f>
        <v/>
      </c>
      <c r="Z488" s="168"/>
      <c r="AA488" s="168"/>
      <c r="AB488" s="168">
        <f>IF(ISBLANK(Inputs!J96),"",Inputs!J96)</f>
        <v>96</v>
      </c>
      <c r="AC488" s="168"/>
      <c r="AD488" s="168"/>
      <c r="AE488" s="167" t="str">
        <f>IF(ISBLANK(Inputs!A96),"",Y488)</f>
        <v/>
      </c>
      <c r="AF488" s="167"/>
      <c r="AG488" s="329" t="str">
        <f>IF(ISBLANK(Inputs!$A96),"",
IF(OR(AE488="Solved",AE488="--"),"--",
((Mat.Conc_Alpha.1*Mat.Conc_f.c*$AB488*MIN(AE488*Mat.Conc_Beta.1,$Y488))
+(Mat.Conc_Alpha.1*Mat.Conc_f.c*$V488*MAX(0,AE488*Mat.Conc_Beta.1-$Y488)))
-($J488*MIN(Mat.Rebar_f.y,(Mat.Rebar_epsilon.cl*($S488-AE488)/AE488)*Mat.PT_E.s))
-($M488*Mat.PT_f.pu*(1-Mat.PT_k*AE488/$P488))))</f>
        <v/>
      </c>
      <c r="AH488" s="329"/>
      <c r="AI488" s="167" t="str">
        <f>IF(ISBLANK(Inputs!$A96),"",
IF(ABS(AG488)&lt;=0.001,"Solved",IF(AG488&gt;0,0.85*AE488,1.15*AE488)))</f>
        <v/>
      </c>
      <c r="AJ488" s="167"/>
      <c r="AK488" s="329" t="str">
        <f>IF(ISBLANK(Inputs!$A96),"",
IF(OR(AI488="Solved",AI488="--"),"--",
((Mat.Conc_Alpha.1*Mat.Conc_f.c*$AB488*MIN(AI488*Mat.Conc_Beta.1,$Y488))
+(Mat.Conc_Alpha.1*Mat.Conc_f.c*$V488*MAX(0,AI488*Mat.Conc_Beta.1-$Y488)))
-($J488*MIN(Mat.Rebar_f.y,(Mat.Rebar_epsilon.cl*($S488-AI488)/AI488)*Mat.PT_E.s))
-($M488*Mat.PT_f.pu*(1-Mat.PT_k*AI488/$P488))))</f>
        <v/>
      </c>
      <c r="AL488" s="329"/>
      <c r="AM488" s="167" t="str">
        <f>IF(ISBLANK(Inputs!$A96),"",
IF(AK488="--","Solved",
IF(ABS(AK488)&lt;=0.001,"Solved",AI488-AK488*(AI488-AE488)/(AK488-AG488))))</f>
        <v/>
      </c>
      <c r="AN488" s="167"/>
      <c r="AO488" s="329" t="str">
        <f>IF(ISBLANK(Inputs!$A96),"",
IF(OR(AM488="Solved",AM488="--"),"--",
((Mat.Conc_Alpha.1*Mat.Conc_f.c*$AB488*MIN(AM488*Mat.Conc_Beta.1,$Y488))
+(Mat.Conc_Alpha.1*Mat.Conc_f.c*$V488*MAX(0,AM488*Mat.Conc_Beta.1-$Y488)))
-($J488*MIN(Mat.Rebar_f.y,(Mat.Rebar_epsilon.cl*($S488-AM488)/AM488)*Mat.PT_E.s))
-($M488*Mat.PT_f.pu*(1-Mat.PT_k*AM488/$P488))))</f>
        <v/>
      </c>
      <c r="AP488" s="329"/>
      <c r="AQ488" s="167" t="str">
        <f>IF(ISBLANK(Inputs!$A96),"",
IF(AO488="--","Solved",
IF(ABS(AO488)&lt;=0.001,"Solved",AM488-AO488*(AM488-AI488)/(AO488-AK488))))</f>
        <v/>
      </c>
      <c r="AR488" s="167"/>
      <c r="AS488" s="329" t="str">
        <f>IF(ISBLANK(Inputs!$A96),"",
IF(OR(AQ488="Solved",AQ488="--"),"--",
((Mat.Conc_Alpha.1*Mat.Conc_f.c*$AB488*MIN(AQ488*Mat.Conc_Beta.1,$Y488))
+(Mat.Conc_Alpha.1*Mat.Conc_f.c*$V488*MAX(0,AQ488*Mat.Conc_Beta.1-$Y488)))
-($J488*MIN(Mat.Rebar_f.y,(Mat.Rebar_epsilon.cl*($S488-AQ488)/AQ488)*Mat.PT_E.s))
-($M488*Mat.PT_f.pu*(1-Mat.PT_k*AQ488/$P488))))</f>
        <v/>
      </c>
      <c r="AT488" s="329"/>
      <c r="AU488" s="167" t="str">
        <f>IF(ISBLANK(Inputs!$A96),"",
IF(AS488="--","Solved",
IF(ABS(AS488)&lt;=0.001,"Solved",AQ488-AS488*(AQ488-AM488)/(AS488-AO488))))</f>
        <v/>
      </c>
      <c r="AV488" s="167"/>
      <c r="AW488" s="329" t="str">
        <f>IF(ISBLANK(Inputs!$A96),"",
IF(OR(AU488="Solved",AU488="--"),"--",
((Mat.Conc_Alpha.1*Mat.Conc_f.c*$AB488*MIN(AU488*Mat.Conc_Beta.1,$Y488))
+(Mat.Conc_Alpha.1*Mat.Conc_f.c*$V488*MAX(0,AU488*Mat.Conc_Beta.1-$Y488)))
-($J488*MIN(Mat.Rebar_f.y,(Mat.Rebar_epsilon.cl*($S488-AU488)/AU488)*Mat.PT_E.s))
-($M488*Mat.PT_f.pu*(1-Mat.PT_k*AU488/$P488))))</f>
        <v/>
      </c>
      <c r="AX488" s="329"/>
      <c r="AY488" s="167" t="str">
        <f>IF(ISBLANK(Inputs!$A96),"",
IF(AW488="--","Solved",
IF(ABS(AW488)&lt;=0.001,"Solved",AU488-AW488*(AU488-AQ488)/(AW488-AS488))))</f>
        <v/>
      </c>
      <c r="AZ488" s="167"/>
      <c r="BA488" s="329" t="str">
        <f>IF(ISBLANK(Inputs!$A96),"",
IF(OR(AY488="Solved",AY488="--"),"--",
((Mat.Conc_Alpha.1*Mat.Conc_f.c*$AB488*MIN(AY488*Mat.Conc_Beta.1,$Y488))
+(Mat.Conc_Alpha.1*Mat.Conc_f.c*$V488*MAX(0,AY488*Mat.Conc_Beta.1-$Y488)))
-($J488*MIN(Mat.Rebar_f.y,(Mat.Rebar_epsilon.cl*($S488-AY488)/AY488)*Mat.PT_E.s))
-($M488*Mat.PT_f.pu*(1-Mat.PT_k*AY488/$P488))))</f>
        <v/>
      </c>
      <c r="BB488" s="329"/>
      <c r="BC488" s="167" t="str">
        <f>IF(ISBLANK(Inputs!$A96),"",
IF(BA488="--","Solved",
IF(ABS(BA488)&lt;=0.001,"Solved",AY488-BA488*(AY488-AU488)/(BA488-AW488))))</f>
        <v/>
      </c>
      <c r="BD488" s="167"/>
      <c r="BE488" s="329" t="str">
        <f>IF(ISBLANK(Inputs!$A96),"",
IF(OR(BC488="Solved",BC488="--"),"--",
((Mat.Conc_Alpha.1*Mat.Conc_f.c*$AB488*MIN(BC488*Mat.Conc_Beta.1,$Y488))
+(Mat.Conc_Alpha.1*Mat.Conc_f.c*$V488*MAX(0,BC488*Mat.Conc_Beta.1-$Y488)))
-($J488*MIN(Mat.Rebar_f.y,(Mat.Rebar_epsilon.cl*($S488-BC488)/BC488)*Mat.PT_E.s))
-($M488*Mat.PT_f.pu*(1-Mat.PT_k*BC488/$P488))))</f>
        <v/>
      </c>
      <c r="BF488" s="329"/>
      <c r="BG488" s="167" t="str">
        <f>IF(ISBLANK(Inputs!$A96),"",
IF(BE488="--","Solved",
IF(ABS(BE488)&lt;=0.001,"Solved",BC488-BE488*(BC488-AY488)/(BE488-BA488))))</f>
        <v/>
      </c>
      <c r="BH488" s="167"/>
      <c r="BI488" s="329" t="str">
        <f>IF(ISBLANK(Inputs!$A96),"",
IF(OR(BG488="Solved",BG488="--"),"--",
((Mat.Conc_Alpha.1*Mat.Conc_f.c*$AB488*MIN(BG488*Mat.Conc_Beta.1,$Y488))
+(Mat.Conc_Alpha.1*Mat.Conc_f.c*$V488*MAX(0,BG488*Mat.Conc_Beta.1-$Y488)))
-($J488*MIN(Mat.Rebar_f.y,(Mat.Rebar_epsilon.cl*($S488-BG488)/BG488)*Mat.PT_E.s))
-($M488*Mat.PT_f.pu*(1-Mat.PT_k*BG488/$P488))))</f>
        <v/>
      </c>
      <c r="BJ488" s="329"/>
      <c r="BK488" s="167" t="str">
        <f>IF(ISBLANK(Inputs!$A96),"",
IF(BI488="--","Solved",
IF(ABS(BI488)&lt;=0.001,"Solved",BG488-BI488*(BG488-BC488)/(BI488-BE488))))</f>
        <v/>
      </c>
      <c r="BL488" s="167"/>
      <c r="BM488" s="329" t="str">
        <f>IF(ISBLANK(Inputs!$A96),"",
IF(OR(BK488="Solved",BK488="--"),"--",
((Mat.Conc_Alpha.1*Mat.Conc_f.c*$AB488*MIN(BK488*Mat.Conc_Beta.1,$Y488))
+(Mat.Conc_Alpha.1*Mat.Conc_f.c*$V488*MAX(0,BK488*Mat.Conc_Beta.1-$Y488)))
-($J488*MIN(Mat.Rebar_f.y,(Mat.Rebar_epsilon.cl*($S488-BK488)/BK488)*Mat.PT_E.s))
-($M488*Mat.PT_f.pu*(1-Mat.PT_k*BK488/$P488))))</f>
        <v/>
      </c>
      <c r="BN488" s="329"/>
      <c r="BO488" s="167" t="str">
        <f>IF(ISBLANK(Inputs!$A96),"",
IF(BM488="--","Solved",
IF(ABS(BM488)&lt;=0.001,"Solved",BK488-BM488*(BK488-BG488)/(BM488-BI488))))</f>
        <v/>
      </c>
      <c r="BP488" s="167"/>
      <c r="BQ488" s="329" t="str">
        <f>IF(ISBLANK(Inputs!$A96),"",
IF(OR(BO488="Solved",BO488="--"),"--",
((Mat.Conc_Alpha.1*Mat.Conc_f.c*$AB488*MIN(BO488*Mat.Conc_Beta.1,$Y488))
+(Mat.Conc_Alpha.1*Mat.Conc_f.c*$V488*MAX(0,BO488*Mat.Conc_Beta.1-$Y488)))
-($J488*MIN(Mat.Rebar_f.y,(Mat.Rebar_epsilon.cl*($S488-BO488)/BO488)*Mat.PT_E.s))
-($M488*Mat.PT_f.pu*(1-Mat.PT_k*BO488/$P488))))</f>
        <v/>
      </c>
      <c r="BR488" s="329"/>
      <c r="BT488" s="98"/>
      <c r="BU488" s="70"/>
      <c r="BV488" s="70"/>
      <c r="BW488" s="8"/>
      <c r="BX488" s="8"/>
      <c r="BY488" s="8"/>
      <c r="BZ488" s="8"/>
      <c r="CA488" s="8"/>
      <c r="CB488" s="10"/>
    </row>
    <row r="489" spans="3:80" ht="15" customHeight="1" x14ac:dyDescent="0.25">
      <c r="C489" s="69"/>
      <c r="F489" s="167" t="str">
        <f>IF(ISBLANK(Inputs!A97),"",Inputs!A97)</f>
        <v/>
      </c>
      <c r="G489" s="167"/>
      <c r="H489" s="167" t="str">
        <f>IF(ISBLANK(Inputs!B97),"",Inputs!B97)</f>
        <v/>
      </c>
      <c r="I489" s="167"/>
      <c r="J489" s="168" t="str">
        <f>IF(ISBLANK(Inputs!G97),"",Inputs!G97)</f>
        <v/>
      </c>
      <c r="K489" s="168"/>
      <c r="L489" s="168"/>
      <c r="M489" s="168" t="str">
        <f>IF(ISBLANK(Inputs!D97),"",Inputs!D97)</f>
        <v/>
      </c>
      <c r="N489" s="168"/>
      <c r="O489" s="168"/>
      <c r="P489" s="168" t="str">
        <f>IF(ISBLANK(Inputs!F97),"",Inputs!F97)</f>
        <v/>
      </c>
      <c r="Q489" s="168"/>
      <c r="R489" s="168"/>
      <c r="S489" s="168" t="str">
        <f>IF(ISBLANK(Inputs!H97),"",Inputs!H97)</f>
        <v/>
      </c>
      <c r="T489" s="168"/>
      <c r="U489" s="168"/>
      <c r="V489" s="168" t="str">
        <f>IF(ISBLANK(Inputs!E97),"",Inputs!E97)</f>
        <v/>
      </c>
      <c r="W489" s="168"/>
      <c r="X489" s="168"/>
      <c r="Y489" s="168" t="str">
        <f>IF(ISBLANK(Inputs!I97),"",Inputs!I97)</f>
        <v/>
      </c>
      <c r="Z489" s="168"/>
      <c r="AA489" s="168"/>
      <c r="AB489" s="168">
        <f>IF(ISBLANK(Inputs!J97),"",Inputs!J97)</f>
        <v>96</v>
      </c>
      <c r="AC489" s="168"/>
      <c r="AD489" s="168"/>
      <c r="AE489" s="167" t="str">
        <f>IF(ISBLANK(Inputs!A97),"",Y489)</f>
        <v/>
      </c>
      <c r="AF489" s="167"/>
      <c r="AG489" s="329" t="str">
        <f>IF(ISBLANK(Inputs!$A97),"",
IF(OR(AE489="Solved",AE489="--"),"--",
((Mat.Conc_Alpha.1*Mat.Conc_f.c*$AB489*MIN(AE489*Mat.Conc_Beta.1,$Y489))
+(Mat.Conc_Alpha.1*Mat.Conc_f.c*$V489*MAX(0,AE489*Mat.Conc_Beta.1-$Y489)))
-($J489*MIN(Mat.Rebar_f.y,(Mat.Rebar_epsilon.cl*($S489-AE489)/AE489)*Mat.PT_E.s))
-($M489*Mat.PT_f.pu*(1-Mat.PT_k*AE489/$P489))))</f>
        <v/>
      </c>
      <c r="AH489" s="329"/>
      <c r="AI489" s="167" t="str">
        <f>IF(ISBLANK(Inputs!$A97),"",
IF(ABS(AG489)&lt;=0.001,"Solved",IF(AG489&gt;0,0.85*AE489,1.15*AE489)))</f>
        <v/>
      </c>
      <c r="AJ489" s="167"/>
      <c r="AK489" s="329" t="str">
        <f>IF(ISBLANK(Inputs!$A97),"",
IF(OR(AI489="Solved",AI489="--"),"--",
((Mat.Conc_Alpha.1*Mat.Conc_f.c*$AB489*MIN(AI489*Mat.Conc_Beta.1,$Y489))
+(Mat.Conc_Alpha.1*Mat.Conc_f.c*$V489*MAX(0,AI489*Mat.Conc_Beta.1-$Y489)))
-($J489*MIN(Mat.Rebar_f.y,(Mat.Rebar_epsilon.cl*($S489-AI489)/AI489)*Mat.PT_E.s))
-($M489*Mat.PT_f.pu*(1-Mat.PT_k*AI489/$P489))))</f>
        <v/>
      </c>
      <c r="AL489" s="329"/>
      <c r="AM489" s="167" t="str">
        <f>IF(ISBLANK(Inputs!$A97),"",
IF(AK489="--","Solved",
IF(ABS(AK489)&lt;=0.001,"Solved",AI489-AK489*(AI489-AE489)/(AK489-AG489))))</f>
        <v/>
      </c>
      <c r="AN489" s="167"/>
      <c r="AO489" s="329" t="str">
        <f>IF(ISBLANK(Inputs!$A97),"",
IF(OR(AM489="Solved",AM489="--"),"--",
((Mat.Conc_Alpha.1*Mat.Conc_f.c*$AB489*MIN(AM489*Mat.Conc_Beta.1,$Y489))
+(Mat.Conc_Alpha.1*Mat.Conc_f.c*$V489*MAX(0,AM489*Mat.Conc_Beta.1-$Y489)))
-($J489*MIN(Mat.Rebar_f.y,(Mat.Rebar_epsilon.cl*($S489-AM489)/AM489)*Mat.PT_E.s))
-($M489*Mat.PT_f.pu*(1-Mat.PT_k*AM489/$P489))))</f>
        <v/>
      </c>
      <c r="AP489" s="329"/>
      <c r="AQ489" s="167" t="str">
        <f>IF(ISBLANK(Inputs!$A97),"",
IF(AO489="--","Solved",
IF(ABS(AO489)&lt;=0.001,"Solved",AM489-AO489*(AM489-AI489)/(AO489-AK489))))</f>
        <v/>
      </c>
      <c r="AR489" s="167"/>
      <c r="AS489" s="329" t="str">
        <f>IF(ISBLANK(Inputs!$A97),"",
IF(OR(AQ489="Solved",AQ489="--"),"--",
((Mat.Conc_Alpha.1*Mat.Conc_f.c*$AB489*MIN(AQ489*Mat.Conc_Beta.1,$Y489))
+(Mat.Conc_Alpha.1*Mat.Conc_f.c*$V489*MAX(0,AQ489*Mat.Conc_Beta.1-$Y489)))
-($J489*MIN(Mat.Rebar_f.y,(Mat.Rebar_epsilon.cl*($S489-AQ489)/AQ489)*Mat.PT_E.s))
-($M489*Mat.PT_f.pu*(1-Mat.PT_k*AQ489/$P489))))</f>
        <v/>
      </c>
      <c r="AT489" s="329"/>
      <c r="AU489" s="167" t="str">
        <f>IF(ISBLANK(Inputs!$A97),"",
IF(AS489="--","Solved",
IF(ABS(AS489)&lt;=0.001,"Solved",AQ489-AS489*(AQ489-AM489)/(AS489-AO489))))</f>
        <v/>
      </c>
      <c r="AV489" s="167"/>
      <c r="AW489" s="329" t="str">
        <f>IF(ISBLANK(Inputs!$A97),"",
IF(OR(AU489="Solved",AU489="--"),"--",
((Mat.Conc_Alpha.1*Mat.Conc_f.c*$AB489*MIN(AU489*Mat.Conc_Beta.1,$Y489))
+(Mat.Conc_Alpha.1*Mat.Conc_f.c*$V489*MAX(0,AU489*Mat.Conc_Beta.1-$Y489)))
-($J489*MIN(Mat.Rebar_f.y,(Mat.Rebar_epsilon.cl*($S489-AU489)/AU489)*Mat.PT_E.s))
-($M489*Mat.PT_f.pu*(1-Mat.PT_k*AU489/$P489))))</f>
        <v/>
      </c>
      <c r="AX489" s="329"/>
      <c r="AY489" s="167" t="str">
        <f>IF(ISBLANK(Inputs!$A97),"",
IF(AW489="--","Solved",
IF(ABS(AW489)&lt;=0.001,"Solved",AU489-AW489*(AU489-AQ489)/(AW489-AS489))))</f>
        <v/>
      </c>
      <c r="AZ489" s="167"/>
      <c r="BA489" s="329" t="str">
        <f>IF(ISBLANK(Inputs!$A97),"",
IF(OR(AY489="Solved",AY489="--"),"--",
((Mat.Conc_Alpha.1*Mat.Conc_f.c*$AB489*MIN(AY489*Mat.Conc_Beta.1,$Y489))
+(Mat.Conc_Alpha.1*Mat.Conc_f.c*$V489*MAX(0,AY489*Mat.Conc_Beta.1-$Y489)))
-($J489*MIN(Mat.Rebar_f.y,(Mat.Rebar_epsilon.cl*($S489-AY489)/AY489)*Mat.PT_E.s))
-($M489*Mat.PT_f.pu*(1-Mat.PT_k*AY489/$P489))))</f>
        <v/>
      </c>
      <c r="BB489" s="329"/>
      <c r="BC489" s="167" t="str">
        <f>IF(ISBLANK(Inputs!$A97),"",
IF(BA489="--","Solved",
IF(ABS(BA489)&lt;=0.001,"Solved",AY489-BA489*(AY489-AU489)/(BA489-AW489))))</f>
        <v/>
      </c>
      <c r="BD489" s="167"/>
      <c r="BE489" s="329" t="str">
        <f>IF(ISBLANK(Inputs!$A97),"",
IF(OR(BC489="Solved",BC489="--"),"--",
((Mat.Conc_Alpha.1*Mat.Conc_f.c*$AB489*MIN(BC489*Mat.Conc_Beta.1,$Y489))
+(Mat.Conc_Alpha.1*Mat.Conc_f.c*$V489*MAX(0,BC489*Mat.Conc_Beta.1-$Y489)))
-($J489*MIN(Mat.Rebar_f.y,(Mat.Rebar_epsilon.cl*($S489-BC489)/BC489)*Mat.PT_E.s))
-($M489*Mat.PT_f.pu*(1-Mat.PT_k*BC489/$P489))))</f>
        <v/>
      </c>
      <c r="BF489" s="329"/>
      <c r="BG489" s="167" t="str">
        <f>IF(ISBLANK(Inputs!$A97),"",
IF(BE489="--","Solved",
IF(ABS(BE489)&lt;=0.001,"Solved",BC489-BE489*(BC489-AY489)/(BE489-BA489))))</f>
        <v/>
      </c>
      <c r="BH489" s="167"/>
      <c r="BI489" s="329" t="str">
        <f>IF(ISBLANK(Inputs!$A97),"",
IF(OR(BG489="Solved",BG489="--"),"--",
((Mat.Conc_Alpha.1*Mat.Conc_f.c*$AB489*MIN(BG489*Mat.Conc_Beta.1,$Y489))
+(Mat.Conc_Alpha.1*Mat.Conc_f.c*$V489*MAX(0,BG489*Mat.Conc_Beta.1-$Y489)))
-($J489*MIN(Mat.Rebar_f.y,(Mat.Rebar_epsilon.cl*($S489-BG489)/BG489)*Mat.PT_E.s))
-($M489*Mat.PT_f.pu*(1-Mat.PT_k*BG489/$P489))))</f>
        <v/>
      </c>
      <c r="BJ489" s="329"/>
      <c r="BK489" s="167" t="str">
        <f>IF(ISBLANK(Inputs!$A97),"",
IF(BI489="--","Solved",
IF(ABS(BI489)&lt;=0.001,"Solved",BG489-BI489*(BG489-BC489)/(BI489-BE489))))</f>
        <v/>
      </c>
      <c r="BL489" s="167"/>
      <c r="BM489" s="329" t="str">
        <f>IF(ISBLANK(Inputs!$A97),"",
IF(OR(BK489="Solved",BK489="--"),"--",
((Mat.Conc_Alpha.1*Mat.Conc_f.c*$AB489*MIN(BK489*Mat.Conc_Beta.1,$Y489))
+(Mat.Conc_Alpha.1*Mat.Conc_f.c*$V489*MAX(0,BK489*Mat.Conc_Beta.1-$Y489)))
-($J489*MIN(Mat.Rebar_f.y,(Mat.Rebar_epsilon.cl*($S489-BK489)/BK489)*Mat.PT_E.s))
-($M489*Mat.PT_f.pu*(1-Mat.PT_k*BK489/$P489))))</f>
        <v/>
      </c>
      <c r="BN489" s="329"/>
      <c r="BO489" s="167" t="str">
        <f>IF(ISBLANK(Inputs!$A97),"",
IF(BM489="--","Solved",
IF(ABS(BM489)&lt;=0.001,"Solved",BK489-BM489*(BK489-BG489)/(BM489-BI489))))</f>
        <v/>
      </c>
      <c r="BP489" s="167"/>
      <c r="BQ489" s="329" t="str">
        <f>IF(ISBLANK(Inputs!$A97),"",
IF(OR(BO489="Solved",BO489="--"),"--",
((Mat.Conc_Alpha.1*Mat.Conc_f.c*$AB489*MIN(BO489*Mat.Conc_Beta.1,$Y489))
+(Mat.Conc_Alpha.1*Mat.Conc_f.c*$V489*MAX(0,BO489*Mat.Conc_Beta.1-$Y489)))
-($J489*MIN(Mat.Rebar_f.y,(Mat.Rebar_epsilon.cl*($S489-BO489)/BO489)*Mat.PT_E.s))
-($M489*Mat.PT_f.pu*(1-Mat.PT_k*BO489/$P489))))</f>
        <v/>
      </c>
      <c r="BR489" s="329"/>
      <c r="BT489" s="98"/>
      <c r="BU489" s="70"/>
      <c r="BV489" s="70"/>
      <c r="BW489" s="8"/>
      <c r="BX489" s="8"/>
      <c r="BY489" s="8"/>
      <c r="BZ489" s="8"/>
      <c r="CA489" s="8"/>
      <c r="CB489" s="10"/>
    </row>
    <row r="490" spans="3:80" ht="15" customHeight="1" x14ac:dyDescent="0.25">
      <c r="C490" s="69"/>
      <c r="F490" s="167" t="str">
        <f>IF(ISBLANK(Inputs!A98),"",Inputs!A98)</f>
        <v/>
      </c>
      <c r="G490" s="167"/>
      <c r="H490" s="167" t="str">
        <f>IF(ISBLANK(Inputs!B98),"",Inputs!B98)</f>
        <v/>
      </c>
      <c r="I490" s="167"/>
      <c r="J490" s="168" t="str">
        <f>IF(ISBLANK(Inputs!G98),"",Inputs!G98)</f>
        <v/>
      </c>
      <c r="K490" s="168"/>
      <c r="L490" s="168"/>
      <c r="M490" s="168" t="str">
        <f>IF(ISBLANK(Inputs!D98),"",Inputs!D98)</f>
        <v/>
      </c>
      <c r="N490" s="168"/>
      <c r="O490" s="168"/>
      <c r="P490" s="168" t="str">
        <f>IF(ISBLANK(Inputs!F98),"",Inputs!F98)</f>
        <v/>
      </c>
      <c r="Q490" s="168"/>
      <c r="R490" s="168"/>
      <c r="S490" s="168" t="str">
        <f>IF(ISBLANK(Inputs!H98),"",Inputs!H98)</f>
        <v/>
      </c>
      <c r="T490" s="168"/>
      <c r="U490" s="168"/>
      <c r="V490" s="168" t="str">
        <f>IF(ISBLANK(Inputs!E98),"",Inputs!E98)</f>
        <v/>
      </c>
      <c r="W490" s="168"/>
      <c r="X490" s="168"/>
      <c r="Y490" s="168" t="str">
        <f>IF(ISBLANK(Inputs!I98),"",Inputs!I98)</f>
        <v/>
      </c>
      <c r="Z490" s="168"/>
      <c r="AA490" s="168"/>
      <c r="AB490" s="168">
        <f>IF(ISBLANK(Inputs!J98),"",Inputs!J98)</f>
        <v>96</v>
      </c>
      <c r="AC490" s="168"/>
      <c r="AD490" s="168"/>
      <c r="AE490" s="167" t="str">
        <f>IF(ISBLANK(Inputs!A98),"",Y490)</f>
        <v/>
      </c>
      <c r="AF490" s="167"/>
      <c r="AG490" s="329" t="str">
        <f>IF(ISBLANK(Inputs!$A98),"",
IF(OR(AE490="Solved",AE490="--"),"--",
((Mat.Conc_Alpha.1*Mat.Conc_f.c*$AB490*MIN(AE490*Mat.Conc_Beta.1,$Y490))
+(Mat.Conc_Alpha.1*Mat.Conc_f.c*$V490*MAX(0,AE490*Mat.Conc_Beta.1-$Y490)))
-($J490*MIN(Mat.Rebar_f.y,(Mat.Rebar_epsilon.cl*($S490-AE490)/AE490)*Mat.PT_E.s))
-($M490*Mat.PT_f.pu*(1-Mat.PT_k*AE490/$P490))))</f>
        <v/>
      </c>
      <c r="AH490" s="329"/>
      <c r="AI490" s="167" t="str">
        <f>IF(ISBLANK(Inputs!$A98),"",
IF(ABS(AG490)&lt;=0.001,"Solved",IF(AG490&gt;0,0.85*AE490,1.15*AE490)))</f>
        <v/>
      </c>
      <c r="AJ490" s="167"/>
      <c r="AK490" s="329" t="str">
        <f>IF(ISBLANK(Inputs!$A98),"",
IF(OR(AI490="Solved",AI490="--"),"--",
((Mat.Conc_Alpha.1*Mat.Conc_f.c*$AB490*MIN(AI490*Mat.Conc_Beta.1,$Y490))
+(Mat.Conc_Alpha.1*Mat.Conc_f.c*$V490*MAX(0,AI490*Mat.Conc_Beta.1-$Y490)))
-($J490*MIN(Mat.Rebar_f.y,(Mat.Rebar_epsilon.cl*($S490-AI490)/AI490)*Mat.PT_E.s))
-($M490*Mat.PT_f.pu*(1-Mat.PT_k*AI490/$P490))))</f>
        <v/>
      </c>
      <c r="AL490" s="329"/>
      <c r="AM490" s="167" t="str">
        <f>IF(ISBLANK(Inputs!$A98),"",
IF(AK490="--","Solved",
IF(ABS(AK490)&lt;=0.001,"Solved",AI490-AK490*(AI490-AE490)/(AK490-AG490))))</f>
        <v/>
      </c>
      <c r="AN490" s="167"/>
      <c r="AO490" s="329" t="str">
        <f>IF(ISBLANK(Inputs!$A98),"",
IF(OR(AM490="Solved",AM490="--"),"--",
((Mat.Conc_Alpha.1*Mat.Conc_f.c*$AB490*MIN(AM490*Mat.Conc_Beta.1,$Y490))
+(Mat.Conc_Alpha.1*Mat.Conc_f.c*$V490*MAX(0,AM490*Mat.Conc_Beta.1-$Y490)))
-($J490*MIN(Mat.Rebar_f.y,(Mat.Rebar_epsilon.cl*($S490-AM490)/AM490)*Mat.PT_E.s))
-($M490*Mat.PT_f.pu*(1-Mat.PT_k*AM490/$P490))))</f>
        <v/>
      </c>
      <c r="AP490" s="329"/>
      <c r="AQ490" s="167" t="str">
        <f>IF(ISBLANK(Inputs!$A98),"",
IF(AO490="--","Solved",
IF(ABS(AO490)&lt;=0.001,"Solved",AM490-AO490*(AM490-AI490)/(AO490-AK490))))</f>
        <v/>
      </c>
      <c r="AR490" s="167"/>
      <c r="AS490" s="329" t="str">
        <f>IF(ISBLANK(Inputs!$A98),"",
IF(OR(AQ490="Solved",AQ490="--"),"--",
((Mat.Conc_Alpha.1*Mat.Conc_f.c*$AB490*MIN(AQ490*Mat.Conc_Beta.1,$Y490))
+(Mat.Conc_Alpha.1*Mat.Conc_f.c*$V490*MAX(0,AQ490*Mat.Conc_Beta.1-$Y490)))
-($J490*MIN(Mat.Rebar_f.y,(Mat.Rebar_epsilon.cl*($S490-AQ490)/AQ490)*Mat.PT_E.s))
-($M490*Mat.PT_f.pu*(1-Mat.PT_k*AQ490/$P490))))</f>
        <v/>
      </c>
      <c r="AT490" s="329"/>
      <c r="AU490" s="167" t="str">
        <f>IF(ISBLANK(Inputs!$A98),"",
IF(AS490="--","Solved",
IF(ABS(AS490)&lt;=0.001,"Solved",AQ490-AS490*(AQ490-AM490)/(AS490-AO490))))</f>
        <v/>
      </c>
      <c r="AV490" s="167"/>
      <c r="AW490" s="329" t="str">
        <f>IF(ISBLANK(Inputs!$A98),"",
IF(OR(AU490="Solved",AU490="--"),"--",
((Mat.Conc_Alpha.1*Mat.Conc_f.c*$AB490*MIN(AU490*Mat.Conc_Beta.1,$Y490))
+(Mat.Conc_Alpha.1*Mat.Conc_f.c*$V490*MAX(0,AU490*Mat.Conc_Beta.1-$Y490)))
-($J490*MIN(Mat.Rebar_f.y,(Mat.Rebar_epsilon.cl*($S490-AU490)/AU490)*Mat.PT_E.s))
-($M490*Mat.PT_f.pu*(1-Mat.PT_k*AU490/$P490))))</f>
        <v/>
      </c>
      <c r="AX490" s="329"/>
      <c r="AY490" s="167" t="str">
        <f>IF(ISBLANK(Inputs!$A98),"",
IF(AW490="--","Solved",
IF(ABS(AW490)&lt;=0.001,"Solved",AU490-AW490*(AU490-AQ490)/(AW490-AS490))))</f>
        <v/>
      </c>
      <c r="AZ490" s="167"/>
      <c r="BA490" s="329" t="str">
        <f>IF(ISBLANK(Inputs!$A98),"",
IF(OR(AY490="Solved",AY490="--"),"--",
((Mat.Conc_Alpha.1*Mat.Conc_f.c*$AB490*MIN(AY490*Mat.Conc_Beta.1,$Y490))
+(Mat.Conc_Alpha.1*Mat.Conc_f.c*$V490*MAX(0,AY490*Mat.Conc_Beta.1-$Y490)))
-($J490*MIN(Mat.Rebar_f.y,(Mat.Rebar_epsilon.cl*($S490-AY490)/AY490)*Mat.PT_E.s))
-($M490*Mat.PT_f.pu*(1-Mat.PT_k*AY490/$P490))))</f>
        <v/>
      </c>
      <c r="BB490" s="329"/>
      <c r="BC490" s="167" t="str">
        <f>IF(ISBLANK(Inputs!$A98),"",
IF(BA490="--","Solved",
IF(ABS(BA490)&lt;=0.001,"Solved",AY490-BA490*(AY490-AU490)/(BA490-AW490))))</f>
        <v/>
      </c>
      <c r="BD490" s="167"/>
      <c r="BE490" s="329" t="str">
        <f>IF(ISBLANK(Inputs!$A98),"",
IF(OR(BC490="Solved",BC490="--"),"--",
((Mat.Conc_Alpha.1*Mat.Conc_f.c*$AB490*MIN(BC490*Mat.Conc_Beta.1,$Y490))
+(Mat.Conc_Alpha.1*Mat.Conc_f.c*$V490*MAX(0,BC490*Mat.Conc_Beta.1-$Y490)))
-($J490*MIN(Mat.Rebar_f.y,(Mat.Rebar_epsilon.cl*($S490-BC490)/BC490)*Mat.PT_E.s))
-($M490*Mat.PT_f.pu*(1-Mat.PT_k*BC490/$P490))))</f>
        <v/>
      </c>
      <c r="BF490" s="329"/>
      <c r="BG490" s="167" t="str">
        <f>IF(ISBLANK(Inputs!$A98),"",
IF(BE490="--","Solved",
IF(ABS(BE490)&lt;=0.001,"Solved",BC490-BE490*(BC490-AY490)/(BE490-BA490))))</f>
        <v/>
      </c>
      <c r="BH490" s="167"/>
      <c r="BI490" s="329" t="str">
        <f>IF(ISBLANK(Inputs!$A98),"",
IF(OR(BG490="Solved",BG490="--"),"--",
((Mat.Conc_Alpha.1*Mat.Conc_f.c*$AB490*MIN(BG490*Mat.Conc_Beta.1,$Y490))
+(Mat.Conc_Alpha.1*Mat.Conc_f.c*$V490*MAX(0,BG490*Mat.Conc_Beta.1-$Y490)))
-($J490*MIN(Mat.Rebar_f.y,(Mat.Rebar_epsilon.cl*($S490-BG490)/BG490)*Mat.PT_E.s))
-($M490*Mat.PT_f.pu*(1-Mat.PT_k*BG490/$P490))))</f>
        <v/>
      </c>
      <c r="BJ490" s="329"/>
      <c r="BK490" s="167" t="str">
        <f>IF(ISBLANK(Inputs!$A98),"",
IF(BI490="--","Solved",
IF(ABS(BI490)&lt;=0.001,"Solved",BG490-BI490*(BG490-BC490)/(BI490-BE490))))</f>
        <v/>
      </c>
      <c r="BL490" s="167"/>
      <c r="BM490" s="329" t="str">
        <f>IF(ISBLANK(Inputs!$A98),"",
IF(OR(BK490="Solved",BK490="--"),"--",
((Mat.Conc_Alpha.1*Mat.Conc_f.c*$AB490*MIN(BK490*Mat.Conc_Beta.1,$Y490))
+(Mat.Conc_Alpha.1*Mat.Conc_f.c*$V490*MAX(0,BK490*Mat.Conc_Beta.1-$Y490)))
-($J490*MIN(Mat.Rebar_f.y,(Mat.Rebar_epsilon.cl*($S490-BK490)/BK490)*Mat.PT_E.s))
-($M490*Mat.PT_f.pu*(1-Mat.PT_k*BK490/$P490))))</f>
        <v/>
      </c>
      <c r="BN490" s="329"/>
      <c r="BO490" s="167" t="str">
        <f>IF(ISBLANK(Inputs!$A98),"",
IF(BM490="--","Solved",
IF(ABS(BM490)&lt;=0.001,"Solved",BK490-BM490*(BK490-BG490)/(BM490-BI490))))</f>
        <v/>
      </c>
      <c r="BP490" s="167"/>
      <c r="BQ490" s="329" t="str">
        <f>IF(ISBLANK(Inputs!$A98),"",
IF(OR(BO490="Solved",BO490="--"),"--",
((Mat.Conc_Alpha.1*Mat.Conc_f.c*$AB490*MIN(BO490*Mat.Conc_Beta.1,$Y490))
+(Mat.Conc_Alpha.1*Mat.Conc_f.c*$V490*MAX(0,BO490*Mat.Conc_Beta.1-$Y490)))
-($J490*MIN(Mat.Rebar_f.y,(Mat.Rebar_epsilon.cl*($S490-BO490)/BO490)*Mat.PT_E.s))
-($M490*Mat.PT_f.pu*(1-Mat.PT_k*BO490/$P490))))</f>
        <v/>
      </c>
      <c r="BR490" s="329"/>
      <c r="BT490" s="98"/>
      <c r="BU490" s="70"/>
      <c r="BV490" s="70"/>
      <c r="BW490" s="8"/>
      <c r="BX490" s="8"/>
      <c r="BY490" s="8"/>
      <c r="BZ490" s="8"/>
      <c r="CA490" s="8"/>
      <c r="CB490" s="10"/>
    </row>
    <row r="491" spans="3:80" ht="15" customHeight="1" x14ac:dyDescent="0.25">
      <c r="C491" s="69"/>
      <c r="F491" s="167" t="str">
        <f>IF(ISBLANK(Inputs!A99),"",Inputs!A99)</f>
        <v/>
      </c>
      <c r="G491" s="167"/>
      <c r="H491" s="167" t="str">
        <f>IF(ISBLANK(Inputs!B99),"",Inputs!B99)</f>
        <v/>
      </c>
      <c r="I491" s="167"/>
      <c r="J491" s="168" t="str">
        <f>IF(ISBLANK(Inputs!G99),"",Inputs!G99)</f>
        <v/>
      </c>
      <c r="K491" s="168"/>
      <c r="L491" s="168"/>
      <c r="M491" s="168" t="str">
        <f>IF(ISBLANK(Inputs!D99),"",Inputs!D99)</f>
        <v/>
      </c>
      <c r="N491" s="168"/>
      <c r="O491" s="168"/>
      <c r="P491" s="168" t="str">
        <f>IF(ISBLANK(Inputs!F99),"",Inputs!F99)</f>
        <v/>
      </c>
      <c r="Q491" s="168"/>
      <c r="R491" s="168"/>
      <c r="S491" s="168" t="str">
        <f>IF(ISBLANK(Inputs!H99),"",Inputs!H99)</f>
        <v/>
      </c>
      <c r="T491" s="168"/>
      <c r="U491" s="168"/>
      <c r="V491" s="168" t="str">
        <f>IF(ISBLANK(Inputs!E99),"",Inputs!E99)</f>
        <v/>
      </c>
      <c r="W491" s="168"/>
      <c r="X491" s="168"/>
      <c r="Y491" s="168" t="str">
        <f>IF(ISBLANK(Inputs!I99),"",Inputs!I99)</f>
        <v/>
      </c>
      <c r="Z491" s="168"/>
      <c r="AA491" s="168"/>
      <c r="AB491" s="168">
        <f>IF(ISBLANK(Inputs!J99),"",Inputs!J99)</f>
        <v>96</v>
      </c>
      <c r="AC491" s="168"/>
      <c r="AD491" s="168"/>
      <c r="AE491" s="167" t="str">
        <f>IF(ISBLANK(Inputs!A99),"",Y491)</f>
        <v/>
      </c>
      <c r="AF491" s="167"/>
      <c r="AG491" s="329" t="str">
        <f>IF(ISBLANK(Inputs!$A99),"",
IF(OR(AE491="Solved",AE491="--"),"--",
((Mat.Conc_Alpha.1*Mat.Conc_f.c*$AB491*MIN(AE491*Mat.Conc_Beta.1,$Y491))
+(Mat.Conc_Alpha.1*Mat.Conc_f.c*$V491*MAX(0,AE491*Mat.Conc_Beta.1-$Y491)))
-($J491*MIN(Mat.Rebar_f.y,(Mat.Rebar_epsilon.cl*($S491-AE491)/AE491)*Mat.PT_E.s))
-($M491*Mat.PT_f.pu*(1-Mat.PT_k*AE491/$P491))))</f>
        <v/>
      </c>
      <c r="AH491" s="329"/>
      <c r="AI491" s="167" t="str">
        <f>IF(ISBLANK(Inputs!$A99),"",
IF(ABS(AG491)&lt;=0.001,"Solved",IF(AG491&gt;0,0.85*AE491,1.15*AE491)))</f>
        <v/>
      </c>
      <c r="AJ491" s="167"/>
      <c r="AK491" s="329" t="str">
        <f>IF(ISBLANK(Inputs!$A99),"",
IF(OR(AI491="Solved",AI491="--"),"--",
((Mat.Conc_Alpha.1*Mat.Conc_f.c*$AB491*MIN(AI491*Mat.Conc_Beta.1,$Y491))
+(Mat.Conc_Alpha.1*Mat.Conc_f.c*$V491*MAX(0,AI491*Mat.Conc_Beta.1-$Y491)))
-($J491*MIN(Mat.Rebar_f.y,(Mat.Rebar_epsilon.cl*($S491-AI491)/AI491)*Mat.PT_E.s))
-($M491*Mat.PT_f.pu*(1-Mat.PT_k*AI491/$P491))))</f>
        <v/>
      </c>
      <c r="AL491" s="329"/>
      <c r="AM491" s="167" t="str">
        <f>IF(ISBLANK(Inputs!$A99),"",
IF(AK491="--","Solved",
IF(ABS(AK491)&lt;=0.001,"Solved",AI491-AK491*(AI491-AE491)/(AK491-AG491))))</f>
        <v/>
      </c>
      <c r="AN491" s="167"/>
      <c r="AO491" s="329" t="str">
        <f>IF(ISBLANK(Inputs!$A99),"",
IF(OR(AM491="Solved",AM491="--"),"--",
((Mat.Conc_Alpha.1*Mat.Conc_f.c*$AB491*MIN(AM491*Mat.Conc_Beta.1,$Y491))
+(Mat.Conc_Alpha.1*Mat.Conc_f.c*$V491*MAX(0,AM491*Mat.Conc_Beta.1-$Y491)))
-($J491*MIN(Mat.Rebar_f.y,(Mat.Rebar_epsilon.cl*($S491-AM491)/AM491)*Mat.PT_E.s))
-($M491*Mat.PT_f.pu*(1-Mat.PT_k*AM491/$P491))))</f>
        <v/>
      </c>
      <c r="AP491" s="329"/>
      <c r="AQ491" s="167" t="str">
        <f>IF(ISBLANK(Inputs!$A99),"",
IF(AO491="--","Solved",
IF(ABS(AO491)&lt;=0.001,"Solved",AM491-AO491*(AM491-AI491)/(AO491-AK491))))</f>
        <v/>
      </c>
      <c r="AR491" s="167"/>
      <c r="AS491" s="329" t="str">
        <f>IF(ISBLANK(Inputs!$A99),"",
IF(OR(AQ491="Solved",AQ491="--"),"--",
((Mat.Conc_Alpha.1*Mat.Conc_f.c*$AB491*MIN(AQ491*Mat.Conc_Beta.1,$Y491))
+(Mat.Conc_Alpha.1*Mat.Conc_f.c*$V491*MAX(0,AQ491*Mat.Conc_Beta.1-$Y491)))
-($J491*MIN(Mat.Rebar_f.y,(Mat.Rebar_epsilon.cl*($S491-AQ491)/AQ491)*Mat.PT_E.s))
-($M491*Mat.PT_f.pu*(1-Mat.PT_k*AQ491/$P491))))</f>
        <v/>
      </c>
      <c r="AT491" s="329"/>
      <c r="AU491" s="167" t="str">
        <f>IF(ISBLANK(Inputs!$A99),"",
IF(AS491="--","Solved",
IF(ABS(AS491)&lt;=0.001,"Solved",AQ491-AS491*(AQ491-AM491)/(AS491-AO491))))</f>
        <v/>
      </c>
      <c r="AV491" s="167"/>
      <c r="AW491" s="329" t="str">
        <f>IF(ISBLANK(Inputs!$A99),"",
IF(OR(AU491="Solved",AU491="--"),"--",
((Mat.Conc_Alpha.1*Mat.Conc_f.c*$AB491*MIN(AU491*Mat.Conc_Beta.1,$Y491))
+(Mat.Conc_Alpha.1*Mat.Conc_f.c*$V491*MAX(0,AU491*Mat.Conc_Beta.1-$Y491)))
-($J491*MIN(Mat.Rebar_f.y,(Mat.Rebar_epsilon.cl*($S491-AU491)/AU491)*Mat.PT_E.s))
-($M491*Mat.PT_f.pu*(1-Mat.PT_k*AU491/$P491))))</f>
        <v/>
      </c>
      <c r="AX491" s="329"/>
      <c r="AY491" s="167" t="str">
        <f>IF(ISBLANK(Inputs!$A99),"",
IF(AW491="--","Solved",
IF(ABS(AW491)&lt;=0.001,"Solved",AU491-AW491*(AU491-AQ491)/(AW491-AS491))))</f>
        <v/>
      </c>
      <c r="AZ491" s="167"/>
      <c r="BA491" s="329" t="str">
        <f>IF(ISBLANK(Inputs!$A99),"",
IF(OR(AY491="Solved",AY491="--"),"--",
((Mat.Conc_Alpha.1*Mat.Conc_f.c*$AB491*MIN(AY491*Mat.Conc_Beta.1,$Y491))
+(Mat.Conc_Alpha.1*Mat.Conc_f.c*$V491*MAX(0,AY491*Mat.Conc_Beta.1-$Y491)))
-($J491*MIN(Mat.Rebar_f.y,(Mat.Rebar_epsilon.cl*($S491-AY491)/AY491)*Mat.PT_E.s))
-($M491*Mat.PT_f.pu*(1-Mat.PT_k*AY491/$P491))))</f>
        <v/>
      </c>
      <c r="BB491" s="329"/>
      <c r="BC491" s="167" t="str">
        <f>IF(ISBLANK(Inputs!$A99),"",
IF(BA491="--","Solved",
IF(ABS(BA491)&lt;=0.001,"Solved",AY491-BA491*(AY491-AU491)/(BA491-AW491))))</f>
        <v/>
      </c>
      <c r="BD491" s="167"/>
      <c r="BE491" s="329" t="str">
        <f>IF(ISBLANK(Inputs!$A99),"",
IF(OR(BC491="Solved",BC491="--"),"--",
((Mat.Conc_Alpha.1*Mat.Conc_f.c*$AB491*MIN(BC491*Mat.Conc_Beta.1,$Y491))
+(Mat.Conc_Alpha.1*Mat.Conc_f.c*$V491*MAX(0,BC491*Mat.Conc_Beta.1-$Y491)))
-($J491*MIN(Mat.Rebar_f.y,(Mat.Rebar_epsilon.cl*($S491-BC491)/BC491)*Mat.PT_E.s))
-($M491*Mat.PT_f.pu*(1-Mat.PT_k*BC491/$P491))))</f>
        <v/>
      </c>
      <c r="BF491" s="329"/>
      <c r="BG491" s="167" t="str">
        <f>IF(ISBLANK(Inputs!$A99),"",
IF(BE491="--","Solved",
IF(ABS(BE491)&lt;=0.001,"Solved",BC491-BE491*(BC491-AY491)/(BE491-BA491))))</f>
        <v/>
      </c>
      <c r="BH491" s="167"/>
      <c r="BI491" s="329" t="str">
        <f>IF(ISBLANK(Inputs!$A99),"",
IF(OR(BG491="Solved",BG491="--"),"--",
((Mat.Conc_Alpha.1*Mat.Conc_f.c*$AB491*MIN(BG491*Mat.Conc_Beta.1,$Y491))
+(Mat.Conc_Alpha.1*Mat.Conc_f.c*$V491*MAX(0,BG491*Mat.Conc_Beta.1-$Y491)))
-($J491*MIN(Mat.Rebar_f.y,(Mat.Rebar_epsilon.cl*($S491-BG491)/BG491)*Mat.PT_E.s))
-($M491*Mat.PT_f.pu*(1-Mat.PT_k*BG491/$P491))))</f>
        <v/>
      </c>
      <c r="BJ491" s="329"/>
      <c r="BK491" s="167" t="str">
        <f>IF(ISBLANK(Inputs!$A99),"",
IF(BI491="--","Solved",
IF(ABS(BI491)&lt;=0.001,"Solved",BG491-BI491*(BG491-BC491)/(BI491-BE491))))</f>
        <v/>
      </c>
      <c r="BL491" s="167"/>
      <c r="BM491" s="329" t="str">
        <f>IF(ISBLANK(Inputs!$A99),"",
IF(OR(BK491="Solved",BK491="--"),"--",
((Mat.Conc_Alpha.1*Mat.Conc_f.c*$AB491*MIN(BK491*Mat.Conc_Beta.1,$Y491))
+(Mat.Conc_Alpha.1*Mat.Conc_f.c*$V491*MAX(0,BK491*Mat.Conc_Beta.1-$Y491)))
-($J491*MIN(Mat.Rebar_f.y,(Mat.Rebar_epsilon.cl*($S491-BK491)/BK491)*Mat.PT_E.s))
-($M491*Mat.PT_f.pu*(1-Mat.PT_k*BK491/$P491))))</f>
        <v/>
      </c>
      <c r="BN491" s="329"/>
      <c r="BO491" s="167" t="str">
        <f>IF(ISBLANK(Inputs!$A99),"",
IF(BM491="--","Solved",
IF(ABS(BM491)&lt;=0.001,"Solved",BK491-BM491*(BK491-BG491)/(BM491-BI491))))</f>
        <v/>
      </c>
      <c r="BP491" s="167"/>
      <c r="BQ491" s="329" t="str">
        <f>IF(ISBLANK(Inputs!$A99),"",
IF(OR(BO491="Solved",BO491="--"),"--",
((Mat.Conc_Alpha.1*Mat.Conc_f.c*$AB491*MIN(BO491*Mat.Conc_Beta.1,$Y491))
+(Mat.Conc_Alpha.1*Mat.Conc_f.c*$V491*MAX(0,BO491*Mat.Conc_Beta.1-$Y491)))
-($J491*MIN(Mat.Rebar_f.y,(Mat.Rebar_epsilon.cl*($S491-BO491)/BO491)*Mat.PT_E.s))
-($M491*Mat.PT_f.pu*(1-Mat.PT_k*BO491/$P491))))</f>
        <v/>
      </c>
      <c r="BR491" s="329"/>
      <c r="BT491" s="98"/>
      <c r="BU491" s="70"/>
      <c r="BV491" s="70"/>
      <c r="BW491" s="8"/>
      <c r="BX491" s="8"/>
      <c r="BY491" s="8"/>
      <c r="BZ491" s="8"/>
      <c r="CA491" s="8"/>
      <c r="CB491" s="10"/>
    </row>
    <row r="492" spans="3:80" ht="15" customHeight="1" x14ac:dyDescent="0.25">
      <c r="C492" s="69"/>
      <c r="F492" s="167" t="str">
        <f>IF(ISBLANK(Inputs!A100),"",Inputs!A100)</f>
        <v/>
      </c>
      <c r="G492" s="167"/>
      <c r="H492" s="167" t="str">
        <f>IF(ISBLANK(Inputs!B100),"",Inputs!B100)</f>
        <v/>
      </c>
      <c r="I492" s="167"/>
      <c r="J492" s="168" t="str">
        <f>IF(ISBLANK(Inputs!G100),"",Inputs!G100)</f>
        <v/>
      </c>
      <c r="K492" s="168"/>
      <c r="L492" s="168"/>
      <c r="M492" s="168" t="str">
        <f>IF(ISBLANK(Inputs!D100),"",Inputs!D100)</f>
        <v/>
      </c>
      <c r="N492" s="168"/>
      <c r="O492" s="168"/>
      <c r="P492" s="168" t="str">
        <f>IF(ISBLANK(Inputs!F100),"",Inputs!F100)</f>
        <v/>
      </c>
      <c r="Q492" s="168"/>
      <c r="R492" s="168"/>
      <c r="S492" s="168" t="str">
        <f>IF(ISBLANK(Inputs!H100),"",Inputs!H100)</f>
        <v/>
      </c>
      <c r="T492" s="168"/>
      <c r="U492" s="168"/>
      <c r="V492" s="168" t="str">
        <f>IF(ISBLANK(Inputs!E100),"",Inputs!E100)</f>
        <v/>
      </c>
      <c r="W492" s="168"/>
      <c r="X492" s="168"/>
      <c r="Y492" s="168" t="str">
        <f>IF(ISBLANK(Inputs!I100),"",Inputs!I100)</f>
        <v/>
      </c>
      <c r="Z492" s="168"/>
      <c r="AA492" s="168"/>
      <c r="AB492" s="168">
        <f>IF(ISBLANK(Inputs!J100),"",Inputs!J100)</f>
        <v>96</v>
      </c>
      <c r="AC492" s="168"/>
      <c r="AD492" s="168"/>
      <c r="AE492" s="167" t="str">
        <f>IF(ISBLANK(Inputs!A100),"",Y492)</f>
        <v/>
      </c>
      <c r="AF492" s="167"/>
      <c r="AG492" s="329" t="str">
        <f>IF(ISBLANK(Inputs!$A100),"",
IF(OR(AE492="Solved",AE492="--"),"--",
((Mat.Conc_Alpha.1*Mat.Conc_f.c*$AB492*MIN(AE492*Mat.Conc_Beta.1,$Y492))
+(Mat.Conc_Alpha.1*Mat.Conc_f.c*$V492*MAX(0,AE492*Mat.Conc_Beta.1-$Y492)))
-($J492*MIN(Mat.Rebar_f.y,(Mat.Rebar_epsilon.cl*($S492-AE492)/AE492)*Mat.PT_E.s))
-($M492*Mat.PT_f.pu*(1-Mat.PT_k*AE492/$P492))))</f>
        <v/>
      </c>
      <c r="AH492" s="329"/>
      <c r="AI492" s="167" t="str">
        <f>IF(ISBLANK(Inputs!$A100),"",
IF(ABS(AG492)&lt;=0.001,"Solved",IF(AG492&gt;0,0.85*AE492,1.15*AE492)))</f>
        <v/>
      </c>
      <c r="AJ492" s="167"/>
      <c r="AK492" s="329" t="str">
        <f>IF(ISBLANK(Inputs!$A100),"",
IF(OR(AI492="Solved",AI492="--"),"--",
((Mat.Conc_Alpha.1*Mat.Conc_f.c*$AB492*MIN(AI492*Mat.Conc_Beta.1,$Y492))
+(Mat.Conc_Alpha.1*Mat.Conc_f.c*$V492*MAX(0,AI492*Mat.Conc_Beta.1-$Y492)))
-($J492*MIN(Mat.Rebar_f.y,(Mat.Rebar_epsilon.cl*($S492-AI492)/AI492)*Mat.PT_E.s))
-($M492*Mat.PT_f.pu*(1-Mat.PT_k*AI492/$P492))))</f>
        <v/>
      </c>
      <c r="AL492" s="329"/>
      <c r="AM492" s="167" t="str">
        <f>IF(ISBLANK(Inputs!$A100),"",
IF(AK492="--","Solved",
IF(ABS(AK492)&lt;=0.001,"Solved",AI492-AK492*(AI492-AE492)/(AK492-AG492))))</f>
        <v/>
      </c>
      <c r="AN492" s="167"/>
      <c r="AO492" s="329" t="str">
        <f>IF(ISBLANK(Inputs!$A100),"",
IF(OR(AM492="Solved",AM492="--"),"--",
((Mat.Conc_Alpha.1*Mat.Conc_f.c*$AB492*MIN(AM492*Mat.Conc_Beta.1,$Y492))
+(Mat.Conc_Alpha.1*Mat.Conc_f.c*$V492*MAX(0,AM492*Mat.Conc_Beta.1-$Y492)))
-($J492*MIN(Mat.Rebar_f.y,(Mat.Rebar_epsilon.cl*($S492-AM492)/AM492)*Mat.PT_E.s))
-($M492*Mat.PT_f.pu*(1-Mat.PT_k*AM492/$P492))))</f>
        <v/>
      </c>
      <c r="AP492" s="329"/>
      <c r="AQ492" s="167" t="str">
        <f>IF(ISBLANK(Inputs!$A100),"",
IF(AO492="--","Solved",
IF(ABS(AO492)&lt;=0.001,"Solved",AM492-AO492*(AM492-AI492)/(AO492-AK492))))</f>
        <v/>
      </c>
      <c r="AR492" s="167"/>
      <c r="AS492" s="329" t="str">
        <f>IF(ISBLANK(Inputs!$A100),"",
IF(OR(AQ492="Solved",AQ492="--"),"--",
((Mat.Conc_Alpha.1*Mat.Conc_f.c*$AB492*MIN(AQ492*Mat.Conc_Beta.1,$Y492))
+(Mat.Conc_Alpha.1*Mat.Conc_f.c*$V492*MAX(0,AQ492*Mat.Conc_Beta.1-$Y492)))
-($J492*MIN(Mat.Rebar_f.y,(Mat.Rebar_epsilon.cl*($S492-AQ492)/AQ492)*Mat.PT_E.s))
-($M492*Mat.PT_f.pu*(1-Mat.PT_k*AQ492/$P492))))</f>
        <v/>
      </c>
      <c r="AT492" s="329"/>
      <c r="AU492" s="167" t="str">
        <f>IF(ISBLANK(Inputs!$A100),"",
IF(AS492="--","Solved",
IF(ABS(AS492)&lt;=0.001,"Solved",AQ492-AS492*(AQ492-AM492)/(AS492-AO492))))</f>
        <v/>
      </c>
      <c r="AV492" s="167"/>
      <c r="AW492" s="329" t="str">
        <f>IF(ISBLANK(Inputs!$A100),"",
IF(OR(AU492="Solved",AU492="--"),"--",
((Mat.Conc_Alpha.1*Mat.Conc_f.c*$AB492*MIN(AU492*Mat.Conc_Beta.1,$Y492))
+(Mat.Conc_Alpha.1*Mat.Conc_f.c*$V492*MAX(0,AU492*Mat.Conc_Beta.1-$Y492)))
-($J492*MIN(Mat.Rebar_f.y,(Mat.Rebar_epsilon.cl*($S492-AU492)/AU492)*Mat.PT_E.s))
-($M492*Mat.PT_f.pu*(1-Mat.PT_k*AU492/$P492))))</f>
        <v/>
      </c>
      <c r="AX492" s="329"/>
      <c r="AY492" s="167" t="str">
        <f>IF(ISBLANK(Inputs!$A100),"",
IF(AW492="--","Solved",
IF(ABS(AW492)&lt;=0.001,"Solved",AU492-AW492*(AU492-AQ492)/(AW492-AS492))))</f>
        <v/>
      </c>
      <c r="AZ492" s="167"/>
      <c r="BA492" s="329" t="str">
        <f>IF(ISBLANK(Inputs!$A100),"",
IF(OR(AY492="Solved",AY492="--"),"--",
((Mat.Conc_Alpha.1*Mat.Conc_f.c*$AB492*MIN(AY492*Mat.Conc_Beta.1,$Y492))
+(Mat.Conc_Alpha.1*Mat.Conc_f.c*$V492*MAX(0,AY492*Mat.Conc_Beta.1-$Y492)))
-($J492*MIN(Mat.Rebar_f.y,(Mat.Rebar_epsilon.cl*($S492-AY492)/AY492)*Mat.PT_E.s))
-($M492*Mat.PT_f.pu*(1-Mat.PT_k*AY492/$P492))))</f>
        <v/>
      </c>
      <c r="BB492" s="329"/>
      <c r="BC492" s="167" t="str">
        <f>IF(ISBLANK(Inputs!$A100),"",
IF(BA492="--","Solved",
IF(ABS(BA492)&lt;=0.001,"Solved",AY492-BA492*(AY492-AU492)/(BA492-AW492))))</f>
        <v/>
      </c>
      <c r="BD492" s="167"/>
      <c r="BE492" s="329" t="str">
        <f>IF(ISBLANK(Inputs!$A100),"",
IF(OR(BC492="Solved",BC492="--"),"--",
((Mat.Conc_Alpha.1*Mat.Conc_f.c*$AB492*MIN(BC492*Mat.Conc_Beta.1,$Y492))
+(Mat.Conc_Alpha.1*Mat.Conc_f.c*$V492*MAX(0,BC492*Mat.Conc_Beta.1-$Y492)))
-($J492*MIN(Mat.Rebar_f.y,(Mat.Rebar_epsilon.cl*($S492-BC492)/BC492)*Mat.PT_E.s))
-($M492*Mat.PT_f.pu*(1-Mat.PT_k*BC492/$P492))))</f>
        <v/>
      </c>
      <c r="BF492" s="329"/>
      <c r="BG492" s="167" t="str">
        <f>IF(ISBLANK(Inputs!$A100),"",
IF(BE492="--","Solved",
IF(ABS(BE492)&lt;=0.001,"Solved",BC492-BE492*(BC492-AY492)/(BE492-BA492))))</f>
        <v/>
      </c>
      <c r="BH492" s="167"/>
      <c r="BI492" s="329" t="str">
        <f>IF(ISBLANK(Inputs!$A100),"",
IF(OR(BG492="Solved",BG492="--"),"--",
((Mat.Conc_Alpha.1*Mat.Conc_f.c*$AB492*MIN(BG492*Mat.Conc_Beta.1,$Y492))
+(Mat.Conc_Alpha.1*Mat.Conc_f.c*$V492*MAX(0,BG492*Mat.Conc_Beta.1-$Y492)))
-($J492*MIN(Mat.Rebar_f.y,(Mat.Rebar_epsilon.cl*($S492-BG492)/BG492)*Mat.PT_E.s))
-($M492*Mat.PT_f.pu*(1-Mat.PT_k*BG492/$P492))))</f>
        <v/>
      </c>
      <c r="BJ492" s="329"/>
      <c r="BK492" s="167" t="str">
        <f>IF(ISBLANK(Inputs!$A100),"",
IF(BI492="--","Solved",
IF(ABS(BI492)&lt;=0.001,"Solved",BG492-BI492*(BG492-BC492)/(BI492-BE492))))</f>
        <v/>
      </c>
      <c r="BL492" s="167"/>
      <c r="BM492" s="329" t="str">
        <f>IF(ISBLANK(Inputs!$A100),"",
IF(OR(BK492="Solved",BK492="--"),"--",
((Mat.Conc_Alpha.1*Mat.Conc_f.c*$AB492*MIN(BK492*Mat.Conc_Beta.1,$Y492))
+(Mat.Conc_Alpha.1*Mat.Conc_f.c*$V492*MAX(0,BK492*Mat.Conc_Beta.1-$Y492)))
-($J492*MIN(Mat.Rebar_f.y,(Mat.Rebar_epsilon.cl*($S492-BK492)/BK492)*Mat.PT_E.s))
-($M492*Mat.PT_f.pu*(1-Mat.PT_k*BK492/$P492))))</f>
        <v/>
      </c>
      <c r="BN492" s="329"/>
      <c r="BO492" s="167" t="str">
        <f>IF(ISBLANK(Inputs!$A100),"",
IF(BM492="--","Solved",
IF(ABS(BM492)&lt;=0.001,"Solved",BK492-BM492*(BK492-BG492)/(BM492-BI492))))</f>
        <v/>
      </c>
      <c r="BP492" s="167"/>
      <c r="BQ492" s="329" t="str">
        <f>IF(ISBLANK(Inputs!$A100),"",
IF(OR(BO492="Solved",BO492="--"),"--",
((Mat.Conc_Alpha.1*Mat.Conc_f.c*$AB492*MIN(BO492*Mat.Conc_Beta.1,$Y492))
+(Mat.Conc_Alpha.1*Mat.Conc_f.c*$V492*MAX(0,BO492*Mat.Conc_Beta.1-$Y492)))
-($J492*MIN(Mat.Rebar_f.y,(Mat.Rebar_epsilon.cl*($S492-BO492)/BO492)*Mat.PT_E.s))
-($M492*Mat.PT_f.pu*(1-Mat.PT_k*BO492/$P492))))</f>
        <v/>
      </c>
      <c r="BR492" s="329"/>
      <c r="BT492" s="98"/>
      <c r="BU492" s="70"/>
      <c r="BV492" s="70"/>
      <c r="BW492" s="8"/>
      <c r="BX492" s="8"/>
      <c r="BY492" s="8"/>
      <c r="BZ492" s="8"/>
      <c r="CA492" s="8"/>
      <c r="CB492" s="10"/>
    </row>
    <row r="493" spans="3:80" ht="15" customHeight="1" x14ac:dyDescent="0.25">
      <c r="C493" s="69"/>
      <c r="F493" s="167" t="str">
        <f>IF(ISBLANK(Inputs!A101),"",Inputs!A101)</f>
        <v/>
      </c>
      <c r="G493" s="167"/>
      <c r="H493" s="167" t="str">
        <f>IF(ISBLANK(Inputs!B101),"",Inputs!B101)</f>
        <v/>
      </c>
      <c r="I493" s="167"/>
      <c r="J493" s="168" t="str">
        <f>IF(ISBLANK(Inputs!G101),"",Inputs!G101)</f>
        <v/>
      </c>
      <c r="K493" s="168"/>
      <c r="L493" s="168"/>
      <c r="M493" s="168" t="str">
        <f>IF(ISBLANK(Inputs!D101),"",Inputs!D101)</f>
        <v/>
      </c>
      <c r="N493" s="168"/>
      <c r="O493" s="168"/>
      <c r="P493" s="168" t="str">
        <f>IF(ISBLANK(Inputs!F101),"",Inputs!F101)</f>
        <v/>
      </c>
      <c r="Q493" s="168"/>
      <c r="R493" s="168"/>
      <c r="S493" s="168" t="str">
        <f>IF(ISBLANK(Inputs!H101),"",Inputs!H101)</f>
        <v/>
      </c>
      <c r="T493" s="168"/>
      <c r="U493" s="168"/>
      <c r="V493" s="168" t="str">
        <f>IF(ISBLANK(Inputs!E101),"",Inputs!E101)</f>
        <v/>
      </c>
      <c r="W493" s="168"/>
      <c r="X493" s="168"/>
      <c r="Y493" s="168" t="str">
        <f>IF(ISBLANK(Inputs!I101),"",Inputs!I101)</f>
        <v/>
      </c>
      <c r="Z493" s="168"/>
      <c r="AA493" s="168"/>
      <c r="AB493" s="168">
        <f>IF(ISBLANK(Inputs!J101),"",Inputs!J101)</f>
        <v>96</v>
      </c>
      <c r="AC493" s="168"/>
      <c r="AD493" s="168"/>
      <c r="AE493" s="167" t="str">
        <f>IF(ISBLANK(Inputs!A101),"",Y493)</f>
        <v/>
      </c>
      <c r="AF493" s="167"/>
      <c r="AG493" s="329" t="str">
        <f>IF(ISBLANK(Inputs!$A101),"",
IF(OR(AE493="Solved",AE493="--"),"--",
((Mat.Conc_Alpha.1*Mat.Conc_f.c*$AB493*MIN(AE493*Mat.Conc_Beta.1,$Y493))
+(Mat.Conc_Alpha.1*Mat.Conc_f.c*$V493*MAX(0,AE493*Mat.Conc_Beta.1-$Y493)))
-($J493*MIN(Mat.Rebar_f.y,(Mat.Rebar_epsilon.cl*($S493-AE493)/AE493)*Mat.PT_E.s))
-($M493*Mat.PT_f.pu*(1-Mat.PT_k*AE493/$P493))))</f>
        <v/>
      </c>
      <c r="AH493" s="329"/>
      <c r="AI493" s="167" t="str">
        <f>IF(ISBLANK(Inputs!$A101),"",
IF(ABS(AG493)&lt;=0.001,"Solved",IF(AG493&gt;0,0.85*AE493,1.15*AE493)))</f>
        <v/>
      </c>
      <c r="AJ493" s="167"/>
      <c r="AK493" s="329" t="str">
        <f>IF(ISBLANK(Inputs!$A101),"",
IF(OR(AI493="Solved",AI493="--"),"--",
((Mat.Conc_Alpha.1*Mat.Conc_f.c*$AB493*MIN(AI493*Mat.Conc_Beta.1,$Y493))
+(Mat.Conc_Alpha.1*Mat.Conc_f.c*$V493*MAX(0,AI493*Mat.Conc_Beta.1-$Y493)))
-($J493*MIN(Mat.Rebar_f.y,(Mat.Rebar_epsilon.cl*($S493-AI493)/AI493)*Mat.PT_E.s))
-($M493*Mat.PT_f.pu*(1-Mat.PT_k*AI493/$P493))))</f>
        <v/>
      </c>
      <c r="AL493" s="329"/>
      <c r="AM493" s="167" t="str">
        <f>IF(ISBLANK(Inputs!$A101),"",
IF(AK493="--","Solved",
IF(ABS(AK493)&lt;=0.001,"Solved",AI493-AK493*(AI493-AE493)/(AK493-AG493))))</f>
        <v/>
      </c>
      <c r="AN493" s="167"/>
      <c r="AO493" s="329" t="str">
        <f>IF(ISBLANK(Inputs!$A101),"",
IF(OR(AM493="Solved",AM493="--"),"--",
((Mat.Conc_Alpha.1*Mat.Conc_f.c*$AB493*MIN(AM493*Mat.Conc_Beta.1,$Y493))
+(Mat.Conc_Alpha.1*Mat.Conc_f.c*$V493*MAX(0,AM493*Mat.Conc_Beta.1-$Y493)))
-($J493*MIN(Mat.Rebar_f.y,(Mat.Rebar_epsilon.cl*($S493-AM493)/AM493)*Mat.PT_E.s))
-($M493*Mat.PT_f.pu*(1-Mat.PT_k*AM493/$P493))))</f>
        <v/>
      </c>
      <c r="AP493" s="329"/>
      <c r="AQ493" s="167" t="str">
        <f>IF(ISBLANK(Inputs!$A101),"",
IF(AO493="--","Solved",
IF(ABS(AO493)&lt;=0.001,"Solved",AM493-AO493*(AM493-AI493)/(AO493-AK493))))</f>
        <v/>
      </c>
      <c r="AR493" s="167"/>
      <c r="AS493" s="329" t="str">
        <f>IF(ISBLANK(Inputs!$A101),"",
IF(OR(AQ493="Solved",AQ493="--"),"--",
((Mat.Conc_Alpha.1*Mat.Conc_f.c*$AB493*MIN(AQ493*Mat.Conc_Beta.1,$Y493))
+(Mat.Conc_Alpha.1*Mat.Conc_f.c*$V493*MAX(0,AQ493*Mat.Conc_Beta.1-$Y493)))
-($J493*MIN(Mat.Rebar_f.y,(Mat.Rebar_epsilon.cl*($S493-AQ493)/AQ493)*Mat.PT_E.s))
-($M493*Mat.PT_f.pu*(1-Mat.PT_k*AQ493/$P493))))</f>
        <v/>
      </c>
      <c r="AT493" s="329"/>
      <c r="AU493" s="167" t="str">
        <f>IF(ISBLANK(Inputs!$A101),"",
IF(AS493="--","Solved",
IF(ABS(AS493)&lt;=0.001,"Solved",AQ493-AS493*(AQ493-AM493)/(AS493-AO493))))</f>
        <v/>
      </c>
      <c r="AV493" s="167"/>
      <c r="AW493" s="329" t="str">
        <f>IF(ISBLANK(Inputs!$A101),"",
IF(OR(AU493="Solved",AU493="--"),"--",
((Mat.Conc_Alpha.1*Mat.Conc_f.c*$AB493*MIN(AU493*Mat.Conc_Beta.1,$Y493))
+(Mat.Conc_Alpha.1*Mat.Conc_f.c*$V493*MAX(0,AU493*Mat.Conc_Beta.1-$Y493)))
-($J493*MIN(Mat.Rebar_f.y,(Mat.Rebar_epsilon.cl*($S493-AU493)/AU493)*Mat.PT_E.s))
-($M493*Mat.PT_f.pu*(1-Mat.PT_k*AU493/$P493))))</f>
        <v/>
      </c>
      <c r="AX493" s="329"/>
      <c r="AY493" s="167" t="str">
        <f>IF(ISBLANK(Inputs!$A101),"",
IF(AW493="--","Solved",
IF(ABS(AW493)&lt;=0.001,"Solved",AU493-AW493*(AU493-AQ493)/(AW493-AS493))))</f>
        <v/>
      </c>
      <c r="AZ493" s="167"/>
      <c r="BA493" s="329" t="str">
        <f>IF(ISBLANK(Inputs!$A101),"",
IF(OR(AY493="Solved",AY493="--"),"--",
((Mat.Conc_Alpha.1*Mat.Conc_f.c*$AB493*MIN(AY493*Mat.Conc_Beta.1,$Y493))
+(Mat.Conc_Alpha.1*Mat.Conc_f.c*$V493*MAX(0,AY493*Mat.Conc_Beta.1-$Y493)))
-($J493*MIN(Mat.Rebar_f.y,(Mat.Rebar_epsilon.cl*($S493-AY493)/AY493)*Mat.PT_E.s))
-($M493*Mat.PT_f.pu*(1-Mat.PT_k*AY493/$P493))))</f>
        <v/>
      </c>
      <c r="BB493" s="329"/>
      <c r="BC493" s="167" t="str">
        <f>IF(ISBLANK(Inputs!$A101),"",
IF(BA493="--","Solved",
IF(ABS(BA493)&lt;=0.001,"Solved",AY493-BA493*(AY493-AU493)/(BA493-AW493))))</f>
        <v/>
      </c>
      <c r="BD493" s="167"/>
      <c r="BE493" s="329" t="str">
        <f>IF(ISBLANK(Inputs!$A101),"",
IF(OR(BC493="Solved",BC493="--"),"--",
((Mat.Conc_Alpha.1*Mat.Conc_f.c*$AB493*MIN(BC493*Mat.Conc_Beta.1,$Y493))
+(Mat.Conc_Alpha.1*Mat.Conc_f.c*$V493*MAX(0,BC493*Mat.Conc_Beta.1-$Y493)))
-($J493*MIN(Mat.Rebar_f.y,(Mat.Rebar_epsilon.cl*($S493-BC493)/BC493)*Mat.PT_E.s))
-($M493*Mat.PT_f.pu*(1-Mat.PT_k*BC493/$P493))))</f>
        <v/>
      </c>
      <c r="BF493" s="329"/>
      <c r="BG493" s="167" t="str">
        <f>IF(ISBLANK(Inputs!$A101),"",
IF(BE493="--","Solved",
IF(ABS(BE493)&lt;=0.001,"Solved",BC493-BE493*(BC493-AY493)/(BE493-BA493))))</f>
        <v/>
      </c>
      <c r="BH493" s="167"/>
      <c r="BI493" s="329" t="str">
        <f>IF(ISBLANK(Inputs!$A101),"",
IF(OR(BG493="Solved",BG493="--"),"--",
((Mat.Conc_Alpha.1*Mat.Conc_f.c*$AB493*MIN(BG493*Mat.Conc_Beta.1,$Y493))
+(Mat.Conc_Alpha.1*Mat.Conc_f.c*$V493*MAX(0,BG493*Mat.Conc_Beta.1-$Y493)))
-($J493*MIN(Mat.Rebar_f.y,(Mat.Rebar_epsilon.cl*($S493-BG493)/BG493)*Mat.PT_E.s))
-($M493*Mat.PT_f.pu*(1-Mat.PT_k*BG493/$P493))))</f>
        <v/>
      </c>
      <c r="BJ493" s="329"/>
      <c r="BK493" s="167" t="str">
        <f>IF(ISBLANK(Inputs!$A101),"",
IF(BI493="--","Solved",
IF(ABS(BI493)&lt;=0.001,"Solved",BG493-BI493*(BG493-BC493)/(BI493-BE493))))</f>
        <v/>
      </c>
      <c r="BL493" s="167"/>
      <c r="BM493" s="329" t="str">
        <f>IF(ISBLANK(Inputs!$A101),"",
IF(OR(BK493="Solved",BK493="--"),"--",
((Mat.Conc_Alpha.1*Mat.Conc_f.c*$AB493*MIN(BK493*Mat.Conc_Beta.1,$Y493))
+(Mat.Conc_Alpha.1*Mat.Conc_f.c*$V493*MAX(0,BK493*Mat.Conc_Beta.1-$Y493)))
-($J493*MIN(Mat.Rebar_f.y,(Mat.Rebar_epsilon.cl*($S493-BK493)/BK493)*Mat.PT_E.s))
-($M493*Mat.PT_f.pu*(1-Mat.PT_k*BK493/$P493))))</f>
        <v/>
      </c>
      <c r="BN493" s="329"/>
      <c r="BO493" s="167" t="str">
        <f>IF(ISBLANK(Inputs!$A101),"",
IF(BM493="--","Solved",
IF(ABS(BM493)&lt;=0.001,"Solved",BK493-BM493*(BK493-BG493)/(BM493-BI493))))</f>
        <v/>
      </c>
      <c r="BP493" s="167"/>
      <c r="BQ493" s="329" t="str">
        <f>IF(ISBLANK(Inputs!$A101),"",
IF(OR(BO493="Solved",BO493="--"),"--",
((Mat.Conc_Alpha.1*Mat.Conc_f.c*$AB493*MIN(BO493*Mat.Conc_Beta.1,$Y493))
+(Mat.Conc_Alpha.1*Mat.Conc_f.c*$V493*MAX(0,BO493*Mat.Conc_Beta.1-$Y493)))
-($J493*MIN(Mat.Rebar_f.y,(Mat.Rebar_epsilon.cl*($S493-BO493)/BO493)*Mat.PT_E.s))
-($M493*Mat.PT_f.pu*(1-Mat.PT_k*BO493/$P493))))</f>
        <v/>
      </c>
      <c r="BR493" s="329"/>
      <c r="BT493" s="98"/>
      <c r="BU493" s="70"/>
      <c r="BV493" s="70"/>
      <c r="BW493" s="8"/>
      <c r="BX493" s="8"/>
      <c r="BY493" s="8"/>
      <c r="BZ493" s="8"/>
      <c r="CA493" s="8"/>
      <c r="CB493" s="10"/>
    </row>
    <row r="494" spans="3:80" ht="15" customHeight="1" x14ac:dyDescent="0.25">
      <c r="C494" s="69"/>
      <c r="F494" s="167" t="str">
        <f>IF(ISBLANK(Inputs!A102),"",Inputs!A102)</f>
        <v/>
      </c>
      <c r="G494" s="167"/>
      <c r="H494" s="167" t="str">
        <f>IF(ISBLANK(Inputs!B102),"",Inputs!B102)</f>
        <v/>
      </c>
      <c r="I494" s="167"/>
      <c r="J494" s="168" t="str">
        <f>IF(ISBLANK(Inputs!G102),"",Inputs!G102)</f>
        <v/>
      </c>
      <c r="K494" s="168"/>
      <c r="L494" s="168"/>
      <c r="M494" s="168" t="str">
        <f>IF(ISBLANK(Inputs!D102),"",Inputs!D102)</f>
        <v/>
      </c>
      <c r="N494" s="168"/>
      <c r="O494" s="168"/>
      <c r="P494" s="168" t="str">
        <f>IF(ISBLANK(Inputs!F102),"",Inputs!F102)</f>
        <v/>
      </c>
      <c r="Q494" s="168"/>
      <c r="R494" s="168"/>
      <c r="S494" s="168" t="str">
        <f>IF(ISBLANK(Inputs!H102),"",Inputs!H102)</f>
        <v/>
      </c>
      <c r="T494" s="168"/>
      <c r="U494" s="168"/>
      <c r="V494" s="168" t="str">
        <f>IF(ISBLANK(Inputs!E102),"",Inputs!E102)</f>
        <v/>
      </c>
      <c r="W494" s="168"/>
      <c r="X494" s="168"/>
      <c r="Y494" s="168" t="str">
        <f>IF(ISBLANK(Inputs!I102),"",Inputs!I102)</f>
        <v/>
      </c>
      <c r="Z494" s="168"/>
      <c r="AA494" s="168"/>
      <c r="AB494" s="168">
        <f>IF(ISBLANK(Inputs!J102),"",Inputs!J102)</f>
        <v>96</v>
      </c>
      <c r="AC494" s="168"/>
      <c r="AD494" s="168"/>
      <c r="AE494" s="167" t="str">
        <f>IF(ISBLANK(Inputs!A102),"",Y494)</f>
        <v/>
      </c>
      <c r="AF494" s="167"/>
      <c r="AG494" s="329" t="str">
        <f>IF(ISBLANK(Inputs!$A102),"",
IF(OR(AE494="Solved",AE494="--"),"--",
((Mat.Conc_Alpha.1*Mat.Conc_f.c*$AB494*MIN(AE494*Mat.Conc_Beta.1,$Y494))
+(Mat.Conc_Alpha.1*Mat.Conc_f.c*$V494*MAX(0,AE494*Mat.Conc_Beta.1-$Y494)))
-($J494*MIN(Mat.Rebar_f.y,(Mat.Rebar_epsilon.cl*($S494-AE494)/AE494)*Mat.PT_E.s))
-($M494*Mat.PT_f.pu*(1-Mat.PT_k*AE494/$P494))))</f>
        <v/>
      </c>
      <c r="AH494" s="329"/>
      <c r="AI494" s="167" t="str">
        <f>IF(ISBLANK(Inputs!$A102),"",
IF(ABS(AG494)&lt;=0.001,"Solved",IF(AG494&gt;0,0.85*AE494,1.15*AE494)))</f>
        <v/>
      </c>
      <c r="AJ494" s="167"/>
      <c r="AK494" s="329" t="str">
        <f>IF(ISBLANK(Inputs!$A102),"",
IF(OR(AI494="Solved",AI494="--"),"--",
((Mat.Conc_Alpha.1*Mat.Conc_f.c*$AB494*MIN(AI494*Mat.Conc_Beta.1,$Y494))
+(Mat.Conc_Alpha.1*Mat.Conc_f.c*$V494*MAX(0,AI494*Mat.Conc_Beta.1-$Y494)))
-($J494*MIN(Mat.Rebar_f.y,(Mat.Rebar_epsilon.cl*($S494-AI494)/AI494)*Mat.PT_E.s))
-($M494*Mat.PT_f.pu*(1-Mat.PT_k*AI494/$P494))))</f>
        <v/>
      </c>
      <c r="AL494" s="329"/>
      <c r="AM494" s="167" t="str">
        <f>IF(ISBLANK(Inputs!$A102),"",
IF(AK494="--","Solved",
IF(ABS(AK494)&lt;=0.001,"Solved",AI494-AK494*(AI494-AE494)/(AK494-AG494))))</f>
        <v/>
      </c>
      <c r="AN494" s="167"/>
      <c r="AO494" s="329" t="str">
        <f>IF(ISBLANK(Inputs!$A102),"",
IF(OR(AM494="Solved",AM494="--"),"--",
((Mat.Conc_Alpha.1*Mat.Conc_f.c*$AB494*MIN(AM494*Mat.Conc_Beta.1,$Y494))
+(Mat.Conc_Alpha.1*Mat.Conc_f.c*$V494*MAX(0,AM494*Mat.Conc_Beta.1-$Y494)))
-($J494*MIN(Mat.Rebar_f.y,(Mat.Rebar_epsilon.cl*($S494-AM494)/AM494)*Mat.PT_E.s))
-($M494*Mat.PT_f.pu*(1-Mat.PT_k*AM494/$P494))))</f>
        <v/>
      </c>
      <c r="AP494" s="329"/>
      <c r="AQ494" s="167" t="str">
        <f>IF(ISBLANK(Inputs!$A102),"",
IF(AO494="--","Solved",
IF(ABS(AO494)&lt;=0.001,"Solved",AM494-AO494*(AM494-AI494)/(AO494-AK494))))</f>
        <v/>
      </c>
      <c r="AR494" s="167"/>
      <c r="AS494" s="329" t="str">
        <f>IF(ISBLANK(Inputs!$A102),"",
IF(OR(AQ494="Solved",AQ494="--"),"--",
((Mat.Conc_Alpha.1*Mat.Conc_f.c*$AB494*MIN(AQ494*Mat.Conc_Beta.1,$Y494))
+(Mat.Conc_Alpha.1*Mat.Conc_f.c*$V494*MAX(0,AQ494*Mat.Conc_Beta.1-$Y494)))
-($J494*MIN(Mat.Rebar_f.y,(Mat.Rebar_epsilon.cl*($S494-AQ494)/AQ494)*Mat.PT_E.s))
-($M494*Mat.PT_f.pu*(1-Mat.PT_k*AQ494/$P494))))</f>
        <v/>
      </c>
      <c r="AT494" s="329"/>
      <c r="AU494" s="167" t="str">
        <f>IF(ISBLANK(Inputs!$A102),"",
IF(AS494="--","Solved",
IF(ABS(AS494)&lt;=0.001,"Solved",AQ494-AS494*(AQ494-AM494)/(AS494-AO494))))</f>
        <v/>
      </c>
      <c r="AV494" s="167"/>
      <c r="AW494" s="329" t="str">
        <f>IF(ISBLANK(Inputs!$A102),"",
IF(OR(AU494="Solved",AU494="--"),"--",
((Mat.Conc_Alpha.1*Mat.Conc_f.c*$AB494*MIN(AU494*Mat.Conc_Beta.1,$Y494))
+(Mat.Conc_Alpha.1*Mat.Conc_f.c*$V494*MAX(0,AU494*Mat.Conc_Beta.1-$Y494)))
-($J494*MIN(Mat.Rebar_f.y,(Mat.Rebar_epsilon.cl*($S494-AU494)/AU494)*Mat.PT_E.s))
-($M494*Mat.PT_f.pu*(1-Mat.PT_k*AU494/$P494))))</f>
        <v/>
      </c>
      <c r="AX494" s="329"/>
      <c r="AY494" s="167" t="str">
        <f>IF(ISBLANK(Inputs!$A102),"",
IF(AW494="--","Solved",
IF(ABS(AW494)&lt;=0.001,"Solved",AU494-AW494*(AU494-AQ494)/(AW494-AS494))))</f>
        <v/>
      </c>
      <c r="AZ494" s="167"/>
      <c r="BA494" s="329" t="str">
        <f>IF(ISBLANK(Inputs!$A102),"",
IF(OR(AY494="Solved",AY494="--"),"--",
((Mat.Conc_Alpha.1*Mat.Conc_f.c*$AB494*MIN(AY494*Mat.Conc_Beta.1,$Y494))
+(Mat.Conc_Alpha.1*Mat.Conc_f.c*$V494*MAX(0,AY494*Mat.Conc_Beta.1-$Y494)))
-($J494*MIN(Mat.Rebar_f.y,(Mat.Rebar_epsilon.cl*($S494-AY494)/AY494)*Mat.PT_E.s))
-($M494*Mat.PT_f.pu*(1-Mat.PT_k*AY494/$P494))))</f>
        <v/>
      </c>
      <c r="BB494" s="329"/>
      <c r="BC494" s="167" t="str">
        <f>IF(ISBLANK(Inputs!$A102),"",
IF(BA494="--","Solved",
IF(ABS(BA494)&lt;=0.001,"Solved",AY494-BA494*(AY494-AU494)/(BA494-AW494))))</f>
        <v/>
      </c>
      <c r="BD494" s="167"/>
      <c r="BE494" s="329" t="str">
        <f>IF(ISBLANK(Inputs!$A102),"",
IF(OR(BC494="Solved",BC494="--"),"--",
((Mat.Conc_Alpha.1*Mat.Conc_f.c*$AB494*MIN(BC494*Mat.Conc_Beta.1,$Y494))
+(Mat.Conc_Alpha.1*Mat.Conc_f.c*$V494*MAX(0,BC494*Mat.Conc_Beta.1-$Y494)))
-($J494*MIN(Mat.Rebar_f.y,(Mat.Rebar_epsilon.cl*($S494-BC494)/BC494)*Mat.PT_E.s))
-($M494*Mat.PT_f.pu*(1-Mat.PT_k*BC494/$P494))))</f>
        <v/>
      </c>
      <c r="BF494" s="329"/>
      <c r="BG494" s="167" t="str">
        <f>IF(ISBLANK(Inputs!$A102),"",
IF(BE494="--","Solved",
IF(ABS(BE494)&lt;=0.001,"Solved",BC494-BE494*(BC494-AY494)/(BE494-BA494))))</f>
        <v/>
      </c>
      <c r="BH494" s="167"/>
      <c r="BI494" s="329" t="str">
        <f>IF(ISBLANK(Inputs!$A102),"",
IF(OR(BG494="Solved",BG494="--"),"--",
((Mat.Conc_Alpha.1*Mat.Conc_f.c*$AB494*MIN(BG494*Mat.Conc_Beta.1,$Y494))
+(Mat.Conc_Alpha.1*Mat.Conc_f.c*$V494*MAX(0,BG494*Mat.Conc_Beta.1-$Y494)))
-($J494*MIN(Mat.Rebar_f.y,(Mat.Rebar_epsilon.cl*($S494-BG494)/BG494)*Mat.PT_E.s))
-($M494*Mat.PT_f.pu*(1-Mat.PT_k*BG494/$P494))))</f>
        <v/>
      </c>
      <c r="BJ494" s="329"/>
      <c r="BK494" s="167" t="str">
        <f>IF(ISBLANK(Inputs!$A102),"",
IF(BI494="--","Solved",
IF(ABS(BI494)&lt;=0.001,"Solved",BG494-BI494*(BG494-BC494)/(BI494-BE494))))</f>
        <v/>
      </c>
      <c r="BL494" s="167"/>
      <c r="BM494" s="329" t="str">
        <f>IF(ISBLANK(Inputs!$A102),"",
IF(OR(BK494="Solved",BK494="--"),"--",
((Mat.Conc_Alpha.1*Mat.Conc_f.c*$AB494*MIN(BK494*Mat.Conc_Beta.1,$Y494))
+(Mat.Conc_Alpha.1*Mat.Conc_f.c*$V494*MAX(0,BK494*Mat.Conc_Beta.1-$Y494)))
-($J494*MIN(Mat.Rebar_f.y,(Mat.Rebar_epsilon.cl*($S494-BK494)/BK494)*Mat.PT_E.s))
-($M494*Mat.PT_f.pu*(1-Mat.PT_k*BK494/$P494))))</f>
        <v/>
      </c>
      <c r="BN494" s="329"/>
      <c r="BO494" s="167" t="str">
        <f>IF(ISBLANK(Inputs!$A102),"",
IF(BM494="--","Solved",
IF(ABS(BM494)&lt;=0.001,"Solved",BK494-BM494*(BK494-BG494)/(BM494-BI494))))</f>
        <v/>
      </c>
      <c r="BP494" s="167"/>
      <c r="BQ494" s="329" t="str">
        <f>IF(ISBLANK(Inputs!$A102),"",
IF(OR(BO494="Solved",BO494="--"),"--",
((Mat.Conc_Alpha.1*Mat.Conc_f.c*$AB494*MIN(BO494*Mat.Conc_Beta.1,$Y494))
+(Mat.Conc_Alpha.1*Mat.Conc_f.c*$V494*MAX(0,BO494*Mat.Conc_Beta.1-$Y494)))
-($J494*MIN(Mat.Rebar_f.y,(Mat.Rebar_epsilon.cl*($S494-BO494)/BO494)*Mat.PT_E.s))
-($M494*Mat.PT_f.pu*(1-Mat.PT_k*BO494/$P494))))</f>
        <v/>
      </c>
      <c r="BR494" s="329"/>
      <c r="BT494" s="98"/>
      <c r="BU494" s="70"/>
      <c r="BV494" s="70"/>
      <c r="BW494" s="8"/>
      <c r="BX494" s="8"/>
      <c r="BY494" s="8"/>
      <c r="BZ494" s="8"/>
      <c r="CA494" s="8"/>
      <c r="CB494" s="10"/>
    </row>
    <row r="495" spans="3:80" ht="15" customHeight="1" x14ac:dyDescent="0.25">
      <c r="C495" s="69"/>
      <c r="F495" s="167" t="str">
        <f>IF(ISBLANK(Inputs!A103),"",Inputs!A103)</f>
        <v/>
      </c>
      <c r="G495" s="167"/>
      <c r="H495" s="167" t="str">
        <f>IF(ISBLANK(Inputs!B103),"",Inputs!B103)</f>
        <v/>
      </c>
      <c r="I495" s="167"/>
      <c r="J495" s="168" t="str">
        <f>IF(ISBLANK(Inputs!G103),"",Inputs!G103)</f>
        <v/>
      </c>
      <c r="K495" s="168"/>
      <c r="L495" s="168"/>
      <c r="M495" s="168" t="str">
        <f>IF(ISBLANK(Inputs!D103),"",Inputs!D103)</f>
        <v/>
      </c>
      <c r="N495" s="168"/>
      <c r="O495" s="168"/>
      <c r="P495" s="168" t="str">
        <f>IF(ISBLANK(Inputs!F103),"",Inputs!F103)</f>
        <v/>
      </c>
      <c r="Q495" s="168"/>
      <c r="R495" s="168"/>
      <c r="S495" s="168" t="str">
        <f>IF(ISBLANK(Inputs!H103),"",Inputs!H103)</f>
        <v/>
      </c>
      <c r="T495" s="168"/>
      <c r="U495" s="168"/>
      <c r="V495" s="168" t="str">
        <f>IF(ISBLANK(Inputs!E103),"",Inputs!E103)</f>
        <v/>
      </c>
      <c r="W495" s="168"/>
      <c r="X495" s="168"/>
      <c r="Y495" s="168" t="str">
        <f>IF(ISBLANK(Inputs!I103),"",Inputs!I103)</f>
        <v/>
      </c>
      <c r="Z495" s="168"/>
      <c r="AA495" s="168"/>
      <c r="AB495" s="168">
        <f>IF(ISBLANK(Inputs!J103),"",Inputs!J103)</f>
        <v>96</v>
      </c>
      <c r="AC495" s="168"/>
      <c r="AD495" s="168"/>
      <c r="AE495" s="167" t="str">
        <f>IF(ISBLANK(Inputs!A103),"",Y495)</f>
        <v/>
      </c>
      <c r="AF495" s="167"/>
      <c r="AG495" s="329" t="str">
        <f>IF(ISBLANK(Inputs!$A103),"",
IF(OR(AE495="Solved",AE495="--"),"--",
((Mat.Conc_Alpha.1*Mat.Conc_f.c*$AB495*MIN(AE495*Mat.Conc_Beta.1,$Y495))
+(Mat.Conc_Alpha.1*Mat.Conc_f.c*$V495*MAX(0,AE495*Mat.Conc_Beta.1-$Y495)))
-($J495*MIN(Mat.Rebar_f.y,(Mat.Rebar_epsilon.cl*($S495-AE495)/AE495)*Mat.PT_E.s))
-($M495*Mat.PT_f.pu*(1-Mat.PT_k*AE495/$P495))))</f>
        <v/>
      </c>
      <c r="AH495" s="329"/>
      <c r="AI495" s="167" t="str">
        <f>IF(ISBLANK(Inputs!$A103),"",
IF(ABS(AG495)&lt;=0.001,"Solved",IF(AG495&gt;0,0.85*AE495,1.15*AE495)))</f>
        <v/>
      </c>
      <c r="AJ495" s="167"/>
      <c r="AK495" s="329" t="str">
        <f>IF(ISBLANK(Inputs!$A103),"",
IF(OR(AI495="Solved",AI495="--"),"--",
((Mat.Conc_Alpha.1*Mat.Conc_f.c*$AB495*MIN(AI495*Mat.Conc_Beta.1,$Y495))
+(Mat.Conc_Alpha.1*Mat.Conc_f.c*$V495*MAX(0,AI495*Mat.Conc_Beta.1-$Y495)))
-($J495*MIN(Mat.Rebar_f.y,(Mat.Rebar_epsilon.cl*($S495-AI495)/AI495)*Mat.PT_E.s))
-($M495*Mat.PT_f.pu*(1-Mat.PT_k*AI495/$P495))))</f>
        <v/>
      </c>
      <c r="AL495" s="329"/>
      <c r="AM495" s="167" t="str">
        <f>IF(ISBLANK(Inputs!$A103),"",
IF(AK495="--","Solved",
IF(ABS(AK495)&lt;=0.001,"Solved",AI495-AK495*(AI495-AE495)/(AK495-AG495))))</f>
        <v/>
      </c>
      <c r="AN495" s="167"/>
      <c r="AO495" s="329" t="str">
        <f>IF(ISBLANK(Inputs!$A103),"",
IF(OR(AM495="Solved",AM495="--"),"--",
((Mat.Conc_Alpha.1*Mat.Conc_f.c*$AB495*MIN(AM495*Mat.Conc_Beta.1,$Y495))
+(Mat.Conc_Alpha.1*Mat.Conc_f.c*$V495*MAX(0,AM495*Mat.Conc_Beta.1-$Y495)))
-($J495*MIN(Mat.Rebar_f.y,(Mat.Rebar_epsilon.cl*($S495-AM495)/AM495)*Mat.PT_E.s))
-($M495*Mat.PT_f.pu*(1-Mat.PT_k*AM495/$P495))))</f>
        <v/>
      </c>
      <c r="AP495" s="329"/>
      <c r="AQ495" s="167" t="str">
        <f>IF(ISBLANK(Inputs!$A103),"",
IF(AO495="--","Solved",
IF(ABS(AO495)&lt;=0.001,"Solved",AM495-AO495*(AM495-AI495)/(AO495-AK495))))</f>
        <v/>
      </c>
      <c r="AR495" s="167"/>
      <c r="AS495" s="329" t="str">
        <f>IF(ISBLANK(Inputs!$A103),"",
IF(OR(AQ495="Solved",AQ495="--"),"--",
((Mat.Conc_Alpha.1*Mat.Conc_f.c*$AB495*MIN(AQ495*Mat.Conc_Beta.1,$Y495))
+(Mat.Conc_Alpha.1*Mat.Conc_f.c*$V495*MAX(0,AQ495*Mat.Conc_Beta.1-$Y495)))
-($J495*MIN(Mat.Rebar_f.y,(Mat.Rebar_epsilon.cl*($S495-AQ495)/AQ495)*Mat.PT_E.s))
-($M495*Mat.PT_f.pu*(1-Mat.PT_k*AQ495/$P495))))</f>
        <v/>
      </c>
      <c r="AT495" s="329"/>
      <c r="AU495" s="167" t="str">
        <f>IF(ISBLANK(Inputs!$A103),"",
IF(AS495="--","Solved",
IF(ABS(AS495)&lt;=0.001,"Solved",AQ495-AS495*(AQ495-AM495)/(AS495-AO495))))</f>
        <v/>
      </c>
      <c r="AV495" s="167"/>
      <c r="AW495" s="329" t="str">
        <f>IF(ISBLANK(Inputs!$A103),"",
IF(OR(AU495="Solved",AU495="--"),"--",
((Mat.Conc_Alpha.1*Mat.Conc_f.c*$AB495*MIN(AU495*Mat.Conc_Beta.1,$Y495))
+(Mat.Conc_Alpha.1*Mat.Conc_f.c*$V495*MAX(0,AU495*Mat.Conc_Beta.1-$Y495)))
-($J495*MIN(Mat.Rebar_f.y,(Mat.Rebar_epsilon.cl*($S495-AU495)/AU495)*Mat.PT_E.s))
-($M495*Mat.PT_f.pu*(1-Mat.PT_k*AU495/$P495))))</f>
        <v/>
      </c>
      <c r="AX495" s="329"/>
      <c r="AY495" s="167" t="str">
        <f>IF(ISBLANK(Inputs!$A103),"",
IF(AW495="--","Solved",
IF(ABS(AW495)&lt;=0.001,"Solved",AU495-AW495*(AU495-AQ495)/(AW495-AS495))))</f>
        <v/>
      </c>
      <c r="AZ495" s="167"/>
      <c r="BA495" s="329" t="str">
        <f>IF(ISBLANK(Inputs!$A103),"",
IF(OR(AY495="Solved",AY495="--"),"--",
((Mat.Conc_Alpha.1*Mat.Conc_f.c*$AB495*MIN(AY495*Mat.Conc_Beta.1,$Y495))
+(Mat.Conc_Alpha.1*Mat.Conc_f.c*$V495*MAX(0,AY495*Mat.Conc_Beta.1-$Y495)))
-($J495*MIN(Mat.Rebar_f.y,(Mat.Rebar_epsilon.cl*($S495-AY495)/AY495)*Mat.PT_E.s))
-($M495*Mat.PT_f.pu*(1-Mat.PT_k*AY495/$P495))))</f>
        <v/>
      </c>
      <c r="BB495" s="329"/>
      <c r="BC495" s="167" t="str">
        <f>IF(ISBLANK(Inputs!$A103),"",
IF(BA495="--","Solved",
IF(ABS(BA495)&lt;=0.001,"Solved",AY495-BA495*(AY495-AU495)/(BA495-AW495))))</f>
        <v/>
      </c>
      <c r="BD495" s="167"/>
      <c r="BE495" s="329" t="str">
        <f>IF(ISBLANK(Inputs!$A103),"",
IF(OR(BC495="Solved",BC495="--"),"--",
((Mat.Conc_Alpha.1*Mat.Conc_f.c*$AB495*MIN(BC495*Mat.Conc_Beta.1,$Y495))
+(Mat.Conc_Alpha.1*Mat.Conc_f.c*$V495*MAX(0,BC495*Mat.Conc_Beta.1-$Y495)))
-($J495*MIN(Mat.Rebar_f.y,(Mat.Rebar_epsilon.cl*($S495-BC495)/BC495)*Mat.PT_E.s))
-($M495*Mat.PT_f.pu*(1-Mat.PT_k*BC495/$P495))))</f>
        <v/>
      </c>
      <c r="BF495" s="329"/>
      <c r="BG495" s="167" t="str">
        <f>IF(ISBLANK(Inputs!$A103),"",
IF(BE495="--","Solved",
IF(ABS(BE495)&lt;=0.001,"Solved",BC495-BE495*(BC495-AY495)/(BE495-BA495))))</f>
        <v/>
      </c>
      <c r="BH495" s="167"/>
      <c r="BI495" s="329" t="str">
        <f>IF(ISBLANK(Inputs!$A103),"",
IF(OR(BG495="Solved",BG495="--"),"--",
((Mat.Conc_Alpha.1*Mat.Conc_f.c*$AB495*MIN(BG495*Mat.Conc_Beta.1,$Y495))
+(Mat.Conc_Alpha.1*Mat.Conc_f.c*$V495*MAX(0,BG495*Mat.Conc_Beta.1-$Y495)))
-($J495*MIN(Mat.Rebar_f.y,(Mat.Rebar_epsilon.cl*($S495-BG495)/BG495)*Mat.PT_E.s))
-($M495*Mat.PT_f.pu*(1-Mat.PT_k*BG495/$P495))))</f>
        <v/>
      </c>
      <c r="BJ495" s="329"/>
      <c r="BK495" s="167" t="str">
        <f>IF(ISBLANK(Inputs!$A103),"",
IF(BI495="--","Solved",
IF(ABS(BI495)&lt;=0.001,"Solved",BG495-BI495*(BG495-BC495)/(BI495-BE495))))</f>
        <v/>
      </c>
      <c r="BL495" s="167"/>
      <c r="BM495" s="329" t="str">
        <f>IF(ISBLANK(Inputs!$A103),"",
IF(OR(BK495="Solved",BK495="--"),"--",
((Mat.Conc_Alpha.1*Mat.Conc_f.c*$AB495*MIN(BK495*Mat.Conc_Beta.1,$Y495))
+(Mat.Conc_Alpha.1*Mat.Conc_f.c*$V495*MAX(0,BK495*Mat.Conc_Beta.1-$Y495)))
-($J495*MIN(Mat.Rebar_f.y,(Mat.Rebar_epsilon.cl*($S495-BK495)/BK495)*Mat.PT_E.s))
-($M495*Mat.PT_f.pu*(1-Mat.PT_k*BK495/$P495))))</f>
        <v/>
      </c>
      <c r="BN495" s="329"/>
      <c r="BO495" s="167" t="str">
        <f>IF(ISBLANK(Inputs!$A103),"",
IF(BM495="--","Solved",
IF(ABS(BM495)&lt;=0.001,"Solved",BK495-BM495*(BK495-BG495)/(BM495-BI495))))</f>
        <v/>
      </c>
      <c r="BP495" s="167"/>
      <c r="BQ495" s="329" t="str">
        <f>IF(ISBLANK(Inputs!$A103),"",
IF(OR(BO495="Solved",BO495="--"),"--",
((Mat.Conc_Alpha.1*Mat.Conc_f.c*$AB495*MIN(BO495*Mat.Conc_Beta.1,$Y495))
+(Mat.Conc_Alpha.1*Mat.Conc_f.c*$V495*MAX(0,BO495*Mat.Conc_Beta.1-$Y495)))
-($J495*MIN(Mat.Rebar_f.y,(Mat.Rebar_epsilon.cl*($S495-BO495)/BO495)*Mat.PT_E.s))
-($M495*Mat.PT_f.pu*(1-Mat.PT_k*BO495/$P495))))</f>
        <v/>
      </c>
      <c r="BR495" s="329"/>
      <c r="BT495" s="98"/>
      <c r="BU495" s="70"/>
      <c r="BV495" s="70"/>
      <c r="BW495" s="8"/>
      <c r="BX495" s="8"/>
      <c r="BY495" s="8"/>
      <c r="BZ495" s="8"/>
      <c r="CA495" s="8"/>
      <c r="CB495" s="10"/>
    </row>
    <row r="496" spans="3:80" ht="15" customHeight="1" x14ac:dyDescent="0.25">
      <c r="C496" s="69"/>
      <c r="F496" s="167" t="str">
        <f>IF(ISBLANK(Inputs!A104),"",Inputs!A104)</f>
        <v/>
      </c>
      <c r="G496" s="167"/>
      <c r="H496" s="167" t="str">
        <f>IF(ISBLANK(Inputs!B104),"",Inputs!B104)</f>
        <v/>
      </c>
      <c r="I496" s="167"/>
      <c r="J496" s="168" t="str">
        <f>IF(ISBLANK(Inputs!G104),"",Inputs!G104)</f>
        <v/>
      </c>
      <c r="K496" s="168"/>
      <c r="L496" s="168"/>
      <c r="M496" s="168" t="str">
        <f>IF(ISBLANK(Inputs!D104),"",Inputs!D104)</f>
        <v/>
      </c>
      <c r="N496" s="168"/>
      <c r="O496" s="168"/>
      <c r="P496" s="168" t="str">
        <f>IF(ISBLANK(Inputs!F104),"",Inputs!F104)</f>
        <v/>
      </c>
      <c r="Q496" s="168"/>
      <c r="R496" s="168"/>
      <c r="S496" s="168" t="str">
        <f>IF(ISBLANK(Inputs!H104),"",Inputs!H104)</f>
        <v/>
      </c>
      <c r="T496" s="168"/>
      <c r="U496" s="168"/>
      <c r="V496" s="168" t="str">
        <f>IF(ISBLANK(Inputs!E104),"",Inputs!E104)</f>
        <v/>
      </c>
      <c r="W496" s="168"/>
      <c r="X496" s="168"/>
      <c r="Y496" s="168" t="str">
        <f>IF(ISBLANK(Inputs!I104),"",Inputs!I104)</f>
        <v/>
      </c>
      <c r="Z496" s="168"/>
      <c r="AA496" s="168"/>
      <c r="AB496" s="168">
        <f>IF(ISBLANK(Inputs!J104),"",Inputs!J104)</f>
        <v>96</v>
      </c>
      <c r="AC496" s="168"/>
      <c r="AD496" s="168"/>
      <c r="AE496" s="167" t="str">
        <f>IF(ISBLANK(Inputs!A104),"",Y496)</f>
        <v/>
      </c>
      <c r="AF496" s="167"/>
      <c r="AG496" s="329" t="str">
        <f>IF(ISBLANK(Inputs!$A104),"",
IF(OR(AE496="Solved",AE496="--"),"--",
((Mat.Conc_Alpha.1*Mat.Conc_f.c*$AB496*MIN(AE496*Mat.Conc_Beta.1,$Y496))
+(Mat.Conc_Alpha.1*Mat.Conc_f.c*$V496*MAX(0,AE496*Mat.Conc_Beta.1-$Y496)))
-($J496*MIN(Mat.Rebar_f.y,(Mat.Rebar_epsilon.cl*($S496-AE496)/AE496)*Mat.PT_E.s))
-($M496*Mat.PT_f.pu*(1-Mat.PT_k*AE496/$P496))))</f>
        <v/>
      </c>
      <c r="AH496" s="329"/>
      <c r="AI496" s="167" t="str">
        <f>IF(ISBLANK(Inputs!$A104),"",
IF(ABS(AG496)&lt;=0.001,"Solved",IF(AG496&gt;0,0.85*AE496,1.15*AE496)))</f>
        <v/>
      </c>
      <c r="AJ496" s="167"/>
      <c r="AK496" s="329" t="str">
        <f>IF(ISBLANK(Inputs!$A104),"",
IF(OR(AI496="Solved",AI496="--"),"--",
((Mat.Conc_Alpha.1*Mat.Conc_f.c*$AB496*MIN(AI496*Mat.Conc_Beta.1,$Y496))
+(Mat.Conc_Alpha.1*Mat.Conc_f.c*$V496*MAX(0,AI496*Mat.Conc_Beta.1-$Y496)))
-($J496*MIN(Mat.Rebar_f.y,(Mat.Rebar_epsilon.cl*($S496-AI496)/AI496)*Mat.PT_E.s))
-($M496*Mat.PT_f.pu*(1-Mat.PT_k*AI496/$P496))))</f>
        <v/>
      </c>
      <c r="AL496" s="329"/>
      <c r="AM496" s="167" t="str">
        <f>IF(ISBLANK(Inputs!$A104),"",
IF(AK496="--","Solved",
IF(ABS(AK496)&lt;=0.001,"Solved",AI496-AK496*(AI496-AE496)/(AK496-AG496))))</f>
        <v/>
      </c>
      <c r="AN496" s="167"/>
      <c r="AO496" s="329" t="str">
        <f>IF(ISBLANK(Inputs!$A104),"",
IF(OR(AM496="Solved",AM496="--"),"--",
((Mat.Conc_Alpha.1*Mat.Conc_f.c*$AB496*MIN(AM496*Mat.Conc_Beta.1,$Y496))
+(Mat.Conc_Alpha.1*Mat.Conc_f.c*$V496*MAX(0,AM496*Mat.Conc_Beta.1-$Y496)))
-($J496*MIN(Mat.Rebar_f.y,(Mat.Rebar_epsilon.cl*($S496-AM496)/AM496)*Mat.PT_E.s))
-($M496*Mat.PT_f.pu*(1-Mat.PT_k*AM496/$P496))))</f>
        <v/>
      </c>
      <c r="AP496" s="329"/>
      <c r="AQ496" s="167" t="str">
        <f>IF(ISBLANK(Inputs!$A104),"",
IF(AO496="--","Solved",
IF(ABS(AO496)&lt;=0.001,"Solved",AM496-AO496*(AM496-AI496)/(AO496-AK496))))</f>
        <v/>
      </c>
      <c r="AR496" s="167"/>
      <c r="AS496" s="329" t="str">
        <f>IF(ISBLANK(Inputs!$A104),"",
IF(OR(AQ496="Solved",AQ496="--"),"--",
((Mat.Conc_Alpha.1*Mat.Conc_f.c*$AB496*MIN(AQ496*Mat.Conc_Beta.1,$Y496))
+(Mat.Conc_Alpha.1*Mat.Conc_f.c*$V496*MAX(0,AQ496*Mat.Conc_Beta.1-$Y496)))
-($J496*MIN(Mat.Rebar_f.y,(Mat.Rebar_epsilon.cl*($S496-AQ496)/AQ496)*Mat.PT_E.s))
-($M496*Mat.PT_f.pu*(1-Mat.PT_k*AQ496/$P496))))</f>
        <v/>
      </c>
      <c r="AT496" s="329"/>
      <c r="AU496" s="167" t="str">
        <f>IF(ISBLANK(Inputs!$A104),"",
IF(AS496="--","Solved",
IF(ABS(AS496)&lt;=0.001,"Solved",AQ496-AS496*(AQ496-AM496)/(AS496-AO496))))</f>
        <v/>
      </c>
      <c r="AV496" s="167"/>
      <c r="AW496" s="329" t="str">
        <f>IF(ISBLANK(Inputs!$A104),"",
IF(OR(AU496="Solved",AU496="--"),"--",
((Mat.Conc_Alpha.1*Mat.Conc_f.c*$AB496*MIN(AU496*Mat.Conc_Beta.1,$Y496))
+(Mat.Conc_Alpha.1*Mat.Conc_f.c*$V496*MAX(0,AU496*Mat.Conc_Beta.1-$Y496)))
-($J496*MIN(Mat.Rebar_f.y,(Mat.Rebar_epsilon.cl*($S496-AU496)/AU496)*Mat.PT_E.s))
-($M496*Mat.PT_f.pu*(1-Mat.PT_k*AU496/$P496))))</f>
        <v/>
      </c>
      <c r="AX496" s="329"/>
      <c r="AY496" s="167" t="str">
        <f>IF(ISBLANK(Inputs!$A104),"",
IF(AW496="--","Solved",
IF(ABS(AW496)&lt;=0.001,"Solved",AU496-AW496*(AU496-AQ496)/(AW496-AS496))))</f>
        <v/>
      </c>
      <c r="AZ496" s="167"/>
      <c r="BA496" s="329" t="str">
        <f>IF(ISBLANK(Inputs!$A104),"",
IF(OR(AY496="Solved",AY496="--"),"--",
((Mat.Conc_Alpha.1*Mat.Conc_f.c*$AB496*MIN(AY496*Mat.Conc_Beta.1,$Y496))
+(Mat.Conc_Alpha.1*Mat.Conc_f.c*$V496*MAX(0,AY496*Mat.Conc_Beta.1-$Y496)))
-($J496*MIN(Mat.Rebar_f.y,(Mat.Rebar_epsilon.cl*($S496-AY496)/AY496)*Mat.PT_E.s))
-($M496*Mat.PT_f.pu*(1-Mat.PT_k*AY496/$P496))))</f>
        <v/>
      </c>
      <c r="BB496" s="329"/>
      <c r="BC496" s="167" t="str">
        <f>IF(ISBLANK(Inputs!$A104),"",
IF(BA496="--","Solved",
IF(ABS(BA496)&lt;=0.001,"Solved",AY496-BA496*(AY496-AU496)/(BA496-AW496))))</f>
        <v/>
      </c>
      <c r="BD496" s="167"/>
      <c r="BE496" s="329" t="str">
        <f>IF(ISBLANK(Inputs!$A104),"",
IF(OR(BC496="Solved",BC496="--"),"--",
((Mat.Conc_Alpha.1*Mat.Conc_f.c*$AB496*MIN(BC496*Mat.Conc_Beta.1,$Y496))
+(Mat.Conc_Alpha.1*Mat.Conc_f.c*$V496*MAX(0,BC496*Mat.Conc_Beta.1-$Y496)))
-($J496*MIN(Mat.Rebar_f.y,(Mat.Rebar_epsilon.cl*($S496-BC496)/BC496)*Mat.PT_E.s))
-($M496*Mat.PT_f.pu*(1-Mat.PT_k*BC496/$P496))))</f>
        <v/>
      </c>
      <c r="BF496" s="329"/>
      <c r="BG496" s="167" t="str">
        <f>IF(ISBLANK(Inputs!$A104),"",
IF(BE496="--","Solved",
IF(ABS(BE496)&lt;=0.001,"Solved",BC496-BE496*(BC496-AY496)/(BE496-BA496))))</f>
        <v/>
      </c>
      <c r="BH496" s="167"/>
      <c r="BI496" s="329" t="str">
        <f>IF(ISBLANK(Inputs!$A104),"",
IF(OR(BG496="Solved",BG496="--"),"--",
((Mat.Conc_Alpha.1*Mat.Conc_f.c*$AB496*MIN(BG496*Mat.Conc_Beta.1,$Y496))
+(Mat.Conc_Alpha.1*Mat.Conc_f.c*$V496*MAX(0,BG496*Mat.Conc_Beta.1-$Y496)))
-($J496*MIN(Mat.Rebar_f.y,(Mat.Rebar_epsilon.cl*($S496-BG496)/BG496)*Mat.PT_E.s))
-($M496*Mat.PT_f.pu*(1-Mat.PT_k*BG496/$P496))))</f>
        <v/>
      </c>
      <c r="BJ496" s="329"/>
      <c r="BK496" s="167" t="str">
        <f>IF(ISBLANK(Inputs!$A104),"",
IF(BI496="--","Solved",
IF(ABS(BI496)&lt;=0.001,"Solved",BG496-BI496*(BG496-BC496)/(BI496-BE496))))</f>
        <v/>
      </c>
      <c r="BL496" s="167"/>
      <c r="BM496" s="329" t="str">
        <f>IF(ISBLANK(Inputs!$A104),"",
IF(OR(BK496="Solved",BK496="--"),"--",
((Mat.Conc_Alpha.1*Mat.Conc_f.c*$AB496*MIN(BK496*Mat.Conc_Beta.1,$Y496))
+(Mat.Conc_Alpha.1*Mat.Conc_f.c*$V496*MAX(0,BK496*Mat.Conc_Beta.1-$Y496)))
-($J496*MIN(Mat.Rebar_f.y,(Mat.Rebar_epsilon.cl*($S496-BK496)/BK496)*Mat.PT_E.s))
-($M496*Mat.PT_f.pu*(1-Mat.PT_k*BK496/$P496))))</f>
        <v/>
      </c>
      <c r="BN496" s="329"/>
      <c r="BO496" s="167" t="str">
        <f>IF(ISBLANK(Inputs!$A104),"",
IF(BM496="--","Solved",
IF(ABS(BM496)&lt;=0.001,"Solved",BK496-BM496*(BK496-BG496)/(BM496-BI496))))</f>
        <v/>
      </c>
      <c r="BP496" s="167"/>
      <c r="BQ496" s="329" t="str">
        <f>IF(ISBLANK(Inputs!$A104),"",
IF(OR(BO496="Solved",BO496="--"),"--",
((Mat.Conc_Alpha.1*Mat.Conc_f.c*$AB496*MIN(BO496*Mat.Conc_Beta.1,$Y496))
+(Mat.Conc_Alpha.1*Mat.Conc_f.c*$V496*MAX(0,BO496*Mat.Conc_Beta.1-$Y496)))
-($J496*MIN(Mat.Rebar_f.y,(Mat.Rebar_epsilon.cl*($S496-BO496)/BO496)*Mat.PT_E.s))
-($M496*Mat.PT_f.pu*(1-Mat.PT_k*BO496/$P496))))</f>
        <v/>
      </c>
      <c r="BR496" s="329"/>
      <c r="BT496" s="98"/>
      <c r="BU496" s="70"/>
      <c r="BV496" s="70"/>
      <c r="BW496" s="8"/>
      <c r="BX496" s="8"/>
      <c r="BY496" s="8"/>
      <c r="BZ496" s="8"/>
      <c r="CA496" s="8"/>
      <c r="CB496" s="10"/>
    </row>
    <row r="497" spans="3:80" ht="15" customHeight="1" x14ac:dyDescent="0.25">
      <c r="C497" s="69"/>
      <c r="F497" s="167" t="str">
        <f>IF(ISBLANK(Inputs!A105),"",Inputs!A105)</f>
        <v/>
      </c>
      <c r="G497" s="167"/>
      <c r="H497" s="167" t="str">
        <f>IF(ISBLANK(Inputs!B105),"",Inputs!B105)</f>
        <v/>
      </c>
      <c r="I497" s="167"/>
      <c r="J497" s="168" t="str">
        <f>IF(ISBLANK(Inputs!G105),"",Inputs!G105)</f>
        <v/>
      </c>
      <c r="K497" s="168"/>
      <c r="L497" s="168"/>
      <c r="M497" s="168" t="str">
        <f>IF(ISBLANK(Inputs!D105),"",Inputs!D105)</f>
        <v/>
      </c>
      <c r="N497" s="168"/>
      <c r="O497" s="168"/>
      <c r="P497" s="168" t="str">
        <f>IF(ISBLANK(Inputs!F105),"",Inputs!F105)</f>
        <v/>
      </c>
      <c r="Q497" s="168"/>
      <c r="R497" s="168"/>
      <c r="S497" s="168" t="str">
        <f>IF(ISBLANK(Inputs!H105),"",Inputs!H105)</f>
        <v/>
      </c>
      <c r="T497" s="168"/>
      <c r="U497" s="168"/>
      <c r="V497" s="168" t="str">
        <f>IF(ISBLANK(Inputs!E105),"",Inputs!E105)</f>
        <v/>
      </c>
      <c r="W497" s="168"/>
      <c r="X497" s="168"/>
      <c r="Y497" s="168" t="str">
        <f>IF(ISBLANK(Inputs!I105),"",Inputs!I105)</f>
        <v/>
      </c>
      <c r="Z497" s="168"/>
      <c r="AA497" s="168"/>
      <c r="AB497" s="168">
        <f>IF(ISBLANK(Inputs!J105),"",Inputs!J105)</f>
        <v>96</v>
      </c>
      <c r="AC497" s="168"/>
      <c r="AD497" s="168"/>
      <c r="AE497" s="167" t="str">
        <f>IF(ISBLANK(Inputs!A105),"",Y497)</f>
        <v/>
      </c>
      <c r="AF497" s="167"/>
      <c r="AG497" s="329" t="str">
        <f>IF(ISBLANK(Inputs!$A105),"",
IF(OR(AE497="Solved",AE497="--"),"--",
((Mat.Conc_Alpha.1*Mat.Conc_f.c*$AB497*MIN(AE497*Mat.Conc_Beta.1,$Y497))
+(Mat.Conc_Alpha.1*Mat.Conc_f.c*$V497*MAX(0,AE497*Mat.Conc_Beta.1-$Y497)))
-($J497*MIN(Mat.Rebar_f.y,(Mat.Rebar_epsilon.cl*($S497-AE497)/AE497)*Mat.PT_E.s))
-($M497*Mat.PT_f.pu*(1-Mat.PT_k*AE497/$P497))))</f>
        <v/>
      </c>
      <c r="AH497" s="329"/>
      <c r="AI497" s="167" t="str">
        <f>IF(ISBLANK(Inputs!$A105),"",
IF(ABS(AG497)&lt;=0.001,"Solved",IF(AG497&gt;0,0.85*AE497,1.15*AE497)))</f>
        <v/>
      </c>
      <c r="AJ497" s="167"/>
      <c r="AK497" s="329" t="str">
        <f>IF(ISBLANK(Inputs!$A105),"",
IF(OR(AI497="Solved",AI497="--"),"--",
((Mat.Conc_Alpha.1*Mat.Conc_f.c*$AB497*MIN(AI497*Mat.Conc_Beta.1,$Y497))
+(Mat.Conc_Alpha.1*Mat.Conc_f.c*$V497*MAX(0,AI497*Mat.Conc_Beta.1-$Y497)))
-($J497*MIN(Mat.Rebar_f.y,(Mat.Rebar_epsilon.cl*($S497-AI497)/AI497)*Mat.PT_E.s))
-($M497*Mat.PT_f.pu*(1-Mat.PT_k*AI497/$P497))))</f>
        <v/>
      </c>
      <c r="AL497" s="329"/>
      <c r="AM497" s="167" t="str">
        <f>IF(ISBLANK(Inputs!$A105),"",
IF(AK497="--","Solved",
IF(ABS(AK497)&lt;=0.001,"Solved",AI497-AK497*(AI497-AE497)/(AK497-AG497))))</f>
        <v/>
      </c>
      <c r="AN497" s="167"/>
      <c r="AO497" s="329" t="str">
        <f>IF(ISBLANK(Inputs!$A105),"",
IF(OR(AM497="Solved",AM497="--"),"--",
((Mat.Conc_Alpha.1*Mat.Conc_f.c*$AB497*MIN(AM497*Mat.Conc_Beta.1,$Y497))
+(Mat.Conc_Alpha.1*Mat.Conc_f.c*$V497*MAX(0,AM497*Mat.Conc_Beta.1-$Y497)))
-($J497*MIN(Mat.Rebar_f.y,(Mat.Rebar_epsilon.cl*($S497-AM497)/AM497)*Mat.PT_E.s))
-($M497*Mat.PT_f.pu*(1-Mat.PT_k*AM497/$P497))))</f>
        <v/>
      </c>
      <c r="AP497" s="329"/>
      <c r="AQ497" s="167" t="str">
        <f>IF(ISBLANK(Inputs!$A105),"",
IF(AO497="--","Solved",
IF(ABS(AO497)&lt;=0.001,"Solved",AM497-AO497*(AM497-AI497)/(AO497-AK497))))</f>
        <v/>
      </c>
      <c r="AR497" s="167"/>
      <c r="AS497" s="329" t="str">
        <f>IF(ISBLANK(Inputs!$A105),"",
IF(OR(AQ497="Solved",AQ497="--"),"--",
((Mat.Conc_Alpha.1*Mat.Conc_f.c*$AB497*MIN(AQ497*Mat.Conc_Beta.1,$Y497))
+(Mat.Conc_Alpha.1*Mat.Conc_f.c*$V497*MAX(0,AQ497*Mat.Conc_Beta.1-$Y497)))
-($J497*MIN(Mat.Rebar_f.y,(Mat.Rebar_epsilon.cl*($S497-AQ497)/AQ497)*Mat.PT_E.s))
-($M497*Mat.PT_f.pu*(1-Mat.PT_k*AQ497/$P497))))</f>
        <v/>
      </c>
      <c r="AT497" s="329"/>
      <c r="AU497" s="167" t="str">
        <f>IF(ISBLANK(Inputs!$A105),"",
IF(AS497="--","Solved",
IF(ABS(AS497)&lt;=0.001,"Solved",AQ497-AS497*(AQ497-AM497)/(AS497-AO497))))</f>
        <v/>
      </c>
      <c r="AV497" s="167"/>
      <c r="AW497" s="329" t="str">
        <f>IF(ISBLANK(Inputs!$A105),"",
IF(OR(AU497="Solved",AU497="--"),"--",
((Mat.Conc_Alpha.1*Mat.Conc_f.c*$AB497*MIN(AU497*Mat.Conc_Beta.1,$Y497))
+(Mat.Conc_Alpha.1*Mat.Conc_f.c*$V497*MAX(0,AU497*Mat.Conc_Beta.1-$Y497)))
-($J497*MIN(Mat.Rebar_f.y,(Mat.Rebar_epsilon.cl*($S497-AU497)/AU497)*Mat.PT_E.s))
-($M497*Mat.PT_f.pu*(1-Mat.PT_k*AU497/$P497))))</f>
        <v/>
      </c>
      <c r="AX497" s="329"/>
      <c r="AY497" s="167" t="str">
        <f>IF(ISBLANK(Inputs!$A105),"",
IF(AW497="--","Solved",
IF(ABS(AW497)&lt;=0.001,"Solved",AU497-AW497*(AU497-AQ497)/(AW497-AS497))))</f>
        <v/>
      </c>
      <c r="AZ497" s="167"/>
      <c r="BA497" s="329" t="str">
        <f>IF(ISBLANK(Inputs!$A105),"",
IF(OR(AY497="Solved",AY497="--"),"--",
((Mat.Conc_Alpha.1*Mat.Conc_f.c*$AB497*MIN(AY497*Mat.Conc_Beta.1,$Y497))
+(Mat.Conc_Alpha.1*Mat.Conc_f.c*$V497*MAX(0,AY497*Mat.Conc_Beta.1-$Y497)))
-($J497*MIN(Mat.Rebar_f.y,(Mat.Rebar_epsilon.cl*($S497-AY497)/AY497)*Mat.PT_E.s))
-($M497*Mat.PT_f.pu*(1-Mat.PT_k*AY497/$P497))))</f>
        <v/>
      </c>
      <c r="BB497" s="329"/>
      <c r="BC497" s="167" t="str">
        <f>IF(ISBLANK(Inputs!$A105),"",
IF(BA497="--","Solved",
IF(ABS(BA497)&lt;=0.001,"Solved",AY497-BA497*(AY497-AU497)/(BA497-AW497))))</f>
        <v/>
      </c>
      <c r="BD497" s="167"/>
      <c r="BE497" s="329" t="str">
        <f>IF(ISBLANK(Inputs!$A105),"",
IF(OR(BC497="Solved",BC497="--"),"--",
((Mat.Conc_Alpha.1*Mat.Conc_f.c*$AB497*MIN(BC497*Mat.Conc_Beta.1,$Y497))
+(Mat.Conc_Alpha.1*Mat.Conc_f.c*$V497*MAX(0,BC497*Mat.Conc_Beta.1-$Y497)))
-($J497*MIN(Mat.Rebar_f.y,(Mat.Rebar_epsilon.cl*($S497-BC497)/BC497)*Mat.PT_E.s))
-($M497*Mat.PT_f.pu*(1-Mat.PT_k*BC497/$P497))))</f>
        <v/>
      </c>
      <c r="BF497" s="329"/>
      <c r="BG497" s="167" t="str">
        <f>IF(ISBLANK(Inputs!$A105),"",
IF(BE497="--","Solved",
IF(ABS(BE497)&lt;=0.001,"Solved",BC497-BE497*(BC497-AY497)/(BE497-BA497))))</f>
        <v/>
      </c>
      <c r="BH497" s="167"/>
      <c r="BI497" s="329" t="str">
        <f>IF(ISBLANK(Inputs!$A105),"",
IF(OR(BG497="Solved",BG497="--"),"--",
((Mat.Conc_Alpha.1*Mat.Conc_f.c*$AB497*MIN(BG497*Mat.Conc_Beta.1,$Y497))
+(Mat.Conc_Alpha.1*Mat.Conc_f.c*$V497*MAX(0,BG497*Mat.Conc_Beta.1-$Y497)))
-($J497*MIN(Mat.Rebar_f.y,(Mat.Rebar_epsilon.cl*($S497-BG497)/BG497)*Mat.PT_E.s))
-($M497*Mat.PT_f.pu*(1-Mat.PT_k*BG497/$P497))))</f>
        <v/>
      </c>
      <c r="BJ497" s="329"/>
      <c r="BK497" s="167" t="str">
        <f>IF(ISBLANK(Inputs!$A105),"",
IF(BI497="--","Solved",
IF(ABS(BI497)&lt;=0.001,"Solved",BG497-BI497*(BG497-BC497)/(BI497-BE497))))</f>
        <v/>
      </c>
      <c r="BL497" s="167"/>
      <c r="BM497" s="329" t="str">
        <f>IF(ISBLANK(Inputs!$A105),"",
IF(OR(BK497="Solved",BK497="--"),"--",
((Mat.Conc_Alpha.1*Mat.Conc_f.c*$AB497*MIN(BK497*Mat.Conc_Beta.1,$Y497))
+(Mat.Conc_Alpha.1*Mat.Conc_f.c*$V497*MAX(0,BK497*Mat.Conc_Beta.1-$Y497)))
-($J497*MIN(Mat.Rebar_f.y,(Mat.Rebar_epsilon.cl*($S497-BK497)/BK497)*Mat.PT_E.s))
-($M497*Mat.PT_f.pu*(1-Mat.PT_k*BK497/$P497))))</f>
        <v/>
      </c>
      <c r="BN497" s="329"/>
      <c r="BO497" s="167" t="str">
        <f>IF(ISBLANK(Inputs!$A105),"",
IF(BM497="--","Solved",
IF(ABS(BM497)&lt;=0.001,"Solved",BK497-BM497*(BK497-BG497)/(BM497-BI497))))</f>
        <v/>
      </c>
      <c r="BP497" s="167"/>
      <c r="BQ497" s="329" t="str">
        <f>IF(ISBLANK(Inputs!$A105),"",
IF(OR(BO497="Solved",BO497="--"),"--",
((Mat.Conc_Alpha.1*Mat.Conc_f.c*$AB497*MIN(BO497*Mat.Conc_Beta.1,$Y497))
+(Mat.Conc_Alpha.1*Mat.Conc_f.c*$V497*MAX(0,BO497*Mat.Conc_Beta.1-$Y497)))
-($J497*MIN(Mat.Rebar_f.y,(Mat.Rebar_epsilon.cl*($S497-BO497)/BO497)*Mat.PT_E.s))
-($M497*Mat.PT_f.pu*(1-Mat.PT_k*BO497/$P497))))</f>
        <v/>
      </c>
      <c r="BR497" s="329"/>
      <c r="BT497" s="98"/>
      <c r="BU497" s="70"/>
      <c r="BV497" s="70"/>
      <c r="BW497" s="8"/>
      <c r="BX497" s="8"/>
      <c r="BY497" s="8"/>
      <c r="BZ497" s="8"/>
      <c r="CA497" s="8"/>
      <c r="CB497" s="10"/>
    </row>
    <row r="498" spans="3:80" ht="15" customHeight="1" x14ac:dyDescent="0.25">
      <c r="C498" s="69"/>
      <c r="F498" s="167" t="str">
        <f>IF(ISBLANK(Inputs!A106),"",Inputs!A106)</f>
        <v/>
      </c>
      <c r="G498" s="167"/>
      <c r="H498" s="167" t="str">
        <f>IF(ISBLANK(Inputs!B106),"",Inputs!B106)</f>
        <v/>
      </c>
      <c r="I498" s="167"/>
      <c r="J498" s="168" t="str">
        <f>IF(ISBLANK(Inputs!G106),"",Inputs!G106)</f>
        <v/>
      </c>
      <c r="K498" s="168"/>
      <c r="L498" s="168"/>
      <c r="M498" s="168" t="str">
        <f>IF(ISBLANK(Inputs!D106),"",Inputs!D106)</f>
        <v/>
      </c>
      <c r="N498" s="168"/>
      <c r="O498" s="168"/>
      <c r="P498" s="168" t="str">
        <f>IF(ISBLANK(Inputs!F106),"",Inputs!F106)</f>
        <v/>
      </c>
      <c r="Q498" s="168"/>
      <c r="R498" s="168"/>
      <c r="S498" s="168" t="str">
        <f>IF(ISBLANK(Inputs!H106),"",Inputs!H106)</f>
        <v/>
      </c>
      <c r="T498" s="168"/>
      <c r="U498" s="168"/>
      <c r="V498" s="168" t="str">
        <f>IF(ISBLANK(Inputs!E106),"",Inputs!E106)</f>
        <v/>
      </c>
      <c r="W498" s="168"/>
      <c r="X498" s="168"/>
      <c r="Y498" s="168" t="str">
        <f>IF(ISBLANK(Inputs!I106),"",Inputs!I106)</f>
        <v/>
      </c>
      <c r="Z498" s="168"/>
      <c r="AA498" s="168"/>
      <c r="AB498" s="168">
        <f>IF(ISBLANK(Inputs!J106),"",Inputs!J106)</f>
        <v>96</v>
      </c>
      <c r="AC498" s="168"/>
      <c r="AD498" s="168"/>
      <c r="AE498" s="167" t="str">
        <f>IF(ISBLANK(Inputs!A106),"",Y498)</f>
        <v/>
      </c>
      <c r="AF498" s="167"/>
      <c r="AG498" s="329" t="str">
        <f>IF(ISBLANK(Inputs!$A106),"",
IF(OR(AE498="Solved",AE498="--"),"--",
((Mat.Conc_Alpha.1*Mat.Conc_f.c*$AB498*MIN(AE498*Mat.Conc_Beta.1,$Y498))
+(Mat.Conc_Alpha.1*Mat.Conc_f.c*$V498*MAX(0,AE498*Mat.Conc_Beta.1-$Y498)))
-($J498*MIN(Mat.Rebar_f.y,(Mat.Rebar_epsilon.cl*($S498-AE498)/AE498)*Mat.PT_E.s))
-($M498*Mat.PT_f.pu*(1-Mat.PT_k*AE498/$P498))))</f>
        <v/>
      </c>
      <c r="AH498" s="329"/>
      <c r="AI498" s="167" t="str">
        <f>IF(ISBLANK(Inputs!$A106),"",
IF(ABS(AG498)&lt;=0.001,"Solved",IF(AG498&gt;0,0.85*AE498,1.15*AE498)))</f>
        <v/>
      </c>
      <c r="AJ498" s="167"/>
      <c r="AK498" s="329" t="str">
        <f>IF(ISBLANK(Inputs!$A106),"",
IF(OR(AI498="Solved",AI498="--"),"--",
((Mat.Conc_Alpha.1*Mat.Conc_f.c*$AB498*MIN(AI498*Mat.Conc_Beta.1,$Y498))
+(Mat.Conc_Alpha.1*Mat.Conc_f.c*$V498*MAX(0,AI498*Mat.Conc_Beta.1-$Y498)))
-($J498*MIN(Mat.Rebar_f.y,(Mat.Rebar_epsilon.cl*($S498-AI498)/AI498)*Mat.PT_E.s))
-($M498*Mat.PT_f.pu*(1-Mat.PT_k*AI498/$P498))))</f>
        <v/>
      </c>
      <c r="AL498" s="329"/>
      <c r="AM498" s="167" t="str">
        <f>IF(ISBLANK(Inputs!$A106),"",
IF(AK498="--","Solved",
IF(ABS(AK498)&lt;=0.001,"Solved",AI498-AK498*(AI498-AE498)/(AK498-AG498))))</f>
        <v/>
      </c>
      <c r="AN498" s="167"/>
      <c r="AO498" s="329" t="str">
        <f>IF(ISBLANK(Inputs!$A106),"",
IF(OR(AM498="Solved",AM498="--"),"--",
((Mat.Conc_Alpha.1*Mat.Conc_f.c*$AB498*MIN(AM498*Mat.Conc_Beta.1,$Y498))
+(Mat.Conc_Alpha.1*Mat.Conc_f.c*$V498*MAX(0,AM498*Mat.Conc_Beta.1-$Y498)))
-($J498*MIN(Mat.Rebar_f.y,(Mat.Rebar_epsilon.cl*($S498-AM498)/AM498)*Mat.PT_E.s))
-($M498*Mat.PT_f.pu*(1-Mat.PT_k*AM498/$P498))))</f>
        <v/>
      </c>
      <c r="AP498" s="329"/>
      <c r="AQ498" s="167" t="str">
        <f>IF(ISBLANK(Inputs!$A106),"",
IF(AO498="--","Solved",
IF(ABS(AO498)&lt;=0.001,"Solved",AM498-AO498*(AM498-AI498)/(AO498-AK498))))</f>
        <v/>
      </c>
      <c r="AR498" s="167"/>
      <c r="AS498" s="329" t="str">
        <f>IF(ISBLANK(Inputs!$A106),"",
IF(OR(AQ498="Solved",AQ498="--"),"--",
((Mat.Conc_Alpha.1*Mat.Conc_f.c*$AB498*MIN(AQ498*Mat.Conc_Beta.1,$Y498))
+(Mat.Conc_Alpha.1*Mat.Conc_f.c*$V498*MAX(0,AQ498*Mat.Conc_Beta.1-$Y498)))
-($J498*MIN(Mat.Rebar_f.y,(Mat.Rebar_epsilon.cl*($S498-AQ498)/AQ498)*Mat.PT_E.s))
-($M498*Mat.PT_f.pu*(1-Mat.PT_k*AQ498/$P498))))</f>
        <v/>
      </c>
      <c r="AT498" s="329"/>
      <c r="AU498" s="167" t="str">
        <f>IF(ISBLANK(Inputs!$A106),"",
IF(AS498="--","Solved",
IF(ABS(AS498)&lt;=0.001,"Solved",AQ498-AS498*(AQ498-AM498)/(AS498-AO498))))</f>
        <v/>
      </c>
      <c r="AV498" s="167"/>
      <c r="AW498" s="329" t="str">
        <f>IF(ISBLANK(Inputs!$A106),"",
IF(OR(AU498="Solved",AU498="--"),"--",
((Mat.Conc_Alpha.1*Mat.Conc_f.c*$AB498*MIN(AU498*Mat.Conc_Beta.1,$Y498))
+(Mat.Conc_Alpha.1*Mat.Conc_f.c*$V498*MAX(0,AU498*Mat.Conc_Beta.1-$Y498)))
-($J498*MIN(Mat.Rebar_f.y,(Mat.Rebar_epsilon.cl*($S498-AU498)/AU498)*Mat.PT_E.s))
-($M498*Mat.PT_f.pu*(1-Mat.PT_k*AU498/$P498))))</f>
        <v/>
      </c>
      <c r="AX498" s="329"/>
      <c r="AY498" s="167" t="str">
        <f>IF(ISBLANK(Inputs!$A106),"",
IF(AW498="--","Solved",
IF(ABS(AW498)&lt;=0.001,"Solved",AU498-AW498*(AU498-AQ498)/(AW498-AS498))))</f>
        <v/>
      </c>
      <c r="AZ498" s="167"/>
      <c r="BA498" s="329" t="str">
        <f>IF(ISBLANK(Inputs!$A106),"",
IF(OR(AY498="Solved",AY498="--"),"--",
((Mat.Conc_Alpha.1*Mat.Conc_f.c*$AB498*MIN(AY498*Mat.Conc_Beta.1,$Y498))
+(Mat.Conc_Alpha.1*Mat.Conc_f.c*$V498*MAX(0,AY498*Mat.Conc_Beta.1-$Y498)))
-($J498*MIN(Mat.Rebar_f.y,(Mat.Rebar_epsilon.cl*($S498-AY498)/AY498)*Mat.PT_E.s))
-($M498*Mat.PT_f.pu*(1-Mat.PT_k*AY498/$P498))))</f>
        <v/>
      </c>
      <c r="BB498" s="329"/>
      <c r="BC498" s="167" t="str">
        <f>IF(ISBLANK(Inputs!$A106),"",
IF(BA498="--","Solved",
IF(ABS(BA498)&lt;=0.001,"Solved",AY498-BA498*(AY498-AU498)/(BA498-AW498))))</f>
        <v/>
      </c>
      <c r="BD498" s="167"/>
      <c r="BE498" s="329" t="str">
        <f>IF(ISBLANK(Inputs!$A106),"",
IF(OR(BC498="Solved",BC498="--"),"--",
((Mat.Conc_Alpha.1*Mat.Conc_f.c*$AB498*MIN(BC498*Mat.Conc_Beta.1,$Y498))
+(Mat.Conc_Alpha.1*Mat.Conc_f.c*$V498*MAX(0,BC498*Mat.Conc_Beta.1-$Y498)))
-($J498*MIN(Mat.Rebar_f.y,(Mat.Rebar_epsilon.cl*($S498-BC498)/BC498)*Mat.PT_E.s))
-($M498*Mat.PT_f.pu*(1-Mat.PT_k*BC498/$P498))))</f>
        <v/>
      </c>
      <c r="BF498" s="329"/>
      <c r="BG498" s="167" t="str">
        <f>IF(ISBLANK(Inputs!$A106),"",
IF(BE498="--","Solved",
IF(ABS(BE498)&lt;=0.001,"Solved",BC498-BE498*(BC498-AY498)/(BE498-BA498))))</f>
        <v/>
      </c>
      <c r="BH498" s="167"/>
      <c r="BI498" s="329" t="str">
        <f>IF(ISBLANK(Inputs!$A106),"",
IF(OR(BG498="Solved",BG498="--"),"--",
((Mat.Conc_Alpha.1*Mat.Conc_f.c*$AB498*MIN(BG498*Mat.Conc_Beta.1,$Y498))
+(Mat.Conc_Alpha.1*Mat.Conc_f.c*$V498*MAX(0,BG498*Mat.Conc_Beta.1-$Y498)))
-($J498*MIN(Mat.Rebar_f.y,(Mat.Rebar_epsilon.cl*($S498-BG498)/BG498)*Mat.PT_E.s))
-($M498*Mat.PT_f.pu*(1-Mat.PT_k*BG498/$P498))))</f>
        <v/>
      </c>
      <c r="BJ498" s="329"/>
      <c r="BK498" s="167" t="str">
        <f>IF(ISBLANK(Inputs!$A106),"",
IF(BI498="--","Solved",
IF(ABS(BI498)&lt;=0.001,"Solved",BG498-BI498*(BG498-BC498)/(BI498-BE498))))</f>
        <v/>
      </c>
      <c r="BL498" s="167"/>
      <c r="BM498" s="329" t="str">
        <f>IF(ISBLANK(Inputs!$A106),"",
IF(OR(BK498="Solved",BK498="--"),"--",
((Mat.Conc_Alpha.1*Mat.Conc_f.c*$AB498*MIN(BK498*Mat.Conc_Beta.1,$Y498))
+(Mat.Conc_Alpha.1*Mat.Conc_f.c*$V498*MAX(0,BK498*Mat.Conc_Beta.1-$Y498)))
-($J498*MIN(Mat.Rebar_f.y,(Mat.Rebar_epsilon.cl*($S498-BK498)/BK498)*Mat.PT_E.s))
-($M498*Mat.PT_f.pu*(1-Mat.PT_k*BK498/$P498))))</f>
        <v/>
      </c>
      <c r="BN498" s="329"/>
      <c r="BO498" s="167" t="str">
        <f>IF(ISBLANK(Inputs!$A106),"",
IF(BM498="--","Solved",
IF(ABS(BM498)&lt;=0.001,"Solved",BK498-BM498*(BK498-BG498)/(BM498-BI498))))</f>
        <v/>
      </c>
      <c r="BP498" s="167"/>
      <c r="BQ498" s="329" t="str">
        <f>IF(ISBLANK(Inputs!$A106),"",
IF(OR(BO498="Solved",BO498="--"),"--",
((Mat.Conc_Alpha.1*Mat.Conc_f.c*$AB498*MIN(BO498*Mat.Conc_Beta.1,$Y498))
+(Mat.Conc_Alpha.1*Mat.Conc_f.c*$V498*MAX(0,BO498*Mat.Conc_Beta.1-$Y498)))
-($J498*MIN(Mat.Rebar_f.y,(Mat.Rebar_epsilon.cl*($S498-BO498)/BO498)*Mat.PT_E.s))
-($M498*Mat.PT_f.pu*(1-Mat.PT_k*BO498/$P498))))</f>
        <v/>
      </c>
      <c r="BR498" s="329"/>
      <c r="BT498" s="98"/>
      <c r="BU498" s="70"/>
      <c r="BV498" s="70"/>
      <c r="BW498" s="8"/>
      <c r="BX498" s="8"/>
      <c r="BY498" s="8"/>
      <c r="BZ498" s="8"/>
      <c r="CA498" s="8"/>
      <c r="CB498" s="10"/>
    </row>
    <row r="499" spans="3:80" ht="15" customHeight="1" x14ac:dyDescent="0.25">
      <c r="C499" s="69"/>
      <c r="F499" s="167" t="str">
        <f>IF(ISBLANK(Inputs!A107),"",Inputs!A107)</f>
        <v/>
      </c>
      <c r="G499" s="167"/>
      <c r="H499" s="167" t="str">
        <f>IF(ISBLANK(Inputs!B107),"",Inputs!B107)</f>
        <v/>
      </c>
      <c r="I499" s="167"/>
      <c r="J499" s="168" t="str">
        <f>IF(ISBLANK(Inputs!G107),"",Inputs!G107)</f>
        <v/>
      </c>
      <c r="K499" s="168"/>
      <c r="L499" s="168"/>
      <c r="M499" s="168" t="str">
        <f>IF(ISBLANK(Inputs!D107),"",Inputs!D107)</f>
        <v/>
      </c>
      <c r="N499" s="168"/>
      <c r="O499" s="168"/>
      <c r="P499" s="168" t="str">
        <f>IF(ISBLANK(Inputs!F107),"",Inputs!F107)</f>
        <v/>
      </c>
      <c r="Q499" s="168"/>
      <c r="R499" s="168"/>
      <c r="S499" s="168" t="str">
        <f>IF(ISBLANK(Inputs!H107),"",Inputs!H107)</f>
        <v/>
      </c>
      <c r="T499" s="168"/>
      <c r="U499" s="168"/>
      <c r="V499" s="168" t="str">
        <f>IF(ISBLANK(Inputs!E107),"",Inputs!E107)</f>
        <v/>
      </c>
      <c r="W499" s="168"/>
      <c r="X499" s="168"/>
      <c r="Y499" s="168" t="str">
        <f>IF(ISBLANK(Inputs!I107),"",Inputs!I107)</f>
        <v/>
      </c>
      <c r="Z499" s="168"/>
      <c r="AA499" s="168"/>
      <c r="AB499" s="168">
        <f>IF(ISBLANK(Inputs!J107),"",Inputs!J107)</f>
        <v>96</v>
      </c>
      <c r="AC499" s="168"/>
      <c r="AD499" s="168"/>
      <c r="AE499" s="167" t="str">
        <f>IF(ISBLANK(Inputs!A107),"",Y499)</f>
        <v/>
      </c>
      <c r="AF499" s="167"/>
      <c r="AG499" s="329" t="str">
        <f>IF(ISBLANK(Inputs!$A107),"",
IF(OR(AE499="Solved",AE499="--"),"--",
((Mat.Conc_Alpha.1*Mat.Conc_f.c*$AB499*MIN(AE499*Mat.Conc_Beta.1,$Y499))
+(Mat.Conc_Alpha.1*Mat.Conc_f.c*$V499*MAX(0,AE499*Mat.Conc_Beta.1-$Y499)))
-($J499*MIN(Mat.Rebar_f.y,(Mat.Rebar_epsilon.cl*($S499-AE499)/AE499)*Mat.PT_E.s))
-($M499*Mat.PT_f.pu*(1-Mat.PT_k*AE499/$P499))))</f>
        <v/>
      </c>
      <c r="AH499" s="329"/>
      <c r="AI499" s="167" t="str">
        <f>IF(ISBLANK(Inputs!$A107),"",
IF(ABS(AG499)&lt;=0.001,"Solved",IF(AG499&gt;0,0.85*AE499,1.15*AE499)))</f>
        <v/>
      </c>
      <c r="AJ499" s="167"/>
      <c r="AK499" s="329" t="str">
        <f>IF(ISBLANK(Inputs!$A107),"",
IF(OR(AI499="Solved",AI499="--"),"--",
((Mat.Conc_Alpha.1*Mat.Conc_f.c*$AB499*MIN(AI499*Mat.Conc_Beta.1,$Y499))
+(Mat.Conc_Alpha.1*Mat.Conc_f.c*$V499*MAX(0,AI499*Mat.Conc_Beta.1-$Y499)))
-($J499*MIN(Mat.Rebar_f.y,(Mat.Rebar_epsilon.cl*($S499-AI499)/AI499)*Mat.PT_E.s))
-($M499*Mat.PT_f.pu*(1-Mat.PT_k*AI499/$P499))))</f>
        <v/>
      </c>
      <c r="AL499" s="329"/>
      <c r="AM499" s="167" t="str">
        <f>IF(ISBLANK(Inputs!$A107),"",
IF(AK499="--","Solved",
IF(ABS(AK499)&lt;=0.001,"Solved",AI499-AK499*(AI499-AE499)/(AK499-AG499))))</f>
        <v/>
      </c>
      <c r="AN499" s="167"/>
      <c r="AO499" s="329" t="str">
        <f>IF(ISBLANK(Inputs!$A107),"",
IF(OR(AM499="Solved",AM499="--"),"--",
((Mat.Conc_Alpha.1*Mat.Conc_f.c*$AB499*MIN(AM499*Mat.Conc_Beta.1,$Y499))
+(Mat.Conc_Alpha.1*Mat.Conc_f.c*$V499*MAX(0,AM499*Mat.Conc_Beta.1-$Y499)))
-($J499*MIN(Mat.Rebar_f.y,(Mat.Rebar_epsilon.cl*($S499-AM499)/AM499)*Mat.PT_E.s))
-($M499*Mat.PT_f.pu*(1-Mat.PT_k*AM499/$P499))))</f>
        <v/>
      </c>
      <c r="AP499" s="329"/>
      <c r="AQ499" s="167" t="str">
        <f>IF(ISBLANK(Inputs!$A107),"",
IF(AO499="--","Solved",
IF(ABS(AO499)&lt;=0.001,"Solved",AM499-AO499*(AM499-AI499)/(AO499-AK499))))</f>
        <v/>
      </c>
      <c r="AR499" s="167"/>
      <c r="AS499" s="329" t="str">
        <f>IF(ISBLANK(Inputs!$A107),"",
IF(OR(AQ499="Solved",AQ499="--"),"--",
((Mat.Conc_Alpha.1*Mat.Conc_f.c*$AB499*MIN(AQ499*Mat.Conc_Beta.1,$Y499))
+(Mat.Conc_Alpha.1*Mat.Conc_f.c*$V499*MAX(0,AQ499*Mat.Conc_Beta.1-$Y499)))
-($J499*MIN(Mat.Rebar_f.y,(Mat.Rebar_epsilon.cl*($S499-AQ499)/AQ499)*Mat.PT_E.s))
-($M499*Mat.PT_f.pu*(1-Mat.PT_k*AQ499/$P499))))</f>
        <v/>
      </c>
      <c r="AT499" s="329"/>
      <c r="AU499" s="167" t="str">
        <f>IF(ISBLANK(Inputs!$A107),"",
IF(AS499="--","Solved",
IF(ABS(AS499)&lt;=0.001,"Solved",AQ499-AS499*(AQ499-AM499)/(AS499-AO499))))</f>
        <v/>
      </c>
      <c r="AV499" s="167"/>
      <c r="AW499" s="329" t="str">
        <f>IF(ISBLANK(Inputs!$A107),"",
IF(OR(AU499="Solved",AU499="--"),"--",
((Mat.Conc_Alpha.1*Mat.Conc_f.c*$AB499*MIN(AU499*Mat.Conc_Beta.1,$Y499))
+(Mat.Conc_Alpha.1*Mat.Conc_f.c*$V499*MAX(0,AU499*Mat.Conc_Beta.1-$Y499)))
-($J499*MIN(Mat.Rebar_f.y,(Mat.Rebar_epsilon.cl*($S499-AU499)/AU499)*Mat.PT_E.s))
-($M499*Mat.PT_f.pu*(1-Mat.PT_k*AU499/$P499))))</f>
        <v/>
      </c>
      <c r="AX499" s="329"/>
      <c r="AY499" s="167" t="str">
        <f>IF(ISBLANK(Inputs!$A107),"",
IF(AW499="--","Solved",
IF(ABS(AW499)&lt;=0.001,"Solved",AU499-AW499*(AU499-AQ499)/(AW499-AS499))))</f>
        <v/>
      </c>
      <c r="AZ499" s="167"/>
      <c r="BA499" s="329" t="str">
        <f>IF(ISBLANK(Inputs!$A107),"",
IF(OR(AY499="Solved",AY499="--"),"--",
((Mat.Conc_Alpha.1*Mat.Conc_f.c*$AB499*MIN(AY499*Mat.Conc_Beta.1,$Y499))
+(Mat.Conc_Alpha.1*Mat.Conc_f.c*$V499*MAX(0,AY499*Mat.Conc_Beta.1-$Y499)))
-($J499*MIN(Mat.Rebar_f.y,(Mat.Rebar_epsilon.cl*($S499-AY499)/AY499)*Mat.PT_E.s))
-($M499*Mat.PT_f.pu*(1-Mat.PT_k*AY499/$P499))))</f>
        <v/>
      </c>
      <c r="BB499" s="329"/>
      <c r="BC499" s="167" t="str">
        <f>IF(ISBLANK(Inputs!$A107),"",
IF(BA499="--","Solved",
IF(ABS(BA499)&lt;=0.001,"Solved",AY499-BA499*(AY499-AU499)/(BA499-AW499))))</f>
        <v/>
      </c>
      <c r="BD499" s="167"/>
      <c r="BE499" s="329" t="str">
        <f>IF(ISBLANK(Inputs!$A107),"",
IF(OR(BC499="Solved",BC499="--"),"--",
((Mat.Conc_Alpha.1*Mat.Conc_f.c*$AB499*MIN(BC499*Mat.Conc_Beta.1,$Y499))
+(Mat.Conc_Alpha.1*Mat.Conc_f.c*$V499*MAX(0,BC499*Mat.Conc_Beta.1-$Y499)))
-($J499*MIN(Mat.Rebar_f.y,(Mat.Rebar_epsilon.cl*($S499-BC499)/BC499)*Mat.PT_E.s))
-($M499*Mat.PT_f.pu*(1-Mat.PT_k*BC499/$P499))))</f>
        <v/>
      </c>
      <c r="BF499" s="329"/>
      <c r="BG499" s="167" t="str">
        <f>IF(ISBLANK(Inputs!$A107),"",
IF(BE499="--","Solved",
IF(ABS(BE499)&lt;=0.001,"Solved",BC499-BE499*(BC499-AY499)/(BE499-BA499))))</f>
        <v/>
      </c>
      <c r="BH499" s="167"/>
      <c r="BI499" s="329" t="str">
        <f>IF(ISBLANK(Inputs!$A107),"",
IF(OR(BG499="Solved",BG499="--"),"--",
((Mat.Conc_Alpha.1*Mat.Conc_f.c*$AB499*MIN(BG499*Mat.Conc_Beta.1,$Y499))
+(Mat.Conc_Alpha.1*Mat.Conc_f.c*$V499*MAX(0,BG499*Mat.Conc_Beta.1-$Y499)))
-($J499*MIN(Mat.Rebar_f.y,(Mat.Rebar_epsilon.cl*($S499-BG499)/BG499)*Mat.PT_E.s))
-($M499*Mat.PT_f.pu*(1-Mat.PT_k*BG499/$P499))))</f>
        <v/>
      </c>
      <c r="BJ499" s="329"/>
      <c r="BK499" s="167" t="str">
        <f>IF(ISBLANK(Inputs!$A107),"",
IF(BI499="--","Solved",
IF(ABS(BI499)&lt;=0.001,"Solved",BG499-BI499*(BG499-BC499)/(BI499-BE499))))</f>
        <v/>
      </c>
      <c r="BL499" s="167"/>
      <c r="BM499" s="329" t="str">
        <f>IF(ISBLANK(Inputs!$A107),"",
IF(OR(BK499="Solved",BK499="--"),"--",
((Mat.Conc_Alpha.1*Mat.Conc_f.c*$AB499*MIN(BK499*Mat.Conc_Beta.1,$Y499))
+(Mat.Conc_Alpha.1*Mat.Conc_f.c*$V499*MAX(0,BK499*Mat.Conc_Beta.1-$Y499)))
-($J499*MIN(Mat.Rebar_f.y,(Mat.Rebar_epsilon.cl*($S499-BK499)/BK499)*Mat.PT_E.s))
-($M499*Mat.PT_f.pu*(1-Mat.PT_k*BK499/$P499))))</f>
        <v/>
      </c>
      <c r="BN499" s="329"/>
      <c r="BO499" s="167" t="str">
        <f>IF(ISBLANK(Inputs!$A107),"",
IF(BM499="--","Solved",
IF(ABS(BM499)&lt;=0.001,"Solved",BK499-BM499*(BK499-BG499)/(BM499-BI499))))</f>
        <v/>
      </c>
      <c r="BP499" s="167"/>
      <c r="BQ499" s="329" t="str">
        <f>IF(ISBLANK(Inputs!$A107),"",
IF(OR(BO499="Solved",BO499="--"),"--",
((Mat.Conc_Alpha.1*Mat.Conc_f.c*$AB499*MIN(BO499*Mat.Conc_Beta.1,$Y499))
+(Mat.Conc_Alpha.1*Mat.Conc_f.c*$V499*MAX(0,BO499*Mat.Conc_Beta.1-$Y499)))
-($J499*MIN(Mat.Rebar_f.y,(Mat.Rebar_epsilon.cl*($S499-BO499)/BO499)*Mat.PT_E.s))
-($M499*Mat.PT_f.pu*(1-Mat.PT_k*BO499/$P499))))</f>
        <v/>
      </c>
      <c r="BR499" s="329"/>
      <c r="BT499" s="98"/>
      <c r="BU499" s="70"/>
      <c r="BV499" s="70"/>
      <c r="BW499" s="8"/>
      <c r="BX499" s="8"/>
      <c r="BY499" s="8"/>
      <c r="BZ499" s="8"/>
      <c r="CA499" s="8"/>
      <c r="CB499" s="10"/>
    </row>
    <row r="500" spans="3:80" ht="15" customHeight="1" x14ac:dyDescent="0.25">
      <c r="C500" s="69"/>
      <c r="F500" s="167" t="str">
        <f>IF(ISBLANK(Inputs!A108),"",Inputs!A108)</f>
        <v/>
      </c>
      <c r="G500" s="167"/>
      <c r="H500" s="167" t="str">
        <f>IF(ISBLANK(Inputs!B108),"",Inputs!B108)</f>
        <v/>
      </c>
      <c r="I500" s="167"/>
      <c r="J500" s="168" t="str">
        <f>IF(ISBLANK(Inputs!G108),"",Inputs!G108)</f>
        <v/>
      </c>
      <c r="K500" s="168"/>
      <c r="L500" s="168"/>
      <c r="M500" s="168" t="str">
        <f>IF(ISBLANK(Inputs!D108),"",Inputs!D108)</f>
        <v/>
      </c>
      <c r="N500" s="168"/>
      <c r="O500" s="168"/>
      <c r="P500" s="168" t="str">
        <f>IF(ISBLANK(Inputs!F108),"",Inputs!F108)</f>
        <v/>
      </c>
      <c r="Q500" s="168"/>
      <c r="R500" s="168"/>
      <c r="S500" s="168" t="str">
        <f>IF(ISBLANK(Inputs!H108),"",Inputs!H108)</f>
        <v/>
      </c>
      <c r="T500" s="168"/>
      <c r="U500" s="168"/>
      <c r="V500" s="168" t="str">
        <f>IF(ISBLANK(Inputs!E108),"",Inputs!E108)</f>
        <v/>
      </c>
      <c r="W500" s="168"/>
      <c r="X500" s="168"/>
      <c r="Y500" s="168" t="str">
        <f>IF(ISBLANK(Inputs!I108),"",Inputs!I108)</f>
        <v/>
      </c>
      <c r="Z500" s="168"/>
      <c r="AA500" s="168"/>
      <c r="AB500" s="168">
        <f>IF(ISBLANK(Inputs!J108),"",Inputs!J108)</f>
        <v>96</v>
      </c>
      <c r="AC500" s="168"/>
      <c r="AD500" s="168"/>
      <c r="AE500" s="167" t="str">
        <f>IF(ISBLANK(Inputs!A108),"",Y500)</f>
        <v/>
      </c>
      <c r="AF500" s="167"/>
      <c r="AG500" s="329" t="str">
        <f>IF(ISBLANK(Inputs!$A108),"",
IF(OR(AE500="Solved",AE500="--"),"--",
((Mat.Conc_Alpha.1*Mat.Conc_f.c*$AB500*MIN(AE500*Mat.Conc_Beta.1,$Y500))
+(Mat.Conc_Alpha.1*Mat.Conc_f.c*$V500*MAX(0,AE500*Mat.Conc_Beta.1-$Y500)))
-($J500*MIN(Mat.Rebar_f.y,(Mat.Rebar_epsilon.cl*($S500-AE500)/AE500)*Mat.PT_E.s))
-($M500*Mat.PT_f.pu*(1-Mat.PT_k*AE500/$P500))))</f>
        <v/>
      </c>
      <c r="AH500" s="329"/>
      <c r="AI500" s="167" t="str">
        <f>IF(ISBLANK(Inputs!$A108),"",
IF(ABS(AG500)&lt;=0.001,"Solved",IF(AG500&gt;0,0.85*AE500,1.15*AE500)))</f>
        <v/>
      </c>
      <c r="AJ500" s="167"/>
      <c r="AK500" s="329" t="str">
        <f>IF(ISBLANK(Inputs!$A108),"",
IF(OR(AI500="Solved",AI500="--"),"--",
((Mat.Conc_Alpha.1*Mat.Conc_f.c*$AB500*MIN(AI500*Mat.Conc_Beta.1,$Y500))
+(Mat.Conc_Alpha.1*Mat.Conc_f.c*$V500*MAX(0,AI500*Mat.Conc_Beta.1-$Y500)))
-($J500*MIN(Mat.Rebar_f.y,(Mat.Rebar_epsilon.cl*($S500-AI500)/AI500)*Mat.PT_E.s))
-($M500*Mat.PT_f.pu*(1-Mat.PT_k*AI500/$P500))))</f>
        <v/>
      </c>
      <c r="AL500" s="329"/>
      <c r="AM500" s="167" t="str">
        <f>IF(ISBLANK(Inputs!$A108),"",
IF(AK500="--","Solved",
IF(ABS(AK500)&lt;=0.001,"Solved",AI500-AK500*(AI500-AE500)/(AK500-AG500))))</f>
        <v/>
      </c>
      <c r="AN500" s="167"/>
      <c r="AO500" s="329" t="str">
        <f>IF(ISBLANK(Inputs!$A108),"",
IF(OR(AM500="Solved",AM500="--"),"--",
((Mat.Conc_Alpha.1*Mat.Conc_f.c*$AB500*MIN(AM500*Mat.Conc_Beta.1,$Y500))
+(Mat.Conc_Alpha.1*Mat.Conc_f.c*$V500*MAX(0,AM500*Mat.Conc_Beta.1-$Y500)))
-($J500*MIN(Mat.Rebar_f.y,(Mat.Rebar_epsilon.cl*($S500-AM500)/AM500)*Mat.PT_E.s))
-($M500*Mat.PT_f.pu*(1-Mat.PT_k*AM500/$P500))))</f>
        <v/>
      </c>
      <c r="AP500" s="329"/>
      <c r="AQ500" s="167" t="str">
        <f>IF(ISBLANK(Inputs!$A108),"",
IF(AO500="--","Solved",
IF(ABS(AO500)&lt;=0.001,"Solved",AM500-AO500*(AM500-AI500)/(AO500-AK500))))</f>
        <v/>
      </c>
      <c r="AR500" s="167"/>
      <c r="AS500" s="329" t="str">
        <f>IF(ISBLANK(Inputs!$A108),"",
IF(OR(AQ500="Solved",AQ500="--"),"--",
((Mat.Conc_Alpha.1*Mat.Conc_f.c*$AB500*MIN(AQ500*Mat.Conc_Beta.1,$Y500))
+(Mat.Conc_Alpha.1*Mat.Conc_f.c*$V500*MAX(0,AQ500*Mat.Conc_Beta.1-$Y500)))
-($J500*MIN(Mat.Rebar_f.y,(Mat.Rebar_epsilon.cl*($S500-AQ500)/AQ500)*Mat.PT_E.s))
-($M500*Mat.PT_f.pu*(1-Mat.PT_k*AQ500/$P500))))</f>
        <v/>
      </c>
      <c r="AT500" s="329"/>
      <c r="AU500" s="167" t="str">
        <f>IF(ISBLANK(Inputs!$A108),"",
IF(AS500="--","Solved",
IF(ABS(AS500)&lt;=0.001,"Solved",AQ500-AS500*(AQ500-AM500)/(AS500-AO500))))</f>
        <v/>
      </c>
      <c r="AV500" s="167"/>
      <c r="AW500" s="329" t="str">
        <f>IF(ISBLANK(Inputs!$A108),"",
IF(OR(AU500="Solved",AU500="--"),"--",
((Mat.Conc_Alpha.1*Mat.Conc_f.c*$AB500*MIN(AU500*Mat.Conc_Beta.1,$Y500))
+(Mat.Conc_Alpha.1*Mat.Conc_f.c*$V500*MAX(0,AU500*Mat.Conc_Beta.1-$Y500)))
-($J500*MIN(Mat.Rebar_f.y,(Mat.Rebar_epsilon.cl*($S500-AU500)/AU500)*Mat.PT_E.s))
-($M500*Mat.PT_f.pu*(1-Mat.PT_k*AU500/$P500))))</f>
        <v/>
      </c>
      <c r="AX500" s="329"/>
      <c r="AY500" s="167" t="str">
        <f>IF(ISBLANK(Inputs!$A108),"",
IF(AW500="--","Solved",
IF(ABS(AW500)&lt;=0.001,"Solved",AU500-AW500*(AU500-AQ500)/(AW500-AS500))))</f>
        <v/>
      </c>
      <c r="AZ500" s="167"/>
      <c r="BA500" s="329" t="str">
        <f>IF(ISBLANK(Inputs!$A108),"",
IF(OR(AY500="Solved",AY500="--"),"--",
((Mat.Conc_Alpha.1*Mat.Conc_f.c*$AB500*MIN(AY500*Mat.Conc_Beta.1,$Y500))
+(Mat.Conc_Alpha.1*Mat.Conc_f.c*$V500*MAX(0,AY500*Mat.Conc_Beta.1-$Y500)))
-($J500*MIN(Mat.Rebar_f.y,(Mat.Rebar_epsilon.cl*($S500-AY500)/AY500)*Mat.PT_E.s))
-($M500*Mat.PT_f.pu*(1-Mat.PT_k*AY500/$P500))))</f>
        <v/>
      </c>
      <c r="BB500" s="329"/>
      <c r="BC500" s="167" t="str">
        <f>IF(ISBLANK(Inputs!$A108),"",
IF(BA500="--","Solved",
IF(ABS(BA500)&lt;=0.001,"Solved",AY500-BA500*(AY500-AU500)/(BA500-AW500))))</f>
        <v/>
      </c>
      <c r="BD500" s="167"/>
      <c r="BE500" s="329" t="str">
        <f>IF(ISBLANK(Inputs!$A108),"",
IF(OR(BC500="Solved",BC500="--"),"--",
((Mat.Conc_Alpha.1*Mat.Conc_f.c*$AB500*MIN(BC500*Mat.Conc_Beta.1,$Y500))
+(Mat.Conc_Alpha.1*Mat.Conc_f.c*$V500*MAX(0,BC500*Mat.Conc_Beta.1-$Y500)))
-($J500*MIN(Mat.Rebar_f.y,(Mat.Rebar_epsilon.cl*($S500-BC500)/BC500)*Mat.PT_E.s))
-($M500*Mat.PT_f.pu*(1-Mat.PT_k*BC500/$P500))))</f>
        <v/>
      </c>
      <c r="BF500" s="329"/>
      <c r="BG500" s="167" t="str">
        <f>IF(ISBLANK(Inputs!$A108),"",
IF(BE500="--","Solved",
IF(ABS(BE500)&lt;=0.001,"Solved",BC500-BE500*(BC500-AY500)/(BE500-BA500))))</f>
        <v/>
      </c>
      <c r="BH500" s="167"/>
      <c r="BI500" s="329" t="str">
        <f>IF(ISBLANK(Inputs!$A108),"",
IF(OR(BG500="Solved",BG500="--"),"--",
((Mat.Conc_Alpha.1*Mat.Conc_f.c*$AB500*MIN(BG500*Mat.Conc_Beta.1,$Y500))
+(Mat.Conc_Alpha.1*Mat.Conc_f.c*$V500*MAX(0,BG500*Mat.Conc_Beta.1-$Y500)))
-($J500*MIN(Mat.Rebar_f.y,(Mat.Rebar_epsilon.cl*($S500-BG500)/BG500)*Mat.PT_E.s))
-($M500*Mat.PT_f.pu*(1-Mat.PT_k*BG500/$P500))))</f>
        <v/>
      </c>
      <c r="BJ500" s="329"/>
      <c r="BK500" s="167" t="str">
        <f>IF(ISBLANK(Inputs!$A108),"",
IF(BI500="--","Solved",
IF(ABS(BI500)&lt;=0.001,"Solved",BG500-BI500*(BG500-BC500)/(BI500-BE500))))</f>
        <v/>
      </c>
      <c r="BL500" s="167"/>
      <c r="BM500" s="329" t="str">
        <f>IF(ISBLANK(Inputs!$A108),"",
IF(OR(BK500="Solved",BK500="--"),"--",
((Mat.Conc_Alpha.1*Mat.Conc_f.c*$AB500*MIN(BK500*Mat.Conc_Beta.1,$Y500))
+(Mat.Conc_Alpha.1*Mat.Conc_f.c*$V500*MAX(0,BK500*Mat.Conc_Beta.1-$Y500)))
-($J500*MIN(Mat.Rebar_f.y,(Mat.Rebar_epsilon.cl*($S500-BK500)/BK500)*Mat.PT_E.s))
-($M500*Mat.PT_f.pu*(1-Mat.PT_k*BK500/$P500))))</f>
        <v/>
      </c>
      <c r="BN500" s="329"/>
      <c r="BO500" s="167" t="str">
        <f>IF(ISBLANK(Inputs!$A108),"",
IF(BM500="--","Solved",
IF(ABS(BM500)&lt;=0.001,"Solved",BK500-BM500*(BK500-BG500)/(BM500-BI500))))</f>
        <v/>
      </c>
      <c r="BP500" s="167"/>
      <c r="BQ500" s="329" t="str">
        <f>IF(ISBLANK(Inputs!$A108),"",
IF(OR(BO500="Solved",BO500="--"),"--",
((Mat.Conc_Alpha.1*Mat.Conc_f.c*$AB500*MIN(BO500*Mat.Conc_Beta.1,$Y500))
+(Mat.Conc_Alpha.1*Mat.Conc_f.c*$V500*MAX(0,BO500*Mat.Conc_Beta.1-$Y500)))
-($J500*MIN(Mat.Rebar_f.y,(Mat.Rebar_epsilon.cl*($S500-BO500)/BO500)*Mat.PT_E.s))
-($M500*Mat.PT_f.pu*(1-Mat.PT_k*BO500/$P500))))</f>
        <v/>
      </c>
      <c r="BR500" s="329"/>
      <c r="BT500" s="98"/>
      <c r="BU500" s="70"/>
      <c r="BV500" s="70"/>
      <c r="BW500" s="8"/>
      <c r="BX500" s="8"/>
      <c r="BY500" s="8"/>
      <c r="BZ500" s="8"/>
      <c r="CA500" s="8"/>
      <c r="CB500" s="10"/>
    </row>
    <row r="501" spans="3:80" ht="15" customHeight="1" x14ac:dyDescent="0.25">
      <c r="C501" s="69"/>
      <c r="F501" s="167" t="str">
        <f>IF(ISBLANK(Inputs!A109),"",Inputs!A109)</f>
        <v/>
      </c>
      <c r="G501" s="167"/>
      <c r="H501" s="167" t="str">
        <f>IF(ISBLANK(Inputs!B109),"",Inputs!B109)</f>
        <v/>
      </c>
      <c r="I501" s="167"/>
      <c r="J501" s="168" t="str">
        <f>IF(ISBLANK(Inputs!G109),"",Inputs!G109)</f>
        <v/>
      </c>
      <c r="K501" s="168"/>
      <c r="L501" s="168"/>
      <c r="M501" s="168" t="str">
        <f>IF(ISBLANK(Inputs!D109),"",Inputs!D109)</f>
        <v/>
      </c>
      <c r="N501" s="168"/>
      <c r="O501" s="168"/>
      <c r="P501" s="168" t="str">
        <f>IF(ISBLANK(Inputs!F109),"",Inputs!F109)</f>
        <v/>
      </c>
      <c r="Q501" s="168"/>
      <c r="R501" s="168"/>
      <c r="S501" s="168" t="str">
        <f>IF(ISBLANK(Inputs!H109),"",Inputs!H109)</f>
        <v/>
      </c>
      <c r="T501" s="168"/>
      <c r="U501" s="168"/>
      <c r="V501" s="168" t="str">
        <f>IF(ISBLANK(Inputs!E109),"",Inputs!E109)</f>
        <v/>
      </c>
      <c r="W501" s="168"/>
      <c r="X501" s="168"/>
      <c r="Y501" s="168" t="str">
        <f>IF(ISBLANK(Inputs!I109),"",Inputs!I109)</f>
        <v/>
      </c>
      <c r="Z501" s="168"/>
      <c r="AA501" s="168"/>
      <c r="AB501" s="168">
        <f>IF(ISBLANK(Inputs!J109),"",Inputs!J109)</f>
        <v>96</v>
      </c>
      <c r="AC501" s="168"/>
      <c r="AD501" s="168"/>
      <c r="AE501" s="167" t="str">
        <f>IF(ISBLANK(Inputs!A109),"",Y501)</f>
        <v/>
      </c>
      <c r="AF501" s="167"/>
      <c r="AG501" s="329" t="str">
        <f>IF(ISBLANK(Inputs!$A109),"",
IF(OR(AE501="Solved",AE501="--"),"--",
((Mat.Conc_Alpha.1*Mat.Conc_f.c*$AB501*MIN(AE501*Mat.Conc_Beta.1,$Y501))
+(Mat.Conc_Alpha.1*Mat.Conc_f.c*$V501*MAX(0,AE501*Mat.Conc_Beta.1-$Y501)))
-($J501*MIN(Mat.Rebar_f.y,(Mat.Rebar_epsilon.cl*($S501-AE501)/AE501)*Mat.PT_E.s))
-($M501*Mat.PT_f.pu*(1-Mat.PT_k*AE501/$P501))))</f>
        <v/>
      </c>
      <c r="AH501" s="329"/>
      <c r="AI501" s="167" t="str">
        <f>IF(ISBLANK(Inputs!$A109),"",
IF(ABS(AG501)&lt;=0.001,"Solved",IF(AG501&gt;0,0.85*AE501,1.15*AE501)))</f>
        <v/>
      </c>
      <c r="AJ501" s="167"/>
      <c r="AK501" s="329" t="str">
        <f>IF(ISBLANK(Inputs!$A109),"",
IF(OR(AI501="Solved",AI501="--"),"--",
((Mat.Conc_Alpha.1*Mat.Conc_f.c*$AB501*MIN(AI501*Mat.Conc_Beta.1,$Y501))
+(Mat.Conc_Alpha.1*Mat.Conc_f.c*$V501*MAX(0,AI501*Mat.Conc_Beta.1-$Y501)))
-($J501*MIN(Mat.Rebar_f.y,(Mat.Rebar_epsilon.cl*($S501-AI501)/AI501)*Mat.PT_E.s))
-($M501*Mat.PT_f.pu*(1-Mat.PT_k*AI501/$P501))))</f>
        <v/>
      </c>
      <c r="AL501" s="329"/>
      <c r="AM501" s="167" t="str">
        <f>IF(ISBLANK(Inputs!$A109),"",
IF(AK501="--","Solved",
IF(ABS(AK501)&lt;=0.001,"Solved",AI501-AK501*(AI501-AE501)/(AK501-AG501))))</f>
        <v/>
      </c>
      <c r="AN501" s="167"/>
      <c r="AO501" s="329" t="str">
        <f>IF(ISBLANK(Inputs!$A109),"",
IF(OR(AM501="Solved",AM501="--"),"--",
((Mat.Conc_Alpha.1*Mat.Conc_f.c*$AB501*MIN(AM501*Mat.Conc_Beta.1,$Y501))
+(Mat.Conc_Alpha.1*Mat.Conc_f.c*$V501*MAX(0,AM501*Mat.Conc_Beta.1-$Y501)))
-($J501*MIN(Mat.Rebar_f.y,(Mat.Rebar_epsilon.cl*($S501-AM501)/AM501)*Mat.PT_E.s))
-($M501*Mat.PT_f.pu*(1-Mat.PT_k*AM501/$P501))))</f>
        <v/>
      </c>
      <c r="AP501" s="329"/>
      <c r="AQ501" s="167" t="str">
        <f>IF(ISBLANK(Inputs!$A109),"",
IF(AO501="--","Solved",
IF(ABS(AO501)&lt;=0.001,"Solved",AM501-AO501*(AM501-AI501)/(AO501-AK501))))</f>
        <v/>
      </c>
      <c r="AR501" s="167"/>
      <c r="AS501" s="329" t="str">
        <f>IF(ISBLANK(Inputs!$A109),"",
IF(OR(AQ501="Solved",AQ501="--"),"--",
((Mat.Conc_Alpha.1*Mat.Conc_f.c*$AB501*MIN(AQ501*Mat.Conc_Beta.1,$Y501))
+(Mat.Conc_Alpha.1*Mat.Conc_f.c*$V501*MAX(0,AQ501*Mat.Conc_Beta.1-$Y501)))
-($J501*MIN(Mat.Rebar_f.y,(Mat.Rebar_epsilon.cl*($S501-AQ501)/AQ501)*Mat.PT_E.s))
-($M501*Mat.PT_f.pu*(1-Mat.PT_k*AQ501/$P501))))</f>
        <v/>
      </c>
      <c r="AT501" s="329"/>
      <c r="AU501" s="167" t="str">
        <f>IF(ISBLANK(Inputs!$A109),"",
IF(AS501="--","Solved",
IF(ABS(AS501)&lt;=0.001,"Solved",AQ501-AS501*(AQ501-AM501)/(AS501-AO501))))</f>
        <v/>
      </c>
      <c r="AV501" s="167"/>
      <c r="AW501" s="329" t="str">
        <f>IF(ISBLANK(Inputs!$A109),"",
IF(OR(AU501="Solved",AU501="--"),"--",
((Mat.Conc_Alpha.1*Mat.Conc_f.c*$AB501*MIN(AU501*Mat.Conc_Beta.1,$Y501))
+(Mat.Conc_Alpha.1*Mat.Conc_f.c*$V501*MAX(0,AU501*Mat.Conc_Beta.1-$Y501)))
-($J501*MIN(Mat.Rebar_f.y,(Mat.Rebar_epsilon.cl*($S501-AU501)/AU501)*Mat.PT_E.s))
-($M501*Mat.PT_f.pu*(1-Mat.PT_k*AU501/$P501))))</f>
        <v/>
      </c>
      <c r="AX501" s="329"/>
      <c r="AY501" s="167" t="str">
        <f>IF(ISBLANK(Inputs!$A109),"",
IF(AW501="--","Solved",
IF(ABS(AW501)&lt;=0.001,"Solved",AU501-AW501*(AU501-AQ501)/(AW501-AS501))))</f>
        <v/>
      </c>
      <c r="AZ501" s="167"/>
      <c r="BA501" s="329" t="str">
        <f>IF(ISBLANK(Inputs!$A109),"",
IF(OR(AY501="Solved",AY501="--"),"--",
((Mat.Conc_Alpha.1*Mat.Conc_f.c*$AB501*MIN(AY501*Mat.Conc_Beta.1,$Y501))
+(Mat.Conc_Alpha.1*Mat.Conc_f.c*$V501*MAX(0,AY501*Mat.Conc_Beta.1-$Y501)))
-($J501*MIN(Mat.Rebar_f.y,(Mat.Rebar_epsilon.cl*($S501-AY501)/AY501)*Mat.PT_E.s))
-($M501*Mat.PT_f.pu*(1-Mat.PT_k*AY501/$P501))))</f>
        <v/>
      </c>
      <c r="BB501" s="329"/>
      <c r="BC501" s="167" t="str">
        <f>IF(ISBLANK(Inputs!$A109),"",
IF(BA501="--","Solved",
IF(ABS(BA501)&lt;=0.001,"Solved",AY501-BA501*(AY501-AU501)/(BA501-AW501))))</f>
        <v/>
      </c>
      <c r="BD501" s="167"/>
      <c r="BE501" s="329" t="str">
        <f>IF(ISBLANK(Inputs!$A109),"",
IF(OR(BC501="Solved",BC501="--"),"--",
((Mat.Conc_Alpha.1*Mat.Conc_f.c*$AB501*MIN(BC501*Mat.Conc_Beta.1,$Y501))
+(Mat.Conc_Alpha.1*Mat.Conc_f.c*$V501*MAX(0,BC501*Mat.Conc_Beta.1-$Y501)))
-($J501*MIN(Mat.Rebar_f.y,(Mat.Rebar_epsilon.cl*($S501-BC501)/BC501)*Mat.PT_E.s))
-($M501*Mat.PT_f.pu*(1-Mat.PT_k*BC501/$P501))))</f>
        <v/>
      </c>
      <c r="BF501" s="329"/>
      <c r="BG501" s="167" t="str">
        <f>IF(ISBLANK(Inputs!$A109),"",
IF(BE501="--","Solved",
IF(ABS(BE501)&lt;=0.001,"Solved",BC501-BE501*(BC501-AY501)/(BE501-BA501))))</f>
        <v/>
      </c>
      <c r="BH501" s="167"/>
      <c r="BI501" s="329" t="str">
        <f>IF(ISBLANK(Inputs!$A109),"",
IF(OR(BG501="Solved",BG501="--"),"--",
((Mat.Conc_Alpha.1*Mat.Conc_f.c*$AB501*MIN(BG501*Mat.Conc_Beta.1,$Y501))
+(Mat.Conc_Alpha.1*Mat.Conc_f.c*$V501*MAX(0,BG501*Mat.Conc_Beta.1-$Y501)))
-($J501*MIN(Mat.Rebar_f.y,(Mat.Rebar_epsilon.cl*($S501-BG501)/BG501)*Mat.PT_E.s))
-($M501*Mat.PT_f.pu*(1-Mat.PT_k*BG501/$P501))))</f>
        <v/>
      </c>
      <c r="BJ501" s="329"/>
      <c r="BK501" s="167" t="str">
        <f>IF(ISBLANK(Inputs!$A109),"",
IF(BI501="--","Solved",
IF(ABS(BI501)&lt;=0.001,"Solved",BG501-BI501*(BG501-BC501)/(BI501-BE501))))</f>
        <v/>
      </c>
      <c r="BL501" s="167"/>
      <c r="BM501" s="329" t="str">
        <f>IF(ISBLANK(Inputs!$A109),"",
IF(OR(BK501="Solved",BK501="--"),"--",
((Mat.Conc_Alpha.1*Mat.Conc_f.c*$AB501*MIN(BK501*Mat.Conc_Beta.1,$Y501))
+(Mat.Conc_Alpha.1*Mat.Conc_f.c*$V501*MAX(0,BK501*Mat.Conc_Beta.1-$Y501)))
-($J501*MIN(Mat.Rebar_f.y,(Mat.Rebar_epsilon.cl*($S501-BK501)/BK501)*Mat.PT_E.s))
-($M501*Mat.PT_f.pu*(1-Mat.PT_k*BK501/$P501))))</f>
        <v/>
      </c>
      <c r="BN501" s="329"/>
      <c r="BO501" s="167" t="str">
        <f>IF(ISBLANK(Inputs!$A109),"",
IF(BM501="--","Solved",
IF(ABS(BM501)&lt;=0.001,"Solved",BK501-BM501*(BK501-BG501)/(BM501-BI501))))</f>
        <v/>
      </c>
      <c r="BP501" s="167"/>
      <c r="BQ501" s="329" t="str">
        <f>IF(ISBLANK(Inputs!$A109),"",
IF(OR(BO501="Solved",BO501="--"),"--",
((Mat.Conc_Alpha.1*Mat.Conc_f.c*$AB501*MIN(BO501*Mat.Conc_Beta.1,$Y501))
+(Mat.Conc_Alpha.1*Mat.Conc_f.c*$V501*MAX(0,BO501*Mat.Conc_Beta.1-$Y501)))
-($J501*MIN(Mat.Rebar_f.y,(Mat.Rebar_epsilon.cl*($S501-BO501)/BO501)*Mat.PT_E.s))
-($M501*Mat.PT_f.pu*(1-Mat.PT_k*BO501/$P501))))</f>
        <v/>
      </c>
      <c r="BR501" s="329"/>
      <c r="BT501" s="98"/>
      <c r="BU501" s="70"/>
      <c r="BV501" s="70"/>
      <c r="BW501" s="8"/>
      <c r="BX501" s="8"/>
      <c r="BY501" s="8"/>
      <c r="BZ501" s="8"/>
      <c r="CA501" s="8"/>
      <c r="CB501" s="10"/>
    </row>
    <row r="502" spans="3:80" ht="15" customHeight="1" x14ac:dyDescent="0.25">
      <c r="C502" s="69"/>
      <c r="F502" s="167" t="str">
        <f>IF(ISBLANK(Inputs!A110),"",Inputs!A110)</f>
        <v/>
      </c>
      <c r="G502" s="167"/>
      <c r="H502" s="167" t="str">
        <f>IF(ISBLANK(Inputs!B110),"",Inputs!B110)</f>
        <v/>
      </c>
      <c r="I502" s="167"/>
      <c r="J502" s="168" t="str">
        <f>IF(ISBLANK(Inputs!G110),"",Inputs!G110)</f>
        <v/>
      </c>
      <c r="K502" s="168"/>
      <c r="L502" s="168"/>
      <c r="M502" s="168" t="str">
        <f>IF(ISBLANK(Inputs!D110),"",Inputs!D110)</f>
        <v/>
      </c>
      <c r="N502" s="168"/>
      <c r="O502" s="168"/>
      <c r="P502" s="168" t="str">
        <f>IF(ISBLANK(Inputs!F110),"",Inputs!F110)</f>
        <v/>
      </c>
      <c r="Q502" s="168"/>
      <c r="R502" s="168"/>
      <c r="S502" s="168" t="str">
        <f>IF(ISBLANK(Inputs!H110),"",Inputs!H110)</f>
        <v/>
      </c>
      <c r="T502" s="168"/>
      <c r="U502" s="168"/>
      <c r="V502" s="168" t="str">
        <f>IF(ISBLANK(Inputs!E110),"",Inputs!E110)</f>
        <v/>
      </c>
      <c r="W502" s="168"/>
      <c r="X502" s="168"/>
      <c r="Y502" s="168" t="str">
        <f>IF(ISBLANK(Inputs!I110),"",Inputs!I110)</f>
        <v/>
      </c>
      <c r="Z502" s="168"/>
      <c r="AA502" s="168"/>
      <c r="AB502" s="168">
        <f>IF(ISBLANK(Inputs!J110),"",Inputs!J110)</f>
        <v>96</v>
      </c>
      <c r="AC502" s="168"/>
      <c r="AD502" s="168"/>
      <c r="AE502" s="167" t="str">
        <f>IF(ISBLANK(Inputs!A110),"",Y502)</f>
        <v/>
      </c>
      <c r="AF502" s="167"/>
      <c r="AG502" s="329" t="str">
        <f>IF(ISBLANK(Inputs!$A110),"",
IF(OR(AE502="Solved",AE502="--"),"--",
((Mat.Conc_Alpha.1*Mat.Conc_f.c*$AB502*MIN(AE502*Mat.Conc_Beta.1,$Y502))
+(Mat.Conc_Alpha.1*Mat.Conc_f.c*$V502*MAX(0,AE502*Mat.Conc_Beta.1-$Y502)))
-($J502*MIN(Mat.Rebar_f.y,(Mat.Rebar_epsilon.cl*($S502-AE502)/AE502)*Mat.PT_E.s))
-($M502*Mat.PT_f.pu*(1-Mat.PT_k*AE502/$P502))))</f>
        <v/>
      </c>
      <c r="AH502" s="329"/>
      <c r="AI502" s="167" t="str">
        <f>IF(ISBLANK(Inputs!$A110),"",
IF(ABS(AG502)&lt;=0.001,"Solved",IF(AG502&gt;0,0.85*AE502,1.15*AE502)))</f>
        <v/>
      </c>
      <c r="AJ502" s="167"/>
      <c r="AK502" s="329" t="str">
        <f>IF(ISBLANK(Inputs!$A110),"",
IF(OR(AI502="Solved",AI502="--"),"--",
((Mat.Conc_Alpha.1*Mat.Conc_f.c*$AB502*MIN(AI502*Mat.Conc_Beta.1,$Y502))
+(Mat.Conc_Alpha.1*Mat.Conc_f.c*$V502*MAX(0,AI502*Mat.Conc_Beta.1-$Y502)))
-($J502*MIN(Mat.Rebar_f.y,(Mat.Rebar_epsilon.cl*($S502-AI502)/AI502)*Mat.PT_E.s))
-($M502*Mat.PT_f.pu*(1-Mat.PT_k*AI502/$P502))))</f>
        <v/>
      </c>
      <c r="AL502" s="329"/>
      <c r="AM502" s="167" t="str">
        <f>IF(ISBLANK(Inputs!$A110),"",
IF(AK502="--","Solved",
IF(ABS(AK502)&lt;=0.001,"Solved",AI502-AK502*(AI502-AE502)/(AK502-AG502))))</f>
        <v/>
      </c>
      <c r="AN502" s="167"/>
      <c r="AO502" s="329" t="str">
        <f>IF(ISBLANK(Inputs!$A110),"",
IF(OR(AM502="Solved",AM502="--"),"--",
((Mat.Conc_Alpha.1*Mat.Conc_f.c*$AB502*MIN(AM502*Mat.Conc_Beta.1,$Y502))
+(Mat.Conc_Alpha.1*Mat.Conc_f.c*$V502*MAX(0,AM502*Mat.Conc_Beta.1-$Y502)))
-($J502*MIN(Mat.Rebar_f.y,(Mat.Rebar_epsilon.cl*($S502-AM502)/AM502)*Mat.PT_E.s))
-($M502*Mat.PT_f.pu*(1-Mat.PT_k*AM502/$P502))))</f>
        <v/>
      </c>
      <c r="AP502" s="329"/>
      <c r="AQ502" s="167" t="str">
        <f>IF(ISBLANK(Inputs!$A110),"",
IF(AO502="--","Solved",
IF(ABS(AO502)&lt;=0.001,"Solved",AM502-AO502*(AM502-AI502)/(AO502-AK502))))</f>
        <v/>
      </c>
      <c r="AR502" s="167"/>
      <c r="AS502" s="329" t="str">
        <f>IF(ISBLANK(Inputs!$A110),"",
IF(OR(AQ502="Solved",AQ502="--"),"--",
((Mat.Conc_Alpha.1*Mat.Conc_f.c*$AB502*MIN(AQ502*Mat.Conc_Beta.1,$Y502))
+(Mat.Conc_Alpha.1*Mat.Conc_f.c*$V502*MAX(0,AQ502*Mat.Conc_Beta.1-$Y502)))
-($J502*MIN(Mat.Rebar_f.y,(Mat.Rebar_epsilon.cl*($S502-AQ502)/AQ502)*Mat.PT_E.s))
-($M502*Mat.PT_f.pu*(1-Mat.PT_k*AQ502/$P502))))</f>
        <v/>
      </c>
      <c r="AT502" s="329"/>
      <c r="AU502" s="167" t="str">
        <f>IF(ISBLANK(Inputs!$A110),"",
IF(AS502="--","Solved",
IF(ABS(AS502)&lt;=0.001,"Solved",AQ502-AS502*(AQ502-AM502)/(AS502-AO502))))</f>
        <v/>
      </c>
      <c r="AV502" s="167"/>
      <c r="AW502" s="329" t="str">
        <f>IF(ISBLANK(Inputs!$A110),"",
IF(OR(AU502="Solved",AU502="--"),"--",
((Mat.Conc_Alpha.1*Mat.Conc_f.c*$AB502*MIN(AU502*Mat.Conc_Beta.1,$Y502))
+(Mat.Conc_Alpha.1*Mat.Conc_f.c*$V502*MAX(0,AU502*Mat.Conc_Beta.1-$Y502)))
-($J502*MIN(Mat.Rebar_f.y,(Mat.Rebar_epsilon.cl*($S502-AU502)/AU502)*Mat.PT_E.s))
-($M502*Mat.PT_f.pu*(1-Mat.PT_k*AU502/$P502))))</f>
        <v/>
      </c>
      <c r="AX502" s="329"/>
      <c r="AY502" s="167" t="str">
        <f>IF(ISBLANK(Inputs!$A110),"",
IF(AW502="--","Solved",
IF(ABS(AW502)&lt;=0.001,"Solved",AU502-AW502*(AU502-AQ502)/(AW502-AS502))))</f>
        <v/>
      </c>
      <c r="AZ502" s="167"/>
      <c r="BA502" s="329" t="str">
        <f>IF(ISBLANK(Inputs!$A110),"",
IF(OR(AY502="Solved",AY502="--"),"--",
((Mat.Conc_Alpha.1*Mat.Conc_f.c*$AB502*MIN(AY502*Mat.Conc_Beta.1,$Y502))
+(Mat.Conc_Alpha.1*Mat.Conc_f.c*$V502*MAX(0,AY502*Mat.Conc_Beta.1-$Y502)))
-($J502*MIN(Mat.Rebar_f.y,(Mat.Rebar_epsilon.cl*($S502-AY502)/AY502)*Mat.PT_E.s))
-($M502*Mat.PT_f.pu*(1-Mat.PT_k*AY502/$P502))))</f>
        <v/>
      </c>
      <c r="BB502" s="329"/>
      <c r="BC502" s="167" t="str">
        <f>IF(ISBLANK(Inputs!$A110),"",
IF(BA502="--","Solved",
IF(ABS(BA502)&lt;=0.001,"Solved",AY502-BA502*(AY502-AU502)/(BA502-AW502))))</f>
        <v/>
      </c>
      <c r="BD502" s="167"/>
      <c r="BE502" s="329" t="str">
        <f>IF(ISBLANK(Inputs!$A110),"",
IF(OR(BC502="Solved",BC502="--"),"--",
((Mat.Conc_Alpha.1*Mat.Conc_f.c*$AB502*MIN(BC502*Mat.Conc_Beta.1,$Y502))
+(Mat.Conc_Alpha.1*Mat.Conc_f.c*$V502*MAX(0,BC502*Mat.Conc_Beta.1-$Y502)))
-($J502*MIN(Mat.Rebar_f.y,(Mat.Rebar_epsilon.cl*($S502-BC502)/BC502)*Mat.PT_E.s))
-($M502*Mat.PT_f.pu*(1-Mat.PT_k*BC502/$P502))))</f>
        <v/>
      </c>
      <c r="BF502" s="329"/>
      <c r="BG502" s="167" t="str">
        <f>IF(ISBLANK(Inputs!$A110),"",
IF(BE502="--","Solved",
IF(ABS(BE502)&lt;=0.001,"Solved",BC502-BE502*(BC502-AY502)/(BE502-BA502))))</f>
        <v/>
      </c>
      <c r="BH502" s="167"/>
      <c r="BI502" s="329" t="str">
        <f>IF(ISBLANK(Inputs!$A110),"",
IF(OR(BG502="Solved",BG502="--"),"--",
((Mat.Conc_Alpha.1*Mat.Conc_f.c*$AB502*MIN(BG502*Mat.Conc_Beta.1,$Y502))
+(Mat.Conc_Alpha.1*Mat.Conc_f.c*$V502*MAX(0,BG502*Mat.Conc_Beta.1-$Y502)))
-($J502*MIN(Mat.Rebar_f.y,(Mat.Rebar_epsilon.cl*($S502-BG502)/BG502)*Mat.PT_E.s))
-($M502*Mat.PT_f.pu*(1-Mat.PT_k*BG502/$P502))))</f>
        <v/>
      </c>
      <c r="BJ502" s="329"/>
      <c r="BK502" s="167" t="str">
        <f>IF(ISBLANK(Inputs!$A110),"",
IF(BI502="--","Solved",
IF(ABS(BI502)&lt;=0.001,"Solved",BG502-BI502*(BG502-BC502)/(BI502-BE502))))</f>
        <v/>
      </c>
      <c r="BL502" s="167"/>
      <c r="BM502" s="329" t="str">
        <f>IF(ISBLANK(Inputs!$A110),"",
IF(OR(BK502="Solved",BK502="--"),"--",
((Mat.Conc_Alpha.1*Mat.Conc_f.c*$AB502*MIN(BK502*Mat.Conc_Beta.1,$Y502))
+(Mat.Conc_Alpha.1*Mat.Conc_f.c*$V502*MAX(0,BK502*Mat.Conc_Beta.1-$Y502)))
-($J502*MIN(Mat.Rebar_f.y,(Mat.Rebar_epsilon.cl*($S502-BK502)/BK502)*Mat.PT_E.s))
-($M502*Mat.PT_f.pu*(1-Mat.PT_k*BK502/$P502))))</f>
        <v/>
      </c>
      <c r="BN502" s="329"/>
      <c r="BO502" s="167" t="str">
        <f>IF(ISBLANK(Inputs!$A110),"",
IF(BM502="--","Solved",
IF(ABS(BM502)&lt;=0.001,"Solved",BK502-BM502*(BK502-BG502)/(BM502-BI502))))</f>
        <v/>
      </c>
      <c r="BP502" s="167"/>
      <c r="BQ502" s="329" t="str">
        <f>IF(ISBLANK(Inputs!$A110),"",
IF(OR(BO502="Solved",BO502="--"),"--",
((Mat.Conc_Alpha.1*Mat.Conc_f.c*$AB502*MIN(BO502*Mat.Conc_Beta.1,$Y502))
+(Mat.Conc_Alpha.1*Mat.Conc_f.c*$V502*MAX(0,BO502*Mat.Conc_Beta.1-$Y502)))
-($J502*MIN(Mat.Rebar_f.y,(Mat.Rebar_epsilon.cl*($S502-BO502)/BO502)*Mat.PT_E.s))
-($M502*Mat.PT_f.pu*(1-Mat.PT_k*BO502/$P502))))</f>
        <v/>
      </c>
      <c r="BR502" s="329"/>
      <c r="BT502" s="98"/>
      <c r="BU502" s="70"/>
      <c r="BV502" s="70"/>
      <c r="BW502" s="8"/>
      <c r="BX502" s="8"/>
      <c r="BY502" s="8"/>
      <c r="BZ502" s="8"/>
      <c r="CA502" s="8"/>
      <c r="CB502" s="10"/>
    </row>
    <row r="503" spans="3:80" ht="15" customHeight="1" x14ac:dyDescent="0.25">
      <c r="C503" s="69"/>
      <c r="F503" s="167" t="str">
        <f>IF(ISBLANK(Inputs!A111),"",Inputs!A111)</f>
        <v/>
      </c>
      <c r="G503" s="167"/>
      <c r="H503" s="167" t="str">
        <f>IF(ISBLANK(Inputs!B111),"",Inputs!B111)</f>
        <v/>
      </c>
      <c r="I503" s="167"/>
      <c r="J503" s="168" t="str">
        <f>IF(ISBLANK(Inputs!G111),"",Inputs!G111)</f>
        <v/>
      </c>
      <c r="K503" s="168"/>
      <c r="L503" s="168"/>
      <c r="M503" s="168" t="str">
        <f>IF(ISBLANK(Inputs!D111),"",Inputs!D111)</f>
        <v/>
      </c>
      <c r="N503" s="168"/>
      <c r="O503" s="168"/>
      <c r="P503" s="168" t="str">
        <f>IF(ISBLANK(Inputs!F111),"",Inputs!F111)</f>
        <v/>
      </c>
      <c r="Q503" s="168"/>
      <c r="R503" s="168"/>
      <c r="S503" s="168" t="str">
        <f>IF(ISBLANK(Inputs!H111),"",Inputs!H111)</f>
        <v/>
      </c>
      <c r="T503" s="168"/>
      <c r="U503" s="168"/>
      <c r="V503" s="168" t="str">
        <f>IF(ISBLANK(Inputs!E111),"",Inputs!E111)</f>
        <v/>
      </c>
      <c r="W503" s="168"/>
      <c r="X503" s="168"/>
      <c r="Y503" s="168" t="str">
        <f>IF(ISBLANK(Inputs!I111),"",Inputs!I111)</f>
        <v/>
      </c>
      <c r="Z503" s="168"/>
      <c r="AA503" s="168"/>
      <c r="AB503" s="168">
        <f>IF(ISBLANK(Inputs!J111),"",Inputs!J111)</f>
        <v>96</v>
      </c>
      <c r="AC503" s="168"/>
      <c r="AD503" s="168"/>
      <c r="AE503" s="167" t="str">
        <f>IF(ISBLANK(Inputs!A111),"",Y503)</f>
        <v/>
      </c>
      <c r="AF503" s="167"/>
      <c r="AG503" s="329" t="str">
        <f>IF(ISBLANK(Inputs!$A111),"",
IF(OR(AE503="Solved",AE503="--"),"--",
((Mat.Conc_Alpha.1*Mat.Conc_f.c*$AB503*MIN(AE503*Mat.Conc_Beta.1,$Y503))
+(Mat.Conc_Alpha.1*Mat.Conc_f.c*$V503*MAX(0,AE503*Mat.Conc_Beta.1-$Y503)))
-($J503*MIN(Mat.Rebar_f.y,(Mat.Rebar_epsilon.cl*($S503-AE503)/AE503)*Mat.PT_E.s))
-($M503*Mat.PT_f.pu*(1-Mat.PT_k*AE503/$P503))))</f>
        <v/>
      </c>
      <c r="AH503" s="329"/>
      <c r="AI503" s="167" t="str">
        <f>IF(ISBLANK(Inputs!$A111),"",
IF(ABS(AG503)&lt;=0.001,"Solved",IF(AG503&gt;0,0.85*AE503,1.15*AE503)))</f>
        <v/>
      </c>
      <c r="AJ503" s="167"/>
      <c r="AK503" s="329" t="str">
        <f>IF(ISBLANK(Inputs!$A111),"",
IF(OR(AI503="Solved",AI503="--"),"--",
((Mat.Conc_Alpha.1*Mat.Conc_f.c*$AB503*MIN(AI503*Mat.Conc_Beta.1,$Y503))
+(Mat.Conc_Alpha.1*Mat.Conc_f.c*$V503*MAX(0,AI503*Mat.Conc_Beta.1-$Y503)))
-($J503*MIN(Mat.Rebar_f.y,(Mat.Rebar_epsilon.cl*($S503-AI503)/AI503)*Mat.PT_E.s))
-($M503*Mat.PT_f.pu*(1-Mat.PT_k*AI503/$P503))))</f>
        <v/>
      </c>
      <c r="AL503" s="329"/>
      <c r="AM503" s="167" t="str">
        <f>IF(ISBLANK(Inputs!$A111),"",
IF(AK503="--","Solved",
IF(ABS(AK503)&lt;=0.001,"Solved",AI503-AK503*(AI503-AE503)/(AK503-AG503))))</f>
        <v/>
      </c>
      <c r="AN503" s="167"/>
      <c r="AO503" s="329" t="str">
        <f>IF(ISBLANK(Inputs!$A111),"",
IF(OR(AM503="Solved",AM503="--"),"--",
((Mat.Conc_Alpha.1*Mat.Conc_f.c*$AB503*MIN(AM503*Mat.Conc_Beta.1,$Y503))
+(Mat.Conc_Alpha.1*Mat.Conc_f.c*$V503*MAX(0,AM503*Mat.Conc_Beta.1-$Y503)))
-($J503*MIN(Mat.Rebar_f.y,(Mat.Rebar_epsilon.cl*($S503-AM503)/AM503)*Mat.PT_E.s))
-($M503*Mat.PT_f.pu*(1-Mat.PT_k*AM503/$P503))))</f>
        <v/>
      </c>
      <c r="AP503" s="329"/>
      <c r="AQ503" s="167" t="str">
        <f>IF(ISBLANK(Inputs!$A111),"",
IF(AO503="--","Solved",
IF(ABS(AO503)&lt;=0.001,"Solved",AM503-AO503*(AM503-AI503)/(AO503-AK503))))</f>
        <v/>
      </c>
      <c r="AR503" s="167"/>
      <c r="AS503" s="329" t="str">
        <f>IF(ISBLANK(Inputs!$A111),"",
IF(OR(AQ503="Solved",AQ503="--"),"--",
((Mat.Conc_Alpha.1*Mat.Conc_f.c*$AB503*MIN(AQ503*Mat.Conc_Beta.1,$Y503))
+(Mat.Conc_Alpha.1*Mat.Conc_f.c*$V503*MAX(0,AQ503*Mat.Conc_Beta.1-$Y503)))
-($J503*MIN(Mat.Rebar_f.y,(Mat.Rebar_epsilon.cl*($S503-AQ503)/AQ503)*Mat.PT_E.s))
-($M503*Mat.PT_f.pu*(1-Mat.PT_k*AQ503/$P503))))</f>
        <v/>
      </c>
      <c r="AT503" s="329"/>
      <c r="AU503" s="167" t="str">
        <f>IF(ISBLANK(Inputs!$A111),"",
IF(AS503="--","Solved",
IF(ABS(AS503)&lt;=0.001,"Solved",AQ503-AS503*(AQ503-AM503)/(AS503-AO503))))</f>
        <v/>
      </c>
      <c r="AV503" s="167"/>
      <c r="AW503" s="329" t="str">
        <f>IF(ISBLANK(Inputs!$A111),"",
IF(OR(AU503="Solved",AU503="--"),"--",
((Mat.Conc_Alpha.1*Mat.Conc_f.c*$AB503*MIN(AU503*Mat.Conc_Beta.1,$Y503))
+(Mat.Conc_Alpha.1*Mat.Conc_f.c*$V503*MAX(0,AU503*Mat.Conc_Beta.1-$Y503)))
-($J503*MIN(Mat.Rebar_f.y,(Mat.Rebar_epsilon.cl*($S503-AU503)/AU503)*Mat.PT_E.s))
-($M503*Mat.PT_f.pu*(1-Mat.PT_k*AU503/$P503))))</f>
        <v/>
      </c>
      <c r="AX503" s="329"/>
      <c r="AY503" s="167" t="str">
        <f>IF(ISBLANK(Inputs!$A111),"",
IF(AW503="--","Solved",
IF(ABS(AW503)&lt;=0.001,"Solved",AU503-AW503*(AU503-AQ503)/(AW503-AS503))))</f>
        <v/>
      </c>
      <c r="AZ503" s="167"/>
      <c r="BA503" s="329" t="str">
        <f>IF(ISBLANK(Inputs!$A111),"",
IF(OR(AY503="Solved",AY503="--"),"--",
((Mat.Conc_Alpha.1*Mat.Conc_f.c*$AB503*MIN(AY503*Mat.Conc_Beta.1,$Y503))
+(Mat.Conc_Alpha.1*Mat.Conc_f.c*$V503*MAX(0,AY503*Mat.Conc_Beta.1-$Y503)))
-($J503*MIN(Mat.Rebar_f.y,(Mat.Rebar_epsilon.cl*($S503-AY503)/AY503)*Mat.PT_E.s))
-($M503*Mat.PT_f.pu*(1-Mat.PT_k*AY503/$P503))))</f>
        <v/>
      </c>
      <c r="BB503" s="329"/>
      <c r="BC503" s="167" t="str">
        <f>IF(ISBLANK(Inputs!$A111),"",
IF(BA503="--","Solved",
IF(ABS(BA503)&lt;=0.001,"Solved",AY503-BA503*(AY503-AU503)/(BA503-AW503))))</f>
        <v/>
      </c>
      <c r="BD503" s="167"/>
      <c r="BE503" s="329" t="str">
        <f>IF(ISBLANK(Inputs!$A111),"",
IF(OR(BC503="Solved",BC503="--"),"--",
((Mat.Conc_Alpha.1*Mat.Conc_f.c*$AB503*MIN(BC503*Mat.Conc_Beta.1,$Y503))
+(Mat.Conc_Alpha.1*Mat.Conc_f.c*$V503*MAX(0,BC503*Mat.Conc_Beta.1-$Y503)))
-($J503*MIN(Mat.Rebar_f.y,(Mat.Rebar_epsilon.cl*($S503-BC503)/BC503)*Mat.PT_E.s))
-($M503*Mat.PT_f.pu*(1-Mat.PT_k*BC503/$P503))))</f>
        <v/>
      </c>
      <c r="BF503" s="329"/>
      <c r="BG503" s="167" t="str">
        <f>IF(ISBLANK(Inputs!$A111),"",
IF(BE503="--","Solved",
IF(ABS(BE503)&lt;=0.001,"Solved",BC503-BE503*(BC503-AY503)/(BE503-BA503))))</f>
        <v/>
      </c>
      <c r="BH503" s="167"/>
      <c r="BI503" s="329" t="str">
        <f>IF(ISBLANK(Inputs!$A111),"",
IF(OR(BG503="Solved",BG503="--"),"--",
((Mat.Conc_Alpha.1*Mat.Conc_f.c*$AB503*MIN(BG503*Mat.Conc_Beta.1,$Y503))
+(Mat.Conc_Alpha.1*Mat.Conc_f.c*$V503*MAX(0,BG503*Mat.Conc_Beta.1-$Y503)))
-($J503*MIN(Mat.Rebar_f.y,(Mat.Rebar_epsilon.cl*($S503-BG503)/BG503)*Mat.PT_E.s))
-($M503*Mat.PT_f.pu*(1-Mat.PT_k*BG503/$P503))))</f>
        <v/>
      </c>
      <c r="BJ503" s="329"/>
      <c r="BK503" s="167" t="str">
        <f>IF(ISBLANK(Inputs!$A111),"",
IF(BI503="--","Solved",
IF(ABS(BI503)&lt;=0.001,"Solved",BG503-BI503*(BG503-BC503)/(BI503-BE503))))</f>
        <v/>
      </c>
      <c r="BL503" s="167"/>
      <c r="BM503" s="329" t="str">
        <f>IF(ISBLANK(Inputs!$A111),"",
IF(OR(BK503="Solved",BK503="--"),"--",
((Mat.Conc_Alpha.1*Mat.Conc_f.c*$AB503*MIN(BK503*Mat.Conc_Beta.1,$Y503))
+(Mat.Conc_Alpha.1*Mat.Conc_f.c*$V503*MAX(0,BK503*Mat.Conc_Beta.1-$Y503)))
-($J503*MIN(Mat.Rebar_f.y,(Mat.Rebar_epsilon.cl*($S503-BK503)/BK503)*Mat.PT_E.s))
-($M503*Mat.PT_f.pu*(1-Mat.PT_k*BK503/$P503))))</f>
        <v/>
      </c>
      <c r="BN503" s="329"/>
      <c r="BO503" s="167" t="str">
        <f>IF(ISBLANK(Inputs!$A111),"",
IF(BM503="--","Solved",
IF(ABS(BM503)&lt;=0.001,"Solved",BK503-BM503*(BK503-BG503)/(BM503-BI503))))</f>
        <v/>
      </c>
      <c r="BP503" s="167"/>
      <c r="BQ503" s="329" t="str">
        <f>IF(ISBLANK(Inputs!$A111),"",
IF(OR(BO503="Solved",BO503="--"),"--",
((Mat.Conc_Alpha.1*Mat.Conc_f.c*$AB503*MIN(BO503*Mat.Conc_Beta.1,$Y503))
+(Mat.Conc_Alpha.1*Mat.Conc_f.c*$V503*MAX(0,BO503*Mat.Conc_Beta.1-$Y503)))
-($J503*MIN(Mat.Rebar_f.y,(Mat.Rebar_epsilon.cl*($S503-BO503)/BO503)*Mat.PT_E.s))
-($M503*Mat.PT_f.pu*(1-Mat.PT_k*BO503/$P503))))</f>
        <v/>
      </c>
      <c r="BR503" s="329"/>
      <c r="BT503" s="98"/>
      <c r="BU503" s="70"/>
      <c r="BV503" s="70"/>
      <c r="BW503" s="8"/>
      <c r="BX503" s="8"/>
      <c r="BY503" s="8"/>
      <c r="BZ503" s="8"/>
      <c r="CA503" s="8"/>
      <c r="CB503" s="10"/>
    </row>
    <row r="504" spans="3:80" ht="15" customHeight="1" x14ac:dyDescent="0.25">
      <c r="C504" s="69"/>
      <c r="F504" s="167" t="str">
        <f>IF(ISBLANK(Inputs!A112),"",Inputs!A112)</f>
        <v/>
      </c>
      <c r="G504" s="167"/>
      <c r="H504" s="167" t="str">
        <f>IF(ISBLANK(Inputs!B112),"",Inputs!B112)</f>
        <v/>
      </c>
      <c r="I504" s="167"/>
      <c r="J504" s="168" t="str">
        <f>IF(ISBLANK(Inputs!G112),"",Inputs!G112)</f>
        <v/>
      </c>
      <c r="K504" s="168"/>
      <c r="L504" s="168"/>
      <c r="M504" s="168" t="str">
        <f>IF(ISBLANK(Inputs!D112),"",Inputs!D112)</f>
        <v/>
      </c>
      <c r="N504" s="168"/>
      <c r="O504" s="168"/>
      <c r="P504" s="168" t="str">
        <f>IF(ISBLANK(Inputs!F112),"",Inputs!F112)</f>
        <v/>
      </c>
      <c r="Q504" s="168"/>
      <c r="R504" s="168"/>
      <c r="S504" s="168" t="str">
        <f>IF(ISBLANK(Inputs!H112),"",Inputs!H112)</f>
        <v/>
      </c>
      <c r="T504" s="168"/>
      <c r="U504" s="168"/>
      <c r="V504" s="168" t="str">
        <f>IF(ISBLANK(Inputs!E112),"",Inputs!E112)</f>
        <v/>
      </c>
      <c r="W504" s="168"/>
      <c r="X504" s="168"/>
      <c r="Y504" s="168" t="str">
        <f>IF(ISBLANK(Inputs!I112),"",Inputs!I112)</f>
        <v/>
      </c>
      <c r="Z504" s="168"/>
      <c r="AA504" s="168"/>
      <c r="AB504" s="168">
        <f>IF(ISBLANK(Inputs!J112),"",Inputs!J112)</f>
        <v>96</v>
      </c>
      <c r="AC504" s="168"/>
      <c r="AD504" s="168"/>
      <c r="AE504" s="167" t="str">
        <f>IF(ISBLANK(Inputs!A112),"",Y504)</f>
        <v/>
      </c>
      <c r="AF504" s="167"/>
      <c r="AG504" s="329" t="str">
        <f>IF(ISBLANK(Inputs!$A112),"",
IF(OR(AE504="Solved",AE504="--"),"--",
((Mat.Conc_Alpha.1*Mat.Conc_f.c*$AB504*MIN(AE504*Mat.Conc_Beta.1,$Y504))
+(Mat.Conc_Alpha.1*Mat.Conc_f.c*$V504*MAX(0,AE504*Mat.Conc_Beta.1-$Y504)))
-($J504*MIN(Mat.Rebar_f.y,(Mat.Rebar_epsilon.cl*($S504-AE504)/AE504)*Mat.PT_E.s))
-($M504*Mat.PT_f.pu*(1-Mat.PT_k*AE504/$P504))))</f>
        <v/>
      </c>
      <c r="AH504" s="329"/>
      <c r="AI504" s="167" t="str">
        <f>IF(ISBLANK(Inputs!$A112),"",
IF(ABS(AG504)&lt;=0.001,"Solved",IF(AG504&gt;0,0.85*AE504,1.15*AE504)))</f>
        <v/>
      </c>
      <c r="AJ504" s="167"/>
      <c r="AK504" s="329" t="str">
        <f>IF(ISBLANK(Inputs!$A112),"",
IF(OR(AI504="Solved",AI504="--"),"--",
((Mat.Conc_Alpha.1*Mat.Conc_f.c*$AB504*MIN(AI504*Mat.Conc_Beta.1,$Y504))
+(Mat.Conc_Alpha.1*Mat.Conc_f.c*$V504*MAX(0,AI504*Mat.Conc_Beta.1-$Y504)))
-($J504*MIN(Mat.Rebar_f.y,(Mat.Rebar_epsilon.cl*($S504-AI504)/AI504)*Mat.PT_E.s))
-($M504*Mat.PT_f.pu*(1-Mat.PT_k*AI504/$P504))))</f>
        <v/>
      </c>
      <c r="AL504" s="329"/>
      <c r="AM504" s="167" t="str">
        <f>IF(ISBLANK(Inputs!$A112),"",
IF(AK504="--","Solved",
IF(ABS(AK504)&lt;=0.001,"Solved",AI504-AK504*(AI504-AE504)/(AK504-AG504))))</f>
        <v/>
      </c>
      <c r="AN504" s="167"/>
      <c r="AO504" s="329" t="str">
        <f>IF(ISBLANK(Inputs!$A112),"",
IF(OR(AM504="Solved",AM504="--"),"--",
((Mat.Conc_Alpha.1*Mat.Conc_f.c*$AB504*MIN(AM504*Mat.Conc_Beta.1,$Y504))
+(Mat.Conc_Alpha.1*Mat.Conc_f.c*$V504*MAX(0,AM504*Mat.Conc_Beta.1-$Y504)))
-($J504*MIN(Mat.Rebar_f.y,(Mat.Rebar_epsilon.cl*($S504-AM504)/AM504)*Mat.PT_E.s))
-($M504*Mat.PT_f.pu*(1-Mat.PT_k*AM504/$P504))))</f>
        <v/>
      </c>
      <c r="AP504" s="329"/>
      <c r="AQ504" s="167" t="str">
        <f>IF(ISBLANK(Inputs!$A112),"",
IF(AO504="--","Solved",
IF(ABS(AO504)&lt;=0.001,"Solved",AM504-AO504*(AM504-AI504)/(AO504-AK504))))</f>
        <v/>
      </c>
      <c r="AR504" s="167"/>
      <c r="AS504" s="329" t="str">
        <f>IF(ISBLANK(Inputs!$A112),"",
IF(OR(AQ504="Solved",AQ504="--"),"--",
((Mat.Conc_Alpha.1*Mat.Conc_f.c*$AB504*MIN(AQ504*Mat.Conc_Beta.1,$Y504))
+(Mat.Conc_Alpha.1*Mat.Conc_f.c*$V504*MAX(0,AQ504*Mat.Conc_Beta.1-$Y504)))
-($J504*MIN(Mat.Rebar_f.y,(Mat.Rebar_epsilon.cl*($S504-AQ504)/AQ504)*Mat.PT_E.s))
-($M504*Mat.PT_f.pu*(1-Mat.PT_k*AQ504/$P504))))</f>
        <v/>
      </c>
      <c r="AT504" s="329"/>
      <c r="AU504" s="167" t="str">
        <f>IF(ISBLANK(Inputs!$A112),"",
IF(AS504="--","Solved",
IF(ABS(AS504)&lt;=0.001,"Solved",AQ504-AS504*(AQ504-AM504)/(AS504-AO504))))</f>
        <v/>
      </c>
      <c r="AV504" s="167"/>
      <c r="AW504" s="329" t="str">
        <f>IF(ISBLANK(Inputs!$A112),"",
IF(OR(AU504="Solved",AU504="--"),"--",
((Mat.Conc_Alpha.1*Mat.Conc_f.c*$AB504*MIN(AU504*Mat.Conc_Beta.1,$Y504))
+(Mat.Conc_Alpha.1*Mat.Conc_f.c*$V504*MAX(0,AU504*Mat.Conc_Beta.1-$Y504)))
-($J504*MIN(Mat.Rebar_f.y,(Mat.Rebar_epsilon.cl*($S504-AU504)/AU504)*Mat.PT_E.s))
-($M504*Mat.PT_f.pu*(1-Mat.PT_k*AU504/$P504))))</f>
        <v/>
      </c>
      <c r="AX504" s="329"/>
      <c r="AY504" s="167" t="str">
        <f>IF(ISBLANK(Inputs!$A112),"",
IF(AW504="--","Solved",
IF(ABS(AW504)&lt;=0.001,"Solved",AU504-AW504*(AU504-AQ504)/(AW504-AS504))))</f>
        <v/>
      </c>
      <c r="AZ504" s="167"/>
      <c r="BA504" s="329" t="str">
        <f>IF(ISBLANK(Inputs!$A112),"",
IF(OR(AY504="Solved",AY504="--"),"--",
((Mat.Conc_Alpha.1*Mat.Conc_f.c*$AB504*MIN(AY504*Mat.Conc_Beta.1,$Y504))
+(Mat.Conc_Alpha.1*Mat.Conc_f.c*$V504*MAX(0,AY504*Mat.Conc_Beta.1-$Y504)))
-($J504*MIN(Mat.Rebar_f.y,(Mat.Rebar_epsilon.cl*($S504-AY504)/AY504)*Mat.PT_E.s))
-($M504*Mat.PT_f.pu*(1-Mat.PT_k*AY504/$P504))))</f>
        <v/>
      </c>
      <c r="BB504" s="329"/>
      <c r="BC504" s="167" t="str">
        <f>IF(ISBLANK(Inputs!$A112),"",
IF(BA504="--","Solved",
IF(ABS(BA504)&lt;=0.001,"Solved",AY504-BA504*(AY504-AU504)/(BA504-AW504))))</f>
        <v/>
      </c>
      <c r="BD504" s="167"/>
      <c r="BE504" s="329" t="str">
        <f>IF(ISBLANK(Inputs!$A112),"",
IF(OR(BC504="Solved",BC504="--"),"--",
((Mat.Conc_Alpha.1*Mat.Conc_f.c*$AB504*MIN(BC504*Mat.Conc_Beta.1,$Y504))
+(Mat.Conc_Alpha.1*Mat.Conc_f.c*$V504*MAX(0,BC504*Mat.Conc_Beta.1-$Y504)))
-($J504*MIN(Mat.Rebar_f.y,(Mat.Rebar_epsilon.cl*($S504-BC504)/BC504)*Mat.PT_E.s))
-($M504*Mat.PT_f.pu*(1-Mat.PT_k*BC504/$P504))))</f>
        <v/>
      </c>
      <c r="BF504" s="329"/>
      <c r="BG504" s="167" t="str">
        <f>IF(ISBLANK(Inputs!$A112),"",
IF(BE504="--","Solved",
IF(ABS(BE504)&lt;=0.001,"Solved",BC504-BE504*(BC504-AY504)/(BE504-BA504))))</f>
        <v/>
      </c>
      <c r="BH504" s="167"/>
      <c r="BI504" s="329" t="str">
        <f>IF(ISBLANK(Inputs!$A112),"",
IF(OR(BG504="Solved",BG504="--"),"--",
((Mat.Conc_Alpha.1*Mat.Conc_f.c*$AB504*MIN(BG504*Mat.Conc_Beta.1,$Y504))
+(Mat.Conc_Alpha.1*Mat.Conc_f.c*$V504*MAX(0,BG504*Mat.Conc_Beta.1-$Y504)))
-($J504*MIN(Mat.Rebar_f.y,(Mat.Rebar_epsilon.cl*($S504-BG504)/BG504)*Mat.PT_E.s))
-($M504*Mat.PT_f.pu*(1-Mat.PT_k*BG504/$P504))))</f>
        <v/>
      </c>
      <c r="BJ504" s="329"/>
      <c r="BK504" s="167" t="str">
        <f>IF(ISBLANK(Inputs!$A112),"",
IF(BI504="--","Solved",
IF(ABS(BI504)&lt;=0.001,"Solved",BG504-BI504*(BG504-BC504)/(BI504-BE504))))</f>
        <v/>
      </c>
      <c r="BL504" s="167"/>
      <c r="BM504" s="329" t="str">
        <f>IF(ISBLANK(Inputs!$A112),"",
IF(OR(BK504="Solved",BK504="--"),"--",
((Mat.Conc_Alpha.1*Mat.Conc_f.c*$AB504*MIN(BK504*Mat.Conc_Beta.1,$Y504))
+(Mat.Conc_Alpha.1*Mat.Conc_f.c*$V504*MAX(0,BK504*Mat.Conc_Beta.1-$Y504)))
-($J504*MIN(Mat.Rebar_f.y,(Mat.Rebar_epsilon.cl*($S504-BK504)/BK504)*Mat.PT_E.s))
-($M504*Mat.PT_f.pu*(1-Mat.PT_k*BK504/$P504))))</f>
        <v/>
      </c>
      <c r="BN504" s="329"/>
      <c r="BO504" s="167" t="str">
        <f>IF(ISBLANK(Inputs!$A112),"",
IF(BM504="--","Solved",
IF(ABS(BM504)&lt;=0.001,"Solved",BK504-BM504*(BK504-BG504)/(BM504-BI504))))</f>
        <v/>
      </c>
      <c r="BP504" s="167"/>
      <c r="BQ504" s="329" t="str">
        <f>IF(ISBLANK(Inputs!$A112),"",
IF(OR(BO504="Solved",BO504="--"),"--",
((Mat.Conc_Alpha.1*Mat.Conc_f.c*$AB504*MIN(BO504*Mat.Conc_Beta.1,$Y504))
+(Mat.Conc_Alpha.1*Mat.Conc_f.c*$V504*MAX(0,BO504*Mat.Conc_Beta.1-$Y504)))
-($J504*MIN(Mat.Rebar_f.y,(Mat.Rebar_epsilon.cl*($S504-BO504)/BO504)*Mat.PT_E.s))
-($M504*Mat.PT_f.pu*(1-Mat.PT_k*BO504/$P504))))</f>
        <v/>
      </c>
      <c r="BR504" s="329"/>
      <c r="BT504" s="98"/>
      <c r="BU504" s="70"/>
      <c r="BV504" s="70"/>
      <c r="BW504" s="8"/>
      <c r="BX504" s="8"/>
      <c r="BY504" s="8"/>
      <c r="BZ504" s="8"/>
      <c r="CA504" s="8"/>
      <c r="CB504" s="10"/>
    </row>
    <row r="505" spans="3:80" ht="15" customHeight="1" x14ac:dyDescent="0.25">
      <c r="C505" s="69"/>
      <c r="F505" s="167" t="str">
        <f>IF(ISBLANK(Inputs!A113),"",Inputs!A113)</f>
        <v/>
      </c>
      <c r="G505" s="167"/>
      <c r="H505" s="167" t="str">
        <f>IF(ISBLANK(Inputs!B113),"",Inputs!B113)</f>
        <v/>
      </c>
      <c r="I505" s="167"/>
      <c r="J505" s="168" t="str">
        <f>IF(ISBLANK(Inputs!G113),"",Inputs!G113)</f>
        <v/>
      </c>
      <c r="K505" s="168"/>
      <c r="L505" s="168"/>
      <c r="M505" s="168" t="str">
        <f>IF(ISBLANK(Inputs!D113),"",Inputs!D113)</f>
        <v/>
      </c>
      <c r="N505" s="168"/>
      <c r="O505" s="168"/>
      <c r="P505" s="168" t="str">
        <f>IF(ISBLANK(Inputs!F113),"",Inputs!F113)</f>
        <v/>
      </c>
      <c r="Q505" s="168"/>
      <c r="R505" s="168"/>
      <c r="S505" s="168" t="str">
        <f>IF(ISBLANK(Inputs!H113),"",Inputs!H113)</f>
        <v/>
      </c>
      <c r="T505" s="168"/>
      <c r="U505" s="168"/>
      <c r="V505" s="168" t="str">
        <f>IF(ISBLANK(Inputs!E113),"",Inputs!E113)</f>
        <v/>
      </c>
      <c r="W505" s="168"/>
      <c r="X505" s="168"/>
      <c r="Y505" s="168" t="str">
        <f>IF(ISBLANK(Inputs!I113),"",Inputs!I113)</f>
        <v/>
      </c>
      <c r="Z505" s="168"/>
      <c r="AA505" s="168"/>
      <c r="AB505" s="168">
        <f>IF(ISBLANK(Inputs!J113),"",Inputs!J113)</f>
        <v>96</v>
      </c>
      <c r="AC505" s="168"/>
      <c r="AD505" s="168"/>
      <c r="AE505" s="167" t="str">
        <f>IF(ISBLANK(Inputs!A113),"",Y505)</f>
        <v/>
      </c>
      <c r="AF505" s="167"/>
      <c r="AG505" s="329" t="str">
        <f>IF(ISBLANK(Inputs!$A113),"",
IF(OR(AE505="Solved",AE505="--"),"--",
((Mat.Conc_Alpha.1*Mat.Conc_f.c*$AB505*MIN(AE505*Mat.Conc_Beta.1,$Y505))
+(Mat.Conc_Alpha.1*Mat.Conc_f.c*$V505*MAX(0,AE505*Mat.Conc_Beta.1-$Y505)))
-($J505*MIN(Mat.Rebar_f.y,(Mat.Rebar_epsilon.cl*($S505-AE505)/AE505)*Mat.PT_E.s))
-($M505*Mat.PT_f.pu*(1-Mat.PT_k*AE505/$P505))))</f>
        <v/>
      </c>
      <c r="AH505" s="329"/>
      <c r="AI505" s="167" t="str">
        <f>IF(ISBLANK(Inputs!$A113),"",
IF(ABS(AG505)&lt;=0.001,"Solved",IF(AG505&gt;0,0.85*AE505,1.15*AE505)))</f>
        <v/>
      </c>
      <c r="AJ505" s="167"/>
      <c r="AK505" s="329" t="str">
        <f>IF(ISBLANK(Inputs!$A113),"",
IF(OR(AI505="Solved",AI505="--"),"--",
((Mat.Conc_Alpha.1*Mat.Conc_f.c*$AB505*MIN(AI505*Mat.Conc_Beta.1,$Y505))
+(Mat.Conc_Alpha.1*Mat.Conc_f.c*$V505*MAX(0,AI505*Mat.Conc_Beta.1-$Y505)))
-($J505*MIN(Mat.Rebar_f.y,(Mat.Rebar_epsilon.cl*($S505-AI505)/AI505)*Mat.PT_E.s))
-($M505*Mat.PT_f.pu*(1-Mat.PT_k*AI505/$P505))))</f>
        <v/>
      </c>
      <c r="AL505" s="329"/>
      <c r="AM505" s="167" t="str">
        <f>IF(ISBLANK(Inputs!$A113),"",
IF(AK505="--","Solved",
IF(ABS(AK505)&lt;=0.001,"Solved",AI505-AK505*(AI505-AE505)/(AK505-AG505))))</f>
        <v/>
      </c>
      <c r="AN505" s="167"/>
      <c r="AO505" s="329" t="str">
        <f>IF(ISBLANK(Inputs!$A113),"",
IF(OR(AM505="Solved",AM505="--"),"--",
((Mat.Conc_Alpha.1*Mat.Conc_f.c*$AB505*MIN(AM505*Mat.Conc_Beta.1,$Y505))
+(Mat.Conc_Alpha.1*Mat.Conc_f.c*$V505*MAX(0,AM505*Mat.Conc_Beta.1-$Y505)))
-($J505*MIN(Mat.Rebar_f.y,(Mat.Rebar_epsilon.cl*($S505-AM505)/AM505)*Mat.PT_E.s))
-($M505*Mat.PT_f.pu*(1-Mat.PT_k*AM505/$P505))))</f>
        <v/>
      </c>
      <c r="AP505" s="329"/>
      <c r="AQ505" s="167" t="str">
        <f>IF(ISBLANK(Inputs!$A113),"",
IF(AO505="--","Solved",
IF(ABS(AO505)&lt;=0.001,"Solved",AM505-AO505*(AM505-AI505)/(AO505-AK505))))</f>
        <v/>
      </c>
      <c r="AR505" s="167"/>
      <c r="AS505" s="329" t="str">
        <f>IF(ISBLANK(Inputs!$A113),"",
IF(OR(AQ505="Solved",AQ505="--"),"--",
((Mat.Conc_Alpha.1*Mat.Conc_f.c*$AB505*MIN(AQ505*Mat.Conc_Beta.1,$Y505))
+(Mat.Conc_Alpha.1*Mat.Conc_f.c*$V505*MAX(0,AQ505*Mat.Conc_Beta.1-$Y505)))
-($J505*MIN(Mat.Rebar_f.y,(Mat.Rebar_epsilon.cl*($S505-AQ505)/AQ505)*Mat.PT_E.s))
-($M505*Mat.PT_f.pu*(1-Mat.PT_k*AQ505/$P505))))</f>
        <v/>
      </c>
      <c r="AT505" s="329"/>
      <c r="AU505" s="167" t="str">
        <f>IF(ISBLANK(Inputs!$A113),"",
IF(AS505="--","Solved",
IF(ABS(AS505)&lt;=0.001,"Solved",AQ505-AS505*(AQ505-AM505)/(AS505-AO505))))</f>
        <v/>
      </c>
      <c r="AV505" s="167"/>
      <c r="AW505" s="329" t="str">
        <f>IF(ISBLANK(Inputs!$A113),"",
IF(OR(AU505="Solved",AU505="--"),"--",
((Mat.Conc_Alpha.1*Mat.Conc_f.c*$AB505*MIN(AU505*Mat.Conc_Beta.1,$Y505))
+(Mat.Conc_Alpha.1*Mat.Conc_f.c*$V505*MAX(0,AU505*Mat.Conc_Beta.1-$Y505)))
-($J505*MIN(Mat.Rebar_f.y,(Mat.Rebar_epsilon.cl*($S505-AU505)/AU505)*Mat.PT_E.s))
-($M505*Mat.PT_f.pu*(1-Mat.PT_k*AU505/$P505))))</f>
        <v/>
      </c>
      <c r="AX505" s="329"/>
      <c r="AY505" s="167" t="str">
        <f>IF(ISBLANK(Inputs!$A113),"",
IF(AW505="--","Solved",
IF(ABS(AW505)&lt;=0.001,"Solved",AU505-AW505*(AU505-AQ505)/(AW505-AS505))))</f>
        <v/>
      </c>
      <c r="AZ505" s="167"/>
      <c r="BA505" s="329" t="str">
        <f>IF(ISBLANK(Inputs!$A113),"",
IF(OR(AY505="Solved",AY505="--"),"--",
((Mat.Conc_Alpha.1*Mat.Conc_f.c*$AB505*MIN(AY505*Mat.Conc_Beta.1,$Y505))
+(Mat.Conc_Alpha.1*Mat.Conc_f.c*$V505*MAX(0,AY505*Mat.Conc_Beta.1-$Y505)))
-($J505*MIN(Mat.Rebar_f.y,(Mat.Rebar_epsilon.cl*($S505-AY505)/AY505)*Mat.PT_E.s))
-($M505*Mat.PT_f.pu*(1-Mat.PT_k*AY505/$P505))))</f>
        <v/>
      </c>
      <c r="BB505" s="329"/>
      <c r="BC505" s="167" t="str">
        <f>IF(ISBLANK(Inputs!$A113),"",
IF(BA505="--","Solved",
IF(ABS(BA505)&lt;=0.001,"Solved",AY505-BA505*(AY505-AU505)/(BA505-AW505))))</f>
        <v/>
      </c>
      <c r="BD505" s="167"/>
      <c r="BE505" s="329" t="str">
        <f>IF(ISBLANK(Inputs!$A113),"",
IF(OR(BC505="Solved",BC505="--"),"--",
((Mat.Conc_Alpha.1*Mat.Conc_f.c*$AB505*MIN(BC505*Mat.Conc_Beta.1,$Y505))
+(Mat.Conc_Alpha.1*Mat.Conc_f.c*$V505*MAX(0,BC505*Mat.Conc_Beta.1-$Y505)))
-($J505*MIN(Mat.Rebar_f.y,(Mat.Rebar_epsilon.cl*($S505-BC505)/BC505)*Mat.PT_E.s))
-($M505*Mat.PT_f.pu*(1-Mat.PT_k*BC505/$P505))))</f>
        <v/>
      </c>
      <c r="BF505" s="329"/>
      <c r="BG505" s="167" t="str">
        <f>IF(ISBLANK(Inputs!$A113),"",
IF(BE505="--","Solved",
IF(ABS(BE505)&lt;=0.001,"Solved",BC505-BE505*(BC505-AY505)/(BE505-BA505))))</f>
        <v/>
      </c>
      <c r="BH505" s="167"/>
      <c r="BI505" s="329" t="str">
        <f>IF(ISBLANK(Inputs!$A113),"",
IF(OR(BG505="Solved",BG505="--"),"--",
((Mat.Conc_Alpha.1*Mat.Conc_f.c*$AB505*MIN(BG505*Mat.Conc_Beta.1,$Y505))
+(Mat.Conc_Alpha.1*Mat.Conc_f.c*$V505*MAX(0,BG505*Mat.Conc_Beta.1-$Y505)))
-($J505*MIN(Mat.Rebar_f.y,(Mat.Rebar_epsilon.cl*($S505-BG505)/BG505)*Mat.PT_E.s))
-($M505*Mat.PT_f.pu*(1-Mat.PT_k*BG505/$P505))))</f>
        <v/>
      </c>
      <c r="BJ505" s="329"/>
      <c r="BK505" s="167" t="str">
        <f>IF(ISBLANK(Inputs!$A113),"",
IF(BI505="--","Solved",
IF(ABS(BI505)&lt;=0.001,"Solved",BG505-BI505*(BG505-BC505)/(BI505-BE505))))</f>
        <v/>
      </c>
      <c r="BL505" s="167"/>
      <c r="BM505" s="329" t="str">
        <f>IF(ISBLANK(Inputs!$A113),"",
IF(OR(BK505="Solved",BK505="--"),"--",
((Mat.Conc_Alpha.1*Mat.Conc_f.c*$AB505*MIN(BK505*Mat.Conc_Beta.1,$Y505))
+(Mat.Conc_Alpha.1*Mat.Conc_f.c*$V505*MAX(0,BK505*Mat.Conc_Beta.1-$Y505)))
-($J505*MIN(Mat.Rebar_f.y,(Mat.Rebar_epsilon.cl*($S505-BK505)/BK505)*Mat.PT_E.s))
-($M505*Mat.PT_f.pu*(1-Mat.PT_k*BK505/$P505))))</f>
        <v/>
      </c>
      <c r="BN505" s="329"/>
      <c r="BO505" s="167" t="str">
        <f>IF(ISBLANK(Inputs!$A113),"",
IF(BM505="--","Solved",
IF(ABS(BM505)&lt;=0.001,"Solved",BK505-BM505*(BK505-BG505)/(BM505-BI505))))</f>
        <v/>
      </c>
      <c r="BP505" s="167"/>
      <c r="BQ505" s="329" t="str">
        <f>IF(ISBLANK(Inputs!$A113),"",
IF(OR(BO505="Solved",BO505="--"),"--",
((Mat.Conc_Alpha.1*Mat.Conc_f.c*$AB505*MIN(BO505*Mat.Conc_Beta.1,$Y505))
+(Mat.Conc_Alpha.1*Mat.Conc_f.c*$V505*MAX(0,BO505*Mat.Conc_Beta.1-$Y505)))
-($J505*MIN(Mat.Rebar_f.y,(Mat.Rebar_epsilon.cl*($S505-BO505)/BO505)*Mat.PT_E.s))
-($M505*Mat.PT_f.pu*(1-Mat.PT_k*BO505/$P505))))</f>
        <v/>
      </c>
      <c r="BR505" s="329"/>
      <c r="BT505" s="98"/>
      <c r="BU505" s="70"/>
      <c r="BV505" s="70"/>
      <c r="BW505" s="8"/>
      <c r="BX505" s="8"/>
      <c r="BY505" s="8"/>
      <c r="BZ505" s="8"/>
      <c r="CA505" s="8"/>
      <c r="CB505" s="10"/>
    </row>
    <row r="506" spans="3:80" ht="15" customHeight="1" x14ac:dyDescent="0.25">
      <c r="C506" s="69"/>
      <c r="F506" s="167" t="str">
        <f>IF(ISBLANK(Inputs!A114),"",Inputs!A114)</f>
        <v/>
      </c>
      <c r="G506" s="167"/>
      <c r="H506" s="167" t="str">
        <f>IF(ISBLANK(Inputs!B114),"",Inputs!B114)</f>
        <v/>
      </c>
      <c r="I506" s="167"/>
      <c r="J506" s="168" t="str">
        <f>IF(ISBLANK(Inputs!G114),"",Inputs!G114)</f>
        <v/>
      </c>
      <c r="K506" s="168"/>
      <c r="L506" s="168"/>
      <c r="M506" s="168" t="str">
        <f>IF(ISBLANK(Inputs!D114),"",Inputs!D114)</f>
        <v/>
      </c>
      <c r="N506" s="168"/>
      <c r="O506" s="168"/>
      <c r="P506" s="168" t="str">
        <f>IF(ISBLANK(Inputs!F114),"",Inputs!F114)</f>
        <v/>
      </c>
      <c r="Q506" s="168"/>
      <c r="R506" s="168"/>
      <c r="S506" s="168" t="str">
        <f>IF(ISBLANK(Inputs!H114),"",Inputs!H114)</f>
        <v/>
      </c>
      <c r="T506" s="168"/>
      <c r="U506" s="168"/>
      <c r="V506" s="168" t="str">
        <f>IF(ISBLANK(Inputs!E114),"",Inputs!E114)</f>
        <v/>
      </c>
      <c r="W506" s="168"/>
      <c r="X506" s="168"/>
      <c r="Y506" s="168" t="str">
        <f>IF(ISBLANK(Inputs!I114),"",Inputs!I114)</f>
        <v/>
      </c>
      <c r="Z506" s="168"/>
      <c r="AA506" s="168"/>
      <c r="AB506" s="168">
        <f>IF(ISBLANK(Inputs!J114),"",Inputs!J114)</f>
        <v>96</v>
      </c>
      <c r="AC506" s="168"/>
      <c r="AD506" s="168"/>
      <c r="AE506" s="167" t="str">
        <f>IF(ISBLANK(Inputs!A114),"",Y506)</f>
        <v/>
      </c>
      <c r="AF506" s="167"/>
      <c r="AG506" s="329" t="str">
        <f>IF(ISBLANK(Inputs!$A114),"",
IF(OR(AE506="Solved",AE506="--"),"--",
((Mat.Conc_Alpha.1*Mat.Conc_f.c*$AB506*MIN(AE506*Mat.Conc_Beta.1,$Y506))
+(Mat.Conc_Alpha.1*Mat.Conc_f.c*$V506*MAX(0,AE506*Mat.Conc_Beta.1-$Y506)))
-($J506*MIN(Mat.Rebar_f.y,(Mat.Rebar_epsilon.cl*($S506-AE506)/AE506)*Mat.PT_E.s))
-($M506*Mat.PT_f.pu*(1-Mat.PT_k*AE506/$P506))))</f>
        <v/>
      </c>
      <c r="AH506" s="329"/>
      <c r="AI506" s="167" t="str">
        <f>IF(ISBLANK(Inputs!$A114),"",
IF(ABS(AG506)&lt;=0.001,"Solved",IF(AG506&gt;0,0.85*AE506,1.15*AE506)))</f>
        <v/>
      </c>
      <c r="AJ506" s="167"/>
      <c r="AK506" s="329" t="str">
        <f>IF(ISBLANK(Inputs!$A114),"",
IF(OR(AI506="Solved",AI506="--"),"--",
((Mat.Conc_Alpha.1*Mat.Conc_f.c*$AB506*MIN(AI506*Mat.Conc_Beta.1,$Y506))
+(Mat.Conc_Alpha.1*Mat.Conc_f.c*$V506*MAX(0,AI506*Mat.Conc_Beta.1-$Y506)))
-($J506*MIN(Mat.Rebar_f.y,(Mat.Rebar_epsilon.cl*($S506-AI506)/AI506)*Mat.PT_E.s))
-($M506*Mat.PT_f.pu*(1-Mat.PT_k*AI506/$P506))))</f>
        <v/>
      </c>
      <c r="AL506" s="329"/>
      <c r="AM506" s="167" t="str">
        <f>IF(ISBLANK(Inputs!$A114),"",
IF(AK506="--","Solved",
IF(ABS(AK506)&lt;=0.001,"Solved",AI506-AK506*(AI506-AE506)/(AK506-AG506))))</f>
        <v/>
      </c>
      <c r="AN506" s="167"/>
      <c r="AO506" s="329" t="str">
        <f>IF(ISBLANK(Inputs!$A114),"",
IF(OR(AM506="Solved",AM506="--"),"--",
((Mat.Conc_Alpha.1*Mat.Conc_f.c*$AB506*MIN(AM506*Mat.Conc_Beta.1,$Y506))
+(Mat.Conc_Alpha.1*Mat.Conc_f.c*$V506*MAX(0,AM506*Mat.Conc_Beta.1-$Y506)))
-($J506*MIN(Mat.Rebar_f.y,(Mat.Rebar_epsilon.cl*($S506-AM506)/AM506)*Mat.PT_E.s))
-($M506*Mat.PT_f.pu*(1-Mat.PT_k*AM506/$P506))))</f>
        <v/>
      </c>
      <c r="AP506" s="329"/>
      <c r="AQ506" s="167" t="str">
        <f>IF(ISBLANK(Inputs!$A114),"",
IF(AO506="--","Solved",
IF(ABS(AO506)&lt;=0.001,"Solved",AM506-AO506*(AM506-AI506)/(AO506-AK506))))</f>
        <v/>
      </c>
      <c r="AR506" s="167"/>
      <c r="AS506" s="329" t="str">
        <f>IF(ISBLANK(Inputs!$A114),"",
IF(OR(AQ506="Solved",AQ506="--"),"--",
((Mat.Conc_Alpha.1*Mat.Conc_f.c*$AB506*MIN(AQ506*Mat.Conc_Beta.1,$Y506))
+(Mat.Conc_Alpha.1*Mat.Conc_f.c*$V506*MAX(0,AQ506*Mat.Conc_Beta.1-$Y506)))
-($J506*MIN(Mat.Rebar_f.y,(Mat.Rebar_epsilon.cl*($S506-AQ506)/AQ506)*Mat.PT_E.s))
-($M506*Mat.PT_f.pu*(1-Mat.PT_k*AQ506/$P506))))</f>
        <v/>
      </c>
      <c r="AT506" s="329"/>
      <c r="AU506" s="167" t="str">
        <f>IF(ISBLANK(Inputs!$A114),"",
IF(AS506="--","Solved",
IF(ABS(AS506)&lt;=0.001,"Solved",AQ506-AS506*(AQ506-AM506)/(AS506-AO506))))</f>
        <v/>
      </c>
      <c r="AV506" s="167"/>
      <c r="AW506" s="329" t="str">
        <f>IF(ISBLANK(Inputs!$A114),"",
IF(OR(AU506="Solved",AU506="--"),"--",
((Mat.Conc_Alpha.1*Mat.Conc_f.c*$AB506*MIN(AU506*Mat.Conc_Beta.1,$Y506))
+(Mat.Conc_Alpha.1*Mat.Conc_f.c*$V506*MAX(0,AU506*Mat.Conc_Beta.1-$Y506)))
-($J506*MIN(Mat.Rebar_f.y,(Mat.Rebar_epsilon.cl*($S506-AU506)/AU506)*Mat.PT_E.s))
-($M506*Mat.PT_f.pu*(1-Mat.PT_k*AU506/$P506))))</f>
        <v/>
      </c>
      <c r="AX506" s="329"/>
      <c r="AY506" s="167" t="str">
        <f>IF(ISBLANK(Inputs!$A114),"",
IF(AW506="--","Solved",
IF(ABS(AW506)&lt;=0.001,"Solved",AU506-AW506*(AU506-AQ506)/(AW506-AS506))))</f>
        <v/>
      </c>
      <c r="AZ506" s="167"/>
      <c r="BA506" s="329" t="str">
        <f>IF(ISBLANK(Inputs!$A114),"",
IF(OR(AY506="Solved",AY506="--"),"--",
((Mat.Conc_Alpha.1*Mat.Conc_f.c*$AB506*MIN(AY506*Mat.Conc_Beta.1,$Y506))
+(Mat.Conc_Alpha.1*Mat.Conc_f.c*$V506*MAX(0,AY506*Mat.Conc_Beta.1-$Y506)))
-($J506*MIN(Mat.Rebar_f.y,(Mat.Rebar_epsilon.cl*($S506-AY506)/AY506)*Mat.PT_E.s))
-($M506*Mat.PT_f.pu*(1-Mat.PT_k*AY506/$P506))))</f>
        <v/>
      </c>
      <c r="BB506" s="329"/>
      <c r="BC506" s="167" t="str">
        <f>IF(ISBLANK(Inputs!$A114),"",
IF(BA506="--","Solved",
IF(ABS(BA506)&lt;=0.001,"Solved",AY506-BA506*(AY506-AU506)/(BA506-AW506))))</f>
        <v/>
      </c>
      <c r="BD506" s="167"/>
      <c r="BE506" s="329" t="str">
        <f>IF(ISBLANK(Inputs!$A114),"",
IF(OR(BC506="Solved",BC506="--"),"--",
((Mat.Conc_Alpha.1*Mat.Conc_f.c*$AB506*MIN(BC506*Mat.Conc_Beta.1,$Y506))
+(Mat.Conc_Alpha.1*Mat.Conc_f.c*$V506*MAX(0,BC506*Mat.Conc_Beta.1-$Y506)))
-($J506*MIN(Mat.Rebar_f.y,(Mat.Rebar_epsilon.cl*($S506-BC506)/BC506)*Mat.PT_E.s))
-($M506*Mat.PT_f.pu*(1-Mat.PT_k*BC506/$P506))))</f>
        <v/>
      </c>
      <c r="BF506" s="329"/>
      <c r="BG506" s="167" t="str">
        <f>IF(ISBLANK(Inputs!$A114),"",
IF(BE506="--","Solved",
IF(ABS(BE506)&lt;=0.001,"Solved",BC506-BE506*(BC506-AY506)/(BE506-BA506))))</f>
        <v/>
      </c>
      <c r="BH506" s="167"/>
      <c r="BI506" s="329" t="str">
        <f>IF(ISBLANK(Inputs!$A114),"",
IF(OR(BG506="Solved",BG506="--"),"--",
((Mat.Conc_Alpha.1*Mat.Conc_f.c*$AB506*MIN(BG506*Mat.Conc_Beta.1,$Y506))
+(Mat.Conc_Alpha.1*Mat.Conc_f.c*$V506*MAX(0,BG506*Mat.Conc_Beta.1-$Y506)))
-($J506*MIN(Mat.Rebar_f.y,(Mat.Rebar_epsilon.cl*($S506-BG506)/BG506)*Mat.PT_E.s))
-($M506*Mat.PT_f.pu*(1-Mat.PT_k*BG506/$P506))))</f>
        <v/>
      </c>
      <c r="BJ506" s="329"/>
      <c r="BK506" s="167" t="str">
        <f>IF(ISBLANK(Inputs!$A114),"",
IF(BI506="--","Solved",
IF(ABS(BI506)&lt;=0.001,"Solved",BG506-BI506*(BG506-BC506)/(BI506-BE506))))</f>
        <v/>
      </c>
      <c r="BL506" s="167"/>
      <c r="BM506" s="329" t="str">
        <f>IF(ISBLANK(Inputs!$A114),"",
IF(OR(BK506="Solved",BK506="--"),"--",
((Mat.Conc_Alpha.1*Mat.Conc_f.c*$AB506*MIN(BK506*Mat.Conc_Beta.1,$Y506))
+(Mat.Conc_Alpha.1*Mat.Conc_f.c*$V506*MAX(0,BK506*Mat.Conc_Beta.1-$Y506)))
-($J506*MIN(Mat.Rebar_f.y,(Mat.Rebar_epsilon.cl*($S506-BK506)/BK506)*Mat.PT_E.s))
-($M506*Mat.PT_f.pu*(1-Mat.PT_k*BK506/$P506))))</f>
        <v/>
      </c>
      <c r="BN506" s="329"/>
      <c r="BO506" s="167" t="str">
        <f>IF(ISBLANK(Inputs!$A114),"",
IF(BM506="--","Solved",
IF(ABS(BM506)&lt;=0.001,"Solved",BK506-BM506*(BK506-BG506)/(BM506-BI506))))</f>
        <v/>
      </c>
      <c r="BP506" s="167"/>
      <c r="BQ506" s="329" t="str">
        <f>IF(ISBLANK(Inputs!$A114),"",
IF(OR(BO506="Solved",BO506="--"),"--",
((Mat.Conc_Alpha.1*Mat.Conc_f.c*$AB506*MIN(BO506*Mat.Conc_Beta.1,$Y506))
+(Mat.Conc_Alpha.1*Mat.Conc_f.c*$V506*MAX(0,BO506*Mat.Conc_Beta.1-$Y506)))
-($J506*MIN(Mat.Rebar_f.y,(Mat.Rebar_epsilon.cl*($S506-BO506)/BO506)*Mat.PT_E.s))
-($M506*Mat.PT_f.pu*(1-Mat.PT_k*BO506/$P506))))</f>
        <v/>
      </c>
      <c r="BR506" s="329"/>
      <c r="BT506" s="98"/>
      <c r="BU506" s="70"/>
      <c r="BV506" s="70"/>
      <c r="BW506" s="8"/>
      <c r="BX506" s="8"/>
      <c r="BY506" s="8"/>
      <c r="BZ506" s="8"/>
      <c r="CA506" s="8"/>
      <c r="CB506" s="10"/>
    </row>
    <row r="507" spans="3:80" ht="15" customHeight="1" x14ac:dyDescent="0.25">
      <c r="C507" s="69"/>
      <c r="F507" s="167" t="str">
        <f>IF(ISBLANK(Inputs!A115),"",Inputs!A115)</f>
        <v/>
      </c>
      <c r="G507" s="167"/>
      <c r="H507" s="167" t="str">
        <f>IF(ISBLANK(Inputs!B115),"",Inputs!B115)</f>
        <v/>
      </c>
      <c r="I507" s="167"/>
      <c r="J507" s="168" t="str">
        <f>IF(ISBLANK(Inputs!G115),"",Inputs!G115)</f>
        <v/>
      </c>
      <c r="K507" s="168"/>
      <c r="L507" s="168"/>
      <c r="M507" s="168" t="str">
        <f>IF(ISBLANK(Inputs!D115),"",Inputs!D115)</f>
        <v/>
      </c>
      <c r="N507" s="168"/>
      <c r="O507" s="168"/>
      <c r="P507" s="168" t="str">
        <f>IF(ISBLANK(Inputs!F115),"",Inputs!F115)</f>
        <v/>
      </c>
      <c r="Q507" s="168"/>
      <c r="R507" s="168"/>
      <c r="S507" s="168" t="str">
        <f>IF(ISBLANK(Inputs!H115),"",Inputs!H115)</f>
        <v/>
      </c>
      <c r="T507" s="168"/>
      <c r="U507" s="168"/>
      <c r="V507" s="168" t="str">
        <f>IF(ISBLANK(Inputs!E115),"",Inputs!E115)</f>
        <v/>
      </c>
      <c r="W507" s="168"/>
      <c r="X507" s="168"/>
      <c r="Y507" s="168" t="str">
        <f>IF(ISBLANK(Inputs!I115),"",Inputs!I115)</f>
        <v/>
      </c>
      <c r="Z507" s="168"/>
      <c r="AA507" s="168"/>
      <c r="AB507" s="168">
        <f>IF(ISBLANK(Inputs!J115),"",Inputs!J115)</f>
        <v>96</v>
      </c>
      <c r="AC507" s="168"/>
      <c r="AD507" s="168"/>
      <c r="AE507" s="167" t="str">
        <f>IF(ISBLANK(Inputs!A115),"",Y507)</f>
        <v/>
      </c>
      <c r="AF507" s="167"/>
      <c r="AG507" s="329" t="str">
        <f>IF(ISBLANK(Inputs!$A115),"",
IF(OR(AE507="Solved",AE507="--"),"--",
((Mat.Conc_Alpha.1*Mat.Conc_f.c*$AB507*MIN(AE507*Mat.Conc_Beta.1,$Y507))
+(Mat.Conc_Alpha.1*Mat.Conc_f.c*$V507*MAX(0,AE507*Mat.Conc_Beta.1-$Y507)))
-($J507*MIN(Mat.Rebar_f.y,(Mat.Rebar_epsilon.cl*($S507-AE507)/AE507)*Mat.PT_E.s))
-($M507*Mat.PT_f.pu*(1-Mat.PT_k*AE507/$P507))))</f>
        <v/>
      </c>
      <c r="AH507" s="329"/>
      <c r="AI507" s="167" t="str">
        <f>IF(ISBLANK(Inputs!$A115),"",
IF(ABS(AG507)&lt;=0.001,"Solved",IF(AG507&gt;0,0.85*AE507,1.15*AE507)))</f>
        <v/>
      </c>
      <c r="AJ507" s="167"/>
      <c r="AK507" s="329" t="str">
        <f>IF(ISBLANK(Inputs!$A115),"",
IF(OR(AI507="Solved",AI507="--"),"--",
((Mat.Conc_Alpha.1*Mat.Conc_f.c*$AB507*MIN(AI507*Mat.Conc_Beta.1,$Y507))
+(Mat.Conc_Alpha.1*Mat.Conc_f.c*$V507*MAX(0,AI507*Mat.Conc_Beta.1-$Y507)))
-($J507*MIN(Mat.Rebar_f.y,(Mat.Rebar_epsilon.cl*($S507-AI507)/AI507)*Mat.PT_E.s))
-($M507*Mat.PT_f.pu*(1-Mat.PT_k*AI507/$P507))))</f>
        <v/>
      </c>
      <c r="AL507" s="329"/>
      <c r="AM507" s="167" t="str">
        <f>IF(ISBLANK(Inputs!$A115),"",
IF(AK507="--","Solved",
IF(ABS(AK507)&lt;=0.001,"Solved",AI507-AK507*(AI507-AE507)/(AK507-AG507))))</f>
        <v/>
      </c>
      <c r="AN507" s="167"/>
      <c r="AO507" s="329" t="str">
        <f>IF(ISBLANK(Inputs!$A115),"",
IF(OR(AM507="Solved",AM507="--"),"--",
((Mat.Conc_Alpha.1*Mat.Conc_f.c*$AB507*MIN(AM507*Mat.Conc_Beta.1,$Y507))
+(Mat.Conc_Alpha.1*Mat.Conc_f.c*$V507*MAX(0,AM507*Mat.Conc_Beta.1-$Y507)))
-($J507*MIN(Mat.Rebar_f.y,(Mat.Rebar_epsilon.cl*($S507-AM507)/AM507)*Mat.PT_E.s))
-($M507*Mat.PT_f.pu*(1-Mat.PT_k*AM507/$P507))))</f>
        <v/>
      </c>
      <c r="AP507" s="329"/>
      <c r="AQ507" s="167" t="str">
        <f>IF(ISBLANK(Inputs!$A115),"",
IF(AO507="--","Solved",
IF(ABS(AO507)&lt;=0.001,"Solved",AM507-AO507*(AM507-AI507)/(AO507-AK507))))</f>
        <v/>
      </c>
      <c r="AR507" s="167"/>
      <c r="AS507" s="329" t="str">
        <f>IF(ISBLANK(Inputs!$A115),"",
IF(OR(AQ507="Solved",AQ507="--"),"--",
((Mat.Conc_Alpha.1*Mat.Conc_f.c*$AB507*MIN(AQ507*Mat.Conc_Beta.1,$Y507))
+(Mat.Conc_Alpha.1*Mat.Conc_f.c*$V507*MAX(0,AQ507*Mat.Conc_Beta.1-$Y507)))
-($J507*MIN(Mat.Rebar_f.y,(Mat.Rebar_epsilon.cl*($S507-AQ507)/AQ507)*Mat.PT_E.s))
-($M507*Mat.PT_f.pu*(1-Mat.PT_k*AQ507/$P507))))</f>
        <v/>
      </c>
      <c r="AT507" s="329"/>
      <c r="AU507" s="167" t="str">
        <f>IF(ISBLANK(Inputs!$A115),"",
IF(AS507="--","Solved",
IF(ABS(AS507)&lt;=0.001,"Solved",AQ507-AS507*(AQ507-AM507)/(AS507-AO507))))</f>
        <v/>
      </c>
      <c r="AV507" s="167"/>
      <c r="AW507" s="329" t="str">
        <f>IF(ISBLANK(Inputs!$A115),"",
IF(OR(AU507="Solved",AU507="--"),"--",
((Mat.Conc_Alpha.1*Mat.Conc_f.c*$AB507*MIN(AU507*Mat.Conc_Beta.1,$Y507))
+(Mat.Conc_Alpha.1*Mat.Conc_f.c*$V507*MAX(0,AU507*Mat.Conc_Beta.1-$Y507)))
-($J507*MIN(Mat.Rebar_f.y,(Mat.Rebar_epsilon.cl*($S507-AU507)/AU507)*Mat.PT_E.s))
-($M507*Mat.PT_f.pu*(1-Mat.PT_k*AU507/$P507))))</f>
        <v/>
      </c>
      <c r="AX507" s="329"/>
      <c r="AY507" s="167" t="str">
        <f>IF(ISBLANK(Inputs!$A115),"",
IF(AW507="--","Solved",
IF(ABS(AW507)&lt;=0.001,"Solved",AU507-AW507*(AU507-AQ507)/(AW507-AS507))))</f>
        <v/>
      </c>
      <c r="AZ507" s="167"/>
      <c r="BA507" s="329" t="str">
        <f>IF(ISBLANK(Inputs!$A115),"",
IF(OR(AY507="Solved",AY507="--"),"--",
((Mat.Conc_Alpha.1*Mat.Conc_f.c*$AB507*MIN(AY507*Mat.Conc_Beta.1,$Y507))
+(Mat.Conc_Alpha.1*Mat.Conc_f.c*$V507*MAX(0,AY507*Mat.Conc_Beta.1-$Y507)))
-($J507*MIN(Mat.Rebar_f.y,(Mat.Rebar_epsilon.cl*($S507-AY507)/AY507)*Mat.PT_E.s))
-($M507*Mat.PT_f.pu*(1-Mat.PT_k*AY507/$P507))))</f>
        <v/>
      </c>
      <c r="BB507" s="329"/>
      <c r="BC507" s="167" t="str">
        <f>IF(ISBLANK(Inputs!$A115),"",
IF(BA507="--","Solved",
IF(ABS(BA507)&lt;=0.001,"Solved",AY507-BA507*(AY507-AU507)/(BA507-AW507))))</f>
        <v/>
      </c>
      <c r="BD507" s="167"/>
      <c r="BE507" s="329" t="str">
        <f>IF(ISBLANK(Inputs!$A115),"",
IF(OR(BC507="Solved",BC507="--"),"--",
((Mat.Conc_Alpha.1*Mat.Conc_f.c*$AB507*MIN(BC507*Mat.Conc_Beta.1,$Y507))
+(Mat.Conc_Alpha.1*Mat.Conc_f.c*$V507*MAX(0,BC507*Mat.Conc_Beta.1-$Y507)))
-($J507*MIN(Mat.Rebar_f.y,(Mat.Rebar_epsilon.cl*($S507-BC507)/BC507)*Mat.PT_E.s))
-($M507*Mat.PT_f.pu*(1-Mat.PT_k*BC507/$P507))))</f>
        <v/>
      </c>
      <c r="BF507" s="329"/>
      <c r="BG507" s="167" t="str">
        <f>IF(ISBLANK(Inputs!$A115),"",
IF(BE507="--","Solved",
IF(ABS(BE507)&lt;=0.001,"Solved",BC507-BE507*(BC507-AY507)/(BE507-BA507))))</f>
        <v/>
      </c>
      <c r="BH507" s="167"/>
      <c r="BI507" s="329" t="str">
        <f>IF(ISBLANK(Inputs!$A115),"",
IF(OR(BG507="Solved",BG507="--"),"--",
((Mat.Conc_Alpha.1*Mat.Conc_f.c*$AB507*MIN(BG507*Mat.Conc_Beta.1,$Y507))
+(Mat.Conc_Alpha.1*Mat.Conc_f.c*$V507*MAX(0,BG507*Mat.Conc_Beta.1-$Y507)))
-($J507*MIN(Mat.Rebar_f.y,(Mat.Rebar_epsilon.cl*($S507-BG507)/BG507)*Mat.PT_E.s))
-($M507*Mat.PT_f.pu*(1-Mat.PT_k*BG507/$P507))))</f>
        <v/>
      </c>
      <c r="BJ507" s="329"/>
      <c r="BK507" s="167" t="str">
        <f>IF(ISBLANK(Inputs!$A115),"",
IF(BI507="--","Solved",
IF(ABS(BI507)&lt;=0.001,"Solved",BG507-BI507*(BG507-BC507)/(BI507-BE507))))</f>
        <v/>
      </c>
      <c r="BL507" s="167"/>
      <c r="BM507" s="329" t="str">
        <f>IF(ISBLANK(Inputs!$A115),"",
IF(OR(BK507="Solved",BK507="--"),"--",
((Mat.Conc_Alpha.1*Mat.Conc_f.c*$AB507*MIN(BK507*Mat.Conc_Beta.1,$Y507))
+(Mat.Conc_Alpha.1*Mat.Conc_f.c*$V507*MAX(0,BK507*Mat.Conc_Beta.1-$Y507)))
-($J507*MIN(Mat.Rebar_f.y,(Mat.Rebar_epsilon.cl*($S507-BK507)/BK507)*Mat.PT_E.s))
-($M507*Mat.PT_f.pu*(1-Mat.PT_k*BK507/$P507))))</f>
        <v/>
      </c>
      <c r="BN507" s="329"/>
      <c r="BO507" s="167" t="str">
        <f>IF(ISBLANK(Inputs!$A115),"",
IF(BM507="--","Solved",
IF(ABS(BM507)&lt;=0.001,"Solved",BK507-BM507*(BK507-BG507)/(BM507-BI507))))</f>
        <v/>
      </c>
      <c r="BP507" s="167"/>
      <c r="BQ507" s="329" t="str">
        <f>IF(ISBLANK(Inputs!$A115),"",
IF(OR(BO507="Solved",BO507="--"),"--",
((Mat.Conc_Alpha.1*Mat.Conc_f.c*$AB507*MIN(BO507*Mat.Conc_Beta.1,$Y507))
+(Mat.Conc_Alpha.1*Mat.Conc_f.c*$V507*MAX(0,BO507*Mat.Conc_Beta.1-$Y507)))
-($J507*MIN(Mat.Rebar_f.y,(Mat.Rebar_epsilon.cl*($S507-BO507)/BO507)*Mat.PT_E.s))
-($M507*Mat.PT_f.pu*(1-Mat.PT_k*BO507/$P507))))</f>
        <v/>
      </c>
      <c r="BR507" s="329"/>
      <c r="BT507" s="98"/>
      <c r="BU507" s="70"/>
      <c r="BV507" s="70"/>
      <c r="BW507" s="8"/>
      <c r="BX507" s="8"/>
      <c r="BY507" s="8"/>
      <c r="BZ507" s="8"/>
      <c r="CA507" s="8"/>
      <c r="CB507" s="10"/>
    </row>
    <row r="508" spans="3:80" ht="15" customHeight="1" x14ac:dyDescent="0.25">
      <c r="C508" s="69"/>
      <c r="F508" s="167" t="str">
        <f>IF(ISBLANK(Inputs!A116),"",Inputs!A116)</f>
        <v/>
      </c>
      <c r="G508" s="167"/>
      <c r="H508" s="167" t="str">
        <f>IF(ISBLANK(Inputs!B116),"",Inputs!B116)</f>
        <v/>
      </c>
      <c r="I508" s="167"/>
      <c r="J508" s="168" t="str">
        <f>IF(ISBLANK(Inputs!G116),"",Inputs!G116)</f>
        <v/>
      </c>
      <c r="K508" s="168"/>
      <c r="L508" s="168"/>
      <c r="M508" s="168" t="str">
        <f>IF(ISBLANK(Inputs!D116),"",Inputs!D116)</f>
        <v/>
      </c>
      <c r="N508" s="168"/>
      <c r="O508" s="168"/>
      <c r="P508" s="168" t="str">
        <f>IF(ISBLANK(Inputs!F116),"",Inputs!F116)</f>
        <v/>
      </c>
      <c r="Q508" s="168"/>
      <c r="R508" s="168"/>
      <c r="S508" s="168" t="str">
        <f>IF(ISBLANK(Inputs!H116),"",Inputs!H116)</f>
        <v/>
      </c>
      <c r="T508" s="168"/>
      <c r="U508" s="168"/>
      <c r="V508" s="168" t="str">
        <f>IF(ISBLANK(Inputs!E116),"",Inputs!E116)</f>
        <v/>
      </c>
      <c r="W508" s="168"/>
      <c r="X508" s="168"/>
      <c r="Y508" s="168" t="str">
        <f>IF(ISBLANK(Inputs!I116),"",Inputs!I116)</f>
        <v/>
      </c>
      <c r="Z508" s="168"/>
      <c r="AA508" s="168"/>
      <c r="AB508" s="168">
        <f>IF(ISBLANK(Inputs!J116),"",Inputs!J116)</f>
        <v>96</v>
      </c>
      <c r="AC508" s="168"/>
      <c r="AD508" s="168"/>
      <c r="AE508" s="167" t="str">
        <f>IF(ISBLANK(Inputs!A116),"",Y508)</f>
        <v/>
      </c>
      <c r="AF508" s="167"/>
      <c r="AG508" s="329" t="str">
        <f>IF(ISBLANK(Inputs!$A116),"",
IF(OR(AE508="Solved",AE508="--"),"--",
((Mat.Conc_Alpha.1*Mat.Conc_f.c*$AB508*MIN(AE508*Mat.Conc_Beta.1,$Y508))
+(Mat.Conc_Alpha.1*Mat.Conc_f.c*$V508*MAX(0,AE508*Mat.Conc_Beta.1-$Y508)))
-($J508*MIN(Mat.Rebar_f.y,(Mat.Rebar_epsilon.cl*($S508-AE508)/AE508)*Mat.PT_E.s))
-($M508*Mat.PT_f.pu*(1-Mat.PT_k*AE508/$P508))))</f>
        <v/>
      </c>
      <c r="AH508" s="329"/>
      <c r="AI508" s="167" t="str">
        <f>IF(ISBLANK(Inputs!$A116),"",
IF(ABS(AG508)&lt;=0.001,"Solved",IF(AG508&gt;0,0.85*AE508,1.15*AE508)))</f>
        <v/>
      </c>
      <c r="AJ508" s="167"/>
      <c r="AK508" s="329" t="str">
        <f>IF(ISBLANK(Inputs!$A116),"",
IF(OR(AI508="Solved",AI508="--"),"--",
((Mat.Conc_Alpha.1*Mat.Conc_f.c*$AB508*MIN(AI508*Mat.Conc_Beta.1,$Y508))
+(Mat.Conc_Alpha.1*Mat.Conc_f.c*$V508*MAX(0,AI508*Mat.Conc_Beta.1-$Y508)))
-($J508*MIN(Mat.Rebar_f.y,(Mat.Rebar_epsilon.cl*($S508-AI508)/AI508)*Mat.PT_E.s))
-($M508*Mat.PT_f.pu*(1-Mat.PT_k*AI508/$P508))))</f>
        <v/>
      </c>
      <c r="AL508" s="329"/>
      <c r="AM508" s="167" t="str">
        <f>IF(ISBLANK(Inputs!$A116),"",
IF(AK508="--","Solved",
IF(ABS(AK508)&lt;=0.001,"Solved",AI508-AK508*(AI508-AE508)/(AK508-AG508))))</f>
        <v/>
      </c>
      <c r="AN508" s="167"/>
      <c r="AO508" s="329" t="str">
        <f>IF(ISBLANK(Inputs!$A116),"",
IF(OR(AM508="Solved",AM508="--"),"--",
((Mat.Conc_Alpha.1*Mat.Conc_f.c*$AB508*MIN(AM508*Mat.Conc_Beta.1,$Y508))
+(Mat.Conc_Alpha.1*Mat.Conc_f.c*$V508*MAX(0,AM508*Mat.Conc_Beta.1-$Y508)))
-($J508*MIN(Mat.Rebar_f.y,(Mat.Rebar_epsilon.cl*($S508-AM508)/AM508)*Mat.PT_E.s))
-($M508*Mat.PT_f.pu*(1-Mat.PT_k*AM508/$P508))))</f>
        <v/>
      </c>
      <c r="AP508" s="329"/>
      <c r="AQ508" s="167" t="str">
        <f>IF(ISBLANK(Inputs!$A116),"",
IF(AO508="--","Solved",
IF(ABS(AO508)&lt;=0.001,"Solved",AM508-AO508*(AM508-AI508)/(AO508-AK508))))</f>
        <v/>
      </c>
      <c r="AR508" s="167"/>
      <c r="AS508" s="329" t="str">
        <f>IF(ISBLANK(Inputs!$A116),"",
IF(OR(AQ508="Solved",AQ508="--"),"--",
((Mat.Conc_Alpha.1*Mat.Conc_f.c*$AB508*MIN(AQ508*Mat.Conc_Beta.1,$Y508))
+(Mat.Conc_Alpha.1*Mat.Conc_f.c*$V508*MAX(0,AQ508*Mat.Conc_Beta.1-$Y508)))
-($J508*MIN(Mat.Rebar_f.y,(Mat.Rebar_epsilon.cl*($S508-AQ508)/AQ508)*Mat.PT_E.s))
-($M508*Mat.PT_f.pu*(1-Mat.PT_k*AQ508/$P508))))</f>
        <v/>
      </c>
      <c r="AT508" s="329"/>
      <c r="AU508" s="167" t="str">
        <f>IF(ISBLANK(Inputs!$A116),"",
IF(AS508="--","Solved",
IF(ABS(AS508)&lt;=0.001,"Solved",AQ508-AS508*(AQ508-AM508)/(AS508-AO508))))</f>
        <v/>
      </c>
      <c r="AV508" s="167"/>
      <c r="AW508" s="329" t="str">
        <f>IF(ISBLANK(Inputs!$A116),"",
IF(OR(AU508="Solved",AU508="--"),"--",
((Mat.Conc_Alpha.1*Mat.Conc_f.c*$AB508*MIN(AU508*Mat.Conc_Beta.1,$Y508))
+(Mat.Conc_Alpha.1*Mat.Conc_f.c*$V508*MAX(0,AU508*Mat.Conc_Beta.1-$Y508)))
-($J508*MIN(Mat.Rebar_f.y,(Mat.Rebar_epsilon.cl*($S508-AU508)/AU508)*Mat.PT_E.s))
-($M508*Mat.PT_f.pu*(1-Mat.PT_k*AU508/$P508))))</f>
        <v/>
      </c>
      <c r="AX508" s="329"/>
      <c r="AY508" s="167" t="str">
        <f>IF(ISBLANK(Inputs!$A116),"",
IF(AW508="--","Solved",
IF(ABS(AW508)&lt;=0.001,"Solved",AU508-AW508*(AU508-AQ508)/(AW508-AS508))))</f>
        <v/>
      </c>
      <c r="AZ508" s="167"/>
      <c r="BA508" s="329" t="str">
        <f>IF(ISBLANK(Inputs!$A116),"",
IF(OR(AY508="Solved",AY508="--"),"--",
((Mat.Conc_Alpha.1*Mat.Conc_f.c*$AB508*MIN(AY508*Mat.Conc_Beta.1,$Y508))
+(Mat.Conc_Alpha.1*Mat.Conc_f.c*$V508*MAX(0,AY508*Mat.Conc_Beta.1-$Y508)))
-($J508*MIN(Mat.Rebar_f.y,(Mat.Rebar_epsilon.cl*($S508-AY508)/AY508)*Mat.PT_E.s))
-($M508*Mat.PT_f.pu*(1-Mat.PT_k*AY508/$P508))))</f>
        <v/>
      </c>
      <c r="BB508" s="329"/>
      <c r="BC508" s="167" t="str">
        <f>IF(ISBLANK(Inputs!$A116),"",
IF(BA508="--","Solved",
IF(ABS(BA508)&lt;=0.001,"Solved",AY508-BA508*(AY508-AU508)/(BA508-AW508))))</f>
        <v/>
      </c>
      <c r="BD508" s="167"/>
      <c r="BE508" s="329" t="str">
        <f>IF(ISBLANK(Inputs!$A116),"",
IF(OR(BC508="Solved",BC508="--"),"--",
((Mat.Conc_Alpha.1*Mat.Conc_f.c*$AB508*MIN(BC508*Mat.Conc_Beta.1,$Y508))
+(Mat.Conc_Alpha.1*Mat.Conc_f.c*$V508*MAX(0,BC508*Mat.Conc_Beta.1-$Y508)))
-($J508*MIN(Mat.Rebar_f.y,(Mat.Rebar_epsilon.cl*($S508-BC508)/BC508)*Mat.PT_E.s))
-($M508*Mat.PT_f.pu*(1-Mat.PT_k*BC508/$P508))))</f>
        <v/>
      </c>
      <c r="BF508" s="329"/>
      <c r="BG508" s="167" t="str">
        <f>IF(ISBLANK(Inputs!$A116),"",
IF(BE508="--","Solved",
IF(ABS(BE508)&lt;=0.001,"Solved",BC508-BE508*(BC508-AY508)/(BE508-BA508))))</f>
        <v/>
      </c>
      <c r="BH508" s="167"/>
      <c r="BI508" s="329" t="str">
        <f>IF(ISBLANK(Inputs!$A116),"",
IF(OR(BG508="Solved",BG508="--"),"--",
((Mat.Conc_Alpha.1*Mat.Conc_f.c*$AB508*MIN(BG508*Mat.Conc_Beta.1,$Y508))
+(Mat.Conc_Alpha.1*Mat.Conc_f.c*$V508*MAX(0,BG508*Mat.Conc_Beta.1-$Y508)))
-($J508*MIN(Mat.Rebar_f.y,(Mat.Rebar_epsilon.cl*($S508-BG508)/BG508)*Mat.PT_E.s))
-($M508*Mat.PT_f.pu*(1-Mat.PT_k*BG508/$P508))))</f>
        <v/>
      </c>
      <c r="BJ508" s="329"/>
      <c r="BK508" s="167" t="str">
        <f>IF(ISBLANK(Inputs!$A116),"",
IF(BI508="--","Solved",
IF(ABS(BI508)&lt;=0.001,"Solved",BG508-BI508*(BG508-BC508)/(BI508-BE508))))</f>
        <v/>
      </c>
      <c r="BL508" s="167"/>
      <c r="BM508" s="329" t="str">
        <f>IF(ISBLANK(Inputs!$A116),"",
IF(OR(BK508="Solved",BK508="--"),"--",
((Mat.Conc_Alpha.1*Mat.Conc_f.c*$AB508*MIN(BK508*Mat.Conc_Beta.1,$Y508))
+(Mat.Conc_Alpha.1*Mat.Conc_f.c*$V508*MAX(0,BK508*Mat.Conc_Beta.1-$Y508)))
-($J508*MIN(Mat.Rebar_f.y,(Mat.Rebar_epsilon.cl*($S508-BK508)/BK508)*Mat.PT_E.s))
-($M508*Mat.PT_f.pu*(1-Mat.PT_k*BK508/$P508))))</f>
        <v/>
      </c>
      <c r="BN508" s="329"/>
      <c r="BO508" s="167" t="str">
        <f>IF(ISBLANK(Inputs!$A116),"",
IF(BM508="--","Solved",
IF(ABS(BM508)&lt;=0.001,"Solved",BK508-BM508*(BK508-BG508)/(BM508-BI508))))</f>
        <v/>
      </c>
      <c r="BP508" s="167"/>
      <c r="BQ508" s="329" t="str">
        <f>IF(ISBLANK(Inputs!$A116),"",
IF(OR(BO508="Solved",BO508="--"),"--",
((Mat.Conc_Alpha.1*Mat.Conc_f.c*$AB508*MIN(BO508*Mat.Conc_Beta.1,$Y508))
+(Mat.Conc_Alpha.1*Mat.Conc_f.c*$V508*MAX(0,BO508*Mat.Conc_Beta.1-$Y508)))
-($J508*MIN(Mat.Rebar_f.y,(Mat.Rebar_epsilon.cl*($S508-BO508)/BO508)*Mat.PT_E.s))
-($M508*Mat.PT_f.pu*(1-Mat.PT_k*BO508/$P508))))</f>
        <v/>
      </c>
      <c r="BR508" s="329"/>
      <c r="BT508" s="98"/>
      <c r="BU508" s="70"/>
      <c r="BV508" s="70"/>
      <c r="BW508" s="8"/>
      <c r="BX508" s="8"/>
      <c r="BY508" s="8"/>
      <c r="BZ508" s="8"/>
      <c r="CA508" s="8"/>
      <c r="CB508" s="10"/>
    </row>
    <row r="509" spans="3:80" ht="15" customHeight="1" x14ac:dyDescent="0.25">
      <c r="C509" s="69"/>
      <c r="F509" s="167" t="str">
        <f>IF(ISBLANK(Inputs!A117),"",Inputs!A117)</f>
        <v/>
      </c>
      <c r="G509" s="167"/>
      <c r="H509" s="167" t="str">
        <f>IF(ISBLANK(Inputs!B117),"",Inputs!B117)</f>
        <v/>
      </c>
      <c r="I509" s="167"/>
      <c r="J509" s="168" t="str">
        <f>IF(ISBLANK(Inputs!G117),"",Inputs!G117)</f>
        <v/>
      </c>
      <c r="K509" s="168"/>
      <c r="L509" s="168"/>
      <c r="M509" s="168" t="str">
        <f>IF(ISBLANK(Inputs!D117),"",Inputs!D117)</f>
        <v/>
      </c>
      <c r="N509" s="168"/>
      <c r="O509" s="168"/>
      <c r="P509" s="168" t="str">
        <f>IF(ISBLANK(Inputs!F117),"",Inputs!F117)</f>
        <v/>
      </c>
      <c r="Q509" s="168"/>
      <c r="R509" s="168"/>
      <c r="S509" s="168" t="str">
        <f>IF(ISBLANK(Inputs!H117),"",Inputs!H117)</f>
        <v/>
      </c>
      <c r="T509" s="168"/>
      <c r="U509" s="168"/>
      <c r="V509" s="168" t="str">
        <f>IF(ISBLANK(Inputs!E117),"",Inputs!E117)</f>
        <v/>
      </c>
      <c r="W509" s="168"/>
      <c r="X509" s="168"/>
      <c r="Y509" s="168" t="str">
        <f>IF(ISBLANK(Inputs!I117),"",Inputs!I117)</f>
        <v/>
      </c>
      <c r="Z509" s="168"/>
      <c r="AA509" s="168"/>
      <c r="AB509" s="168">
        <f>IF(ISBLANK(Inputs!J117),"",Inputs!J117)</f>
        <v>96</v>
      </c>
      <c r="AC509" s="168"/>
      <c r="AD509" s="168"/>
      <c r="AE509" s="167" t="str">
        <f>IF(ISBLANK(Inputs!A117),"",Y509)</f>
        <v/>
      </c>
      <c r="AF509" s="167"/>
      <c r="AG509" s="329" t="str">
        <f>IF(ISBLANK(Inputs!$A117),"",
IF(OR(AE509="Solved",AE509="--"),"--",
((Mat.Conc_Alpha.1*Mat.Conc_f.c*$AB509*MIN(AE509*Mat.Conc_Beta.1,$Y509))
+(Mat.Conc_Alpha.1*Mat.Conc_f.c*$V509*MAX(0,AE509*Mat.Conc_Beta.1-$Y509)))
-($J509*MIN(Mat.Rebar_f.y,(Mat.Rebar_epsilon.cl*($S509-AE509)/AE509)*Mat.PT_E.s))
-($M509*Mat.PT_f.pu*(1-Mat.PT_k*AE509/$P509))))</f>
        <v/>
      </c>
      <c r="AH509" s="329"/>
      <c r="AI509" s="167" t="str">
        <f>IF(ISBLANK(Inputs!$A117),"",
IF(ABS(AG509)&lt;=0.001,"Solved",IF(AG509&gt;0,0.85*AE509,1.15*AE509)))</f>
        <v/>
      </c>
      <c r="AJ509" s="167"/>
      <c r="AK509" s="329" t="str">
        <f>IF(ISBLANK(Inputs!$A117),"",
IF(OR(AI509="Solved",AI509="--"),"--",
((Mat.Conc_Alpha.1*Mat.Conc_f.c*$AB509*MIN(AI509*Mat.Conc_Beta.1,$Y509))
+(Mat.Conc_Alpha.1*Mat.Conc_f.c*$V509*MAX(0,AI509*Mat.Conc_Beta.1-$Y509)))
-($J509*MIN(Mat.Rebar_f.y,(Mat.Rebar_epsilon.cl*($S509-AI509)/AI509)*Mat.PT_E.s))
-($M509*Mat.PT_f.pu*(1-Mat.PT_k*AI509/$P509))))</f>
        <v/>
      </c>
      <c r="AL509" s="329"/>
      <c r="AM509" s="167" t="str">
        <f>IF(ISBLANK(Inputs!$A117),"",
IF(AK509="--","Solved",
IF(ABS(AK509)&lt;=0.001,"Solved",AI509-AK509*(AI509-AE509)/(AK509-AG509))))</f>
        <v/>
      </c>
      <c r="AN509" s="167"/>
      <c r="AO509" s="329" t="str">
        <f>IF(ISBLANK(Inputs!$A117),"",
IF(OR(AM509="Solved",AM509="--"),"--",
((Mat.Conc_Alpha.1*Mat.Conc_f.c*$AB509*MIN(AM509*Mat.Conc_Beta.1,$Y509))
+(Mat.Conc_Alpha.1*Mat.Conc_f.c*$V509*MAX(0,AM509*Mat.Conc_Beta.1-$Y509)))
-($J509*MIN(Mat.Rebar_f.y,(Mat.Rebar_epsilon.cl*($S509-AM509)/AM509)*Mat.PT_E.s))
-($M509*Mat.PT_f.pu*(1-Mat.PT_k*AM509/$P509))))</f>
        <v/>
      </c>
      <c r="AP509" s="329"/>
      <c r="AQ509" s="167" t="str">
        <f>IF(ISBLANK(Inputs!$A117),"",
IF(AO509="--","Solved",
IF(ABS(AO509)&lt;=0.001,"Solved",AM509-AO509*(AM509-AI509)/(AO509-AK509))))</f>
        <v/>
      </c>
      <c r="AR509" s="167"/>
      <c r="AS509" s="329" t="str">
        <f>IF(ISBLANK(Inputs!$A117),"",
IF(OR(AQ509="Solved",AQ509="--"),"--",
((Mat.Conc_Alpha.1*Mat.Conc_f.c*$AB509*MIN(AQ509*Mat.Conc_Beta.1,$Y509))
+(Mat.Conc_Alpha.1*Mat.Conc_f.c*$V509*MAX(0,AQ509*Mat.Conc_Beta.1-$Y509)))
-($J509*MIN(Mat.Rebar_f.y,(Mat.Rebar_epsilon.cl*($S509-AQ509)/AQ509)*Mat.PT_E.s))
-($M509*Mat.PT_f.pu*(1-Mat.PT_k*AQ509/$P509))))</f>
        <v/>
      </c>
      <c r="AT509" s="329"/>
      <c r="AU509" s="167" t="str">
        <f>IF(ISBLANK(Inputs!$A117),"",
IF(AS509="--","Solved",
IF(ABS(AS509)&lt;=0.001,"Solved",AQ509-AS509*(AQ509-AM509)/(AS509-AO509))))</f>
        <v/>
      </c>
      <c r="AV509" s="167"/>
      <c r="AW509" s="329" t="str">
        <f>IF(ISBLANK(Inputs!$A117),"",
IF(OR(AU509="Solved",AU509="--"),"--",
((Mat.Conc_Alpha.1*Mat.Conc_f.c*$AB509*MIN(AU509*Mat.Conc_Beta.1,$Y509))
+(Mat.Conc_Alpha.1*Mat.Conc_f.c*$V509*MAX(0,AU509*Mat.Conc_Beta.1-$Y509)))
-($J509*MIN(Mat.Rebar_f.y,(Mat.Rebar_epsilon.cl*($S509-AU509)/AU509)*Mat.PT_E.s))
-($M509*Mat.PT_f.pu*(1-Mat.PT_k*AU509/$P509))))</f>
        <v/>
      </c>
      <c r="AX509" s="329"/>
      <c r="AY509" s="167" t="str">
        <f>IF(ISBLANK(Inputs!$A117),"",
IF(AW509="--","Solved",
IF(ABS(AW509)&lt;=0.001,"Solved",AU509-AW509*(AU509-AQ509)/(AW509-AS509))))</f>
        <v/>
      </c>
      <c r="AZ509" s="167"/>
      <c r="BA509" s="329" t="str">
        <f>IF(ISBLANK(Inputs!$A117),"",
IF(OR(AY509="Solved",AY509="--"),"--",
((Mat.Conc_Alpha.1*Mat.Conc_f.c*$AB509*MIN(AY509*Mat.Conc_Beta.1,$Y509))
+(Mat.Conc_Alpha.1*Mat.Conc_f.c*$V509*MAX(0,AY509*Mat.Conc_Beta.1-$Y509)))
-($J509*MIN(Mat.Rebar_f.y,(Mat.Rebar_epsilon.cl*($S509-AY509)/AY509)*Mat.PT_E.s))
-($M509*Mat.PT_f.pu*(1-Mat.PT_k*AY509/$P509))))</f>
        <v/>
      </c>
      <c r="BB509" s="329"/>
      <c r="BC509" s="167" t="str">
        <f>IF(ISBLANK(Inputs!$A117),"",
IF(BA509="--","Solved",
IF(ABS(BA509)&lt;=0.001,"Solved",AY509-BA509*(AY509-AU509)/(BA509-AW509))))</f>
        <v/>
      </c>
      <c r="BD509" s="167"/>
      <c r="BE509" s="329" t="str">
        <f>IF(ISBLANK(Inputs!$A117),"",
IF(OR(BC509="Solved",BC509="--"),"--",
((Mat.Conc_Alpha.1*Mat.Conc_f.c*$AB509*MIN(BC509*Mat.Conc_Beta.1,$Y509))
+(Mat.Conc_Alpha.1*Mat.Conc_f.c*$V509*MAX(0,BC509*Mat.Conc_Beta.1-$Y509)))
-($J509*MIN(Mat.Rebar_f.y,(Mat.Rebar_epsilon.cl*($S509-BC509)/BC509)*Mat.PT_E.s))
-($M509*Mat.PT_f.pu*(1-Mat.PT_k*BC509/$P509))))</f>
        <v/>
      </c>
      <c r="BF509" s="329"/>
      <c r="BG509" s="167" t="str">
        <f>IF(ISBLANK(Inputs!$A117),"",
IF(BE509="--","Solved",
IF(ABS(BE509)&lt;=0.001,"Solved",BC509-BE509*(BC509-AY509)/(BE509-BA509))))</f>
        <v/>
      </c>
      <c r="BH509" s="167"/>
      <c r="BI509" s="329" t="str">
        <f>IF(ISBLANK(Inputs!$A117),"",
IF(OR(BG509="Solved",BG509="--"),"--",
((Mat.Conc_Alpha.1*Mat.Conc_f.c*$AB509*MIN(BG509*Mat.Conc_Beta.1,$Y509))
+(Mat.Conc_Alpha.1*Mat.Conc_f.c*$V509*MAX(0,BG509*Mat.Conc_Beta.1-$Y509)))
-($J509*MIN(Mat.Rebar_f.y,(Mat.Rebar_epsilon.cl*($S509-BG509)/BG509)*Mat.PT_E.s))
-($M509*Mat.PT_f.pu*(1-Mat.PT_k*BG509/$P509))))</f>
        <v/>
      </c>
      <c r="BJ509" s="329"/>
      <c r="BK509" s="167" t="str">
        <f>IF(ISBLANK(Inputs!$A117),"",
IF(BI509="--","Solved",
IF(ABS(BI509)&lt;=0.001,"Solved",BG509-BI509*(BG509-BC509)/(BI509-BE509))))</f>
        <v/>
      </c>
      <c r="BL509" s="167"/>
      <c r="BM509" s="329" t="str">
        <f>IF(ISBLANK(Inputs!$A117),"",
IF(OR(BK509="Solved",BK509="--"),"--",
((Mat.Conc_Alpha.1*Mat.Conc_f.c*$AB509*MIN(BK509*Mat.Conc_Beta.1,$Y509))
+(Mat.Conc_Alpha.1*Mat.Conc_f.c*$V509*MAX(0,BK509*Mat.Conc_Beta.1-$Y509)))
-($J509*MIN(Mat.Rebar_f.y,(Mat.Rebar_epsilon.cl*($S509-BK509)/BK509)*Mat.PT_E.s))
-($M509*Mat.PT_f.pu*(1-Mat.PT_k*BK509/$P509))))</f>
        <v/>
      </c>
      <c r="BN509" s="329"/>
      <c r="BO509" s="167" t="str">
        <f>IF(ISBLANK(Inputs!$A117),"",
IF(BM509="--","Solved",
IF(ABS(BM509)&lt;=0.001,"Solved",BK509-BM509*(BK509-BG509)/(BM509-BI509))))</f>
        <v/>
      </c>
      <c r="BP509" s="167"/>
      <c r="BQ509" s="329" t="str">
        <f>IF(ISBLANK(Inputs!$A117),"",
IF(OR(BO509="Solved",BO509="--"),"--",
((Mat.Conc_Alpha.1*Mat.Conc_f.c*$AB509*MIN(BO509*Mat.Conc_Beta.1,$Y509))
+(Mat.Conc_Alpha.1*Mat.Conc_f.c*$V509*MAX(0,BO509*Mat.Conc_Beta.1-$Y509)))
-($J509*MIN(Mat.Rebar_f.y,(Mat.Rebar_epsilon.cl*($S509-BO509)/BO509)*Mat.PT_E.s))
-($M509*Mat.PT_f.pu*(1-Mat.PT_k*BO509/$P509))))</f>
        <v/>
      </c>
      <c r="BR509" s="329"/>
      <c r="BT509" s="98"/>
      <c r="BU509" s="70"/>
      <c r="BV509" s="70"/>
      <c r="BW509" s="8"/>
      <c r="BX509" s="8"/>
      <c r="BY509" s="8"/>
      <c r="BZ509" s="8"/>
      <c r="CA509" s="8"/>
      <c r="CB509" s="10"/>
    </row>
    <row r="510" spans="3:80" ht="15" customHeight="1" x14ac:dyDescent="0.25">
      <c r="C510" s="69"/>
      <c r="F510" s="167" t="str">
        <f>IF(ISBLANK(Inputs!A118),"",Inputs!A118)</f>
        <v/>
      </c>
      <c r="G510" s="167"/>
      <c r="H510" s="167" t="str">
        <f>IF(ISBLANK(Inputs!B118),"",Inputs!B118)</f>
        <v/>
      </c>
      <c r="I510" s="167"/>
      <c r="J510" s="168" t="str">
        <f>IF(ISBLANK(Inputs!G118),"",Inputs!G118)</f>
        <v/>
      </c>
      <c r="K510" s="168"/>
      <c r="L510" s="168"/>
      <c r="M510" s="168" t="str">
        <f>IF(ISBLANK(Inputs!D118),"",Inputs!D118)</f>
        <v/>
      </c>
      <c r="N510" s="168"/>
      <c r="O510" s="168"/>
      <c r="P510" s="168" t="str">
        <f>IF(ISBLANK(Inputs!F118),"",Inputs!F118)</f>
        <v/>
      </c>
      <c r="Q510" s="168"/>
      <c r="R510" s="168"/>
      <c r="S510" s="168" t="str">
        <f>IF(ISBLANK(Inputs!H118),"",Inputs!H118)</f>
        <v/>
      </c>
      <c r="T510" s="168"/>
      <c r="U510" s="168"/>
      <c r="V510" s="168" t="str">
        <f>IF(ISBLANK(Inputs!E118),"",Inputs!E118)</f>
        <v/>
      </c>
      <c r="W510" s="168"/>
      <c r="X510" s="168"/>
      <c r="Y510" s="168" t="str">
        <f>IF(ISBLANK(Inputs!I118),"",Inputs!I118)</f>
        <v/>
      </c>
      <c r="Z510" s="168"/>
      <c r="AA510" s="168"/>
      <c r="AB510" s="168">
        <f>IF(ISBLANK(Inputs!J118),"",Inputs!J118)</f>
        <v>96</v>
      </c>
      <c r="AC510" s="168"/>
      <c r="AD510" s="168"/>
      <c r="AE510" s="167" t="str">
        <f>IF(ISBLANK(Inputs!A118),"",Y510)</f>
        <v/>
      </c>
      <c r="AF510" s="167"/>
      <c r="AG510" s="329" t="str">
        <f>IF(ISBLANK(Inputs!$A118),"",
IF(OR(AE510="Solved",AE510="--"),"--",
((Mat.Conc_Alpha.1*Mat.Conc_f.c*$AB510*MIN(AE510*Mat.Conc_Beta.1,$Y510))
+(Mat.Conc_Alpha.1*Mat.Conc_f.c*$V510*MAX(0,AE510*Mat.Conc_Beta.1-$Y510)))
-($J510*MIN(Mat.Rebar_f.y,(Mat.Rebar_epsilon.cl*($S510-AE510)/AE510)*Mat.PT_E.s))
-($M510*Mat.PT_f.pu*(1-Mat.PT_k*AE510/$P510))))</f>
        <v/>
      </c>
      <c r="AH510" s="329"/>
      <c r="AI510" s="167" t="str">
        <f>IF(ISBLANK(Inputs!$A118),"",
IF(ABS(AG510)&lt;=0.001,"Solved",IF(AG510&gt;0,0.85*AE510,1.15*AE510)))</f>
        <v/>
      </c>
      <c r="AJ510" s="167"/>
      <c r="AK510" s="329" t="str">
        <f>IF(ISBLANK(Inputs!$A118),"",
IF(OR(AI510="Solved",AI510="--"),"--",
((Mat.Conc_Alpha.1*Mat.Conc_f.c*$AB510*MIN(AI510*Mat.Conc_Beta.1,$Y510))
+(Mat.Conc_Alpha.1*Mat.Conc_f.c*$V510*MAX(0,AI510*Mat.Conc_Beta.1-$Y510)))
-($J510*MIN(Mat.Rebar_f.y,(Mat.Rebar_epsilon.cl*($S510-AI510)/AI510)*Mat.PT_E.s))
-($M510*Mat.PT_f.pu*(1-Mat.PT_k*AI510/$P510))))</f>
        <v/>
      </c>
      <c r="AL510" s="329"/>
      <c r="AM510" s="167" t="str">
        <f>IF(ISBLANK(Inputs!$A118),"",
IF(AK510="--","Solved",
IF(ABS(AK510)&lt;=0.001,"Solved",AI510-AK510*(AI510-AE510)/(AK510-AG510))))</f>
        <v/>
      </c>
      <c r="AN510" s="167"/>
      <c r="AO510" s="329" t="str">
        <f>IF(ISBLANK(Inputs!$A118),"",
IF(OR(AM510="Solved",AM510="--"),"--",
((Mat.Conc_Alpha.1*Mat.Conc_f.c*$AB510*MIN(AM510*Mat.Conc_Beta.1,$Y510))
+(Mat.Conc_Alpha.1*Mat.Conc_f.c*$V510*MAX(0,AM510*Mat.Conc_Beta.1-$Y510)))
-($J510*MIN(Mat.Rebar_f.y,(Mat.Rebar_epsilon.cl*($S510-AM510)/AM510)*Mat.PT_E.s))
-($M510*Mat.PT_f.pu*(1-Mat.PT_k*AM510/$P510))))</f>
        <v/>
      </c>
      <c r="AP510" s="329"/>
      <c r="AQ510" s="167" t="str">
        <f>IF(ISBLANK(Inputs!$A118),"",
IF(AO510="--","Solved",
IF(ABS(AO510)&lt;=0.001,"Solved",AM510-AO510*(AM510-AI510)/(AO510-AK510))))</f>
        <v/>
      </c>
      <c r="AR510" s="167"/>
      <c r="AS510" s="329" t="str">
        <f>IF(ISBLANK(Inputs!$A118),"",
IF(OR(AQ510="Solved",AQ510="--"),"--",
((Mat.Conc_Alpha.1*Mat.Conc_f.c*$AB510*MIN(AQ510*Mat.Conc_Beta.1,$Y510))
+(Mat.Conc_Alpha.1*Mat.Conc_f.c*$V510*MAX(0,AQ510*Mat.Conc_Beta.1-$Y510)))
-($J510*MIN(Mat.Rebar_f.y,(Mat.Rebar_epsilon.cl*($S510-AQ510)/AQ510)*Mat.PT_E.s))
-($M510*Mat.PT_f.pu*(1-Mat.PT_k*AQ510/$P510))))</f>
        <v/>
      </c>
      <c r="AT510" s="329"/>
      <c r="AU510" s="167" t="str">
        <f>IF(ISBLANK(Inputs!$A118),"",
IF(AS510="--","Solved",
IF(ABS(AS510)&lt;=0.001,"Solved",AQ510-AS510*(AQ510-AM510)/(AS510-AO510))))</f>
        <v/>
      </c>
      <c r="AV510" s="167"/>
      <c r="AW510" s="329" t="str">
        <f>IF(ISBLANK(Inputs!$A118),"",
IF(OR(AU510="Solved",AU510="--"),"--",
((Mat.Conc_Alpha.1*Mat.Conc_f.c*$AB510*MIN(AU510*Mat.Conc_Beta.1,$Y510))
+(Mat.Conc_Alpha.1*Mat.Conc_f.c*$V510*MAX(0,AU510*Mat.Conc_Beta.1-$Y510)))
-($J510*MIN(Mat.Rebar_f.y,(Mat.Rebar_epsilon.cl*($S510-AU510)/AU510)*Mat.PT_E.s))
-($M510*Mat.PT_f.pu*(1-Mat.PT_k*AU510/$P510))))</f>
        <v/>
      </c>
      <c r="AX510" s="329"/>
      <c r="AY510" s="167" t="str">
        <f>IF(ISBLANK(Inputs!$A118),"",
IF(AW510="--","Solved",
IF(ABS(AW510)&lt;=0.001,"Solved",AU510-AW510*(AU510-AQ510)/(AW510-AS510))))</f>
        <v/>
      </c>
      <c r="AZ510" s="167"/>
      <c r="BA510" s="329" t="str">
        <f>IF(ISBLANK(Inputs!$A118),"",
IF(OR(AY510="Solved",AY510="--"),"--",
((Mat.Conc_Alpha.1*Mat.Conc_f.c*$AB510*MIN(AY510*Mat.Conc_Beta.1,$Y510))
+(Mat.Conc_Alpha.1*Mat.Conc_f.c*$V510*MAX(0,AY510*Mat.Conc_Beta.1-$Y510)))
-($J510*MIN(Mat.Rebar_f.y,(Mat.Rebar_epsilon.cl*($S510-AY510)/AY510)*Mat.PT_E.s))
-($M510*Mat.PT_f.pu*(1-Mat.PT_k*AY510/$P510))))</f>
        <v/>
      </c>
      <c r="BB510" s="329"/>
      <c r="BC510" s="167" t="str">
        <f>IF(ISBLANK(Inputs!$A118),"",
IF(BA510="--","Solved",
IF(ABS(BA510)&lt;=0.001,"Solved",AY510-BA510*(AY510-AU510)/(BA510-AW510))))</f>
        <v/>
      </c>
      <c r="BD510" s="167"/>
      <c r="BE510" s="329" t="str">
        <f>IF(ISBLANK(Inputs!$A118),"",
IF(OR(BC510="Solved",BC510="--"),"--",
((Mat.Conc_Alpha.1*Mat.Conc_f.c*$AB510*MIN(BC510*Mat.Conc_Beta.1,$Y510))
+(Mat.Conc_Alpha.1*Mat.Conc_f.c*$V510*MAX(0,BC510*Mat.Conc_Beta.1-$Y510)))
-($J510*MIN(Mat.Rebar_f.y,(Mat.Rebar_epsilon.cl*($S510-BC510)/BC510)*Mat.PT_E.s))
-($M510*Mat.PT_f.pu*(1-Mat.PT_k*BC510/$P510))))</f>
        <v/>
      </c>
      <c r="BF510" s="329"/>
      <c r="BG510" s="167" t="str">
        <f>IF(ISBLANK(Inputs!$A118),"",
IF(BE510="--","Solved",
IF(ABS(BE510)&lt;=0.001,"Solved",BC510-BE510*(BC510-AY510)/(BE510-BA510))))</f>
        <v/>
      </c>
      <c r="BH510" s="167"/>
      <c r="BI510" s="329" t="str">
        <f>IF(ISBLANK(Inputs!$A118),"",
IF(OR(BG510="Solved",BG510="--"),"--",
((Mat.Conc_Alpha.1*Mat.Conc_f.c*$AB510*MIN(BG510*Mat.Conc_Beta.1,$Y510))
+(Mat.Conc_Alpha.1*Mat.Conc_f.c*$V510*MAX(0,BG510*Mat.Conc_Beta.1-$Y510)))
-($J510*MIN(Mat.Rebar_f.y,(Mat.Rebar_epsilon.cl*($S510-BG510)/BG510)*Mat.PT_E.s))
-($M510*Mat.PT_f.pu*(1-Mat.PT_k*BG510/$P510))))</f>
        <v/>
      </c>
      <c r="BJ510" s="329"/>
      <c r="BK510" s="167" t="str">
        <f>IF(ISBLANK(Inputs!$A118),"",
IF(BI510="--","Solved",
IF(ABS(BI510)&lt;=0.001,"Solved",BG510-BI510*(BG510-BC510)/(BI510-BE510))))</f>
        <v/>
      </c>
      <c r="BL510" s="167"/>
      <c r="BM510" s="329" t="str">
        <f>IF(ISBLANK(Inputs!$A118),"",
IF(OR(BK510="Solved",BK510="--"),"--",
((Mat.Conc_Alpha.1*Mat.Conc_f.c*$AB510*MIN(BK510*Mat.Conc_Beta.1,$Y510))
+(Mat.Conc_Alpha.1*Mat.Conc_f.c*$V510*MAX(0,BK510*Mat.Conc_Beta.1-$Y510)))
-($J510*MIN(Mat.Rebar_f.y,(Mat.Rebar_epsilon.cl*($S510-BK510)/BK510)*Mat.PT_E.s))
-($M510*Mat.PT_f.pu*(1-Mat.PT_k*BK510/$P510))))</f>
        <v/>
      </c>
      <c r="BN510" s="329"/>
      <c r="BO510" s="167" t="str">
        <f>IF(ISBLANK(Inputs!$A118),"",
IF(BM510="--","Solved",
IF(ABS(BM510)&lt;=0.001,"Solved",BK510-BM510*(BK510-BG510)/(BM510-BI510))))</f>
        <v/>
      </c>
      <c r="BP510" s="167"/>
      <c r="BQ510" s="329" t="str">
        <f>IF(ISBLANK(Inputs!$A118),"",
IF(OR(BO510="Solved",BO510="--"),"--",
((Mat.Conc_Alpha.1*Mat.Conc_f.c*$AB510*MIN(BO510*Mat.Conc_Beta.1,$Y510))
+(Mat.Conc_Alpha.1*Mat.Conc_f.c*$V510*MAX(0,BO510*Mat.Conc_Beta.1-$Y510)))
-($J510*MIN(Mat.Rebar_f.y,(Mat.Rebar_epsilon.cl*($S510-BO510)/BO510)*Mat.PT_E.s))
-($M510*Mat.PT_f.pu*(1-Mat.PT_k*BO510/$P510))))</f>
        <v/>
      </c>
      <c r="BR510" s="329"/>
      <c r="BT510" s="98"/>
      <c r="BU510" s="70"/>
      <c r="BV510" s="70"/>
      <c r="BW510" s="8"/>
      <c r="BX510" s="8"/>
      <c r="BY510" s="8"/>
      <c r="BZ510" s="8"/>
      <c r="CA510" s="8"/>
      <c r="CB510" s="10"/>
    </row>
    <row r="511" spans="3:80" ht="15" customHeight="1" x14ac:dyDescent="0.25">
      <c r="C511" s="69"/>
      <c r="F511" s="167" t="str">
        <f>IF(ISBLANK(Inputs!A119),"",Inputs!A119)</f>
        <v/>
      </c>
      <c r="G511" s="167"/>
      <c r="H511" s="167" t="str">
        <f>IF(ISBLANK(Inputs!B119),"",Inputs!B119)</f>
        <v/>
      </c>
      <c r="I511" s="167"/>
      <c r="J511" s="168" t="str">
        <f>IF(ISBLANK(Inputs!G119),"",Inputs!G119)</f>
        <v/>
      </c>
      <c r="K511" s="168"/>
      <c r="L511" s="168"/>
      <c r="M511" s="168" t="str">
        <f>IF(ISBLANK(Inputs!D119),"",Inputs!D119)</f>
        <v/>
      </c>
      <c r="N511" s="168"/>
      <c r="O511" s="168"/>
      <c r="P511" s="168" t="str">
        <f>IF(ISBLANK(Inputs!F119),"",Inputs!F119)</f>
        <v/>
      </c>
      <c r="Q511" s="168"/>
      <c r="R511" s="168"/>
      <c r="S511" s="168" t="str">
        <f>IF(ISBLANK(Inputs!H119),"",Inputs!H119)</f>
        <v/>
      </c>
      <c r="T511" s="168"/>
      <c r="U511" s="168"/>
      <c r="V511" s="168" t="str">
        <f>IF(ISBLANK(Inputs!E119),"",Inputs!E119)</f>
        <v/>
      </c>
      <c r="W511" s="168"/>
      <c r="X511" s="168"/>
      <c r="Y511" s="168" t="str">
        <f>IF(ISBLANK(Inputs!I119),"",Inputs!I119)</f>
        <v/>
      </c>
      <c r="Z511" s="168"/>
      <c r="AA511" s="168"/>
      <c r="AB511" s="168">
        <f>IF(ISBLANK(Inputs!J119),"",Inputs!J119)</f>
        <v>96</v>
      </c>
      <c r="AC511" s="168"/>
      <c r="AD511" s="168"/>
      <c r="AE511" s="167" t="str">
        <f>IF(ISBLANK(Inputs!A119),"",Y511)</f>
        <v/>
      </c>
      <c r="AF511" s="167"/>
      <c r="AG511" s="329" t="str">
        <f>IF(ISBLANK(Inputs!$A119),"",
IF(OR(AE511="Solved",AE511="--"),"--",
((Mat.Conc_Alpha.1*Mat.Conc_f.c*$AB511*MIN(AE511*Mat.Conc_Beta.1,$Y511))
+(Mat.Conc_Alpha.1*Mat.Conc_f.c*$V511*MAX(0,AE511*Mat.Conc_Beta.1-$Y511)))
-($J511*MIN(Mat.Rebar_f.y,(Mat.Rebar_epsilon.cl*($S511-AE511)/AE511)*Mat.PT_E.s))
-($M511*Mat.PT_f.pu*(1-Mat.PT_k*AE511/$P511))))</f>
        <v/>
      </c>
      <c r="AH511" s="329"/>
      <c r="AI511" s="167" t="str">
        <f>IF(ISBLANK(Inputs!$A119),"",
IF(ABS(AG511)&lt;=0.001,"Solved",IF(AG511&gt;0,0.85*AE511,1.15*AE511)))</f>
        <v/>
      </c>
      <c r="AJ511" s="167"/>
      <c r="AK511" s="329" t="str">
        <f>IF(ISBLANK(Inputs!$A119),"",
IF(OR(AI511="Solved",AI511="--"),"--",
((Mat.Conc_Alpha.1*Mat.Conc_f.c*$AB511*MIN(AI511*Mat.Conc_Beta.1,$Y511))
+(Mat.Conc_Alpha.1*Mat.Conc_f.c*$V511*MAX(0,AI511*Mat.Conc_Beta.1-$Y511)))
-($J511*MIN(Mat.Rebar_f.y,(Mat.Rebar_epsilon.cl*($S511-AI511)/AI511)*Mat.PT_E.s))
-($M511*Mat.PT_f.pu*(1-Mat.PT_k*AI511/$P511))))</f>
        <v/>
      </c>
      <c r="AL511" s="329"/>
      <c r="AM511" s="167" t="str">
        <f>IF(ISBLANK(Inputs!$A119),"",
IF(AK511="--","Solved",
IF(ABS(AK511)&lt;=0.001,"Solved",AI511-AK511*(AI511-AE511)/(AK511-AG511))))</f>
        <v/>
      </c>
      <c r="AN511" s="167"/>
      <c r="AO511" s="329" t="str">
        <f>IF(ISBLANK(Inputs!$A119),"",
IF(OR(AM511="Solved",AM511="--"),"--",
((Mat.Conc_Alpha.1*Mat.Conc_f.c*$AB511*MIN(AM511*Mat.Conc_Beta.1,$Y511))
+(Mat.Conc_Alpha.1*Mat.Conc_f.c*$V511*MAX(0,AM511*Mat.Conc_Beta.1-$Y511)))
-($J511*MIN(Mat.Rebar_f.y,(Mat.Rebar_epsilon.cl*($S511-AM511)/AM511)*Mat.PT_E.s))
-($M511*Mat.PT_f.pu*(1-Mat.PT_k*AM511/$P511))))</f>
        <v/>
      </c>
      <c r="AP511" s="329"/>
      <c r="AQ511" s="167" t="str">
        <f>IF(ISBLANK(Inputs!$A119),"",
IF(AO511="--","Solved",
IF(ABS(AO511)&lt;=0.001,"Solved",AM511-AO511*(AM511-AI511)/(AO511-AK511))))</f>
        <v/>
      </c>
      <c r="AR511" s="167"/>
      <c r="AS511" s="329" t="str">
        <f>IF(ISBLANK(Inputs!$A119),"",
IF(OR(AQ511="Solved",AQ511="--"),"--",
((Mat.Conc_Alpha.1*Mat.Conc_f.c*$AB511*MIN(AQ511*Mat.Conc_Beta.1,$Y511))
+(Mat.Conc_Alpha.1*Mat.Conc_f.c*$V511*MAX(0,AQ511*Mat.Conc_Beta.1-$Y511)))
-($J511*MIN(Mat.Rebar_f.y,(Mat.Rebar_epsilon.cl*($S511-AQ511)/AQ511)*Mat.PT_E.s))
-($M511*Mat.PT_f.pu*(1-Mat.PT_k*AQ511/$P511))))</f>
        <v/>
      </c>
      <c r="AT511" s="329"/>
      <c r="AU511" s="167" t="str">
        <f>IF(ISBLANK(Inputs!$A119),"",
IF(AS511="--","Solved",
IF(ABS(AS511)&lt;=0.001,"Solved",AQ511-AS511*(AQ511-AM511)/(AS511-AO511))))</f>
        <v/>
      </c>
      <c r="AV511" s="167"/>
      <c r="AW511" s="329" t="str">
        <f>IF(ISBLANK(Inputs!$A119),"",
IF(OR(AU511="Solved",AU511="--"),"--",
((Mat.Conc_Alpha.1*Mat.Conc_f.c*$AB511*MIN(AU511*Mat.Conc_Beta.1,$Y511))
+(Mat.Conc_Alpha.1*Mat.Conc_f.c*$V511*MAX(0,AU511*Mat.Conc_Beta.1-$Y511)))
-($J511*MIN(Mat.Rebar_f.y,(Mat.Rebar_epsilon.cl*($S511-AU511)/AU511)*Mat.PT_E.s))
-($M511*Mat.PT_f.pu*(1-Mat.PT_k*AU511/$P511))))</f>
        <v/>
      </c>
      <c r="AX511" s="329"/>
      <c r="AY511" s="167" t="str">
        <f>IF(ISBLANK(Inputs!$A119),"",
IF(AW511="--","Solved",
IF(ABS(AW511)&lt;=0.001,"Solved",AU511-AW511*(AU511-AQ511)/(AW511-AS511))))</f>
        <v/>
      </c>
      <c r="AZ511" s="167"/>
      <c r="BA511" s="329" t="str">
        <f>IF(ISBLANK(Inputs!$A119),"",
IF(OR(AY511="Solved",AY511="--"),"--",
((Mat.Conc_Alpha.1*Mat.Conc_f.c*$AB511*MIN(AY511*Mat.Conc_Beta.1,$Y511))
+(Mat.Conc_Alpha.1*Mat.Conc_f.c*$V511*MAX(0,AY511*Mat.Conc_Beta.1-$Y511)))
-($J511*MIN(Mat.Rebar_f.y,(Mat.Rebar_epsilon.cl*($S511-AY511)/AY511)*Mat.PT_E.s))
-($M511*Mat.PT_f.pu*(1-Mat.PT_k*AY511/$P511))))</f>
        <v/>
      </c>
      <c r="BB511" s="329"/>
      <c r="BC511" s="167" t="str">
        <f>IF(ISBLANK(Inputs!$A119),"",
IF(BA511="--","Solved",
IF(ABS(BA511)&lt;=0.001,"Solved",AY511-BA511*(AY511-AU511)/(BA511-AW511))))</f>
        <v/>
      </c>
      <c r="BD511" s="167"/>
      <c r="BE511" s="329" t="str">
        <f>IF(ISBLANK(Inputs!$A119),"",
IF(OR(BC511="Solved",BC511="--"),"--",
((Mat.Conc_Alpha.1*Mat.Conc_f.c*$AB511*MIN(BC511*Mat.Conc_Beta.1,$Y511))
+(Mat.Conc_Alpha.1*Mat.Conc_f.c*$V511*MAX(0,BC511*Mat.Conc_Beta.1-$Y511)))
-($J511*MIN(Mat.Rebar_f.y,(Mat.Rebar_epsilon.cl*($S511-BC511)/BC511)*Mat.PT_E.s))
-($M511*Mat.PT_f.pu*(1-Mat.PT_k*BC511/$P511))))</f>
        <v/>
      </c>
      <c r="BF511" s="329"/>
      <c r="BG511" s="167" t="str">
        <f>IF(ISBLANK(Inputs!$A119),"",
IF(BE511="--","Solved",
IF(ABS(BE511)&lt;=0.001,"Solved",BC511-BE511*(BC511-AY511)/(BE511-BA511))))</f>
        <v/>
      </c>
      <c r="BH511" s="167"/>
      <c r="BI511" s="329" t="str">
        <f>IF(ISBLANK(Inputs!$A119),"",
IF(OR(BG511="Solved",BG511="--"),"--",
((Mat.Conc_Alpha.1*Mat.Conc_f.c*$AB511*MIN(BG511*Mat.Conc_Beta.1,$Y511))
+(Mat.Conc_Alpha.1*Mat.Conc_f.c*$V511*MAX(0,BG511*Mat.Conc_Beta.1-$Y511)))
-($J511*MIN(Mat.Rebar_f.y,(Mat.Rebar_epsilon.cl*($S511-BG511)/BG511)*Mat.PT_E.s))
-($M511*Mat.PT_f.pu*(1-Mat.PT_k*BG511/$P511))))</f>
        <v/>
      </c>
      <c r="BJ511" s="329"/>
      <c r="BK511" s="167" t="str">
        <f>IF(ISBLANK(Inputs!$A119),"",
IF(BI511="--","Solved",
IF(ABS(BI511)&lt;=0.001,"Solved",BG511-BI511*(BG511-BC511)/(BI511-BE511))))</f>
        <v/>
      </c>
      <c r="BL511" s="167"/>
      <c r="BM511" s="329" t="str">
        <f>IF(ISBLANK(Inputs!$A119),"",
IF(OR(BK511="Solved",BK511="--"),"--",
((Mat.Conc_Alpha.1*Mat.Conc_f.c*$AB511*MIN(BK511*Mat.Conc_Beta.1,$Y511))
+(Mat.Conc_Alpha.1*Mat.Conc_f.c*$V511*MAX(0,BK511*Mat.Conc_Beta.1-$Y511)))
-($J511*MIN(Mat.Rebar_f.y,(Mat.Rebar_epsilon.cl*($S511-BK511)/BK511)*Mat.PT_E.s))
-($M511*Mat.PT_f.pu*(1-Mat.PT_k*BK511/$P511))))</f>
        <v/>
      </c>
      <c r="BN511" s="329"/>
      <c r="BO511" s="167" t="str">
        <f>IF(ISBLANK(Inputs!$A119),"",
IF(BM511="--","Solved",
IF(ABS(BM511)&lt;=0.001,"Solved",BK511-BM511*(BK511-BG511)/(BM511-BI511))))</f>
        <v/>
      </c>
      <c r="BP511" s="167"/>
      <c r="BQ511" s="329" t="str">
        <f>IF(ISBLANK(Inputs!$A119),"",
IF(OR(BO511="Solved",BO511="--"),"--",
((Mat.Conc_Alpha.1*Mat.Conc_f.c*$AB511*MIN(BO511*Mat.Conc_Beta.1,$Y511))
+(Mat.Conc_Alpha.1*Mat.Conc_f.c*$V511*MAX(0,BO511*Mat.Conc_Beta.1-$Y511)))
-($J511*MIN(Mat.Rebar_f.y,(Mat.Rebar_epsilon.cl*($S511-BO511)/BO511)*Mat.PT_E.s))
-($M511*Mat.PT_f.pu*(1-Mat.PT_k*BO511/$P511))))</f>
        <v/>
      </c>
      <c r="BR511" s="329"/>
      <c r="BT511" s="98"/>
      <c r="BU511" s="70"/>
      <c r="BV511" s="70"/>
      <c r="BW511" s="8"/>
      <c r="BX511" s="8"/>
      <c r="BY511" s="8"/>
      <c r="BZ511" s="8"/>
      <c r="CA511" s="8"/>
      <c r="CB511" s="10"/>
    </row>
    <row r="512" spans="3:80" ht="15" customHeight="1" x14ac:dyDescent="0.25">
      <c r="C512" s="69"/>
      <c r="F512" s="167" t="str">
        <f>IF(ISBLANK(Inputs!A120),"",Inputs!A120)</f>
        <v/>
      </c>
      <c r="G512" s="167"/>
      <c r="H512" s="167" t="str">
        <f>IF(ISBLANK(Inputs!B120),"",Inputs!B120)</f>
        <v/>
      </c>
      <c r="I512" s="167"/>
      <c r="J512" s="168" t="str">
        <f>IF(ISBLANK(Inputs!G120),"",Inputs!G120)</f>
        <v/>
      </c>
      <c r="K512" s="168"/>
      <c r="L512" s="168"/>
      <c r="M512" s="168" t="str">
        <f>IF(ISBLANK(Inputs!D120),"",Inputs!D120)</f>
        <v/>
      </c>
      <c r="N512" s="168"/>
      <c r="O512" s="168"/>
      <c r="P512" s="168" t="str">
        <f>IF(ISBLANK(Inputs!F120),"",Inputs!F120)</f>
        <v/>
      </c>
      <c r="Q512" s="168"/>
      <c r="R512" s="168"/>
      <c r="S512" s="168" t="str">
        <f>IF(ISBLANK(Inputs!H120),"",Inputs!H120)</f>
        <v/>
      </c>
      <c r="T512" s="168"/>
      <c r="U512" s="168"/>
      <c r="V512" s="168" t="str">
        <f>IF(ISBLANK(Inputs!E120),"",Inputs!E120)</f>
        <v/>
      </c>
      <c r="W512" s="168"/>
      <c r="X512" s="168"/>
      <c r="Y512" s="168" t="str">
        <f>IF(ISBLANK(Inputs!I120),"",Inputs!I120)</f>
        <v/>
      </c>
      <c r="Z512" s="168"/>
      <c r="AA512" s="168"/>
      <c r="AB512" s="168">
        <f>IF(ISBLANK(Inputs!J120),"",Inputs!J120)</f>
        <v>96</v>
      </c>
      <c r="AC512" s="168"/>
      <c r="AD512" s="168"/>
      <c r="AE512" s="167" t="str">
        <f>IF(ISBLANK(Inputs!A120),"",Y512)</f>
        <v/>
      </c>
      <c r="AF512" s="167"/>
      <c r="AG512" s="329" t="str">
        <f>IF(ISBLANK(Inputs!$A120),"",
IF(OR(AE512="Solved",AE512="--"),"--",
((Mat.Conc_Alpha.1*Mat.Conc_f.c*$AB512*MIN(AE512*Mat.Conc_Beta.1,$Y512))
+(Mat.Conc_Alpha.1*Mat.Conc_f.c*$V512*MAX(0,AE512*Mat.Conc_Beta.1-$Y512)))
-($J512*MIN(Mat.Rebar_f.y,(Mat.Rebar_epsilon.cl*($S512-AE512)/AE512)*Mat.PT_E.s))
-($M512*Mat.PT_f.pu*(1-Mat.PT_k*AE512/$P512))))</f>
        <v/>
      </c>
      <c r="AH512" s="329"/>
      <c r="AI512" s="167" t="str">
        <f>IF(ISBLANK(Inputs!$A120),"",
IF(ABS(AG512)&lt;=0.001,"Solved",IF(AG512&gt;0,0.85*AE512,1.15*AE512)))</f>
        <v/>
      </c>
      <c r="AJ512" s="167"/>
      <c r="AK512" s="329" t="str">
        <f>IF(ISBLANK(Inputs!$A120),"",
IF(OR(AI512="Solved",AI512="--"),"--",
((Mat.Conc_Alpha.1*Mat.Conc_f.c*$AB512*MIN(AI512*Mat.Conc_Beta.1,$Y512))
+(Mat.Conc_Alpha.1*Mat.Conc_f.c*$V512*MAX(0,AI512*Mat.Conc_Beta.1-$Y512)))
-($J512*MIN(Mat.Rebar_f.y,(Mat.Rebar_epsilon.cl*($S512-AI512)/AI512)*Mat.PT_E.s))
-($M512*Mat.PT_f.pu*(1-Mat.PT_k*AI512/$P512))))</f>
        <v/>
      </c>
      <c r="AL512" s="329"/>
      <c r="AM512" s="167" t="str">
        <f>IF(ISBLANK(Inputs!$A120),"",
IF(AK512="--","Solved",
IF(ABS(AK512)&lt;=0.001,"Solved",AI512-AK512*(AI512-AE512)/(AK512-AG512))))</f>
        <v/>
      </c>
      <c r="AN512" s="167"/>
      <c r="AO512" s="329" t="str">
        <f>IF(ISBLANK(Inputs!$A120),"",
IF(OR(AM512="Solved",AM512="--"),"--",
((Mat.Conc_Alpha.1*Mat.Conc_f.c*$AB512*MIN(AM512*Mat.Conc_Beta.1,$Y512))
+(Mat.Conc_Alpha.1*Mat.Conc_f.c*$V512*MAX(0,AM512*Mat.Conc_Beta.1-$Y512)))
-($J512*MIN(Mat.Rebar_f.y,(Mat.Rebar_epsilon.cl*($S512-AM512)/AM512)*Mat.PT_E.s))
-($M512*Mat.PT_f.pu*(1-Mat.PT_k*AM512/$P512))))</f>
        <v/>
      </c>
      <c r="AP512" s="329"/>
      <c r="AQ512" s="167" t="str">
        <f>IF(ISBLANK(Inputs!$A120),"",
IF(AO512="--","Solved",
IF(ABS(AO512)&lt;=0.001,"Solved",AM512-AO512*(AM512-AI512)/(AO512-AK512))))</f>
        <v/>
      </c>
      <c r="AR512" s="167"/>
      <c r="AS512" s="329" t="str">
        <f>IF(ISBLANK(Inputs!$A120),"",
IF(OR(AQ512="Solved",AQ512="--"),"--",
((Mat.Conc_Alpha.1*Mat.Conc_f.c*$AB512*MIN(AQ512*Mat.Conc_Beta.1,$Y512))
+(Mat.Conc_Alpha.1*Mat.Conc_f.c*$V512*MAX(0,AQ512*Mat.Conc_Beta.1-$Y512)))
-($J512*MIN(Mat.Rebar_f.y,(Mat.Rebar_epsilon.cl*($S512-AQ512)/AQ512)*Mat.PT_E.s))
-($M512*Mat.PT_f.pu*(1-Mat.PT_k*AQ512/$P512))))</f>
        <v/>
      </c>
      <c r="AT512" s="329"/>
      <c r="AU512" s="167" t="str">
        <f>IF(ISBLANK(Inputs!$A120),"",
IF(AS512="--","Solved",
IF(ABS(AS512)&lt;=0.001,"Solved",AQ512-AS512*(AQ512-AM512)/(AS512-AO512))))</f>
        <v/>
      </c>
      <c r="AV512" s="167"/>
      <c r="AW512" s="329" t="str">
        <f>IF(ISBLANK(Inputs!$A120),"",
IF(OR(AU512="Solved",AU512="--"),"--",
((Mat.Conc_Alpha.1*Mat.Conc_f.c*$AB512*MIN(AU512*Mat.Conc_Beta.1,$Y512))
+(Mat.Conc_Alpha.1*Mat.Conc_f.c*$V512*MAX(0,AU512*Mat.Conc_Beta.1-$Y512)))
-($J512*MIN(Mat.Rebar_f.y,(Mat.Rebar_epsilon.cl*($S512-AU512)/AU512)*Mat.PT_E.s))
-($M512*Mat.PT_f.pu*(1-Mat.PT_k*AU512/$P512))))</f>
        <v/>
      </c>
      <c r="AX512" s="329"/>
      <c r="AY512" s="167" t="str">
        <f>IF(ISBLANK(Inputs!$A120),"",
IF(AW512="--","Solved",
IF(ABS(AW512)&lt;=0.001,"Solved",AU512-AW512*(AU512-AQ512)/(AW512-AS512))))</f>
        <v/>
      </c>
      <c r="AZ512" s="167"/>
      <c r="BA512" s="329" t="str">
        <f>IF(ISBLANK(Inputs!$A120),"",
IF(OR(AY512="Solved",AY512="--"),"--",
((Mat.Conc_Alpha.1*Mat.Conc_f.c*$AB512*MIN(AY512*Mat.Conc_Beta.1,$Y512))
+(Mat.Conc_Alpha.1*Mat.Conc_f.c*$V512*MAX(0,AY512*Mat.Conc_Beta.1-$Y512)))
-($J512*MIN(Mat.Rebar_f.y,(Mat.Rebar_epsilon.cl*($S512-AY512)/AY512)*Mat.PT_E.s))
-($M512*Mat.PT_f.pu*(1-Mat.PT_k*AY512/$P512))))</f>
        <v/>
      </c>
      <c r="BB512" s="329"/>
      <c r="BC512" s="167" t="str">
        <f>IF(ISBLANK(Inputs!$A120),"",
IF(BA512="--","Solved",
IF(ABS(BA512)&lt;=0.001,"Solved",AY512-BA512*(AY512-AU512)/(BA512-AW512))))</f>
        <v/>
      </c>
      <c r="BD512" s="167"/>
      <c r="BE512" s="329" t="str">
        <f>IF(ISBLANK(Inputs!$A120),"",
IF(OR(BC512="Solved",BC512="--"),"--",
((Mat.Conc_Alpha.1*Mat.Conc_f.c*$AB512*MIN(BC512*Mat.Conc_Beta.1,$Y512))
+(Mat.Conc_Alpha.1*Mat.Conc_f.c*$V512*MAX(0,BC512*Mat.Conc_Beta.1-$Y512)))
-($J512*MIN(Mat.Rebar_f.y,(Mat.Rebar_epsilon.cl*($S512-BC512)/BC512)*Mat.PT_E.s))
-($M512*Mat.PT_f.pu*(1-Mat.PT_k*BC512/$P512))))</f>
        <v/>
      </c>
      <c r="BF512" s="329"/>
      <c r="BG512" s="167" t="str">
        <f>IF(ISBLANK(Inputs!$A120),"",
IF(BE512="--","Solved",
IF(ABS(BE512)&lt;=0.001,"Solved",BC512-BE512*(BC512-AY512)/(BE512-BA512))))</f>
        <v/>
      </c>
      <c r="BH512" s="167"/>
      <c r="BI512" s="329" t="str">
        <f>IF(ISBLANK(Inputs!$A120),"",
IF(OR(BG512="Solved",BG512="--"),"--",
((Mat.Conc_Alpha.1*Mat.Conc_f.c*$AB512*MIN(BG512*Mat.Conc_Beta.1,$Y512))
+(Mat.Conc_Alpha.1*Mat.Conc_f.c*$V512*MAX(0,BG512*Mat.Conc_Beta.1-$Y512)))
-($J512*MIN(Mat.Rebar_f.y,(Mat.Rebar_epsilon.cl*($S512-BG512)/BG512)*Mat.PT_E.s))
-($M512*Mat.PT_f.pu*(1-Mat.PT_k*BG512/$P512))))</f>
        <v/>
      </c>
      <c r="BJ512" s="329"/>
      <c r="BK512" s="167" t="str">
        <f>IF(ISBLANK(Inputs!$A120),"",
IF(BI512="--","Solved",
IF(ABS(BI512)&lt;=0.001,"Solved",BG512-BI512*(BG512-BC512)/(BI512-BE512))))</f>
        <v/>
      </c>
      <c r="BL512" s="167"/>
      <c r="BM512" s="329" t="str">
        <f>IF(ISBLANK(Inputs!$A120),"",
IF(OR(BK512="Solved",BK512="--"),"--",
((Mat.Conc_Alpha.1*Mat.Conc_f.c*$AB512*MIN(BK512*Mat.Conc_Beta.1,$Y512))
+(Mat.Conc_Alpha.1*Mat.Conc_f.c*$V512*MAX(0,BK512*Mat.Conc_Beta.1-$Y512)))
-($J512*MIN(Mat.Rebar_f.y,(Mat.Rebar_epsilon.cl*($S512-BK512)/BK512)*Mat.PT_E.s))
-($M512*Mat.PT_f.pu*(1-Mat.PT_k*BK512/$P512))))</f>
        <v/>
      </c>
      <c r="BN512" s="329"/>
      <c r="BO512" s="167" t="str">
        <f>IF(ISBLANK(Inputs!$A120),"",
IF(BM512="--","Solved",
IF(ABS(BM512)&lt;=0.001,"Solved",BK512-BM512*(BK512-BG512)/(BM512-BI512))))</f>
        <v/>
      </c>
      <c r="BP512" s="167"/>
      <c r="BQ512" s="329" t="str">
        <f>IF(ISBLANK(Inputs!$A120),"",
IF(OR(BO512="Solved",BO512="--"),"--",
((Mat.Conc_Alpha.1*Mat.Conc_f.c*$AB512*MIN(BO512*Mat.Conc_Beta.1,$Y512))
+(Mat.Conc_Alpha.1*Mat.Conc_f.c*$V512*MAX(0,BO512*Mat.Conc_Beta.1-$Y512)))
-($J512*MIN(Mat.Rebar_f.y,(Mat.Rebar_epsilon.cl*($S512-BO512)/BO512)*Mat.PT_E.s))
-($M512*Mat.PT_f.pu*(1-Mat.PT_k*BO512/$P512))))</f>
        <v/>
      </c>
      <c r="BR512" s="329"/>
      <c r="BT512" s="98"/>
      <c r="BU512" s="70"/>
      <c r="BV512" s="70"/>
      <c r="BW512" s="8"/>
      <c r="BX512" s="8"/>
      <c r="BY512" s="8"/>
      <c r="BZ512" s="8"/>
      <c r="CA512" s="8"/>
      <c r="CB512" s="10"/>
    </row>
    <row r="513" spans="3:80" ht="15" customHeight="1" x14ac:dyDescent="0.25">
      <c r="C513" s="69"/>
      <c r="F513" s="167" t="str">
        <f>IF(ISBLANK(Inputs!A121),"",Inputs!A121)</f>
        <v/>
      </c>
      <c r="G513" s="167"/>
      <c r="H513" s="167" t="str">
        <f>IF(ISBLANK(Inputs!B121),"",Inputs!B121)</f>
        <v/>
      </c>
      <c r="I513" s="167"/>
      <c r="J513" s="168" t="str">
        <f>IF(ISBLANK(Inputs!G121),"",Inputs!G121)</f>
        <v/>
      </c>
      <c r="K513" s="168"/>
      <c r="L513" s="168"/>
      <c r="M513" s="168" t="str">
        <f>IF(ISBLANK(Inputs!D121),"",Inputs!D121)</f>
        <v/>
      </c>
      <c r="N513" s="168"/>
      <c r="O513" s="168"/>
      <c r="P513" s="168" t="str">
        <f>IF(ISBLANK(Inputs!F121),"",Inputs!F121)</f>
        <v/>
      </c>
      <c r="Q513" s="168"/>
      <c r="R513" s="168"/>
      <c r="S513" s="168" t="str">
        <f>IF(ISBLANK(Inputs!H121),"",Inputs!H121)</f>
        <v/>
      </c>
      <c r="T513" s="168"/>
      <c r="U513" s="168"/>
      <c r="V513" s="168" t="str">
        <f>IF(ISBLANK(Inputs!E121),"",Inputs!E121)</f>
        <v/>
      </c>
      <c r="W513" s="168"/>
      <c r="X513" s="168"/>
      <c r="Y513" s="168" t="str">
        <f>IF(ISBLANK(Inputs!I121),"",Inputs!I121)</f>
        <v/>
      </c>
      <c r="Z513" s="168"/>
      <c r="AA513" s="168"/>
      <c r="AB513" s="168">
        <f>IF(ISBLANK(Inputs!J121),"",Inputs!J121)</f>
        <v>96</v>
      </c>
      <c r="AC513" s="168"/>
      <c r="AD513" s="168"/>
      <c r="AE513" s="167" t="str">
        <f>IF(ISBLANK(Inputs!A121),"",Y513)</f>
        <v/>
      </c>
      <c r="AF513" s="167"/>
      <c r="AG513" s="329" t="str">
        <f>IF(ISBLANK(Inputs!$A121),"",
IF(OR(AE513="Solved",AE513="--"),"--",
((Mat.Conc_Alpha.1*Mat.Conc_f.c*$AB513*MIN(AE513*Mat.Conc_Beta.1,$Y513))
+(Mat.Conc_Alpha.1*Mat.Conc_f.c*$V513*MAX(0,AE513*Mat.Conc_Beta.1-$Y513)))
-($J513*MIN(Mat.Rebar_f.y,(Mat.Rebar_epsilon.cl*($S513-AE513)/AE513)*Mat.PT_E.s))
-($M513*Mat.PT_f.pu*(1-Mat.PT_k*AE513/$P513))))</f>
        <v/>
      </c>
      <c r="AH513" s="329"/>
      <c r="AI513" s="167" t="str">
        <f>IF(ISBLANK(Inputs!$A121),"",
IF(ABS(AG513)&lt;=0.001,"Solved",IF(AG513&gt;0,0.85*AE513,1.15*AE513)))</f>
        <v/>
      </c>
      <c r="AJ513" s="167"/>
      <c r="AK513" s="329" t="str">
        <f>IF(ISBLANK(Inputs!$A121),"",
IF(OR(AI513="Solved",AI513="--"),"--",
((Mat.Conc_Alpha.1*Mat.Conc_f.c*$AB513*MIN(AI513*Mat.Conc_Beta.1,$Y513))
+(Mat.Conc_Alpha.1*Mat.Conc_f.c*$V513*MAX(0,AI513*Mat.Conc_Beta.1-$Y513)))
-($J513*MIN(Mat.Rebar_f.y,(Mat.Rebar_epsilon.cl*($S513-AI513)/AI513)*Mat.PT_E.s))
-($M513*Mat.PT_f.pu*(1-Mat.PT_k*AI513/$P513))))</f>
        <v/>
      </c>
      <c r="AL513" s="329"/>
      <c r="AM513" s="167" t="str">
        <f>IF(ISBLANK(Inputs!$A121),"",
IF(AK513="--","Solved",
IF(ABS(AK513)&lt;=0.001,"Solved",AI513-AK513*(AI513-AE513)/(AK513-AG513))))</f>
        <v/>
      </c>
      <c r="AN513" s="167"/>
      <c r="AO513" s="329" t="str">
        <f>IF(ISBLANK(Inputs!$A121),"",
IF(OR(AM513="Solved",AM513="--"),"--",
((Mat.Conc_Alpha.1*Mat.Conc_f.c*$AB513*MIN(AM513*Mat.Conc_Beta.1,$Y513))
+(Mat.Conc_Alpha.1*Mat.Conc_f.c*$V513*MAX(0,AM513*Mat.Conc_Beta.1-$Y513)))
-($J513*MIN(Mat.Rebar_f.y,(Mat.Rebar_epsilon.cl*($S513-AM513)/AM513)*Mat.PT_E.s))
-($M513*Mat.PT_f.pu*(1-Mat.PT_k*AM513/$P513))))</f>
        <v/>
      </c>
      <c r="AP513" s="329"/>
      <c r="AQ513" s="167" t="str">
        <f>IF(ISBLANK(Inputs!$A121),"",
IF(AO513="--","Solved",
IF(ABS(AO513)&lt;=0.001,"Solved",AM513-AO513*(AM513-AI513)/(AO513-AK513))))</f>
        <v/>
      </c>
      <c r="AR513" s="167"/>
      <c r="AS513" s="329" t="str">
        <f>IF(ISBLANK(Inputs!$A121),"",
IF(OR(AQ513="Solved",AQ513="--"),"--",
((Mat.Conc_Alpha.1*Mat.Conc_f.c*$AB513*MIN(AQ513*Mat.Conc_Beta.1,$Y513))
+(Mat.Conc_Alpha.1*Mat.Conc_f.c*$V513*MAX(0,AQ513*Mat.Conc_Beta.1-$Y513)))
-($J513*MIN(Mat.Rebar_f.y,(Mat.Rebar_epsilon.cl*($S513-AQ513)/AQ513)*Mat.PT_E.s))
-($M513*Mat.PT_f.pu*(1-Mat.PT_k*AQ513/$P513))))</f>
        <v/>
      </c>
      <c r="AT513" s="329"/>
      <c r="AU513" s="167" t="str">
        <f>IF(ISBLANK(Inputs!$A121),"",
IF(AS513="--","Solved",
IF(ABS(AS513)&lt;=0.001,"Solved",AQ513-AS513*(AQ513-AM513)/(AS513-AO513))))</f>
        <v/>
      </c>
      <c r="AV513" s="167"/>
      <c r="AW513" s="329" t="str">
        <f>IF(ISBLANK(Inputs!$A121),"",
IF(OR(AU513="Solved",AU513="--"),"--",
((Mat.Conc_Alpha.1*Mat.Conc_f.c*$AB513*MIN(AU513*Mat.Conc_Beta.1,$Y513))
+(Mat.Conc_Alpha.1*Mat.Conc_f.c*$V513*MAX(0,AU513*Mat.Conc_Beta.1-$Y513)))
-($J513*MIN(Mat.Rebar_f.y,(Mat.Rebar_epsilon.cl*($S513-AU513)/AU513)*Mat.PT_E.s))
-($M513*Mat.PT_f.pu*(1-Mat.PT_k*AU513/$P513))))</f>
        <v/>
      </c>
      <c r="AX513" s="329"/>
      <c r="AY513" s="167" t="str">
        <f>IF(ISBLANK(Inputs!$A121),"",
IF(AW513="--","Solved",
IF(ABS(AW513)&lt;=0.001,"Solved",AU513-AW513*(AU513-AQ513)/(AW513-AS513))))</f>
        <v/>
      </c>
      <c r="AZ513" s="167"/>
      <c r="BA513" s="329" t="str">
        <f>IF(ISBLANK(Inputs!$A121),"",
IF(OR(AY513="Solved",AY513="--"),"--",
((Mat.Conc_Alpha.1*Mat.Conc_f.c*$AB513*MIN(AY513*Mat.Conc_Beta.1,$Y513))
+(Mat.Conc_Alpha.1*Mat.Conc_f.c*$V513*MAX(0,AY513*Mat.Conc_Beta.1-$Y513)))
-($J513*MIN(Mat.Rebar_f.y,(Mat.Rebar_epsilon.cl*($S513-AY513)/AY513)*Mat.PT_E.s))
-($M513*Mat.PT_f.pu*(1-Mat.PT_k*AY513/$P513))))</f>
        <v/>
      </c>
      <c r="BB513" s="329"/>
      <c r="BC513" s="167" t="str">
        <f>IF(ISBLANK(Inputs!$A121),"",
IF(BA513="--","Solved",
IF(ABS(BA513)&lt;=0.001,"Solved",AY513-BA513*(AY513-AU513)/(BA513-AW513))))</f>
        <v/>
      </c>
      <c r="BD513" s="167"/>
      <c r="BE513" s="329" t="str">
        <f>IF(ISBLANK(Inputs!$A121),"",
IF(OR(BC513="Solved",BC513="--"),"--",
((Mat.Conc_Alpha.1*Mat.Conc_f.c*$AB513*MIN(BC513*Mat.Conc_Beta.1,$Y513))
+(Mat.Conc_Alpha.1*Mat.Conc_f.c*$V513*MAX(0,BC513*Mat.Conc_Beta.1-$Y513)))
-($J513*MIN(Mat.Rebar_f.y,(Mat.Rebar_epsilon.cl*($S513-BC513)/BC513)*Mat.PT_E.s))
-($M513*Mat.PT_f.pu*(1-Mat.PT_k*BC513/$P513))))</f>
        <v/>
      </c>
      <c r="BF513" s="329"/>
      <c r="BG513" s="167" t="str">
        <f>IF(ISBLANK(Inputs!$A121),"",
IF(BE513="--","Solved",
IF(ABS(BE513)&lt;=0.001,"Solved",BC513-BE513*(BC513-AY513)/(BE513-BA513))))</f>
        <v/>
      </c>
      <c r="BH513" s="167"/>
      <c r="BI513" s="329" t="str">
        <f>IF(ISBLANK(Inputs!$A121),"",
IF(OR(BG513="Solved",BG513="--"),"--",
((Mat.Conc_Alpha.1*Mat.Conc_f.c*$AB513*MIN(BG513*Mat.Conc_Beta.1,$Y513))
+(Mat.Conc_Alpha.1*Mat.Conc_f.c*$V513*MAX(0,BG513*Mat.Conc_Beta.1-$Y513)))
-($J513*MIN(Mat.Rebar_f.y,(Mat.Rebar_epsilon.cl*($S513-BG513)/BG513)*Mat.PT_E.s))
-($M513*Mat.PT_f.pu*(1-Mat.PT_k*BG513/$P513))))</f>
        <v/>
      </c>
      <c r="BJ513" s="329"/>
      <c r="BK513" s="167" t="str">
        <f>IF(ISBLANK(Inputs!$A121),"",
IF(BI513="--","Solved",
IF(ABS(BI513)&lt;=0.001,"Solved",BG513-BI513*(BG513-BC513)/(BI513-BE513))))</f>
        <v/>
      </c>
      <c r="BL513" s="167"/>
      <c r="BM513" s="329" t="str">
        <f>IF(ISBLANK(Inputs!$A121),"",
IF(OR(BK513="Solved",BK513="--"),"--",
((Mat.Conc_Alpha.1*Mat.Conc_f.c*$AB513*MIN(BK513*Mat.Conc_Beta.1,$Y513))
+(Mat.Conc_Alpha.1*Mat.Conc_f.c*$V513*MAX(0,BK513*Mat.Conc_Beta.1-$Y513)))
-($J513*MIN(Mat.Rebar_f.y,(Mat.Rebar_epsilon.cl*($S513-BK513)/BK513)*Mat.PT_E.s))
-($M513*Mat.PT_f.pu*(1-Mat.PT_k*BK513/$P513))))</f>
        <v/>
      </c>
      <c r="BN513" s="329"/>
      <c r="BO513" s="167" t="str">
        <f>IF(ISBLANK(Inputs!$A121),"",
IF(BM513="--","Solved",
IF(ABS(BM513)&lt;=0.001,"Solved",BK513-BM513*(BK513-BG513)/(BM513-BI513))))</f>
        <v/>
      </c>
      <c r="BP513" s="167"/>
      <c r="BQ513" s="329" t="str">
        <f>IF(ISBLANK(Inputs!$A121),"",
IF(OR(BO513="Solved",BO513="--"),"--",
((Mat.Conc_Alpha.1*Mat.Conc_f.c*$AB513*MIN(BO513*Mat.Conc_Beta.1,$Y513))
+(Mat.Conc_Alpha.1*Mat.Conc_f.c*$V513*MAX(0,BO513*Mat.Conc_Beta.1-$Y513)))
-($J513*MIN(Mat.Rebar_f.y,(Mat.Rebar_epsilon.cl*($S513-BO513)/BO513)*Mat.PT_E.s))
-($M513*Mat.PT_f.pu*(1-Mat.PT_k*BO513/$P513))))</f>
        <v/>
      </c>
      <c r="BR513" s="329"/>
      <c r="BT513" s="98"/>
      <c r="BU513" s="70"/>
      <c r="BV513" s="70"/>
      <c r="BW513" s="8"/>
      <c r="BX513" s="8"/>
      <c r="BY513" s="8"/>
      <c r="BZ513" s="8"/>
      <c r="CA513" s="8"/>
      <c r="CB513" s="10"/>
    </row>
    <row r="514" spans="3:80" ht="15" customHeight="1" x14ac:dyDescent="0.25">
      <c r="C514" s="69"/>
      <c r="F514" s="167" t="str">
        <f>IF(ISBLANK(Inputs!A122),"",Inputs!A122)</f>
        <v/>
      </c>
      <c r="G514" s="167"/>
      <c r="H514" s="167" t="str">
        <f>IF(ISBLANK(Inputs!B122),"",Inputs!B122)</f>
        <v/>
      </c>
      <c r="I514" s="167"/>
      <c r="J514" s="168" t="str">
        <f>IF(ISBLANK(Inputs!G122),"",Inputs!G122)</f>
        <v/>
      </c>
      <c r="K514" s="168"/>
      <c r="L514" s="168"/>
      <c r="M514" s="168" t="str">
        <f>IF(ISBLANK(Inputs!D122),"",Inputs!D122)</f>
        <v/>
      </c>
      <c r="N514" s="168"/>
      <c r="O514" s="168"/>
      <c r="P514" s="168" t="str">
        <f>IF(ISBLANK(Inputs!F122),"",Inputs!F122)</f>
        <v/>
      </c>
      <c r="Q514" s="168"/>
      <c r="R514" s="168"/>
      <c r="S514" s="168" t="str">
        <f>IF(ISBLANK(Inputs!H122),"",Inputs!H122)</f>
        <v/>
      </c>
      <c r="T514" s="168"/>
      <c r="U514" s="168"/>
      <c r="V514" s="168" t="str">
        <f>IF(ISBLANK(Inputs!E122),"",Inputs!E122)</f>
        <v/>
      </c>
      <c r="W514" s="168"/>
      <c r="X514" s="168"/>
      <c r="Y514" s="168" t="str">
        <f>IF(ISBLANK(Inputs!I122),"",Inputs!I122)</f>
        <v/>
      </c>
      <c r="Z514" s="168"/>
      <c r="AA514" s="168"/>
      <c r="AB514" s="168">
        <f>IF(ISBLANK(Inputs!J122),"",Inputs!J122)</f>
        <v>96</v>
      </c>
      <c r="AC514" s="168"/>
      <c r="AD514" s="168"/>
      <c r="AE514" s="167" t="str">
        <f>IF(ISBLANK(Inputs!A122),"",Y514)</f>
        <v/>
      </c>
      <c r="AF514" s="167"/>
      <c r="AG514" s="345" t="e">
        <f>IF(ISBLANK(Inputs!#REF!),"",
IF(OR(AE514="Solved",AE514="--"),"--",
((Mat.Conc_Alpha.1*Mat.Conc_f.c*$AB514*MIN(AE514*Mat.Conc_Beta.1,$Y514))
+(Mat.Conc_Alpha.1*Mat.Conc_f.c*$V514*MAX(0,AE514*Mat.Conc_Beta.1-$Y514)))
-($J514*MIN(Mat.Rebar_f.y,(Mat.Rebar_epsilon.cl*($S514-AE514)/AE514)*Mat.PT_E.s))
-($M514*Mat.PT_f.pu*(1-Mat.PT_k*AE514/$P514))))</f>
        <v>#VALUE!</v>
      </c>
      <c r="AH514" s="345"/>
      <c r="AI514" s="167" t="str">
        <f>IF(ISBLANK(Inputs!$A122),"",
IF(ABS(AG514)&lt;=0.001,"Solved",IF(AG514&gt;0,0.85*AE514,1.15*AE514)))</f>
        <v/>
      </c>
      <c r="AJ514" s="167"/>
      <c r="AK514" s="329" t="str">
        <f>IF(ISBLANK(Inputs!$A122),"",
IF(OR(AI514="Solved",AI514="--"),"--",
((Mat.Conc_Alpha.1*Mat.Conc_f.c*$AB514*MIN(AI514*Mat.Conc_Beta.1,$Y514))
+(Mat.Conc_Alpha.1*Mat.Conc_f.c*$V514*MAX(0,AI514*Mat.Conc_Beta.1-$Y514)))
-($J514*MIN(Mat.Rebar_f.y,(Mat.Rebar_epsilon.cl*($S514-AI514)/AI514)*Mat.PT_E.s))
-($M514*Mat.PT_f.pu*(1-Mat.PT_k*AI514/$P514))))</f>
        <v/>
      </c>
      <c r="AL514" s="329"/>
      <c r="AM514" s="167" t="str">
        <f>IF(ISBLANK(Inputs!$A122),"",
IF(AK514="--","Solved",
IF(ABS(AK514)&lt;=0.001,"Solved",AI514-AK514*(AI514-AE514)/(AK514-AG514))))</f>
        <v/>
      </c>
      <c r="AN514" s="167"/>
      <c r="AO514" s="329" t="str">
        <f>IF(ISBLANK(Inputs!$A122),"",
IF(OR(AM514="Solved",AM514="--"),"--",
((Mat.Conc_Alpha.1*Mat.Conc_f.c*$AB514*MIN(AM514*Mat.Conc_Beta.1,$Y514))
+(Mat.Conc_Alpha.1*Mat.Conc_f.c*$V514*MAX(0,AM514*Mat.Conc_Beta.1-$Y514)))
-($J514*MIN(Mat.Rebar_f.y,(Mat.Rebar_epsilon.cl*($S514-AM514)/AM514)*Mat.PT_E.s))
-($M514*Mat.PT_f.pu*(1-Mat.PT_k*AM514/$P514))))</f>
        <v/>
      </c>
      <c r="AP514" s="329"/>
      <c r="AQ514" s="167" t="str">
        <f>IF(ISBLANK(Inputs!$A122),"",
IF(AO514="--","Solved",
IF(ABS(AO514)&lt;=0.001,"Solved",AM514-AO514*(AM514-AI514)/(AO514-AK514))))</f>
        <v/>
      </c>
      <c r="AR514" s="167"/>
      <c r="AS514" s="329" t="str">
        <f>IF(ISBLANK(Inputs!$A122),"",
IF(OR(AQ514="Solved",AQ514="--"),"--",
((Mat.Conc_Alpha.1*Mat.Conc_f.c*$AB514*MIN(AQ514*Mat.Conc_Beta.1,$Y514))
+(Mat.Conc_Alpha.1*Mat.Conc_f.c*$V514*MAX(0,AQ514*Mat.Conc_Beta.1-$Y514)))
-($J514*MIN(Mat.Rebar_f.y,(Mat.Rebar_epsilon.cl*($S514-AQ514)/AQ514)*Mat.PT_E.s))
-($M514*Mat.PT_f.pu*(1-Mat.PT_k*AQ514/$P514))))</f>
        <v/>
      </c>
      <c r="AT514" s="329"/>
      <c r="AU514" s="167" t="str">
        <f>IF(ISBLANK(Inputs!$A122),"",
IF(AS514="--","Solved",
IF(ABS(AS514)&lt;=0.001,"Solved",AQ514-AS514*(AQ514-AM514)/(AS514-AO514))))</f>
        <v/>
      </c>
      <c r="AV514" s="167"/>
      <c r="AW514" s="329" t="str">
        <f>IF(ISBLANK(Inputs!$A122),"",
IF(OR(AU514="Solved",AU514="--"),"--",
((Mat.Conc_Alpha.1*Mat.Conc_f.c*$AB514*MIN(AU514*Mat.Conc_Beta.1,$Y514))
+(Mat.Conc_Alpha.1*Mat.Conc_f.c*$V514*MAX(0,AU514*Mat.Conc_Beta.1-$Y514)))
-($J514*MIN(Mat.Rebar_f.y,(Mat.Rebar_epsilon.cl*($S514-AU514)/AU514)*Mat.PT_E.s))
-($M514*Mat.PT_f.pu*(1-Mat.PT_k*AU514/$P514))))</f>
        <v/>
      </c>
      <c r="AX514" s="329"/>
      <c r="AY514" s="167" t="str">
        <f>IF(ISBLANK(Inputs!$A122),"",
IF(AW514="--","Solved",
IF(ABS(AW514)&lt;=0.001,"Solved",AU514-AW514*(AU514-AQ514)/(AW514-AS514))))</f>
        <v/>
      </c>
      <c r="AZ514" s="167"/>
      <c r="BA514" s="329" t="str">
        <f>IF(ISBLANK(Inputs!$A122),"",
IF(OR(AY514="Solved",AY514="--"),"--",
((Mat.Conc_Alpha.1*Mat.Conc_f.c*$AB514*MIN(AY514*Mat.Conc_Beta.1,$Y514))
+(Mat.Conc_Alpha.1*Mat.Conc_f.c*$V514*MAX(0,AY514*Mat.Conc_Beta.1-$Y514)))
-($J514*MIN(Mat.Rebar_f.y,(Mat.Rebar_epsilon.cl*($S514-AY514)/AY514)*Mat.PT_E.s))
-($M514*Mat.PT_f.pu*(1-Mat.PT_k*AY514/$P514))))</f>
        <v/>
      </c>
      <c r="BB514" s="329"/>
      <c r="BC514" s="167" t="str">
        <f>IF(ISBLANK(Inputs!$A122),"",
IF(BA514="--","Solved",
IF(ABS(BA514)&lt;=0.001,"Solved",AY514-BA514*(AY514-AU514)/(BA514-AW514))))</f>
        <v/>
      </c>
      <c r="BD514" s="167"/>
      <c r="BE514" s="329" t="str">
        <f>IF(ISBLANK(Inputs!$A122),"",
IF(OR(BC514="Solved",BC514="--"),"--",
((Mat.Conc_Alpha.1*Mat.Conc_f.c*$AB514*MIN(BC514*Mat.Conc_Beta.1,$Y514))
+(Mat.Conc_Alpha.1*Mat.Conc_f.c*$V514*MAX(0,BC514*Mat.Conc_Beta.1-$Y514)))
-($J514*MIN(Mat.Rebar_f.y,(Mat.Rebar_epsilon.cl*($S514-BC514)/BC514)*Mat.PT_E.s))
-($M514*Mat.PT_f.pu*(1-Mat.PT_k*BC514/$P514))))</f>
        <v/>
      </c>
      <c r="BF514" s="329"/>
      <c r="BG514" s="167" t="str">
        <f>IF(ISBLANK(Inputs!$A122),"",
IF(BE514="--","Solved",
IF(ABS(BE514)&lt;=0.001,"Solved",BC514-BE514*(BC514-AY514)/(BE514-BA514))))</f>
        <v/>
      </c>
      <c r="BH514" s="167"/>
      <c r="BI514" s="329" t="str">
        <f>IF(ISBLANK(Inputs!$A122),"",
IF(OR(BG514="Solved",BG514="--"),"--",
((Mat.Conc_Alpha.1*Mat.Conc_f.c*$AB514*MIN(BG514*Mat.Conc_Beta.1,$Y514))
+(Mat.Conc_Alpha.1*Mat.Conc_f.c*$V514*MAX(0,BG514*Mat.Conc_Beta.1-$Y514)))
-($J514*MIN(Mat.Rebar_f.y,(Mat.Rebar_epsilon.cl*($S514-BG514)/BG514)*Mat.PT_E.s))
-($M514*Mat.PT_f.pu*(1-Mat.PT_k*BG514/$P514))))</f>
        <v/>
      </c>
      <c r="BJ514" s="329"/>
      <c r="BK514" s="167" t="str">
        <f>IF(ISBLANK(Inputs!$A122),"",
IF(BI514="--","Solved",
IF(ABS(BI514)&lt;=0.001,"Solved",BG514-BI514*(BG514-BC514)/(BI514-BE514))))</f>
        <v/>
      </c>
      <c r="BL514" s="167"/>
      <c r="BM514" s="329" t="str">
        <f>IF(ISBLANK(Inputs!$A122),"",
IF(OR(BK514="Solved",BK514="--"),"--",
((Mat.Conc_Alpha.1*Mat.Conc_f.c*$AB514*MIN(BK514*Mat.Conc_Beta.1,$Y514))
+(Mat.Conc_Alpha.1*Mat.Conc_f.c*$V514*MAX(0,BK514*Mat.Conc_Beta.1-$Y514)))
-($J514*MIN(Mat.Rebar_f.y,(Mat.Rebar_epsilon.cl*($S514-BK514)/BK514)*Mat.PT_E.s))
-($M514*Mat.PT_f.pu*(1-Mat.PT_k*BK514/$P514))))</f>
        <v/>
      </c>
      <c r="BN514" s="329"/>
      <c r="BO514" s="167" t="str">
        <f>IF(ISBLANK(Inputs!$A122),"",
IF(BM514="--","Solved",
IF(ABS(BM514)&lt;=0.001,"Solved",BK514-BM514*(BK514-BG514)/(BM514-BI514))))</f>
        <v/>
      </c>
      <c r="BP514" s="167"/>
      <c r="BQ514" s="329" t="str">
        <f>IF(ISBLANK(Inputs!$A122),"",
IF(OR(BO514="Solved",BO514="--"),"--",
((Mat.Conc_Alpha.1*Mat.Conc_f.c*$AB514*MIN(BO514*Mat.Conc_Beta.1,$Y514))
+(Mat.Conc_Alpha.1*Mat.Conc_f.c*$V514*MAX(0,BO514*Mat.Conc_Beta.1-$Y514)))
-($J514*MIN(Mat.Rebar_f.y,(Mat.Rebar_epsilon.cl*($S514-BO514)/BO514)*Mat.PT_E.s))
-($M514*Mat.PT_f.pu*(1-Mat.PT_k*BO514/$P514))))</f>
        <v/>
      </c>
      <c r="BR514" s="329"/>
      <c r="BT514" s="98"/>
      <c r="BU514" s="70"/>
      <c r="BV514" s="70"/>
      <c r="BW514" s="8"/>
      <c r="BX514" s="8"/>
      <c r="BY514" s="8"/>
      <c r="BZ514" s="8"/>
      <c r="CA514" s="8"/>
      <c r="CB514" s="10"/>
    </row>
    <row r="515" spans="3:80" ht="15" customHeight="1" x14ac:dyDescent="0.25">
      <c r="C515" s="69"/>
      <c r="F515" s="167" t="str">
        <f>IF(ISBLANK(Inputs!A123),"",Inputs!A123)</f>
        <v/>
      </c>
      <c r="G515" s="167"/>
      <c r="H515" s="167" t="str">
        <f>IF(ISBLANK(Inputs!B123),"",Inputs!B123)</f>
        <v/>
      </c>
      <c r="I515" s="167"/>
      <c r="J515" s="168" t="str">
        <f>IF(ISBLANK(Inputs!G123),"",Inputs!G123)</f>
        <v/>
      </c>
      <c r="K515" s="168"/>
      <c r="L515" s="168"/>
      <c r="M515" s="168" t="str">
        <f>IF(ISBLANK(Inputs!D123),"",Inputs!D123)</f>
        <v/>
      </c>
      <c r="N515" s="168"/>
      <c r="O515" s="168"/>
      <c r="P515" s="168" t="str">
        <f>IF(ISBLANK(Inputs!F123),"",Inputs!F123)</f>
        <v/>
      </c>
      <c r="Q515" s="168"/>
      <c r="R515" s="168"/>
      <c r="S515" s="168" t="str">
        <f>IF(ISBLANK(Inputs!H123),"",Inputs!H123)</f>
        <v/>
      </c>
      <c r="T515" s="168"/>
      <c r="U515" s="168"/>
      <c r="V515" s="168" t="str">
        <f>IF(ISBLANK(Inputs!E123),"",Inputs!E123)</f>
        <v/>
      </c>
      <c r="W515" s="168"/>
      <c r="X515" s="168"/>
      <c r="Y515" s="168" t="str">
        <f>IF(ISBLANK(Inputs!I123),"",Inputs!I123)</f>
        <v/>
      </c>
      <c r="Z515" s="168"/>
      <c r="AA515" s="168"/>
      <c r="AB515" s="168">
        <f>IF(ISBLANK(Inputs!J123),"",Inputs!J123)</f>
        <v>96</v>
      </c>
      <c r="AC515" s="168"/>
      <c r="AD515" s="168"/>
      <c r="AE515" s="167" t="str">
        <f>IF(ISBLANK(Inputs!A123),"",Y515)</f>
        <v/>
      </c>
      <c r="AF515" s="167"/>
      <c r="AG515" s="329" t="str">
        <f>IF(ISBLANK(Inputs!$A123),"",
IF(OR(AE515="Solved",AE515="--"),"--",
((Mat.Conc_Alpha.1*Mat.Conc_f.c*$AB515*MIN(AE515*Mat.Conc_Beta.1,$Y515))
+(Mat.Conc_Alpha.1*Mat.Conc_f.c*$V515*MAX(0,AE515*Mat.Conc_Beta.1-$Y515)))
-($J515*MIN(Mat.Rebar_f.y,(Mat.Rebar_epsilon.cl*($S515-AE515)/AE515)*Mat.PT_E.s))
-($M515*Mat.PT_f.pu*(1-Mat.PT_k*AE515/$P515))))</f>
        <v/>
      </c>
      <c r="AH515" s="329"/>
      <c r="AI515" s="167" t="str">
        <f>IF(ISBLANK(Inputs!$A123),"",
IF(ABS(AG515)&lt;=0.001,"Solved",IF(AG515&gt;0,0.85*AE515,1.15*AE515)))</f>
        <v/>
      </c>
      <c r="AJ515" s="167"/>
      <c r="AK515" s="329" t="str">
        <f>IF(ISBLANK(Inputs!$A123),"",
IF(OR(AI515="Solved",AI515="--"),"--",
((Mat.Conc_Alpha.1*Mat.Conc_f.c*$AB515*MIN(AI515*Mat.Conc_Beta.1,$Y515))
+(Mat.Conc_Alpha.1*Mat.Conc_f.c*$V515*MAX(0,AI515*Mat.Conc_Beta.1-$Y515)))
-($J515*MIN(Mat.Rebar_f.y,(Mat.Rebar_epsilon.cl*($S515-AI515)/AI515)*Mat.PT_E.s))
-($M515*Mat.PT_f.pu*(1-Mat.PT_k*AI515/$P515))))</f>
        <v/>
      </c>
      <c r="AL515" s="329"/>
      <c r="AM515" s="167" t="str">
        <f>IF(ISBLANK(Inputs!$A123),"",
IF(AK515="--","Solved",
IF(ABS(AK515)&lt;=0.001,"Solved",AI515-AK515*(AI515-AE515)/(AK515-AG515))))</f>
        <v/>
      </c>
      <c r="AN515" s="167"/>
      <c r="AO515" s="329" t="str">
        <f>IF(ISBLANK(Inputs!$A123),"",
IF(OR(AM515="Solved",AM515="--"),"--",
((Mat.Conc_Alpha.1*Mat.Conc_f.c*$AB515*MIN(AM515*Mat.Conc_Beta.1,$Y515))
+(Mat.Conc_Alpha.1*Mat.Conc_f.c*$V515*MAX(0,AM515*Mat.Conc_Beta.1-$Y515)))
-($J515*MIN(Mat.Rebar_f.y,(Mat.Rebar_epsilon.cl*($S515-AM515)/AM515)*Mat.PT_E.s))
-($M515*Mat.PT_f.pu*(1-Mat.PT_k*AM515/$P515))))</f>
        <v/>
      </c>
      <c r="AP515" s="329"/>
      <c r="AQ515" s="167" t="str">
        <f>IF(ISBLANK(Inputs!$A123),"",
IF(AO515="--","Solved",
IF(ABS(AO515)&lt;=0.001,"Solved",AM515-AO515*(AM515-AI515)/(AO515-AK515))))</f>
        <v/>
      </c>
      <c r="AR515" s="167"/>
      <c r="AS515" s="329" t="str">
        <f>IF(ISBLANK(Inputs!$A123),"",
IF(OR(AQ515="Solved",AQ515="--"),"--",
((Mat.Conc_Alpha.1*Mat.Conc_f.c*$AB515*MIN(AQ515*Mat.Conc_Beta.1,$Y515))
+(Mat.Conc_Alpha.1*Mat.Conc_f.c*$V515*MAX(0,AQ515*Mat.Conc_Beta.1-$Y515)))
-($J515*MIN(Mat.Rebar_f.y,(Mat.Rebar_epsilon.cl*($S515-AQ515)/AQ515)*Mat.PT_E.s))
-($M515*Mat.PT_f.pu*(1-Mat.PT_k*AQ515/$P515))))</f>
        <v/>
      </c>
      <c r="AT515" s="329"/>
      <c r="AU515" s="167" t="str">
        <f>IF(ISBLANK(Inputs!$A123),"",
IF(AS515="--","Solved",
IF(ABS(AS515)&lt;=0.001,"Solved",AQ515-AS515*(AQ515-AM515)/(AS515-AO515))))</f>
        <v/>
      </c>
      <c r="AV515" s="167"/>
      <c r="AW515" s="329" t="str">
        <f>IF(ISBLANK(Inputs!$A123),"",
IF(OR(AU515="Solved",AU515="--"),"--",
((Mat.Conc_Alpha.1*Mat.Conc_f.c*$AB515*MIN(AU515*Mat.Conc_Beta.1,$Y515))
+(Mat.Conc_Alpha.1*Mat.Conc_f.c*$V515*MAX(0,AU515*Mat.Conc_Beta.1-$Y515)))
-($J515*MIN(Mat.Rebar_f.y,(Mat.Rebar_epsilon.cl*($S515-AU515)/AU515)*Mat.PT_E.s))
-($M515*Mat.PT_f.pu*(1-Mat.PT_k*AU515/$P515))))</f>
        <v/>
      </c>
      <c r="AX515" s="329"/>
      <c r="AY515" s="167" t="str">
        <f>IF(ISBLANK(Inputs!$A123),"",
IF(AW515="--","Solved",
IF(ABS(AW515)&lt;=0.001,"Solved",AU515-AW515*(AU515-AQ515)/(AW515-AS515))))</f>
        <v/>
      </c>
      <c r="AZ515" s="167"/>
      <c r="BA515" s="329" t="str">
        <f>IF(ISBLANK(Inputs!$A123),"",
IF(OR(AY515="Solved",AY515="--"),"--",
((Mat.Conc_Alpha.1*Mat.Conc_f.c*$AB515*MIN(AY515*Mat.Conc_Beta.1,$Y515))
+(Mat.Conc_Alpha.1*Mat.Conc_f.c*$V515*MAX(0,AY515*Mat.Conc_Beta.1-$Y515)))
-($J515*MIN(Mat.Rebar_f.y,(Mat.Rebar_epsilon.cl*($S515-AY515)/AY515)*Mat.PT_E.s))
-($M515*Mat.PT_f.pu*(1-Mat.PT_k*AY515/$P515))))</f>
        <v/>
      </c>
      <c r="BB515" s="329"/>
      <c r="BC515" s="167" t="str">
        <f>IF(ISBLANK(Inputs!$A123),"",
IF(BA515="--","Solved",
IF(ABS(BA515)&lt;=0.001,"Solved",AY515-BA515*(AY515-AU515)/(BA515-AW515))))</f>
        <v/>
      </c>
      <c r="BD515" s="167"/>
      <c r="BE515" s="329" t="str">
        <f>IF(ISBLANK(Inputs!$A123),"",
IF(OR(BC515="Solved",BC515="--"),"--",
((Mat.Conc_Alpha.1*Mat.Conc_f.c*$AB515*MIN(BC515*Mat.Conc_Beta.1,$Y515))
+(Mat.Conc_Alpha.1*Mat.Conc_f.c*$V515*MAX(0,BC515*Mat.Conc_Beta.1-$Y515)))
-($J515*MIN(Mat.Rebar_f.y,(Mat.Rebar_epsilon.cl*($S515-BC515)/BC515)*Mat.PT_E.s))
-($M515*Mat.PT_f.pu*(1-Mat.PT_k*BC515/$P515))))</f>
        <v/>
      </c>
      <c r="BF515" s="329"/>
      <c r="BG515" s="167" t="str">
        <f>IF(ISBLANK(Inputs!$A123),"",
IF(BE515="--","Solved",
IF(ABS(BE515)&lt;=0.001,"Solved",BC515-BE515*(BC515-AY515)/(BE515-BA515))))</f>
        <v/>
      </c>
      <c r="BH515" s="167"/>
      <c r="BI515" s="329" t="str">
        <f>IF(ISBLANK(Inputs!$A123),"",
IF(OR(BG515="Solved",BG515="--"),"--",
((Mat.Conc_Alpha.1*Mat.Conc_f.c*$AB515*MIN(BG515*Mat.Conc_Beta.1,$Y515))
+(Mat.Conc_Alpha.1*Mat.Conc_f.c*$V515*MAX(0,BG515*Mat.Conc_Beta.1-$Y515)))
-($J515*MIN(Mat.Rebar_f.y,(Mat.Rebar_epsilon.cl*($S515-BG515)/BG515)*Mat.PT_E.s))
-($M515*Mat.PT_f.pu*(1-Mat.PT_k*BG515/$P515))))</f>
        <v/>
      </c>
      <c r="BJ515" s="329"/>
      <c r="BK515" s="167" t="str">
        <f>IF(ISBLANK(Inputs!$A123),"",
IF(BI515="--","Solved",
IF(ABS(BI515)&lt;=0.001,"Solved",BG515-BI515*(BG515-BC515)/(BI515-BE515))))</f>
        <v/>
      </c>
      <c r="BL515" s="167"/>
      <c r="BM515" s="329" t="str">
        <f>IF(ISBLANK(Inputs!$A123),"",
IF(OR(BK515="Solved",BK515="--"),"--",
((Mat.Conc_Alpha.1*Mat.Conc_f.c*$AB515*MIN(BK515*Mat.Conc_Beta.1,$Y515))
+(Mat.Conc_Alpha.1*Mat.Conc_f.c*$V515*MAX(0,BK515*Mat.Conc_Beta.1-$Y515)))
-($J515*MIN(Mat.Rebar_f.y,(Mat.Rebar_epsilon.cl*($S515-BK515)/BK515)*Mat.PT_E.s))
-($M515*Mat.PT_f.pu*(1-Mat.PT_k*BK515/$P515))))</f>
        <v/>
      </c>
      <c r="BN515" s="329"/>
      <c r="BO515" s="167" t="str">
        <f>IF(ISBLANK(Inputs!$A123),"",
IF(BM515="--","Solved",
IF(ABS(BM515)&lt;=0.001,"Solved",BK515-BM515*(BK515-BG515)/(BM515-BI515))))</f>
        <v/>
      </c>
      <c r="BP515" s="167"/>
      <c r="BQ515" s="329" t="str">
        <f>IF(ISBLANK(Inputs!$A123),"",
IF(OR(BO515="Solved",BO515="--"),"--",
((Mat.Conc_Alpha.1*Mat.Conc_f.c*$AB515*MIN(BO515*Mat.Conc_Beta.1,$Y515))
+(Mat.Conc_Alpha.1*Mat.Conc_f.c*$V515*MAX(0,BO515*Mat.Conc_Beta.1-$Y515)))
-($J515*MIN(Mat.Rebar_f.y,(Mat.Rebar_epsilon.cl*($S515-BO515)/BO515)*Mat.PT_E.s))
-($M515*Mat.PT_f.pu*(1-Mat.PT_k*BO515/$P515))))</f>
        <v/>
      </c>
      <c r="BR515" s="329"/>
      <c r="BT515" s="98"/>
      <c r="BU515" s="70"/>
      <c r="BV515" s="70"/>
      <c r="BW515" s="8"/>
      <c r="BX515" s="8"/>
      <c r="BY515" s="8"/>
      <c r="BZ515" s="8"/>
      <c r="CA515" s="8"/>
      <c r="CB515" s="10"/>
    </row>
    <row r="516" spans="3:80" ht="15" customHeight="1" x14ac:dyDescent="0.25">
      <c r="C516" s="69"/>
      <c r="F516" s="167" t="str">
        <f>IF(ISBLANK(Inputs!A124),"",Inputs!A124)</f>
        <v/>
      </c>
      <c r="G516" s="167"/>
      <c r="H516" s="167" t="str">
        <f>IF(ISBLANK(Inputs!B124),"",Inputs!B124)</f>
        <v/>
      </c>
      <c r="I516" s="167"/>
      <c r="J516" s="168" t="str">
        <f>IF(ISBLANK(Inputs!G124),"",Inputs!G124)</f>
        <v/>
      </c>
      <c r="K516" s="168"/>
      <c r="L516" s="168"/>
      <c r="M516" s="168" t="str">
        <f>IF(ISBLANK(Inputs!D124),"",Inputs!D124)</f>
        <v/>
      </c>
      <c r="N516" s="168"/>
      <c r="O516" s="168"/>
      <c r="P516" s="168" t="str">
        <f>IF(ISBLANK(Inputs!F124),"",Inputs!F124)</f>
        <v/>
      </c>
      <c r="Q516" s="168"/>
      <c r="R516" s="168"/>
      <c r="S516" s="168" t="str">
        <f>IF(ISBLANK(Inputs!H124),"",Inputs!H124)</f>
        <v/>
      </c>
      <c r="T516" s="168"/>
      <c r="U516" s="168"/>
      <c r="V516" s="168" t="str">
        <f>IF(ISBLANK(Inputs!E124),"",Inputs!E124)</f>
        <v/>
      </c>
      <c r="W516" s="168"/>
      <c r="X516" s="168"/>
      <c r="Y516" s="168" t="str">
        <f>IF(ISBLANK(Inputs!I124),"",Inputs!I124)</f>
        <v/>
      </c>
      <c r="Z516" s="168"/>
      <c r="AA516" s="168"/>
      <c r="AB516" s="168">
        <f>IF(ISBLANK(Inputs!J124),"",Inputs!J124)</f>
        <v>96</v>
      </c>
      <c r="AC516" s="168"/>
      <c r="AD516" s="168"/>
      <c r="AE516" s="167" t="str">
        <f>IF(ISBLANK(Inputs!A124),"",Y516)</f>
        <v/>
      </c>
      <c r="AF516" s="167"/>
      <c r="AG516" s="329" t="str">
        <f>IF(ISBLANK(Inputs!$A124),"",
IF(OR(AE516="Solved",AE516="--"),"--",
((Mat.Conc_Alpha.1*Mat.Conc_f.c*$AB516*MIN(AE516*Mat.Conc_Beta.1,$Y516))
+(Mat.Conc_Alpha.1*Mat.Conc_f.c*$V516*MAX(0,AE516*Mat.Conc_Beta.1-$Y516)))
-($J516*MIN(Mat.Rebar_f.y,(Mat.Rebar_epsilon.cl*($S516-AE516)/AE516)*Mat.PT_E.s))
-($M516*Mat.PT_f.pu*(1-Mat.PT_k*AE516/$P516))))</f>
        <v/>
      </c>
      <c r="AH516" s="329"/>
      <c r="AI516" s="167" t="str">
        <f>IF(ISBLANK(Inputs!$A124),"",
IF(ABS(AG516)&lt;=0.001,"Solved",IF(AG516&gt;0,0.85*AE516,1.15*AE516)))</f>
        <v/>
      </c>
      <c r="AJ516" s="167"/>
      <c r="AK516" s="329" t="str">
        <f>IF(ISBLANK(Inputs!$A124),"",
IF(OR(AI516="Solved",AI516="--"),"--",
((Mat.Conc_Alpha.1*Mat.Conc_f.c*$AB516*MIN(AI516*Mat.Conc_Beta.1,$Y516))
+(Mat.Conc_Alpha.1*Mat.Conc_f.c*$V516*MAX(0,AI516*Mat.Conc_Beta.1-$Y516)))
-($J516*MIN(Mat.Rebar_f.y,(Mat.Rebar_epsilon.cl*($S516-AI516)/AI516)*Mat.PT_E.s))
-($M516*Mat.PT_f.pu*(1-Mat.PT_k*AI516/$P516))))</f>
        <v/>
      </c>
      <c r="AL516" s="329"/>
      <c r="AM516" s="167" t="str">
        <f>IF(ISBLANK(Inputs!$A124),"",
IF(AK516="--","Solved",
IF(ABS(AK516)&lt;=0.001,"Solved",AI516-AK516*(AI516-AE516)/(AK516-AG516))))</f>
        <v/>
      </c>
      <c r="AN516" s="167"/>
      <c r="AO516" s="329" t="str">
        <f>IF(ISBLANK(Inputs!$A124),"",
IF(OR(AM516="Solved",AM516="--"),"--",
((Mat.Conc_Alpha.1*Mat.Conc_f.c*$AB516*MIN(AM516*Mat.Conc_Beta.1,$Y516))
+(Mat.Conc_Alpha.1*Mat.Conc_f.c*$V516*MAX(0,AM516*Mat.Conc_Beta.1-$Y516)))
-($J516*MIN(Mat.Rebar_f.y,(Mat.Rebar_epsilon.cl*($S516-AM516)/AM516)*Mat.PT_E.s))
-($M516*Mat.PT_f.pu*(1-Mat.PT_k*AM516/$P516))))</f>
        <v/>
      </c>
      <c r="AP516" s="329"/>
      <c r="AQ516" s="167" t="str">
        <f>IF(ISBLANK(Inputs!$A124),"",
IF(AO516="--","Solved",
IF(ABS(AO516)&lt;=0.001,"Solved",AM516-AO516*(AM516-AI516)/(AO516-AK516))))</f>
        <v/>
      </c>
      <c r="AR516" s="167"/>
      <c r="AS516" s="329" t="str">
        <f>IF(ISBLANK(Inputs!$A124),"",
IF(OR(AQ516="Solved",AQ516="--"),"--",
((Mat.Conc_Alpha.1*Mat.Conc_f.c*$AB516*MIN(AQ516*Mat.Conc_Beta.1,$Y516))
+(Mat.Conc_Alpha.1*Mat.Conc_f.c*$V516*MAX(0,AQ516*Mat.Conc_Beta.1-$Y516)))
-($J516*MIN(Mat.Rebar_f.y,(Mat.Rebar_epsilon.cl*($S516-AQ516)/AQ516)*Mat.PT_E.s))
-($M516*Mat.PT_f.pu*(1-Mat.PT_k*AQ516/$P516))))</f>
        <v/>
      </c>
      <c r="AT516" s="329"/>
      <c r="AU516" s="167" t="str">
        <f>IF(ISBLANK(Inputs!$A124),"",
IF(AS516="--","Solved",
IF(ABS(AS516)&lt;=0.001,"Solved",AQ516-AS516*(AQ516-AM516)/(AS516-AO516))))</f>
        <v/>
      </c>
      <c r="AV516" s="167"/>
      <c r="AW516" s="329" t="str">
        <f>IF(ISBLANK(Inputs!$A124),"",
IF(OR(AU516="Solved",AU516="--"),"--",
((Mat.Conc_Alpha.1*Mat.Conc_f.c*$AB516*MIN(AU516*Mat.Conc_Beta.1,$Y516))
+(Mat.Conc_Alpha.1*Mat.Conc_f.c*$V516*MAX(0,AU516*Mat.Conc_Beta.1-$Y516)))
-($J516*MIN(Mat.Rebar_f.y,(Mat.Rebar_epsilon.cl*($S516-AU516)/AU516)*Mat.PT_E.s))
-($M516*Mat.PT_f.pu*(1-Mat.PT_k*AU516/$P516))))</f>
        <v/>
      </c>
      <c r="AX516" s="329"/>
      <c r="AY516" s="167" t="str">
        <f>IF(ISBLANK(Inputs!$A124),"",
IF(AW516="--","Solved",
IF(ABS(AW516)&lt;=0.001,"Solved",AU516-AW516*(AU516-AQ516)/(AW516-AS516))))</f>
        <v/>
      </c>
      <c r="AZ516" s="167"/>
      <c r="BA516" s="329" t="str">
        <f>IF(ISBLANK(Inputs!$A124),"",
IF(OR(AY516="Solved",AY516="--"),"--",
((Mat.Conc_Alpha.1*Mat.Conc_f.c*$AB516*MIN(AY516*Mat.Conc_Beta.1,$Y516))
+(Mat.Conc_Alpha.1*Mat.Conc_f.c*$V516*MAX(0,AY516*Mat.Conc_Beta.1-$Y516)))
-($J516*MIN(Mat.Rebar_f.y,(Mat.Rebar_epsilon.cl*($S516-AY516)/AY516)*Mat.PT_E.s))
-($M516*Mat.PT_f.pu*(1-Mat.PT_k*AY516/$P516))))</f>
        <v/>
      </c>
      <c r="BB516" s="329"/>
      <c r="BC516" s="167" t="str">
        <f>IF(ISBLANK(Inputs!$A124),"",
IF(BA516="--","Solved",
IF(ABS(BA516)&lt;=0.001,"Solved",AY516-BA516*(AY516-AU516)/(BA516-AW516))))</f>
        <v/>
      </c>
      <c r="BD516" s="167"/>
      <c r="BE516" s="329" t="str">
        <f>IF(ISBLANK(Inputs!$A124),"",
IF(OR(BC516="Solved",BC516="--"),"--",
((Mat.Conc_Alpha.1*Mat.Conc_f.c*$AB516*MIN(BC516*Mat.Conc_Beta.1,$Y516))
+(Mat.Conc_Alpha.1*Mat.Conc_f.c*$V516*MAX(0,BC516*Mat.Conc_Beta.1-$Y516)))
-($J516*MIN(Mat.Rebar_f.y,(Mat.Rebar_epsilon.cl*($S516-BC516)/BC516)*Mat.PT_E.s))
-($M516*Mat.PT_f.pu*(1-Mat.PT_k*BC516/$P516))))</f>
        <v/>
      </c>
      <c r="BF516" s="329"/>
      <c r="BG516" s="167" t="str">
        <f>IF(ISBLANK(Inputs!$A124),"",
IF(BE516="--","Solved",
IF(ABS(BE516)&lt;=0.001,"Solved",BC516-BE516*(BC516-AY516)/(BE516-BA516))))</f>
        <v/>
      </c>
      <c r="BH516" s="167"/>
      <c r="BI516" s="329" t="str">
        <f>IF(ISBLANK(Inputs!$A124),"",
IF(OR(BG516="Solved",BG516="--"),"--",
((Mat.Conc_Alpha.1*Mat.Conc_f.c*$AB516*MIN(BG516*Mat.Conc_Beta.1,$Y516))
+(Mat.Conc_Alpha.1*Mat.Conc_f.c*$V516*MAX(0,BG516*Mat.Conc_Beta.1-$Y516)))
-($J516*MIN(Mat.Rebar_f.y,(Mat.Rebar_epsilon.cl*($S516-BG516)/BG516)*Mat.PT_E.s))
-($M516*Mat.PT_f.pu*(1-Mat.PT_k*BG516/$P516))))</f>
        <v/>
      </c>
      <c r="BJ516" s="329"/>
      <c r="BK516" s="167" t="str">
        <f>IF(ISBLANK(Inputs!$A124),"",
IF(BI516="--","Solved",
IF(ABS(BI516)&lt;=0.001,"Solved",BG516-BI516*(BG516-BC516)/(BI516-BE516))))</f>
        <v/>
      </c>
      <c r="BL516" s="167"/>
      <c r="BM516" s="329" t="str">
        <f>IF(ISBLANK(Inputs!$A124),"",
IF(OR(BK516="Solved",BK516="--"),"--",
((Mat.Conc_Alpha.1*Mat.Conc_f.c*$AB516*MIN(BK516*Mat.Conc_Beta.1,$Y516))
+(Mat.Conc_Alpha.1*Mat.Conc_f.c*$V516*MAX(0,BK516*Mat.Conc_Beta.1-$Y516)))
-($J516*MIN(Mat.Rebar_f.y,(Mat.Rebar_epsilon.cl*($S516-BK516)/BK516)*Mat.PT_E.s))
-($M516*Mat.PT_f.pu*(1-Mat.PT_k*BK516/$P516))))</f>
        <v/>
      </c>
      <c r="BN516" s="329"/>
      <c r="BO516" s="167" t="str">
        <f>IF(ISBLANK(Inputs!$A124),"",
IF(BM516="--","Solved",
IF(ABS(BM516)&lt;=0.001,"Solved",BK516-BM516*(BK516-BG516)/(BM516-BI516))))</f>
        <v/>
      </c>
      <c r="BP516" s="167"/>
      <c r="BQ516" s="329" t="str">
        <f>IF(ISBLANK(Inputs!$A124),"",
IF(OR(BO516="Solved",BO516="--"),"--",
((Mat.Conc_Alpha.1*Mat.Conc_f.c*$AB516*MIN(BO516*Mat.Conc_Beta.1,$Y516))
+(Mat.Conc_Alpha.1*Mat.Conc_f.c*$V516*MAX(0,BO516*Mat.Conc_Beta.1-$Y516)))
-($J516*MIN(Mat.Rebar_f.y,(Mat.Rebar_epsilon.cl*($S516-BO516)/BO516)*Mat.PT_E.s))
-($M516*Mat.PT_f.pu*(1-Mat.PT_k*BO516/$P516))))</f>
        <v/>
      </c>
      <c r="BR516" s="329"/>
      <c r="BT516" s="98"/>
      <c r="BU516" s="70"/>
      <c r="BV516" s="70"/>
      <c r="BW516" s="8"/>
      <c r="BX516" s="8"/>
      <c r="BY516" s="8"/>
      <c r="BZ516" s="8"/>
      <c r="CA516" s="8"/>
      <c r="CB516" s="10"/>
    </row>
    <row r="517" spans="3:80" ht="15" customHeight="1" x14ac:dyDescent="0.25">
      <c r="C517" s="69"/>
      <c r="BS517" s="70"/>
      <c r="BT517" s="70"/>
      <c r="BU517" s="70"/>
      <c r="BV517" s="70"/>
      <c r="BW517" s="8"/>
      <c r="BX517" s="8"/>
      <c r="BY517" s="8"/>
      <c r="BZ517" s="8"/>
      <c r="CA517" s="8"/>
      <c r="CB517" s="10"/>
    </row>
    <row r="518" spans="3:80" ht="15" customHeight="1" x14ac:dyDescent="0.25">
      <c r="C518" s="69"/>
      <c r="BS518" s="70"/>
      <c r="BT518" s="70"/>
      <c r="BU518" s="70"/>
      <c r="BV518" s="70"/>
      <c r="BW518" s="8"/>
      <c r="BX518" s="8"/>
      <c r="BY518" s="8"/>
      <c r="BZ518" s="8"/>
      <c r="CA518" s="8"/>
      <c r="CB518" s="10"/>
    </row>
    <row r="519" spans="3:80" ht="15" customHeight="1" x14ac:dyDescent="0.25">
      <c r="C519" s="69"/>
      <c r="BS519" s="70"/>
      <c r="BT519" s="70"/>
      <c r="BU519" s="70"/>
      <c r="BV519" s="70"/>
      <c r="BW519" s="8"/>
      <c r="BX519" s="8"/>
      <c r="BY519" s="8"/>
      <c r="BZ519" s="8"/>
      <c r="CA519" s="8"/>
      <c r="CB519" s="10"/>
    </row>
    <row r="520" spans="3:80" ht="15" customHeight="1" x14ac:dyDescent="0.25">
      <c r="C520" s="69"/>
      <c r="BS520" s="70"/>
      <c r="BT520" s="70"/>
      <c r="BU520" s="70"/>
      <c r="BV520" s="70"/>
      <c r="BW520" s="8"/>
      <c r="BX520" s="8"/>
      <c r="BY520" s="8"/>
      <c r="BZ520" s="8"/>
      <c r="CA520" s="8"/>
      <c r="CB520" s="10"/>
    </row>
    <row r="521" spans="3:80" ht="15" customHeight="1" x14ac:dyDescent="0.25">
      <c r="C521" s="69"/>
      <c r="BS521" s="70"/>
      <c r="BT521" s="70"/>
      <c r="BU521" s="70"/>
      <c r="BV521" s="70"/>
      <c r="BW521" s="8"/>
      <c r="BX521" s="8"/>
      <c r="BY521" s="8"/>
      <c r="BZ521" s="8"/>
      <c r="CA521" s="8"/>
      <c r="CB521" s="10"/>
    </row>
    <row r="522" spans="3:80" ht="15" customHeight="1" x14ac:dyDescent="0.25">
      <c r="C522" s="69"/>
      <c r="BS522" s="70"/>
      <c r="BT522" s="70"/>
      <c r="BU522" s="70"/>
      <c r="BV522" s="70"/>
      <c r="BW522" s="8"/>
      <c r="BX522" s="8"/>
      <c r="BY522" s="8"/>
      <c r="BZ522" s="8"/>
      <c r="CA522" s="8"/>
      <c r="CB522" s="10"/>
    </row>
    <row r="523" spans="3:80" ht="15" customHeight="1" x14ac:dyDescent="0.25">
      <c r="C523" s="69"/>
      <c r="BS523" s="70"/>
      <c r="BT523" s="70"/>
      <c r="BU523" s="70"/>
      <c r="BV523" s="70"/>
      <c r="BW523" s="8"/>
      <c r="BX523" s="8"/>
      <c r="BY523" s="8"/>
      <c r="BZ523" s="8"/>
      <c r="CA523" s="8"/>
      <c r="CB523" s="10"/>
    </row>
    <row r="524" spans="3:80" ht="15" customHeight="1" x14ac:dyDescent="0.25">
      <c r="C524" s="69"/>
      <c r="BS524" s="70"/>
      <c r="BT524" s="70"/>
      <c r="BU524" s="70"/>
      <c r="BV524" s="70"/>
      <c r="BW524" s="8"/>
      <c r="BX524" s="8"/>
      <c r="BY524" s="8"/>
      <c r="BZ524" s="8"/>
      <c r="CA524" s="8"/>
      <c r="CB524" s="10"/>
    </row>
    <row r="525" spans="3:80" ht="15" customHeight="1" x14ac:dyDescent="0.25">
      <c r="C525" s="69"/>
      <c r="BS525" s="70"/>
      <c r="BT525" s="70"/>
      <c r="BU525" s="70"/>
      <c r="BV525" s="70"/>
      <c r="BW525" s="8"/>
      <c r="BX525" s="8"/>
      <c r="BY525" s="8"/>
      <c r="BZ525" s="8"/>
      <c r="CA525" s="8"/>
      <c r="CB525" s="10"/>
    </row>
    <row r="526" spans="3:80" ht="15" customHeight="1" x14ac:dyDescent="0.25">
      <c r="C526" s="69"/>
      <c r="BS526" s="70"/>
      <c r="BT526" s="70"/>
      <c r="BU526" s="70"/>
      <c r="BV526" s="70"/>
      <c r="BW526" s="8"/>
      <c r="BX526" s="8"/>
      <c r="BY526" s="8"/>
      <c r="BZ526" s="8"/>
      <c r="CA526" s="8"/>
      <c r="CB526" s="10"/>
    </row>
    <row r="527" spans="3:80" ht="15" customHeight="1" x14ac:dyDescent="0.25">
      <c r="C527" s="69"/>
      <c r="BS527" s="70"/>
      <c r="BT527" s="70"/>
      <c r="BU527" s="70"/>
      <c r="BV527" s="70"/>
      <c r="BW527" s="8"/>
      <c r="BX527" s="8"/>
      <c r="BY527" s="8"/>
      <c r="BZ527" s="8"/>
      <c r="CA527" s="8"/>
      <c r="CB527" s="10"/>
    </row>
    <row r="528" spans="3:80" ht="15" customHeight="1" x14ac:dyDescent="0.25">
      <c r="C528" s="69"/>
      <c r="BS528" s="70"/>
      <c r="BT528" s="70"/>
      <c r="BU528" s="70"/>
      <c r="BV528" s="70"/>
      <c r="BW528" s="8"/>
      <c r="BX528" s="8"/>
      <c r="BY528" s="8"/>
      <c r="BZ528" s="8"/>
      <c r="CA528" s="8"/>
      <c r="CB528" s="10"/>
    </row>
    <row r="529" spans="3:80" ht="15" customHeight="1" x14ac:dyDescent="0.25">
      <c r="C529" s="69"/>
      <c r="BS529" s="70"/>
      <c r="BT529" s="70"/>
      <c r="BU529" s="70"/>
      <c r="BV529" s="70"/>
      <c r="BW529" s="8"/>
      <c r="BX529" s="8"/>
      <c r="BY529" s="8"/>
      <c r="BZ529" s="8"/>
      <c r="CA529" s="8"/>
      <c r="CB529" s="10"/>
    </row>
    <row r="530" spans="3:80" ht="15" customHeight="1" x14ac:dyDescent="0.25">
      <c r="C530" s="69"/>
      <c r="BS530" s="70"/>
      <c r="BT530" s="70"/>
      <c r="BU530" s="70"/>
      <c r="BV530" s="70"/>
      <c r="BW530" s="8"/>
      <c r="BX530" s="8"/>
      <c r="BY530" s="8"/>
      <c r="BZ530" s="8"/>
      <c r="CA530" s="8"/>
      <c r="CB530" s="10"/>
    </row>
    <row r="531" spans="3:80" ht="15" customHeight="1" x14ac:dyDescent="0.25">
      <c r="C531" s="69"/>
      <c r="BS531" s="70"/>
      <c r="BT531" s="70"/>
      <c r="BU531" s="70"/>
      <c r="BV531" s="70"/>
      <c r="BW531" s="8"/>
      <c r="BX531" s="8"/>
      <c r="BY531" s="8"/>
      <c r="BZ531" s="8"/>
      <c r="CA531" s="8"/>
      <c r="CB531" s="10"/>
    </row>
    <row r="532" spans="3:80" ht="15" customHeight="1" x14ac:dyDescent="0.25">
      <c r="C532" s="69"/>
      <c r="BS532" s="70"/>
      <c r="BT532" s="70"/>
      <c r="BU532" s="70"/>
      <c r="BV532" s="70"/>
      <c r="BW532" s="8"/>
      <c r="BX532" s="8"/>
      <c r="BY532" s="8"/>
      <c r="BZ532" s="8"/>
      <c r="CA532" s="8"/>
      <c r="CB532" s="10"/>
    </row>
    <row r="533" spans="3:80" ht="15" customHeight="1" x14ac:dyDescent="0.25">
      <c r="C533" s="69"/>
      <c r="BS533" s="70"/>
      <c r="BT533" s="70"/>
      <c r="BU533" s="70"/>
      <c r="BV533" s="70"/>
      <c r="BW533" s="8"/>
      <c r="BX533" s="8"/>
      <c r="BY533" s="8"/>
      <c r="BZ533" s="8"/>
      <c r="CA533" s="8"/>
      <c r="CB533" s="10"/>
    </row>
    <row r="534" spans="3:80" ht="15" customHeight="1" x14ac:dyDescent="0.25">
      <c r="C534" s="69"/>
      <c r="BS534" s="70"/>
      <c r="BT534" s="70"/>
      <c r="BU534" s="70"/>
      <c r="BV534" s="70"/>
      <c r="BW534" s="8"/>
      <c r="BX534" s="8"/>
      <c r="BY534" s="8"/>
      <c r="BZ534" s="8"/>
      <c r="CA534" s="8"/>
      <c r="CB534" s="10"/>
    </row>
    <row r="535" spans="3:80" ht="15" customHeight="1" x14ac:dyDescent="0.2"/>
    <row r="536" spans="3:80" ht="15" customHeight="1" x14ac:dyDescent="0.25">
      <c r="C536" s="69"/>
      <c r="F536" s="339" t="str">
        <f>"Table "&amp;Inputs!B14&amp;"-4:  Negative Flexure Neutral Axis Iteration Table"</f>
        <v>Table C.1-4:  Negative Flexure Neutral Axis Iteration Table</v>
      </c>
      <c r="G536" s="340"/>
      <c r="H536" s="340"/>
      <c r="I536" s="340"/>
      <c r="J536" s="340"/>
      <c r="K536" s="340"/>
      <c r="L536" s="340"/>
      <c r="M536" s="340"/>
      <c r="N536" s="340"/>
      <c r="O536" s="340"/>
      <c r="P536" s="340"/>
      <c r="Q536" s="340"/>
      <c r="R536" s="340"/>
      <c r="S536" s="340"/>
      <c r="T536" s="340"/>
      <c r="U536" s="340"/>
      <c r="V536" s="340"/>
      <c r="W536" s="340"/>
      <c r="X536" s="340"/>
      <c r="Y536" s="340"/>
      <c r="Z536" s="340"/>
      <c r="AA536" s="340"/>
      <c r="AB536" s="340"/>
      <c r="AC536" s="340"/>
      <c r="AD536" s="340"/>
      <c r="AE536" s="340"/>
      <c r="AF536" s="340"/>
      <c r="AG536" s="340"/>
      <c r="AH536" s="340"/>
      <c r="AI536" s="340"/>
      <c r="AJ536" s="340"/>
      <c r="AK536" s="340"/>
      <c r="AL536" s="340"/>
      <c r="AM536" s="340"/>
      <c r="AN536" s="340"/>
      <c r="AO536" s="340"/>
      <c r="AP536" s="340"/>
      <c r="AQ536" s="340"/>
      <c r="AR536" s="340"/>
      <c r="AS536" s="340"/>
      <c r="AT536" s="340"/>
      <c r="AU536" s="340"/>
      <c r="AV536" s="340"/>
      <c r="AW536" s="340"/>
      <c r="AX536" s="340"/>
      <c r="AY536" s="340"/>
      <c r="AZ536" s="340"/>
      <c r="BA536" s="340"/>
      <c r="BB536" s="340"/>
      <c r="BC536" s="340"/>
      <c r="BD536" s="340"/>
      <c r="BE536" s="340"/>
      <c r="BF536" s="340"/>
      <c r="BG536" s="340"/>
      <c r="BH536" s="340"/>
      <c r="BI536" s="340"/>
      <c r="BJ536" s="340"/>
      <c r="BK536" s="340"/>
      <c r="BL536" s="340"/>
      <c r="BM536" s="340"/>
      <c r="BN536" s="340"/>
      <c r="BO536" s="340"/>
      <c r="BP536" s="340"/>
      <c r="BQ536" s="340"/>
      <c r="BR536" s="341"/>
      <c r="BS536" s="70"/>
      <c r="BT536" s="70"/>
      <c r="BU536" s="70"/>
      <c r="BV536" s="70"/>
      <c r="BW536" s="8"/>
      <c r="BX536" s="8"/>
      <c r="BY536" s="8"/>
      <c r="BZ536" s="8"/>
      <c r="CA536" s="8"/>
      <c r="CB536" s="10"/>
    </row>
    <row r="537" spans="3:80" ht="15" customHeight="1" x14ac:dyDescent="0.25">
      <c r="C537" s="69"/>
      <c r="F537" s="334" t="s">
        <v>159</v>
      </c>
      <c r="G537" s="334"/>
      <c r="H537" s="334"/>
      <c r="I537" s="334"/>
      <c r="J537" s="182" t="s">
        <v>253</v>
      </c>
      <c r="K537" s="182"/>
      <c r="L537" s="182"/>
      <c r="M537" s="182"/>
      <c r="N537" s="182"/>
      <c r="O537" s="182"/>
      <c r="P537" s="182"/>
      <c r="Q537" s="182"/>
      <c r="R537" s="182"/>
      <c r="S537" s="182"/>
      <c r="T537" s="182"/>
      <c r="U537" s="182"/>
      <c r="V537" s="182"/>
      <c r="W537" s="182"/>
      <c r="X537" s="182"/>
      <c r="Y537" s="182"/>
      <c r="Z537" s="182"/>
      <c r="AA537" s="182"/>
      <c r="AB537" s="182"/>
      <c r="AC537" s="182"/>
      <c r="AD537" s="182"/>
      <c r="AE537" s="334" t="s">
        <v>242</v>
      </c>
      <c r="AF537" s="334"/>
      <c r="AG537" s="334"/>
      <c r="AH537" s="334"/>
      <c r="AI537" s="334" t="s">
        <v>243</v>
      </c>
      <c r="AJ537" s="334"/>
      <c r="AK537" s="334"/>
      <c r="AL537" s="334"/>
      <c r="AM537" s="334" t="s">
        <v>244</v>
      </c>
      <c r="AN537" s="334"/>
      <c r="AO537" s="334"/>
      <c r="AP537" s="334"/>
      <c r="AQ537" s="334" t="s">
        <v>245</v>
      </c>
      <c r="AR537" s="334"/>
      <c r="AS537" s="334"/>
      <c r="AT537" s="334"/>
      <c r="AU537" s="334" t="s">
        <v>246</v>
      </c>
      <c r="AV537" s="334"/>
      <c r="AW537" s="334"/>
      <c r="AX537" s="334"/>
      <c r="AY537" s="334" t="s">
        <v>247</v>
      </c>
      <c r="AZ537" s="334"/>
      <c r="BA537" s="334"/>
      <c r="BB537" s="334"/>
      <c r="BC537" s="334" t="s">
        <v>248</v>
      </c>
      <c r="BD537" s="334"/>
      <c r="BE537" s="334"/>
      <c r="BF537" s="334"/>
      <c r="BG537" s="334" t="s">
        <v>249</v>
      </c>
      <c r="BH537" s="334"/>
      <c r="BI537" s="334"/>
      <c r="BJ537" s="334"/>
      <c r="BK537" s="334" t="s">
        <v>250</v>
      </c>
      <c r="BL537" s="334"/>
      <c r="BM537" s="334"/>
      <c r="BN537" s="334"/>
      <c r="BO537" s="334" t="s">
        <v>251</v>
      </c>
      <c r="BP537" s="334"/>
      <c r="BQ537" s="334"/>
      <c r="BR537" s="334"/>
      <c r="BS537" s="70"/>
      <c r="BT537" s="70"/>
      <c r="BU537" s="70"/>
      <c r="BV537" s="70"/>
      <c r="BW537" s="8"/>
      <c r="BX537" s="8"/>
      <c r="BY537" s="8"/>
      <c r="BZ537" s="8"/>
      <c r="CA537" s="8"/>
      <c r="CB537" s="10"/>
    </row>
    <row r="538" spans="3:80" ht="15" customHeight="1" x14ac:dyDescent="0.25">
      <c r="C538" s="69"/>
      <c r="F538" s="326" t="s">
        <v>50</v>
      </c>
      <c r="G538" s="326"/>
      <c r="H538" s="326" t="s">
        <v>363</v>
      </c>
      <c r="I538" s="326"/>
      <c r="J538" s="335" t="s">
        <v>254</v>
      </c>
      <c r="K538" s="182"/>
      <c r="L538" s="182"/>
      <c r="M538" s="335" t="s">
        <v>255</v>
      </c>
      <c r="N538" s="182"/>
      <c r="O538" s="182"/>
      <c r="P538" s="335" t="s">
        <v>256</v>
      </c>
      <c r="Q538" s="182"/>
      <c r="R538" s="182"/>
      <c r="S538" s="335" t="s">
        <v>257</v>
      </c>
      <c r="T538" s="182"/>
      <c r="U538" s="182"/>
      <c r="V538" s="335" t="s">
        <v>258</v>
      </c>
      <c r="W538" s="182"/>
      <c r="X538" s="182"/>
      <c r="Y538" s="335" t="s">
        <v>259</v>
      </c>
      <c r="Z538" s="182"/>
      <c r="AA538" s="182"/>
      <c r="AB538" s="335" t="s">
        <v>252</v>
      </c>
      <c r="AC538" s="335"/>
      <c r="AD538" s="335"/>
      <c r="AE538" s="326" t="s">
        <v>240</v>
      </c>
      <c r="AF538" s="326"/>
      <c r="AG538" s="326" t="s">
        <v>241</v>
      </c>
      <c r="AH538" s="326"/>
      <c r="AI538" s="326" t="s">
        <v>240</v>
      </c>
      <c r="AJ538" s="326"/>
      <c r="AK538" s="326" t="s">
        <v>241</v>
      </c>
      <c r="AL538" s="326"/>
      <c r="AM538" s="326" t="s">
        <v>240</v>
      </c>
      <c r="AN538" s="326"/>
      <c r="AO538" s="326" t="s">
        <v>241</v>
      </c>
      <c r="AP538" s="326"/>
      <c r="AQ538" s="326" t="s">
        <v>240</v>
      </c>
      <c r="AR538" s="326"/>
      <c r="AS538" s="326" t="s">
        <v>241</v>
      </c>
      <c r="AT538" s="326"/>
      <c r="AU538" s="326" t="s">
        <v>240</v>
      </c>
      <c r="AV538" s="326"/>
      <c r="AW538" s="326" t="s">
        <v>241</v>
      </c>
      <c r="AX538" s="326"/>
      <c r="AY538" s="326" t="s">
        <v>240</v>
      </c>
      <c r="AZ538" s="326"/>
      <c r="BA538" s="326" t="s">
        <v>241</v>
      </c>
      <c r="BB538" s="326"/>
      <c r="BC538" s="326" t="s">
        <v>240</v>
      </c>
      <c r="BD538" s="326"/>
      <c r="BE538" s="326" t="s">
        <v>241</v>
      </c>
      <c r="BF538" s="326"/>
      <c r="BG538" s="326" t="s">
        <v>240</v>
      </c>
      <c r="BH538" s="326"/>
      <c r="BI538" s="326" t="s">
        <v>241</v>
      </c>
      <c r="BJ538" s="326"/>
      <c r="BK538" s="326" t="s">
        <v>240</v>
      </c>
      <c r="BL538" s="326"/>
      <c r="BM538" s="326" t="s">
        <v>241</v>
      </c>
      <c r="BN538" s="326"/>
      <c r="BO538" s="326" t="s">
        <v>240</v>
      </c>
      <c r="BP538" s="326"/>
      <c r="BQ538" s="326" t="s">
        <v>241</v>
      </c>
      <c r="BR538" s="326"/>
      <c r="BS538" s="70"/>
      <c r="BT538" s="70"/>
      <c r="BU538" s="70"/>
      <c r="BV538" s="70"/>
      <c r="BW538" s="8"/>
      <c r="BX538" s="8"/>
      <c r="BY538" s="8"/>
      <c r="BZ538" s="8"/>
      <c r="CA538" s="8"/>
      <c r="CB538" s="10"/>
    </row>
    <row r="539" spans="3:80" ht="15" customHeight="1" x14ac:dyDescent="0.25">
      <c r="C539" s="69"/>
      <c r="F539" s="326"/>
      <c r="G539" s="326"/>
      <c r="H539" s="326"/>
      <c r="I539" s="326"/>
      <c r="J539" s="182"/>
      <c r="K539" s="182"/>
      <c r="L539" s="182"/>
      <c r="M539" s="182"/>
      <c r="N539" s="182"/>
      <c r="O539" s="182"/>
      <c r="P539" s="182"/>
      <c r="Q539" s="182"/>
      <c r="R539" s="182"/>
      <c r="S539" s="182"/>
      <c r="T539" s="182"/>
      <c r="U539" s="182"/>
      <c r="V539" s="182"/>
      <c r="W539" s="182"/>
      <c r="X539" s="182"/>
      <c r="Y539" s="182"/>
      <c r="Z539" s="182"/>
      <c r="AA539" s="182"/>
      <c r="AB539" s="335"/>
      <c r="AC539" s="335"/>
      <c r="AD539" s="335"/>
      <c r="AE539" s="326"/>
      <c r="AF539" s="326"/>
      <c r="AG539" s="326"/>
      <c r="AH539" s="326"/>
      <c r="AI539" s="326"/>
      <c r="AJ539" s="326"/>
      <c r="AK539" s="326"/>
      <c r="AL539" s="326"/>
      <c r="AM539" s="326"/>
      <c r="AN539" s="326"/>
      <c r="AO539" s="326"/>
      <c r="AP539" s="326"/>
      <c r="AQ539" s="326"/>
      <c r="AR539" s="326"/>
      <c r="AS539" s="326"/>
      <c r="AT539" s="326"/>
      <c r="AU539" s="326"/>
      <c r="AV539" s="326"/>
      <c r="AW539" s="326"/>
      <c r="AX539" s="326"/>
      <c r="AY539" s="326"/>
      <c r="AZ539" s="326"/>
      <c r="BA539" s="326"/>
      <c r="BB539" s="326"/>
      <c r="BC539" s="326"/>
      <c r="BD539" s="326"/>
      <c r="BE539" s="326"/>
      <c r="BF539" s="326"/>
      <c r="BG539" s="326"/>
      <c r="BH539" s="326"/>
      <c r="BI539" s="326"/>
      <c r="BJ539" s="326"/>
      <c r="BK539" s="326"/>
      <c r="BL539" s="326"/>
      <c r="BM539" s="326"/>
      <c r="BN539" s="326"/>
      <c r="BO539" s="326"/>
      <c r="BP539" s="326"/>
      <c r="BQ539" s="326"/>
      <c r="BR539" s="326"/>
      <c r="BS539" s="70"/>
      <c r="BT539" s="70"/>
      <c r="BU539" s="70"/>
      <c r="BV539" s="70"/>
      <c r="BW539" s="8"/>
      <c r="BX539" s="8"/>
      <c r="BY539" s="8"/>
      <c r="BZ539" s="8"/>
      <c r="CA539" s="8"/>
      <c r="CB539" s="10"/>
    </row>
    <row r="540" spans="3:80" ht="15" customHeight="1" x14ac:dyDescent="0.25">
      <c r="C540" s="69"/>
      <c r="F540" s="326"/>
      <c r="G540" s="326"/>
      <c r="H540" s="326"/>
      <c r="I540" s="326"/>
      <c r="J540" s="182"/>
      <c r="K540" s="182"/>
      <c r="L540" s="182"/>
      <c r="M540" s="182"/>
      <c r="N540" s="182"/>
      <c r="O540" s="182"/>
      <c r="P540" s="182"/>
      <c r="Q540" s="182"/>
      <c r="R540" s="182"/>
      <c r="S540" s="182"/>
      <c r="T540" s="182"/>
      <c r="U540" s="182"/>
      <c r="V540" s="182"/>
      <c r="W540" s="182"/>
      <c r="X540" s="182"/>
      <c r="Y540" s="182"/>
      <c r="Z540" s="182"/>
      <c r="AA540" s="182"/>
      <c r="AB540" s="335"/>
      <c r="AC540" s="335"/>
      <c r="AD540" s="335"/>
      <c r="AE540" s="326"/>
      <c r="AF540" s="326"/>
      <c r="AG540" s="326"/>
      <c r="AH540" s="326"/>
      <c r="AI540" s="326"/>
      <c r="AJ540" s="326"/>
      <c r="AK540" s="326"/>
      <c r="AL540" s="326"/>
      <c r="AM540" s="326"/>
      <c r="AN540" s="326"/>
      <c r="AO540" s="326"/>
      <c r="AP540" s="326"/>
      <c r="AQ540" s="326"/>
      <c r="AR540" s="326"/>
      <c r="AS540" s="326"/>
      <c r="AT540" s="326"/>
      <c r="AU540" s="326"/>
      <c r="AV540" s="326"/>
      <c r="AW540" s="326"/>
      <c r="AX540" s="326"/>
      <c r="AY540" s="326"/>
      <c r="AZ540" s="326"/>
      <c r="BA540" s="326"/>
      <c r="BB540" s="326"/>
      <c r="BC540" s="326"/>
      <c r="BD540" s="326"/>
      <c r="BE540" s="326"/>
      <c r="BF540" s="326"/>
      <c r="BG540" s="326"/>
      <c r="BH540" s="326"/>
      <c r="BI540" s="326"/>
      <c r="BJ540" s="326"/>
      <c r="BK540" s="326"/>
      <c r="BL540" s="326"/>
      <c r="BM540" s="326"/>
      <c r="BN540" s="326"/>
      <c r="BO540" s="326"/>
      <c r="BP540" s="326"/>
      <c r="BQ540" s="326"/>
      <c r="BR540" s="326"/>
      <c r="BS540" s="70"/>
      <c r="BT540" s="70"/>
      <c r="BU540" s="70"/>
      <c r="BV540" s="70"/>
      <c r="BW540" s="8"/>
      <c r="BX540" s="8"/>
      <c r="BY540" s="8"/>
      <c r="BZ540" s="8"/>
      <c r="CA540" s="8"/>
      <c r="CB540" s="10"/>
    </row>
    <row r="541" spans="3:80" ht="15" customHeight="1" thickBot="1" x14ac:dyDescent="0.3">
      <c r="C541" s="69"/>
      <c r="F541" s="327"/>
      <c r="G541" s="327"/>
      <c r="H541" s="327"/>
      <c r="I541" s="327"/>
      <c r="J541" s="336"/>
      <c r="K541" s="336"/>
      <c r="L541" s="336"/>
      <c r="M541" s="336"/>
      <c r="N541" s="336"/>
      <c r="O541" s="336"/>
      <c r="P541" s="336"/>
      <c r="Q541" s="336"/>
      <c r="R541" s="336"/>
      <c r="S541" s="336"/>
      <c r="T541" s="336"/>
      <c r="U541" s="336"/>
      <c r="V541" s="336"/>
      <c r="W541" s="336"/>
      <c r="X541" s="336"/>
      <c r="Y541" s="336"/>
      <c r="Z541" s="336"/>
      <c r="AA541" s="336"/>
      <c r="AB541" s="337"/>
      <c r="AC541" s="337"/>
      <c r="AD541" s="337"/>
      <c r="AE541" s="327"/>
      <c r="AF541" s="327"/>
      <c r="AG541" s="327"/>
      <c r="AH541" s="327"/>
      <c r="AI541" s="327"/>
      <c r="AJ541" s="327"/>
      <c r="AK541" s="327"/>
      <c r="AL541" s="327"/>
      <c r="AM541" s="327"/>
      <c r="AN541" s="327"/>
      <c r="AO541" s="327"/>
      <c r="AP541" s="327"/>
      <c r="AQ541" s="327"/>
      <c r="AR541" s="327"/>
      <c r="AS541" s="327"/>
      <c r="AT541" s="327"/>
      <c r="AU541" s="327"/>
      <c r="AV541" s="327"/>
      <c r="AW541" s="327"/>
      <c r="AX541" s="327"/>
      <c r="AY541" s="327"/>
      <c r="AZ541" s="327"/>
      <c r="BA541" s="327"/>
      <c r="BB541" s="327"/>
      <c r="BC541" s="327"/>
      <c r="BD541" s="327"/>
      <c r="BE541" s="327"/>
      <c r="BF541" s="327"/>
      <c r="BG541" s="327"/>
      <c r="BH541" s="327"/>
      <c r="BI541" s="327"/>
      <c r="BJ541" s="327"/>
      <c r="BK541" s="327"/>
      <c r="BL541" s="327"/>
      <c r="BM541" s="327"/>
      <c r="BN541" s="327"/>
      <c r="BO541" s="327"/>
      <c r="BP541" s="327"/>
      <c r="BQ541" s="327"/>
      <c r="BR541" s="327"/>
      <c r="BS541" s="70"/>
      <c r="BT541" s="70"/>
      <c r="BU541" s="70"/>
      <c r="BV541" s="70"/>
      <c r="BW541" s="8"/>
      <c r="BX541" s="8"/>
      <c r="BY541" s="8"/>
      <c r="BZ541" s="8"/>
      <c r="CA541" s="8"/>
      <c r="CB541" s="10"/>
    </row>
    <row r="542" spans="3:80" ht="15" customHeight="1" thickTop="1" x14ac:dyDescent="0.25">
      <c r="C542" s="69"/>
      <c r="F542" s="330" t="str">
        <f>IF(ISBLANK(Inputs!A25),"",Inputs!A25)</f>
        <v/>
      </c>
      <c r="G542" s="330"/>
      <c r="H542" s="330" t="str">
        <f>IF(ISBLANK(Inputs!B25),"",Inputs!B25)</f>
        <v/>
      </c>
      <c r="I542" s="330"/>
      <c r="J542" s="331" t="str">
        <f>IF(ISBLANK(Inputs!K25),"",Inputs!K25)</f>
        <v/>
      </c>
      <c r="K542" s="331"/>
      <c r="L542" s="331"/>
      <c r="M542" s="331" t="str">
        <f>IF(ISBLANK(Inputs!D25),"",Inputs!D25)</f>
        <v/>
      </c>
      <c r="N542" s="331"/>
      <c r="O542" s="331"/>
      <c r="P542" s="331" t="str">
        <f>IF(ISBLANK(Inputs!F25),"",Inputs!$B$10-Inputs!F25)</f>
        <v/>
      </c>
      <c r="Q542" s="331"/>
      <c r="R542" s="331"/>
      <c r="S542" s="331" t="str">
        <f>IF(ISBLANK(Inputs!L25),"",Inputs!L25)</f>
        <v/>
      </c>
      <c r="T542" s="331"/>
      <c r="U542" s="331"/>
      <c r="V542" s="331" t="str">
        <f>IF(ISBLANK(Inputs!E25),"",Inputs!E25)</f>
        <v/>
      </c>
      <c r="W542" s="331"/>
      <c r="X542" s="331"/>
      <c r="Y542" s="331" t="str">
        <f>IF(ISBLANK(Inputs!M25),"",Inputs!M25)</f>
        <v/>
      </c>
      <c r="Z542" s="331"/>
      <c r="AA542" s="331"/>
      <c r="AB542" s="331" t="str">
        <f>IF(ISBLANK(Inputs!N25),"",Inputs!N25)</f>
        <v/>
      </c>
      <c r="AC542" s="331"/>
      <c r="AD542" s="331"/>
      <c r="AE542" s="342" t="str">
        <f>IF(ISBLANK(Inputs!A25),"",Y542)</f>
        <v/>
      </c>
      <c r="AF542" s="342"/>
      <c r="AG542" s="343" t="str">
        <f>IF(ISBLANK(Inputs!$A25),"",
IF(OR(AE542="Solved",AE542="--"),"--",
((Mat.Conc_Alpha.1*Mat.Conc_f.c*$AB542*MIN(AE542*Mat.Conc_Beta.1,$Y542))
+(Mat.Conc_Alpha.1*Mat.Conc_f.c*$V542*MAX(0,AE542*Mat.Conc_Beta.1-$Y542)))
-($J542*MIN(Mat.Rebar_f.y,(Mat.Rebar_epsilon.cl*($S542-AE542)/AE542)*Mat.PT_E.s))
-($M542*Mat.PT_f.pu*(1-Mat.PT_k*AE542/$P542))))</f>
        <v/>
      </c>
      <c r="AH542" s="344"/>
      <c r="AI542" s="330" t="str">
        <f>IF(ISBLANK(Inputs!$A25),"",
IF(ABS(AG542)&lt;=0.001,"Solved",IF(AG542&gt;0,0.85*AE542,1.15*AE542)))</f>
        <v/>
      </c>
      <c r="AJ542" s="330"/>
      <c r="AK542" s="345" t="str">
        <f>IF(ISBLANK(Inputs!$A25),"",
IF(OR(AI542="Solved",AI542="--"),"--",
((Mat.Conc_Alpha.1*Mat.Conc_f.c*$AB542*MIN(AI542*Mat.Conc_Beta.1,$Y542))
+(Mat.Conc_Alpha.1*Mat.Conc_f.c*$V542*MAX(0,AI542*Mat.Conc_Beta.1-$Y542)))
-($J542*MIN(Mat.Rebar_f.y,(Mat.Rebar_epsilon.cl*($S542-AI542)/AI542)*Mat.PT_E.s))
-($M542*Mat.PT_f.pu*(1-Mat.PT_k*AI542/$P542))))</f>
        <v/>
      </c>
      <c r="AL542" s="345"/>
      <c r="AM542" s="330" t="str">
        <f>IF(ISBLANK(Inputs!$A25),"",
IF(AK542="--","Solved",
IF(ABS(AK542)&lt;=0.001,"Solved",AI542-AK542*(AI542-AE542)/(AK542-AG542))))</f>
        <v/>
      </c>
      <c r="AN542" s="330"/>
      <c r="AO542" s="345" t="str">
        <f>IF(ISBLANK(Inputs!$A25),"",
IF(OR(AM542="Solved",AM542="--"),"--",
((Mat.Conc_Alpha.1*Mat.Conc_f.c*$AB542*MIN(AM542*Mat.Conc_Beta.1,$Y542))
+(Mat.Conc_Alpha.1*Mat.Conc_f.c*$V542*MAX(0,AM542*Mat.Conc_Beta.1-$Y542)))
-($J542*MIN(Mat.Rebar_f.y,(Mat.Rebar_epsilon.cl*($S542-AM542)/AM542)*Mat.PT_E.s))
-($M542*Mat.PT_f.pu*(1-Mat.PT_k*AM542/$P542))))</f>
        <v/>
      </c>
      <c r="AP542" s="345"/>
      <c r="AQ542" s="330" t="str">
        <f>IF(ISBLANK(Inputs!$A25),"",
IF(AO542="--","Solved",
IF(ABS(AO542)&lt;=0.001,"Solved",AM542-AO542*(AM542-AI542)/(AO542-AK542))))</f>
        <v/>
      </c>
      <c r="AR542" s="330"/>
      <c r="AS542" s="345" t="str">
        <f>IF(ISBLANK(Inputs!$A25),"",
IF(OR(AQ542="Solved",AQ542="--"),"--",
((Mat.Conc_Alpha.1*Mat.Conc_f.c*$AB542*MIN(AQ542*Mat.Conc_Beta.1,$Y542))
+(Mat.Conc_Alpha.1*Mat.Conc_f.c*$V542*MAX(0,AQ542*Mat.Conc_Beta.1-$Y542)))
-($J542*MIN(Mat.Rebar_f.y,(Mat.Rebar_epsilon.cl*($S542-AQ542)/AQ542)*Mat.PT_E.s))
-($M542*Mat.PT_f.pu*(1-Mat.PT_k*AQ542/$P542))))</f>
        <v/>
      </c>
      <c r="AT542" s="345"/>
      <c r="AU542" s="330" t="str">
        <f>IF(ISBLANK(Inputs!$A25),"",
IF(AS542="--","Solved",
IF(ABS(AS542)&lt;=0.001,"Solved",AQ542-AS542*(AQ542-AM542)/(AS542-AO542))))</f>
        <v/>
      </c>
      <c r="AV542" s="330"/>
      <c r="AW542" s="345" t="str">
        <f>IF(ISBLANK(Inputs!$A25),"",
IF(OR(AU542="Solved",AU542="--"),"--",
((Mat.Conc_Alpha.1*Mat.Conc_f.c*$AB542*MIN(AU542*Mat.Conc_Beta.1,$Y542))
+(Mat.Conc_Alpha.1*Mat.Conc_f.c*$V542*MAX(0,AU542*Mat.Conc_Beta.1-$Y542)))
-($J542*MIN(Mat.Rebar_f.y,(Mat.Rebar_epsilon.cl*($S542-AU542)/AU542)*Mat.PT_E.s))
-($M542*Mat.PT_f.pu*(1-Mat.PT_k*AU542/$P542))))</f>
        <v/>
      </c>
      <c r="AX542" s="345"/>
      <c r="AY542" s="330" t="str">
        <f>IF(ISBLANK(Inputs!$A25),"",
IF(AW542="--","Solved",
IF(ABS(AW542)&lt;=0.001,"Solved",AU542-AW542*(AU542-AQ542)/(AW542-AS542))))</f>
        <v/>
      </c>
      <c r="AZ542" s="330"/>
      <c r="BA542" s="345" t="str">
        <f>IF(ISBLANK(Inputs!$A25),"",
IF(OR(AY542="Solved",AY542="--"),"--",
((Mat.Conc_Alpha.1*Mat.Conc_f.c*$AB542*MIN(AY542*Mat.Conc_Beta.1,$Y542))
+(Mat.Conc_Alpha.1*Mat.Conc_f.c*$V542*MAX(0,AY542*Mat.Conc_Beta.1-$Y542)))
-($J542*MIN(Mat.Rebar_f.y,(Mat.Rebar_epsilon.cl*($S542-AY542)/AY542)*Mat.PT_E.s))
-($M542*Mat.PT_f.pu*(1-Mat.PT_k*AY542/$P542))))</f>
        <v/>
      </c>
      <c r="BB542" s="345"/>
      <c r="BC542" s="330" t="str">
        <f>IF(ISBLANK(Inputs!$A25),"",
IF(BA542="--","Solved",
IF(ABS(BA542)&lt;=0.001,"Solved",AY542-BA542*(AY542-AU542)/(BA542-AW542))))</f>
        <v/>
      </c>
      <c r="BD542" s="330"/>
      <c r="BE542" s="345" t="str">
        <f>IF(ISBLANK(Inputs!$A25),"",
IF(OR(BC542="Solved",BC542="--"),"--",
((Mat.Conc_Alpha.1*Mat.Conc_f.c*$AB542*MIN(BC542*Mat.Conc_Beta.1,$Y542))
+(Mat.Conc_Alpha.1*Mat.Conc_f.c*$V542*MAX(0,BC542*Mat.Conc_Beta.1-$Y542)))
-($J542*MIN(Mat.Rebar_f.y,(Mat.Rebar_epsilon.cl*($S542-BC542)/BC542)*Mat.PT_E.s))
-($M542*Mat.PT_f.pu*(1-Mat.PT_k*BC542/$P542))))</f>
        <v/>
      </c>
      <c r="BF542" s="345"/>
      <c r="BG542" s="330" t="str">
        <f>IF(ISBLANK(Inputs!$A25),"",
IF(BE542="--","Solved",
IF(ABS(BE542)&lt;=0.001,"Solved",BC542-BE542*(BC542-AY542)/(BE542-BA542))))</f>
        <v/>
      </c>
      <c r="BH542" s="330"/>
      <c r="BI542" s="345" t="str">
        <f>IF(ISBLANK(Inputs!$A25),"",
IF(OR(BG542="Solved",BG542="--"),"--",
((Mat.Conc_Alpha.1*Mat.Conc_f.c*$AB542*MIN(BG542*Mat.Conc_Beta.1,$Y542))
+(Mat.Conc_Alpha.1*Mat.Conc_f.c*$V542*MAX(0,BG542*Mat.Conc_Beta.1-$Y542)))
-($J542*MIN(Mat.Rebar_f.y,(Mat.Rebar_epsilon.cl*($S542-BG542)/BG542)*Mat.PT_E.s))
-($M542*Mat.PT_f.pu*(1-Mat.PT_k*BG542/$P542))))</f>
        <v/>
      </c>
      <c r="BJ542" s="345"/>
      <c r="BK542" s="330" t="str">
        <f>IF(ISBLANK(Inputs!$A25),"",
IF(BI542="--","Solved",
IF(ABS(BI542)&lt;=0.001,"Solved",BG542-BI542*(BG542-BC542)/(BI542-BE542))))</f>
        <v/>
      </c>
      <c r="BL542" s="330"/>
      <c r="BM542" s="345" t="str">
        <f>IF(ISBLANK(Inputs!$A25),"",
IF(OR(BK542="Solved",BK542="--"),"--",
((Mat.Conc_Alpha.1*Mat.Conc_f.c*$AB542*MIN(BK542*Mat.Conc_Beta.1,$Y542))
+(Mat.Conc_Alpha.1*Mat.Conc_f.c*$V542*MAX(0,BK542*Mat.Conc_Beta.1-$Y542)))
-($J542*MIN(Mat.Rebar_f.y,(Mat.Rebar_epsilon.cl*($S542-BK542)/BK542)*Mat.PT_E.s))
-($M542*Mat.PT_f.pu*(1-Mat.PT_k*BK542/$P542))))</f>
        <v/>
      </c>
      <c r="BN542" s="345"/>
      <c r="BO542" s="330" t="str">
        <f>IF(ISBLANK(Inputs!$A25),"",
IF(BM542="--","Solved",
IF(ABS(BM542)&lt;=0.001,"Solved",BK542-BM542*(BK542-BG542)/(BM542-BI542))))</f>
        <v/>
      </c>
      <c r="BP542" s="330"/>
      <c r="BQ542" s="345" t="str">
        <f>IF(ISBLANK(Inputs!$A25),"",
IF(OR(BO542="Solved",BO542="--"),"--",
((Mat.Conc_Alpha.1*Mat.Conc_f.c*$AB542*MIN(BO542*Mat.Conc_Beta.1,$Y542))
+(Mat.Conc_Alpha.1*Mat.Conc_f.c*$V542*MAX(0,BO542*Mat.Conc_Beta.1-$Y542)))
-($J542*MIN(Mat.Rebar_f.y,(Mat.Rebar_epsilon.cl*($S542-BO542)/BO542)*Mat.PT_E.s))
-($M542*Mat.PT_f.pu*(1-Mat.PT_k*BO542/$P542))))</f>
        <v/>
      </c>
      <c r="BR542" s="345"/>
      <c r="BS542" s="70"/>
      <c r="BT542" s="70"/>
      <c r="BU542" s="70"/>
      <c r="BV542" s="70"/>
      <c r="BW542" s="8"/>
      <c r="BX542" s="8"/>
      <c r="BY542" s="8"/>
      <c r="BZ542" s="8"/>
      <c r="CA542" s="8"/>
      <c r="CB542" s="10"/>
    </row>
    <row r="543" spans="3:80" ht="15" customHeight="1" x14ac:dyDescent="0.25">
      <c r="C543" s="69"/>
      <c r="F543" s="167" t="str">
        <f>IF(ISBLANK(Inputs!A26),"",Inputs!A26)</f>
        <v/>
      </c>
      <c r="G543" s="167"/>
      <c r="H543" s="167" t="str">
        <f>IF(ISBLANK(Inputs!B26),"",Inputs!B26)</f>
        <v/>
      </c>
      <c r="I543" s="167"/>
      <c r="J543" s="168" t="str">
        <f>IF(ISBLANK(Inputs!K26),"",Inputs!K26)</f>
        <v/>
      </c>
      <c r="K543" s="168"/>
      <c r="L543" s="168"/>
      <c r="M543" s="168" t="str">
        <f>IF(ISBLANK(Inputs!D26),"",Inputs!D26)</f>
        <v/>
      </c>
      <c r="N543" s="168"/>
      <c r="O543" s="168"/>
      <c r="P543" s="168" t="str">
        <f>IF(ISBLANK(Inputs!F26),"",Inputs!$B$10-Inputs!F26)</f>
        <v/>
      </c>
      <c r="Q543" s="168"/>
      <c r="R543" s="168"/>
      <c r="S543" s="168" t="str">
        <f>IF(ISBLANK(Inputs!L26),"",Inputs!L26)</f>
        <v/>
      </c>
      <c r="T543" s="168"/>
      <c r="U543" s="168"/>
      <c r="V543" s="168" t="str">
        <f>IF(ISBLANK(Inputs!E26),"",Inputs!E26)</f>
        <v/>
      </c>
      <c r="W543" s="168"/>
      <c r="X543" s="168"/>
      <c r="Y543" s="168" t="str">
        <f>IF(ISBLANK(Inputs!M26),"",Inputs!M26)</f>
        <v/>
      </c>
      <c r="Z543" s="168"/>
      <c r="AA543" s="168"/>
      <c r="AB543" s="168" t="str">
        <f>IF(ISBLANK(Inputs!N26),"",Inputs!N26)</f>
        <v/>
      </c>
      <c r="AC543" s="168"/>
      <c r="AD543" s="168"/>
      <c r="AE543" s="371" t="str">
        <f>IF(ISBLANK(Inputs!A26),"",Y543)</f>
        <v/>
      </c>
      <c r="AF543" s="371"/>
      <c r="AG543" s="329" t="str">
        <f>IF(ISBLANK(Inputs!$A26),"",
IF(OR(AE543="Solved",AE543="--"),"--",
((Mat.Conc_Alpha.1*Mat.Conc_f.c*$AB543*MIN(AE543*Mat.Conc_Beta.1,$Y543))
+(Mat.Conc_Alpha.1*Mat.Conc_f.c*$V543*MAX(0,AE543*Mat.Conc_Beta.1-$Y543)))
-($J543*MIN(Mat.Rebar_f.y,(Mat.Rebar_epsilon.cl*($S543-AE543)/AE543)*Mat.PT_E.s))
-($M543*Mat.PT_f.pu*(1-Mat.PT_k*AE543/$P543))))</f>
        <v/>
      </c>
      <c r="AH543" s="329"/>
      <c r="AI543" s="167" t="str">
        <f>IF(ISBLANK(Inputs!$A26),"",
IF(ABS(AG543)&lt;=0.001,"Solved",IF(AG543&gt;0,0.85*AE543,1.15*AE543)))</f>
        <v/>
      </c>
      <c r="AJ543" s="167"/>
      <c r="AK543" s="329" t="str">
        <f>IF(ISBLANK(Inputs!$A26),"",
IF(OR(AI543="Solved",AI543="--"),"--",
((Mat.Conc_Alpha.1*Mat.Conc_f.c*$AB543*MIN(AI543*Mat.Conc_Beta.1,$Y543))
+(Mat.Conc_Alpha.1*Mat.Conc_f.c*$V543*MAX(0,AI543*Mat.Conc_Beta.1-$Y543)))
-($J543*MIN(Mat.Rebar_f.y,(Mat.Rebar_epsilon.cl*($S543-AI543)/AI543)*Mat.PT_E.s))
-($M543*Mat.PT_f.pu*(1-Mat.PT_k*AI543/$P543))))</f>
        <v/>
      </c>
      <c r="AL543" s="329"/>
      <c r="AM543" s="167" t="str">
        <f>IF(ISBLANK(Inputs!$A26),"",
IF(AK543="--","Solved",
IF(ABS(AK543)&lt;=0.001,"Solved",AI543-AK543*(AI543-AE543)/(AK543-AG543))))</f>
        <v/>
      </c>
      <c r="AN543" s="167"/>
      <c r="AO543" s="329" t="str">
        <f>IF(ISBLANK(Inputs!$A26),"",
IF(OR(AM543="Solved",AM543="--"),"--",
((Mat.Conc_Alpha.1*Mat.Conc_f.c*$AB543*MIN(AM543*Mat.Conc_Beta.1,$Y543))
+(Mat.Conc_Alpha.1*Mat.Conc_f.c*$V543*MAX(0,AM543*Mat.Conc_Beta.1-$Y543)))
-($J543*MIN(Mat.Rebar_f.y,(Mat.Rebar_epsilon.cl*($S543-AM543)/AM543)*Mat.PT_E.s))
-($M543*Mat.PT_f.pu*(1-Mat.PT_k*AM543/$P543))))</f>
        <v/>
      </c>
      <c r="AP543" s="329"/>
      <c r="AQ543" s="167" t="str">
        <f>IF(ISBLANK(Inputs!$A26),"",
IF(AO543="--","Solved",
IF(ABS(AO543)&lt;=0.001,"Solved",AM543-AO543*(AM543-AI543)/(AO543-AK543))))</f>
        <v/>
      </c>
      <c r="AR543" s="167"/>
      <c r="AS543" s="329" t="str">
        <f>IF(ISBLANK(Inputs!$A26),"",
IF(OR(AQ543="Solved",AQ543="--"),"--",
((Mat.Conc_Alpha.1*Mat.Conc_f.c*$AB543*MIN(AQ543*Mat.Conc_Beta.1,$Y543))
+(Mat.Conc_Alpha.1*Mat.Conc_f.c*$V543*MAX(0,AQ543*Mat.Conc_Beta.1-$Y543)))
-($J543*MIN(Mat.Rebar_f.y,(Mat.Rebar_epsilon.cl*($S543-AQ543)/AQ543)*Mat.PT_E.s))
-($M543*Mat.PT_f.pu*(1-Mat.PT_k*AQ543/$P543))))</f>
        <v/>
      </c>
      <c r="AT543" s="329"/>
      <c r="AU543" s="167" t="str">
        <f>IF(ISBLANK(Inputs!$A26),"",
IF(AS543="--","Solved",
IF(ABS(AS543)&lt;=0.001,"Solved",AQ543-AS543*(AQ543-AM543)/(AS543-AO543))))</f>
        <v/>
      </c>
      <c r="AV543" s="167"/>
      <c r="AW543" s="329" t="str">
        <f>IF(ISBLANK(Inputs!$A26),"",
IF(OR(AU543="Solved",AU543="--"),"--",
((Mat.Conc_Alpha.1*Mat.Conc_f.c*$AB543*MIN(AU543*Mat.Conc_Beta.1,$Y543))
+(Mat.Conc_Alpha.1*Mat.Conc_f.c*$V543*MAX(0,AU543*Mat.Conc_Beta.1-$Y543)))
-($J543*MIN(Mat.Rebar_f.y,(Mat.Rebar_epsilon.cl*($S543-AU543)/AU543)*Mat.PT_E.s))
-($M543*Mat.PT_f.pu*(1-Mat.PT_k*AU543/$P543))))</f>
        <v/>
      </c>
      <c r="AX543" s="329"/>
      <c r="AY543" s="167" t="str">
        <f>IF(ISBLANK(Inputs!$A26),"",
IF(AW543="--","Solved",
IF(ABS(AW543)&lt;=0.001,"Solved",AU543-AW543*(AU543-AQ543)/(AW543-AS543))))</f>
        <v/>
      </c>
      <c r="AZ543" s="167"/>
      <c r="BA543" s="329" t="str">
        <f>IF(ISBLANK(Inputs!$A26),"",
IF(OR(AY543="Solved",AY543="--"),"--",
((Mat.Conc_Alpha.1*Mat.Conc_f.c*$AB543*MIN(AY543*Mat.Conc_Beta.1,$Y543))
+(Mat.Conc_Alpha.1*Mat.Conc_f.c*$V543*MAX(0,AY543*Mat.Conc_Beta.1-$Y543)))
-($J543*MIN(Mat.Rebar_f.y,(Mat.Rebar_epsilon.cl*($S543-AY543)/AY543)*Mat.PT_E.s))
-($M543*Mat.PT_f.pu*(1-Mat.PT_k*AY543/$P543))))</f>
        <v/>
      </c>
      <c r="BB543" s="329"/>
      <c r="BC543" s="167" t="str">
        <f>IF(ISBLANK(Inputs!$A26),"",
IF(BA543="--","Solved",
IF(ABS(BA543)&lt;=0.001,"Solved",AY543-BA543*(AY543-AU543)/(BA543-AW543))))</f>
        <v/>
      </c>
      <c r="BD543" s="167"/>
      <c r="BE543" s="329" t="str">
        <f>IF(ISBLANK(Inputs!$A26),"",
IF(OR(BC543="Solved",BC543="--"),"--",
((Mat.Conc_Alpha.1*Mat.Conc_f.c*$AB543*MIN(BC543*Mat.Conc_Beta.1,$Y543))
+(Mat.Conc_Alpha.1*Mat.Conc_f.c*$V543*MAX(0,BC543*Mat.Conc_Beta.1-$Y543)))
-($J543*MIN(Mat.Rebar_f.y,(Mat.Rebar_epsilon.cl*($S543-BC543)/BC543)*Mat.PT_E.s))
-($M543*Mat.PT_f.pu*(1-Mat.PT_k*BC543/$P543))))</f>
        <v/>
      </c>
      <c r="BF543" s="329"/>
      <c r="BG543" s="167" t="str">
        <f>IF(ISBLANK(Inputs!$A26),"",
IF(BE543="--","Solved",
IF(ABS(BE543)&lt;=0.001,"Solved",BC543-BE543*(BC543-AY543)/(BE543-BA543))))</f>
        <v/>
      </c>
      <c r="BH543" s="167"/>
      <c r="BI543" s="329" t="str">
        <f>IF(ISBLANK(Inputs!$A26),"",
IF(OR(BG543="Solved",BG543="--"),"--",
((Mat.Conc_Alpha.1*Mat.Conc_f.c*$AB543*MIN(BG543*Mat.Conc_Beta.1,$Y543))
+(Mat.Conc_Alpha.1*Mat.Conc_f.c*$V543*MAX(0,BG543*Mat.Conc_Beta.1-$Y543)))
-($J543*MIN(Mat.Rebar_f.y,(Mat.Rebar_epsilon.cl*($S543-BG543)/BG543)*Mat.PT_E.s))
-($M543*Mat.PT_f.pu*(1-Mat.PT_k*BG543/$P543))))</f>
        <v/>
      </c>
      <c r="BJ543" s="329"/>
      <c r="BK543" s="167" t="str">
        <f>IF(ISBLANK(Inputs!$A26),"",
IF(BI543="--","Solved",
IF(ABS(BI543)&lt;=0.001,"Solved",BG543-BI543*(BG543-BC543)/(BI543-BE543))))</f>
        <v/>
      </c>
      <c r="BL543" s="167"/>
      <c r="BM543" s="329" t="str">
        <f>IF(ISBLANK(Inputs!$A26),"",
IF(OR(BK543="Solved",BK543="--"),"--",
((Mat.Conc_Alpha.1*Mat.Conc_f.c*$AB543*MIN(BK543*Mat.Conc_Beta.1,$Y543))
+(Mat.Conc_Alpha.1*Mat.Conc_f.c*$V543*MAX(0,BK543*Mat.Conc_Beta.1-$Y543)))
-($J543*MIN(Mat.Rebar_f.y,(Mat.Rebar_epsilon.cl*($S543-BK543)/BK543)*Mat.PT_E.s))
-($M543*Mat.PT_f.pu*(1-Mat.PT_k*BK543/$P543))))</f>
        <v/>
      </c>
      <c r="BN543" s="329"/>
      <c r="BO543" s="167" t="str">
        <f>IF(ISBLANK(Inputs!$A26),"",
IF(BM543="--","Solved",
IF(ABS(BM543)&lt;=0.001,"Solved",BK543-BM543*(BK543-BG543)/(BM543-BI543))))</f>
        <v/>
      </c>
      <c r="BP543" s="167"/>
      <c r="BQ543" s="329" t="str">
        <f>IF(ISBLANK(Inputs!$A26),"",
IF(OR(BO543="Solved",BO543="--"),"--",
((Mat.Conc_Alpha.1*Mat.Conc_f.c*$AB543*MIN(BO543*Mat.Conc_Beta.1,$Y543))
+(Mat.Conc_Alpha.1*Mat.Conc_f.c*$V543*MAX(0,BO543*Mat.Conc_Beta.1-$Y543)))
-($J543*MIN(Mat.Rebar_f.y,(Mat.Rebar_epsilon.cl*($S543-BO543)/BO543)*Mat.PT_E.s))
-($M543*Mat.PT_f.pu*(1-Mat.PT_k*BO543/$P543))))</f>
        <v/>
      </c>
      <c r="BR543" s="329"/>
      <c r="BS543" s="70"/>
      <c r="BT543" s="70"/>
      <c r="BU543" s="70"/>
      <c r="BV543" s="70"/>
      <c r="BW543" s="8"/>
      <c r="BX543" s="8"/>
      <c r="BY543" s="8"/>
      <c r="BZ543" s="8"/>
      <c r="CA543" s="8"/>
      <c r="CB543" s="10"/>
    </row>
    <row r="544" spans="3:80" ht="15" customHeight="1" x14ac:dyDescent="0.25">
      <c r="C544" s="69"/>
      <c r="F544" s="167" t="str">
        <f>IF(ISBLANK(Inputs!A27),"",Inputs!A27)</f>
        <v/>
      </c>
      <c r="G544" s="167"/>
      <c r="H544" s="167" t="str">
        <f>IF(ISBLANK(Inputs!B27),"",Inputs!B27)</f>
        <v/>
      </c>
      <c r="I544" s="167"/>
      <c r="J544" s="168" t="str">
        <f>IF(ISBLANK(Inputs!K27),"",Inputs!K27)</f>
        <v/>
      </c>
      <c r="K544" s="168"/>
      <c r="L544" s="168"/>
      <c r="M544" s="168" t="str">
        <f>IF(ISBLANK(Inputs!D27),"",Inputs!D27)</f>
        <v/>
      </c>
      <c r="N544" s="168"/>
      <c r="O544" s="168"/>
      <c r="P544" s="168" t="str">
        <f>IF(ISBLANK(Inputs!F27),"",Inputs!$B$10-Inputs!F27)</f>
        <v/>
      </c>
      <c r="Q544" s="168"/>
      <c r="R544" s="168"/>
      <c r="S544" s="168" t="str">
        <f>IF(ISBLANK(Inputs!L27),"",Inputs!L27)</f>
        <v/>
      </c>
      <c r="T544" s="168"/>
      <c r="U544" s="168"/>
      <c r="V544" s="168" t="str">
        <f>IF(ISBLANK(Inputs!E27),"",Inputs!E27)</f>
        <v/>
      </c>
      <c r="W544" s="168"/>
      <c r="X544" s="168"/>
      <c r="Y544" s="168" t="str">
        <f>IF(ISBLANK(Inputs!M27),"",Inputs!M27)</f>
        <v/>
      </c>
      <c r="Z544" s="168"/>
      <c r="AA544" s="168"/>
      <c r="AB544" s="168" t="str">
        <f>IF(ISBLANK(Inputs!N27),"",Inputs!N27)</f>
        <v/>
      </c>
      <c r="AC544" s="168"/>
      <c r="AD544" s="168"/>
      <c r="AE544" s="371" t="str">
        <f>IF(ISBLANK(Inputs!A27),"",Y544)</f>
        <v/>
      </c>
      <c r="AF544" s="371"/>
      <c r="AG544" s="329" t="str">
        <f>IF(ISBLANK(Inputs!$A27),"",
IF(OR(AE544="Solved",AE544="--"),"--",
((Mat.Conc_Alpha.1*Mat.Conc_f.c*$AB544*MIN(AE544*Mat.Conc_Beta.1,$Y544))
+(Mat.Conc_Alpha.1*Mat.Conc_f.c*$V544*MAX(0,AE544*Mat.Conc_Beta.1-$Y544)))
-($J544*MIN(Mat.Rebar_f.y,(Mat.Rebar_epsilon.cl*($S544-AE544)/AE544)*Mat.PT_E.s))
-($M544*Mat.PT_f.pu*(1-Mat.PT_k*AE544/$P544))))</f>
        <v/>
      </c>
      <c r="AH544" s="329"/>
      <c r="AI544" s="167" t="str">
        <f>IF(ISBLANK(Inputs!$A27),"",
IF(ABS(AG544)&lt;=0.001,"Solved",IF(AG544&gt;0,0.85*AE544,1.15*AE544)))</f>
        <v/>
      </c>
      <c r="AJ544" s="167"/>
      <c r="AK544" s="329" t="str">
        <f>IF(ISBLANK(Inputs!$A27),"",
IF(OR(AI544="Solved",AI544="--"),"--",
((Mat.Conc_Alpha.1*Mat.Conc_f.c*$AB544*MIN(AI544*Mat.Conc_Beta.1,$Y544))
+(Mat.Conc_Alpha.1*Mat.Conc_f.c*$V544*MAX(0,AI544*Mat.Conc_Beta.1-$Y544)))
-($J544*MIN(Mat.Rebar_f.y,(Mat.Rebar_epsilon.cl*($S544-AI544)/AI544)*Mat.PT_E.s))
-($M544*Mat.PT_f.pu*(1-Mat.PT_k*AI544/$P544))))</f>
        <v/>
      </c>
      <c r="AL544" s="329"/>
      <c r="AM544" s="167" t="str">
        <f>IF(ISBLANK(Inputs!$A27),"",
IF(AK544="--","Solved",
IF(ABS(AK544)&lt;=0.001,"Solved",AI544-AK544*(AI544-AE544)/(AK544-AG544))))</f>
        <v/>
      </c>
      <c r="AN544" s="167"/>
      <c r="AO544" s="329" t="str">
        <f>IF(ISBLANK(Inputs!$A27),"",
IF(OR(AM544="Solved",AM544="--"),"--",
((Mat.Conc_Alpha.1*Mat.Conc_f.c*$AB544*MIN(AM544*Mat.Conc_Beta.1,$Y544))
+(Mat.Conc_Alpha.1*Mat.Conc_f.c*$V544*MAX(0,AM544*Mat.Conc_Beta.1-$Y544)))
-($J544*MIN(Mat.Rebar_f.y,(Mat.Rebar_epsilon.cl*($S544-AM544)/AM544)*Mat.PT_E.s))
-($M544*Mat.PT_f.pu*(1-Mat.PT_k*AM544/$P544))))</f>
        <v/>
      </c>
      <c r="AP544" s="329"/>
      <c r="AQ544" s="167" t="str">
        <f>IF(ISBLANK(Inputs!$A27),"",
IF(AO544="--","Solved",
IF(ABS(AO544)&lt;=0.001,"Solved",AM544-AO544*(AM544-AI544)/(AO544-AK544))))</f>
        <v/>
      </c>
      <c r="AR544" s="167"/>
      <c r="AS544" s="329" t="str">
        <f>IF(ISBLANK(Inputs!$A27),"",
IF(OR(AQ544="Solved",AQ544="--"),"--",
((Mat.Conc_Alpha.1*Mat.Conc_f.c*$AB544*MIN(AQ544*Mat.Conc_Beta.1,$Y544))
+(Mat.Conc_Alpha.1*Mat.Conc_f.c*$V544*MAX(0,AQ544*Mat.Conc_Beta.1-$Y544)))
-($J544*MIN(Mat.Rebar_f.y,(Mat.Rebar_epsilon.cl*($S544-AQ544)/AQ544)*Mat.PT_E.s))
-($M544*Mat.PT_f.pu*(1-Mat.PT_k*AQ544/$P544))))</f>
        <v/>
      </c>
      <c r="AT544" s="329"/>
      <c r="AU544" s="167" t="str">
        <f>IF(ISBLANK(Inputs!$A27),"",
IF(AS544="--","Solved",
IF(ABS(AS544)&lt;=0.001,"Solved",AQ544-AS544*(AQ544-AM544)/(AS544-AO544))))</f>
        <v/>
      </c>
      <c r="AV544" s="167"/>
      <c r="AW544" s="329" t="str">
        <f>IF(ISBLANK(Inputs!$A27),"",
IF(OR(AU544="Solved",AU544="--"),"--",
((Mat.Conc_Alpha.1*Mat.Conc_f.c*$AB544*MIN(AU544*Mat.Conc_Beta.1,$Y544))
+(Mat.Conc_Alpha.1*Mat.Conc_f.c*$V544*MAX(0,AU544*Mat.Conc_Beta.1-$Y544)))
-($J544*MIN(Mat.Rebar_f.y,(Mat.Rebar_epsilon.cl*($S544-AU544)/AU544)*Mat.PT_E.s))
-($M544*Mat.PT_f.pu*(1-Mat.PT_k*AU544/$P544))))</f>
        <v/>
      </c>
      <c r="AX544" s="329"/>
      <c r="AY544" s="167" t="str">
        <f>IF(ISBLANK(Inputs!$A27),"",
IF(AW544="--","Solved",
IF(ABS(AW544)&lt;=0.001,"Solved",AU544-AW544*(AU544-AQ544)/(AW544-AS544))))</f>
        <v/>
      </c>
      <c r="AZ544" s="167"/>
      <c r="BA544" s="329" t="str">
        <f>IF(ISBLANK(Inputs!$A27),"",
IF(OR(AY544="Solved",AY544="--"),"--",
((Mat.Conc_Alpha.1*Mat.Conc_f.c*$AB544*MIN(AY544*Mat.Conc_Beta.1,$Y544))
+(Mat.Conc_Alpha.1*Mat.Conc_f.c*$V544*MAX(0,AY544*Mat.Conc_Beta.1-$Y544)))
-($J544*MIN(Mat.Rebar_f.y,(Mat.Rebar_epsilon.cl*($S544-AY544)/AY544)*Mat.PT_E.s))
-($M544*Mat.PT_f.pu*(1-Mat.PT_k*AY544/$P544))))</f>
        <v/>
      </c>
      <c r="BB544" s="329"/>
      <c r="BC544" s="167" t="str">
        <f>IF(ISBLANK(Inputs!$A27),"",
IF(BA544="--","Solved",
IF(ABS(BA544)&lt;=0.001,"Solved",AY544-BA544*(AY544-AU544)/(BA544-AW544))))</f>
        <v/>
      </c>
      <c r="BD544" s="167"/>
      <c r="BE544" s="329" t="str">
        <f>IF(ISBLANK(Inputs!$A27),"",
IF(OR(BC544="Solved",BC544="--"),"--",
((Mat.Conc_Alpha.1*Mat.Conc_f.c*$AB544*MIN(BC544*Mat.Conc_Beta.1,$Y544))
+(Mat.Conc_Alpha.1*Mat.Conc_f.c*$V544*MAX(0,BC544*Mat.Conc_Beta.1-$Y544)))
-($J544*MIN(Mat.Rebar_f.y,(Mat.Rebar_epsilon.cl*($S544-BC544)/BC544)*Mat.PT_E.s))
-($M544*Mat.PT_f.pu*(1-Mat.PT_k*BC544/$P544))))</f>
        <v/>
      </c>
      <c r="BF544" s="329"/>
      <c r="BG544" s="167" t="str">
        <f>IF(ISBLANK(Inputs!$A27),"",
IF(BE544="--","Solved",
IF(ABS(BE544)&lt;=0.001,"Solved",BC544-BE544*(BC544-AY544)/(BE544-BA544))))</f>
        <v/>
      </c>
      <c r="BH544" s="167"/>
      <c r="BI544" s="329" t="str">
        <f>IF(ISBLANK(Inputs!$A27),"",
IF(OR(BG544="Solved",BG544="--"),"--",
((Mat.Conc_Alpha.1*Mat.Conc_f.c*$AB544*MIN(BG544*Mat.Conc_Beta.1,$Y544))
+(Mat.Conc_Alpha.1*Mat.Conc_f.c*$V544*MAX(0,BG544*Mat.Conc_Beta.1-$Y544)))
-($J544*MIN(Mat.Rebar_f.y,(Mat.Rebar_epsilon.cl*($S544-BG544)/BG544)*Mat.PT_E.s))
-($M544*Mat.PT_f.pu*(1-Mat.PT_k*BG544/$P544))))</f>
        <v/>
      </c>
      <c r="BJ544" s="329"/>
      <c r="BK544" s="167" t="str">
        <f>IF(ISBLANK(Inputs!$A27),"",
IF(BI544="--","Solved",
IF(ABS(BI544)&lt;=0.001,"Solved",BG544-BI544*(BG544-BC544)/(BI544-BE544))))</f>
        <v/>
      </c>
      <c r="BL544" s="167"/>
      <c r="BM544" s="329" t="str">
        <f>IF(ISBLANK(Inputs!$A27),"",
IF(OR(BK544="Solved",BK544="--"),"--",
((Mat.Conc_Alpha.1*Mat.Conc_f.c*$AB544*MIN(BK544*Mat.Conc_Beta.1,$Y544))
+(Mat.Conc_Alpha.1*Mat.Conc_f.c*$V544*MAX(0,BK544*Mat.Conc_Beta.1-$Y544)))
-($J544*MIN(Mat.Rebar_f.y,(Mat.Rebar_epsilon.cl*($S544-BK544)/BK544)*Mat.PT_E.s))
-($M544*Mat.PT_f.pu*(1-Mat.PT_k*BK544/$P544))))</f>
        <v/>
      </c>
      <c r="BN544" s="329"/>
      <c r="BO544" s="167" t="str">
        <f>IF(ISBLANK(Inputs!$A27),"",
IF(BM544="--","Solved",
IF(ABS(BM544)&lt;=0.001,"Solved",BK544-BM544*(BK544-BG544)/(BM544-BI544))))</f>
        <v/>
      </c>
      <c r="BP544" s="167"/>
      <c r="BQ544" s="329" t="str">
        <f>IF(ISBLANK(Inputs!$A27),"",
IF(OR(BO544="Solved",BO544="--"),"--",
((Mat.Conc_Alpha.1*Mat.Conc_f.c*$AB544*MIN(BO544*Mat.Conc_Beta.1,$Y544))
+(Mat.Conc_Alpha.1*Mat.Conc_f.c*$V544*MAX(0,BO544*Mat.Conc_Beta.1-$Y544)))
-($J544*MIN(Mat.Rebar_f.y,(Mat.Rebar_epsilon.cl*($S544-BO544)/BO544)*Mat.PT_E.s))
-($M544*Mat.PT_f.pu*(1-Mat.PT_k*BO544/$P544))))</f>
        <v/>
      </c>
      <c r="BR544" s="329"/>
      <c r="BS544" s="70"/>
      <c r="BT544" s="70"/>
      <c r="BU544" s="70"/>
      <c r="BV544" s="70"/>
      <c r="BW544" s="8"/>
      <c r="BX544" s="8"/>
      <c r="BY544" s="8"/>
      <c r="BZ544" s="8"/>
      <c r="CA544" s="8"/>
      <c r="CB544" s="10"/>
    </row>
    <row r="545" spans="3:80" ht="15" customHeight="1" x14ac:dyDescent="0.25">
      <c r="C545" s="69"/>
      <c r="F545" s="167" t="str">
        <f>IF(ISBLANK(Inputs!A28),"",Inputs!A28)</f>
        <v/>
      </c>
      <c r="G545" s="167"/>
      <c r="H545" s="167" t="str">
        <f>IF(ISBLANK(Inputs!B28),"",Inputs!B28)</f>
        <v/>
      </c>
      <c r="I545" s="167"/>
      <c r="J545" s="168" t="str">
        <f>IF(ISBLANK(Inputs!K28),"",Inputs!K28)</f>
        <v/>
      </c>
      <c r="K545" s="168"/>
      <c r="L545" s="168"/>
      <c r="M545" s="168" t="str">
        <f>IF(ISBLANK(Inputs!D28),"",Inputs!D28)</f>
        <v/>
      </c>
      <c r="N545" s="168"/>
      <c r="O545" s="168"/>
      <c r="P545" s="168" t="str">
        <f>IF(ISBLANK(Inputs!F28),"",Inputs!$B$10-Inputs!F28)</f>
        <v/>
      </c>
      <c r="Q545" s="168"/>
      <c r="R545" s="168"/>
      <c r="S545" s="168" t="str">
        <f>IF(ISBLANK(Inputs!L28),"",Inputs!L28)</f>
        <v/>
      </c>
      <c r="T545" s="168"/>
      <c r="U545" s="168"/>
      <c r="V545" s="168" t="str">
        <f>IF(ISBLANK(Inputs!E28),"",Inputs!E28)</f>
        <v/>
      </c>
      <c r="W545" s="168"/>
      <c r="X545" s="168"/>
      <c r="Y545" s="168" t="str">
        <f>IF(ISBLANK(Inputs!M28),"",Inputs!M28)</f>
        <v/>
      </c>
      <c r="Z545" s="168"/>
      <c r="AA545" s="168"/>
      <c r="AB545" s="168" t="str">
        <f>IF(ISBLANK(Inputs!N28),"",Inputs!N28)</f>
        <v/>
      </c>
      <c r="AC545" s="168"/>
      <c r="AD545" s="168"/>
      <c r="AE545" s="371" t="str">
        <f>IF(ISBLANK(Inputs!A28),"",Y545)</f>
        <v/>
      </c>
      <c r="AF545" s="371"/>
      <c r="AG545" s="329" t="str">
        <f>IF(ISBLANK(Inputs!$A28),"",
IF(OR(AE545="Solved",AE545="--"),"--",
((Mat.Conc_Alpha.1*Mat.Conc_f.c*$AB545*MIN(AE545*Mat.Conc_Beta.1,$Y545))
+(Mat.Conc_Alpha.1*Mat.Conc_f.c*$V545*MAX(0,AE545*Mat.Conc_Beta.1-$Y545)))
-($J545*MIN(Mat.Rebar_f.y,(Mat.Rebar_epsilon.cl*($S545-AE545)/AE545)*Mat.PT_E.s))
-($M545*Mat.PT_f.pu*(1-Mat.PT_k*AE545/$P545))))</f>
        <v/>
      </c>
      <c r="AH545" s="329"/>
      <c r="AI545" s="167" t="str">
        <f>IF(ISBLANK(Inputs!$A28),"",
IF(ABS(AG545)&lt;=0.001,"Solved",IF(AG545&gt;0,0.85*AE545,1.15*AE545)))</f>
        <v/>
      </c>
      <c r="AJ545" s="167"/>
      <c r="AK545" s="329" t="str">
        <f>IF(ISBLANK(Inputs!$A28),"",
IF(OR(AI545="Solved",AI545="--"),"--",
((Mat.Conc_Alpha.1*Mat.Conc_f.c*$AB545*MIN(AI545*Mat.Conc_Beta.1,$Y545))
+(Mat.Conc_Alpha.1*Mat.Conc_f.c*$V545*MAX(0,AI545*Mat.Conc_Beta.1-$Y545)))
-($J545*MIN(Mat.Rebar_f.y,(Mat.Rebar_epsilon.cl*($S545-AI545)/AI545)*Mat.PT_E.s))
-($M545*Mat.PT_f.pu*(1-Mat.PT_k*AI545/$P545))))</f>
        <v/>
      </c>
      <c r="AL545" s="329"/>
      <c r="AM545" s="167" t="str">
        <f>IF(ISBLANK(Inputs!$A28),"",
IF(AK545="--","Solved",
IF(ABS(AK545)&lt;=0.001,"Solved",AI545-AK545*(AI545-AE545)/(AK545-AG545))))</f>
        <v/>
      </c>
      <c r="AN545" s="167"/>
      <c r="AO545" s="329" t="str">
        <f>IF(ISBLANK(Inputs!$A28),"",
IF(OR(AM545="Solved",AM545="--"),"--",
((Mat.Conc_Alpha.1*Mat.Conc_f.c*$AB545*MIN(AM545*Mat.Conc_Beta.1,$Y545))
+(Mat.Conc_Alpha.1*Mat.Conc_f.c*$V545*MAX(0,AM545*Mat.Conc_Beta.1-$Y545)))
-($J545*MIN(Mat.Rebar_f.y,(Mat.Rebar_epsilon.cl*($S545-AM545)/AM545)*Mat.PT_E.s))
-($M545*Mat.PT_f.pu*(1-Mat.PT_k*AM545/$P545))))</f>
        <v/>
      </c>
      <c r="AP545" s="329"/>
      <c r="AQ545" s="167" t="str">
        <f>IF(ISBLANK(Inputs!$A28),"",
IF(AO545="--","Solved",
IF(ABS(AO545)&lt;=0.001,"Solved",AM545-AO545*(AM545-AI545)/(AO545-AK545))))</f>
        <v/>
      </c>
      <c r="AR545" s="167"/>
      <c r="AS545" s="329" t="str">
        <f>IF(ISBLANK(Inputs!$A28),"",
IF(OR(AQ545="Solved",AQ545="--"),"--",
((Mat.Conc_Alpha.1*Mat.Conc_f.c*$AB545*MIN(AQ545*Mat.Conc_Beta.1,$Y545))
+(Mat.Conc_Alpha.1*Mat.Conc_f.c*$V545*MAX(0,AQ545*Mat.Conc_Beta.1-$Y545)))
-($J545*MIN(Mat.Rebar_f.y,(Mat.Rebar_epsilon.cl*($S545-AQ545)/AQ545)*Mat.PT_E.s))
-($M545*Mat.PT_f.pu*(1-Mat.PT_k*AQ545/$P545))))</f>
        <v/>
      </c>
      <c r="AT545" s="329"/>
      <c r="AU545" s="167" t="str">
        <f>IF(ISBLANK(Inputs!$A28),"",
IF(AS545="--","Solved",
IF(ABS(AS545)&lt;=0.001,"Solved",AQ545-AS545*(AQ545-AM545)/(AS545-AO545))))</f>
        <v/>
      </c>
      <c r="AV545" s="167"/>
      <c r="AW545" s="329" t="str">
        <f>IF(ISBLANK(Inputs!$A28),"",
IF(OR(AU545="Solved",AU545="--"),"--",
((Mat.Conc_Alpha.1*Mat.Conc_f.c*$AB545*MIN(AU545*Mat.Conc_Beta.1,$Y545))
+(Mat.Conc_Alpha.1*Mat.Conc_f.c*$V545*MAX(0,AU545*Mat.Conc_Beta.1-$Y545)))
-($J545*MIN(Mat.Rebar_f.y,(Mat.Rebar_epsilon.cl*($S545-AU545)/AU545)*Mat.PT_E.s))
-($M545*Mat.PT_f.pu*(1-Mat.PT_k*AU545/$P545))))</f>
        <v/>
      </c>
      <c r="AX545" s="329"/>
      <c r="AY545" s="167" t="str">
        <f>IF(ISBLANK(Inputs!$A28),"",
IF(AW545="--","Solved",
IF(ABS(AW545)&lt;=0.001,"Solved",AU545-AW545*(AU545-AQ545)/(AW545-AS545))))</f>
        <v/>
      </c>
      <c r="AZ545" s="167"/>
      <c r="BA545" s="329" t="str">
        <f>IF(ISBLANK(Inputs!$A28),"",
IF(OR(AY545="Solved",AY545="--"),"--",
((Mat.Conc_Alpha.1*Mat.Conc_f.c*$AB545*MIN(AY545*Mat.Conc_Beta.1,$Y545))
+(Mat.Conc_Alpha.1*Mat.Conc_f.c*$V545*MAX(0,AY545*Mat.Conc_Beta.1-$Y545)))
-($J545*MIN(Mat.Rebar_f.y,(Mat.Rebar_epsilon.cl*($S545-AY545)/AY545)*Mat.PT_E.s))
-($M545*Mat.PT_f.pu*(1-Mat.PT_k*AY545/$P545))))</f>
        <v/>
      </c>
      <c r="BB545" s="329"/>
      <c r="BC545" s="167" t="str">
        <f>IF(ISBLANK(Inputs!$A28),"",
IF(BA545="--","Solved",
IF(ABS(BA545)&lt;=0.001,"Solved",AY545-BA545*(AY545-AU545)/(BA545-AW545))))</f>
        <v/>
      </c>
      <c r="BD545" s="167"/>
      <c r="BE545" s="329" t="str">
        <f>IF(ISBLANK(Inputs!$A28),"",
IF(OR(BC545="Solved",BC545="--"),"--",
((Mat.Conc_Alpha.1*Mat.Conc_f.c*$AB545*MIN(BC545*Mat.Conc_Beta.1,$Y545))
+(Mat.Conc_Alpha.1*Mat.Conc_f.c*$V545*MAX(0,BC545*Mat.Conc_Beta.1-$Y545)))
-($J545*MIN(Mat.Rebar_f.y,(Mat.Rebar_epsilon.cl*($S545-BC545)/BC545)*Mat.PT_E.s))
-($M545*Mat.PT_f.pu*(1-Mat.PT_k*BC545/$P545))))</f>
        <v/>
      </c>
      <c r="BF545" s="329"/>
      <c r="BG545" s="167" t="str">
        <f>IF(ISBLANK(Inputs!$A28),"",
IF(BE545="--","Solved",
IF(ABS(BE545)&lt;=0.001,"Solved",BC545-BE545*(BC545-AY545)/(BE545-BA545))))</f>
        <v/>
      </c>
      <c r="BH545" s="167"/>
      <c r="BI545" s="329" t="str">
        <f>IF(ISBLANK(Inputs!$A28),"",
IF(OR(BG545="Solved",BG545="--"),"--",
((Mat.Conc_Alpha.1*Mat.Conc_f.c*$AB545*MIN(BG545*Mat.Conc_Beta.1,$Y545))
+(Mat.Conc_Alpha.1*Mat.Conc_f.c*$V545*MAX(0,BG545*Mat.Conc_Beta.1-$Y545)))
-($J545*MIN(Mat.Rebar_f.y,(Mat.Rebar_epsilon.cl*($S545-BG545)/BG545)*Mat.PT_E.s))
-($M545*Mat.PT_f.pu*(1-Mat.PT_k*BG545/$P545))))</f>
        <v/>
      </c>
      <c r="BJ545" s="329"/>
      <c r="BK545" s="167" t="str">
        <f>IF(ISBLANK(Inputs!$A28),"",
IF(BI545="--","Solved",
IF(ABS(BI545)&lt;=0.001,"Solved",BG545-BI545*(BG545-BC545)/(BI545-BE545))))</f>
        <v/>
      </c>
      <c r="BL545" s="167"/>
      <c r="BM545" s="329" t="str">
        <f>IF(ISBLANK(Inputs!$A28),"",
IF(OR(BK545="Solved",BK545="--"),"--",
((Mat.Conc_Alpha.1*Mat.Conc_f.c*$AB545*MIN(BK545*Mat.Conc_Beta.1,$Y545))
+(Mat.Conc_Alpha.1*Mat.Conc_f.c*$V545*MAX(0,BK545*Mat.Conc_Beta.1-$Y545)))
-($J545*MIN(Mat.Rebar_f.y,(Mat.Rebar_epsilon.cl*($S545-BK545)/BK545)*Mat.PT_E.s))
-($M545*Mat.PT_f.pu*(1-Mat.PT_k*BK545/$P545))))</f>
        <v/>
      </c>
      <c r="BN545" s="329"/>
      <c r="BO545" s="167" t="str">
        <f>IF(ISBLANK(Inputs!$A28),"",
IF(BM545="--","Solved",
IF(ABS(BM545)&lt;=0.001,"Solved",BK545-BM545*(BK545-BG545)/(BM545-BI545))))</f>
        <v/>
      </c>
      <c r="BP545" s="167"/>
      <c r="BQ545" s="329" t="str">
        <f>IF(ISBLANK(Inputs!$A28),"",
IF(OR(BO545="Solved",BO545="--"),"--",
((Mat.Conc_Alpha.1*Mat.Conc_f.c*$AB545*MIN(BO545*Mat.Conc_Beta.1,$Y545))
+(Mat.Conc_Alpha.1*Mat.Conc_f.c*$V545*MAX(0,BO545*Mat.Conc_Beta.1-$Y545)))
-($J545*MIN(Mat.Rebar_f.y,(Mat.Rebar_epsilon.cl*($S545-BO545)/BO545)*Mat.PT_E.s))
-($M545*Mat.PT_f.pu*(1-Mat.PT_k*BO545/$P545))))</f>
        <v/>
      </c>
      <c r="BR545" s="329"/>
      <c r="BS545" s="70"/>
      <c r="BT545" s="70"/>
      <c r="BU545" s="70"/>
      <c r="BV545" s="70"/>
      <c r="BW545" s="8"/>
      <c r="BX545" s="8"/>
      <c r="BY545" s="8"/>
      <c r="BZ545" s="8"/>
      <c r="CA545" s="8"/>
      <c r="CB545" s="10"/>
    </row>
    <row r="546" spans="3:80" ht="15" customHeight="1" x14ac:dyDescent="0.25">
      <c r="C546" s="69"/>
      <c r="F546" s="167" t="str">
        <f>IF(ISBLANK(Inputs!A29),"",Inputs!A29)</f>
        <v/>
      </c>
      <c r="G546" s="167"/>
      <c r="H546" s="167" t="str">
        <f>IF(ISBLANK(Inputs!B29),"",Inputs!B29)</f>
        <v/>
      </c>
      <c r="I546" s="167"/>
      <c r="J546" s="168" t="str">
        <f>IF(ISBLANK(Inputs!K29),"",Inputs!K29)</f>
        <v/>
      </c>
      <c r="K546" s="168"/>
      <c r="L546" s="168"/>
      <c r="M546" s="168" t="str">
        <f>IF(ISBLANK(Inputs!D29),"",Inputs!D29)</f>
        <v/>
      </c>
      <c r="N546" s="168"/>
      <c r="O546" s="168"/>
      <c r="P546" s="168" t="str">
        <f>IF(ISBLANK(Inputs!F29),"",Inputs!$B$10-Inputs!F29)</f>
        <v/>
      </c>
      <c r="Q546" s="168"/>
      <c r="R546" s="168"/>
      <c r="S546" s="168" t="str">
        <f>IF(ISBLANK(Inputs!L29),"",Inputs!L29)</f>
        <v/>
      </c>
      <c r="T546" s="168"/>
      <c r="U546" s="168"/>
      <c r="V546" s="168" t="str">
        <f>IF(ISBLANK(Inputs!E29),"",Inputs!E29)</f>
        <v/>
      </c>
      <c r="W546" s="168"/>
      <c r="X546" s="168"/>
      <c r="Y546" s="168" t="str">
        <f>IF(ISBLANK(Inputs!M29),"",Inputs!M29)</f>
        <v/>
      </c>
      <c r="Z546" s="168"/>
      <c r="AA546" s="168"/>
      <c r="AB546" s="168" t="str">
        <f>IF(ISBLANK(Inputs!N29),"",Inputs!N29)</f>
        <v/>
      </c>
      <c r="AC546" s="168"/>
      <c r="AD546" s="168"/>
      <c r="AE546" s="371" t="str">
        <f>IF(ISBLANK(Inputs!A29),"",Y546)</f>
        <v/>
      </c>
      <c r="AF546" s="371"/>
      <c r="AG546" s="329" t="str">
        <f>IF(ISBLANK(Inputs!$A29),"",
IF(OR(AE546="Solved",AE546="--"),"--",
((Mat.Conc_Alpha.1*Mat.Conc_f.c*$AB546*MIN(AE546*Mat.Conc_Beta.1,$Y546))
+(Mat.Conc_Alpha.1*Mat.Conc_f.c*$V546*MAX(0,AE546*Mat.Conc_Beta.1-$Y546)))
-($J546*MIN(Mat.Rebar_f.y,(Mat.Rebar_epsilon.cl*($S546-AE546)/AE546)*Mat.PT_E.s))
-($M546*Mat.PT_f.pu*(1-Mat.PT_k*AE546/$P546))))</f>
        <v/>
      </c>
      <c r="AH546" s="329"/>
      <c r="AI546" s="167" t="str">
        <f>IF(ISBLANK(Inputs!$A29),"",
IF(ABS(AG546)&lt;=0.001,"Solved",IF(AG546&gt;0,0.85*AE546,1.15*AE546)))</f>
        <v/>
      </c>
      <c r="AJ546" s="167"/>
      <c r="AK546" s="329" t="str">
        <f>IF(ISBLANK(Inputs!$A29),"",
IF(OR(AI546="Solved",AI546="--"),"--",
((Mat.Conc_Alpha.1*Mat.Conc_f.c*$AB546*MIN(AI546*Mat.Conc_Beta.1,$Y546))
+(Mat.Conc_Alpha.1*Mat.Conc_f.c*$V546*MAX(0,AI546*Mat.Conc_Beta.1-$Y546)))
-($J546*MIN(Mat.Rebar_f.y,(Mat.Rebar_epsilon.cl*($S546-AI546)/AI546)*Mat.PT_E.s))
-($M546*Mat.PT_f.pu*(1-Mat.PT_k*AI546/$P546))))</f>
        <v/>
      </c>
      <c r="AL546" s="329"/>
      <c r="AM546" s="167" t="str">
        <f>IF(ISBLANK(Inputs!$A29),"",
IF(AK546="--","Solved",
IF(ABS(AK546)&lt;=0.001,"Solved",AI546-AK546*(AI546-AE546)/(AK546-AG546))))</f>
        <v/>
      </c>
      <c r="AN546" s="167"/>
      <c r="AO546" s="329" t="str">
        <f>IF(ISBLANK(Inputs!$A29),"",
IF(OR(AM546="Solved",AM546="--"),"--",
((Mat.Conc_Alpha.1*Mat.Conc_f.c*$AB546*MIN(AM546*Mat.Conc_Beta.1,$Y546))
+(Mat.Conc_Alpha.1*Mat.Conc_f.c*$V546*MAX(0,AM546*Mat.Conc_Beta.1-$Y546)))
-($J546*MIN(Mat.Rebar_f.y,(Mat.Rebar_epsilon.cl*($S546-AM546)/AM546)*Mat.PT_E.s))
-($M546*Mat.PT_f.pu*(1-Mat.PT_k*AM546/$P546))))</f>
        <v/>
      </c>
      <c r="AP546" s="329"/>
      <c r="AQ546" s="167" t="str">
        <f>IF(ISBLANK(Inputs!$A29),"",
IF(AO546="--","Solved",
IF(ABS(AO546)&lt;=0.001,"Solved",AM546-AO546*(AM546-AI546)/(AO546-AK546))))</f>
        <v/>
      </c>
      <c r="AR546" s="167"/>
      <c r="AS546" s="329" t="str">
        <f>IF(ISBLANK(Inputs!$A29),"",
IF(OR(AQ546="Solved",AQ546="--"),"--",
((Mat.Conc_Alpha.1*Mat.Conc_f.c*$AB546*MIN(AQ546*Mat.Conc_Beta.1,$Y546))
+(Mat.Conc_Alpha.1*Mat.Conc_f.c*$V546*MAX(0,AQ546*Mat.Conc_Beta.1-$Y546)))
-($J546*MIN(Mat.Rebar_f.y,(Mat.Rebar_epsilon.cl*($S546-AQ546)/AQ546)*Mat.PT_E.s))
-($M546*Mat.PT_f.pu*(1-Mat.PT_k*AQ546/$P546))))</f>
        <v/>
      </c>
      <c r="AT546" s="329"/>
      <c r="AU546" s="167" t="str">
        <f>IF(ISBLANK(Inputs!$A29),"",
IF(AS546="--","Solved",
IF(ABS(AS546)&lt;=0.001,"Solved",AQ546-AS546*(AQ546-AM546)/(AS546-AO546))))</f>
        <v/>
      </c>
      <c r="AV546" s="167"/>
      <c r="AW546" s="329" t="str">
        <f>IF(ISBLANK(Inputs!$A29),"",
IF(OR(AU546="Solved",AU546="--"),"--",
((Mat.Conc_Alpha.1*Mat.Conc_f.c*$AB546*MIN(AU546*Mat.Conc_Beta.1,$Y546))
+(Mat.Conc_Alpha.1*Mat.Conc_f.c*$V546*MAX(0,AU546*Mat.Conc_Beta.1-$Y546)))
-($J546*MIN(Mat.Rebar_f.y,(Mat.Rebar_epsilon.cl*($S546-AU546)/AU546)*Mat.PT_E.s))
-($M546*Mat.PT_f.pu*(1-Mat.PT_k*AU546/$P546))))</f>
        <v/>
      </c>
      <c r="AX546" s="329"/>
      <c r="AY546" s="167" t="str">
        <f>IF(ISBLANK(Inputs!$A29),"",
IF(AW546="--","Solved",
IF(ABS(AW546)&lt;=0.001,"Solved",AU546-AW546*(AU546-AQ546)/(AW546-AS546))))</f>
        <v/>
      </c>
      <c r="AZ546" s="167"/>
      <c r="BA546" s="329" t="str">
        <f>IF(ISBLANK(Inputs!$A29),"",
IF(OR(AY546="Solved",AY546="--"),"--",
((Mat.Conc_Alpha.1*Mat.Conc_f.c*$AB546*MIN(AY546*Mat.Conc_Beta.1,$Y546))
+(Mat.Conc_Alpha.1*Mat.Conc_f.c*$V546*MAX(0,AY546*Mat.Conc_Beta.1-$Y546)))
-($J546*MIN(Mat.Rebar_f.y,(Mat.Rebar_epsilon.cl*($S546-AY546)/AY546)*Mat.PT_E.s))
-($M546*Mat.PT_f.pu*(1-Mat.PT_k*AY546/$P546))))</f>
        <v/>
      </c>
      <c r="BB546" s="329"/>
      <c r="BC546" s="167" t="str">
        <f>IF(ISBLANK(Inputs!$A29),"",
IF(BA546="--","Solved",
IF(ABS(BA546)&lt;=0.001,"Solved",AY546-BA546*(AY546-AU546)/(BA546-AW546))))</f>
        <v/>
      </c>
      <c r="BD546" s="167"/>
      <c r="BE546" s="329" t="str">
        <f>IF(ISBLANK(Inputs!$A29),"",
IF(OR(BC546="Solved",BC546="--"),"--",
((Mat.Conc_Alpha.1*Mat.Conc_f.c*$AB546*MIN(BC546*Mat.Conc_Beta.1,$Y546))
+(Mat.Conc_Alpha.1*Mat.Conc_f.c*$V546*MAX(0,BC546*Mat.Conc_Beta.1-$Y546)))
-($J546*MIN(Mat.Rebar_f.y,(Mat.Rebar_epsilon.cl*($S546-BC546)/BC546)*Mat.PT_E.s))
-($M546*Mat.PT_f.pu*(1-Mat.PT_k*BC546/$P546))))</f>
        <v/>
      </c>
      <c r="BF546" s="329"/>
      <c r="BG546" s="167" t="str">
        <f>IF(ISBLANK(Inputs!$A29),"",
IF(BE546="--","Solved",
IF(ABS(BE546)&lt;=0.001,"Solved",BC546-BE546*(BC546-AY546)/(BE546-BA546))))</f>
        <v/>
      </c>
      <c r="BH546" s="167"/>
      <c r="BI546" s="329" t="str">
        <f>IF(ISBLANK(Inputs!$A29),"",
IF(OR(BG546="Solved",BG546="--"),"--",
((Mat.Conc_Alpha.1*Mat.Conc_f.c*$AB546*MIN(BG546*Mat.Conc_Beta.1,$Y546))
+(Mat.Conc_Alpha.1*Mat.Conc_f.c*$V546*MAX(0,BG546*Mat.Conc_Beta.1-$Y546)))
-($J546*MIN(Mat.Rebar_f.y,(Mat.Rebar_epsilon.cl*($S546-BG546)/BG546)*Mat.PT_E.s))
-($M546*Mat.PT_f.pu*(1-Mat.PT_k*BG546/$P546))))</f>
        <v/>
      </c>
      <c r="BJ546" s="329"/>
      <c r="BK546" s="167" t="str">
        <f>IF(ISBLANK(Inputs!$A29),"",
IF(BI546="--","Solved",
IF(ABS(BI546)&lt;=0.001,"Solved",BG546-BI546*(BG546-BC546)/(BI546-BE546))))</f>
        <v/>
      </c>
      <c r="BL546" s="167"/>
      <c r="BM546" s="329" t="str">
        <f>IF(ISBLANK(Inputs!$A29),"",
IF(OR(BK546="Solved",BK546="--"),"--",
((Mat.Conc_Alpha.1*Mat.Conc_f.c*$AB546*MIN(BK546*Mat.Conc_Beta.1,$Y546))
+(Mat.Conc_Alpha.1*Mat.Conc_f.c*$V546*MAX(0,BK546*Mat.Conc_Beta.1-$Y546)))
-($J546*MIN(Mat.Rebar_f.y,(Mat.Rebar_epsilon.cl*($S546-BK546)/BK546)*Mat.PT_E.s))
-($M546*Mat.PT_f.pu*(1-Mat.PT_k*BK546/$P546))))</f>
        <v/>
      </c>
      <c r="BN546" s="329"/>
      <c r="BO546" s="167" t="str">
        <f>IF(ISBLANK(Inputs!$A29),"",
IF(BM546="--","Solved",
IF(ABS(BM546)&lt;=0.001,"Solved",BK546-BM546*(BK546-BG546)/(BM546-BI546))))</f>
        <v/>
      </c>
      <c r="BP546" s="167"/>
      <c r="BQ546" s="329" t="str">
        <f>IF(ISBLANK(Inputs!$A29),"",
IF(OR(BO546="Solved",BO546="--"),"--",
((Mat.Conc_Alpha.1*Mat.Conc_f.c*$AB546*MIN(BO546*Mat.Conc_Beta.1,$Y546))
+(Mat.Conc_Alpha.1*Mat.Conc_f.c*$V546*MAX(0,BO546*Mat.Conc_Beta.1-$Y546)))
-($J546*MIN(Mat.Rebar_f.y,(Mat.Rebar_epsilon.cl*($S546-BO546)/BO546)*Mat.PT_E.s))
-($M546*Mat.PT_f.pu*(1-Mat.PT_k*BO546/$P546))))</f>
        <v/>
      </c>
      <c r="BR546" s="329"/>
      <c r="BS546" s="70"/>
      <c r="BT546" s="70"/>
      <c r="BU546" s="70"/>
      <c r="BV546" s="70"/>
      <c r="BW546" s="8"/>
      <c r="BX546" s="8"/>
      <c r="BY546" s="8"/>
      <c r="BZ546" s="8"/>
      <c r="CA546" s="8"/>
      <c r="CB546" s="10"/>
    </row>
    <row r="547" spans="3:80" ht="15" customHeight="1" x14ac:dyDescent="0.25">
      <c r="C547" s="69"/>
      <c r="F547" s="167" t="str">
        <f>IF(ISBLANK(Inputs!A30),"",Inputs!A30)</f>
        <v/>
      </c>
      <c r="G547" s="167"/>
      <c r="H547" s="167" t="str">
        <f>IF(ISBLANK(Inputs!B30),"",Inputs!B30)</f>
        <v/>
      </c>
      <c r="I547" s="167"/>
      <c r="J547" s="168" t="str">
        <f>IF(ISBLANK(Inputs!K30),"",Inputs!K30)</f>
        <v/>
      </c>
      <c r="K547" s="168"/>
      <c r="L547" s="168"/>
      <c r="M547" s="168" t="str">
        <f>IF(ISBLANK(Inputs!D30),"",Inputs!D30)</f>
        <v/>
      </c>
      <c r="N547" s="168"/>
      <c r="O547" s="168"/>
      <c r="P547" s="168" t="str">
        <f>IF(ISBLANK(Inputs!F30),"",Inputs!$B$10-Inputs!F30)</f>
        <v/>
      </c>
      <c r="Q547" s="168"/>
      <c r="R547" s="168"/>
      <c r="S547" s="168" t="str">
        <f>IF(ISBLANK(Inputs!L30),"",Inputs!L30)</f>
        <v/>
      </c>
      <c r="T547" s="168"/>
      <c r="U547" s="168"/>
      <c r="V547" s="168" t="str">
        <f>IF(ISBLANK(Inputs!E30),"",Inputs!E30)</f>
        <v/>
      </c>
      <c r="W547" s="168"/>
      <c r="X547" s="168"/>
      <c r="Y547" s="168" t="str">
        <f>IF(ISBLANK(Inputs!M30),"",Inputs!M30)</f>
        <v/>
      </c>
      <c r="Z547" s="168"/>
      <c r="AA547" s="168"/>
      <c r="AB547" s="168" t="str">
        <f>IF(ISBLANK(Inputs!N30),"",Inputs!N30)</f>
        <v/>
      </c>
      <c r="AC547" s="168"/>
      <c r="AD547" s="168"/>
      <c r="AE547" s="371" t="str">
        <f>IF(ISBLANK(Inputs!A30),"",Y547)</f>
        <v/>
      </c>
      <c r="AF547" s="371"/>
      <c r="AG547" s="329" t="str">
        <f>IF(ISBLANK(Inputs!$A30),"",
IF(OR(AE547="Solved",AE547="--"),"--",
((Mat.Conc_Alpha.1*Mat.Conc_f.c*$AB547*MIN(AE547*Mat.Conc_Beta.1,$Y547))
+(Mat.Conc_Alpha.1*Mat.Conc_f.c*$V547*MAX(0,AE547*Mat.Conc_Beta.1-$Y547)))
-($J547*MIN(Mat.Rebar_f.y,(Mat.Rebar_epsilon.cl*($S547-AE547)/AE547)*Mat.PT_E.s))
-($M547*Mat.PT_f.pu*(1-Mat.PT_k*AE547/$P547))))</f>
        <v/>
      </c>
      <c r="AH547" s="329"/>
      <c r="AI547" s="167" t="str">
        <f>IF(ISBLANK(Inputs!$A30),"",
IF(ABS(AG547)&lt;=0.001,"Solved",IF(AG547&gt;0,0.85*AE547,1.15*AE547)))</f>
        <v/>
      </c>
      <c r="AJ547" s="167"/>
      <c r="AK547" s="329" t="str">
        <f>IF(ISBLANK(Inputs!$A30),"",
IF(OR(AI547="Solved",AI547="--"),"--",
((Mat.Conc_Alpha.1*Mat.Conc_f.c*$AB547*MIN(AI547*Mat.Conc_Beta.1,$Y547))
+(Mat.Conc_Alpha.1*Mat.Conc_f.c*$V547*MAX(0,AI547*Mat.Conc_Beta.1-$Y547)))
-($J547*MIN(Mat.Rebar_f.y,(Mat.Rebar_epsilon.cl*($S547-AI547)/AI547)*Mat.PT_E.s))
-($M547*Mat.PT_f.pu*(1-Mat.PT_k*AI547/$P547))))</f>
        <v/>
      </c>
      <c r="AL547" s="329"/>
      <c r="AM547" s="167" t="str">
        <f>IF(ISBLANK(Inputs!$A30),"",
IF(AK547="--","Solved",
IF(ABS(AK547)&lt;=0.001,"Solved",AI547-AK547*(AI547-AE547)/(AK547-AG547))))</f>
        <v/>
      </c>
      <c r="AN547" s="167"/>
      <c r="AO547" s="329" t="str">
        <f>IF(ISBLANK(Inputs!$A30),"",
IF(OR(AM547="Solved",AM547="--"),"--",
((Mat.Conc_Alpha.1*Mat.Conc_f.c*$AB547*MIN(AM547*Mat.Conc_Beta.1,$Y547))
+(Mat.Conc_Alpha.1*Mat.Conc_f.c*$V547*MAX(0,AM547*Mat.Conc_Beta.1-$Y547)))
-($J547*MIN(Mat.Rebar_f.y,(Mat.Rebar_epsilon.cl*($S547-AM547)/AM547)*Mat.PT_E.s))
-($M547*Mat.PT_f.pu*(1-Mat.PT_k*AM547/$P547))))</f>
        <v/>
      </c>
      <c r="AP547" s="329"/>
      <c r="AQ547" s="167" t="str">
        <f>IF(ISBLANK(Inputs!$A30),"",
IF(AO547="--","Solved",
IF(ABS(AO547)&lt;=0.001,"Solved",AM547-AO547*(AM547-AI547)/(AO547-AK547))))</f>
        <v/>
      </c>
      <c r="AR547" s="167"/>
      <c r="AS547" s="329" t="str">
        <f>IF(ISBLANK(Inputs!$A30),"",
IF(OR(AQ547="Solved",AQ547="--"),"--",
((Mat.Conc_Alpha.1*Mat.Conc_f.c*$AB547*MIN(AQ547*Mat.Conc_Beta.1,$Y547))
+(Mat.Conc_Alpha.1*Mat.Conc_f.c*$V547*MAX(0,AQ547*Mat.Conc_Beta.1-$Y547)))
-($J547*MIN(Mat.Rebar_f.y,(Mat.Rebar_epsilon.cl*($S547-AQ547)/AQ547)*Mat.PT_E.s))
-($M547*Mat.PT_f.pu*(1-Mat.PT_k*AQ547/$P547))))</f>
        <v/>
      </c>
      <c r="AT547" s="329"/>
      <c r="AU547" s="167" t="str">
        <f>IF(ISBLANK(Inputs!$A30),"",
IF(AS547="--","Solved",
IF(ABS(AS547)&lt;=0.001,"Solved",AQ547-AS547*(AQ547-AM547)/(AS547-AO547))))</f>
        <v/>
      </c>
      <c r="AV547" s="167"/>
      <c r="AW547" s="329" t="str">
        <f>IF(ISBLANK(Inputs!$A30),"",
IF(OR(AU547="Solved",AU547="--"),"--",
((Mat.Conc_Alpha.1*Mat.Conc_f.c*$AB547*MIN(AU547*Mat.Conc_Beta.1,$Y547))
+(Mat.Conc_Alpha.1*Mat.Conc_f.c*$V547*MAX(0,AU547*Mat.Conc_Beta.1-$Y547)))
-($J547*MIN(Mat.Rebar_f.y,(Mat.Rebar_epsilon.cl*($S547-AU547)/AU547)*Mat.PT_E.s))
-($M547*Mat.PT_f.pu*(1-Mat.PT_k*AU547/$P547))))</f>
        <v/>
      </c>
      <c r="AX547" s="329"/>
      <c r="AY547" s="167" t="str">
        <f>IF(ISBLANK(Inputs!$A30),"",
IF(AW547="--","Solved",
IF(ABS(AW547)&lt;=0.001,"Solved",AU547-AW547*(AU547-AQ547)/(AW547-AS547))))</f>
        <v/>
      </c>
      <c r="AZ547" s="167"/>
      <c r="BA547" s="329" t="str">
        <f>IF(ISBLANK(Inputs!$A30),"",
IF(OR(AY547="Solved",AY547="--"),"--",
((Mat.Conc_Alpha.1*Mat.Conc_f.c*$AB547*MIN(AY547*Mat.Conc_Beta.1,$Y547))
+(Mat.Conc_Alpha.1*Mat.Conc_f.c*$V547*MAX(0,AY547*Mat.Conc_Beta.1-$Y547)))
-($J547*MIN(Mat.Rebar_f.y,(Mat.Rebar_epsilon.cl*($S547-AY547)/AY547)*Mat.PT_E.s))
-($M547*Mat.PT_f.pu*(1-Mat.PT_k*AY547/$P547))))</f>
        <v/>
      </c>
      <c r="BB547" s="329"/>
      <c r="BC547" s="167" t="str">
        <f>IF(ISBLANK(Inputs!$A30),"",
IF(BA547="--","Solved",
IF(ABS(BA547)&lt;=0.001,"Solved",AY547-BA547*(AY547-AU547)/(BA547-AW547))))</f>
        <v/>
      </c>
      <c r="BD547" s="167"/>
      <c r="BE547" s="329" t="str">
        <f>IF(ISBLANK(Inputs!$A30),"",
IF(OR(BC547="Solved",BC547="--"),"--",
((Mat.Conc_Alpha.1*Mat.Conc_f.c*$AB547*MIN(BC547*Mat.Conc_Beta.1,$Y547))
+(Mat.Conc_Alpha.1*Mat.Conc_f.c*$V547*MAX(0,BC547*Mat.Conc_Beta.1-$Y547)))
-($J547*MIN(Mat.Rebar_f.y,(Mat.Rebar_epsilon.cl*($S547-BC547)/BC547)*Mat.PT_E.s))
-($M547*Mat.PT_f.pu*(1-Mat.PT_k*BC547/$P547))))</f>
        <v/>
      </c>
      <c r="BF547" s="329"/>
      <c r="BG547" s="167" t="str">
        <f>IF(ISBLANK(Inputs!$A30),"",
IF(BE547="--","Solved",
IF(ABS(BE547)&lt;=0.001,"Solved",BC547-BE547*(BC547-AY547)/(BE547-BA547))))</f>
        <v/>
      </c>
      <c r="BH547" s="167"/>
      <c r="BI547" s="329" t="str">
        <f>IF(ISBLANK(Inputs!$A30),"",
IF(OR(BG547="Solved",BG547="--"),"--",
((Mat.Conc_Alpha.1*Mat.Conc_f.c*$AB547*MIN(BG547*Mat.Conc_Beta.1,$Y547))
+(Mat.Conc_Alpha.1*Mat.Conc_f.c*$V547*MAX(0,BG547*Mat.Conc_Beta.1-$Y547)))
-($J547*MIN(Mat.Rebar_f.y,(Mat.Rebar_epsilon.cl*($S547-BG547)/BG547)*Mat.PT_E.s))
-($M547*Mat.PT_f.pu*(1-Mat.PT_k*BG547/$P547))))</f>
        <v/>
      </c>
      <c r="BJ547" s="329"/>
      <c r="BK547" s="167" t="str">
        <f>IF(ISBLANK(Inputs!$A30),"",
IF(BI547="--","Solved",
IF(ABS(BI547)&lt;=0.001,"Solved",BG547-BI547*(BG547-BC547)/(BI547-BE547))))</f>
        <v/>
      </c>
      <c r="BL547" s="167"/>
      <c r="BM547" s="329" t="str">
        <f>IF(ISBLANK(Inputs!$A30),"",
IF(OR(BK547="Solved",BK547="--"),"--",
((Mat.Conc_Alpha.1*Mat.Conc_f.c*$AB547*MIN(BK547*Mat.Conc_Beta.1,$Y547))
+(Mat.Conc_Alpha.1*Mat.Conc_f.c*$V547*MAX(0,BK547*Mat.Conc_Beta.1-$Y547)))
-($J547*MIN(Mat.Rebar_f.y,(Mat.Rebar_epsilon.cl*($S547-BK547)/BK547)*Mat.PT_E.s))
-($M547*Mat.PT_f.pu*(1-Mat.PT_k*BK547/$P547))))</f>
        <v/>
      </c>
      <c r="BN547" s="329"/>
      <c r="BO547" s="167" t="str">
        <f>IF(ISBLANK(Inputs!$A30),"",
IF(BM547="--","Solved",
IF(ABS(BM547)&lt;=0.001,"Solved",BK547-BM547*(BK547-BG547)/(BM547-BI547))))</f>
        <v/>
      </c>
      <c r="BP547" s="167"/>
      <c r="BQ547" s="329" t="str">
        <f>IF(ISBLANK(Inputs!$A30),"",
IF(OR(BO547="Solved",BO547="--"),"--",
((Mat.Conc_Alpha.1*Mat.Conc_f.c*$AB547*MIN(BO547*Mat.Conc_Beta.1,$Y547))
+(Mat.Conc_Alpha.1*Mat.Conc_f.c*$V547*MAX(0,BO547*Mat.Conc_Beta.1-$Y547)))
-($J547*MIN(Mat.Rebar_f.y,(Mat.Rebar_epsilon.cl*($S547-BO547)/BO547)*Mat.PT_E.s))
-($M547*Mat.PT_f.pu*(1-Mat.PT_k*BO547/$P547))))</f>
        <v/>
      </c>
      <c r="BR547" s="329"/>
      <c r="BS547" s="70"/>
      <c r="BT547" s="70"/>
      <c r="BU547" s="70"/>
      <c r="BV547" s="70"/>
      <c r="BW547" s="8"/>
      <c r="BX547" s="8"/>
      <c r="BY547" s="8"/>
      <c r="BZ547" s="8"/>
      <c r="CA547" s="8"/>
      <c r="CB547" s="10"/>
    </row>
    <row r="548" spans="3:80" ht="15" customHeight="1" x14ac:dyDescent="0.25">
      <c r="C548" s="69"/>
      <c r="F548" s="167" t="str">
        <f>IF(ISBLANK(Inputs!A31),"",Inputs!A31)</f>
        <v/>
      </c>
      <c r="G548" s="167"/>
      <c r="H548" s="167" t="str">
        <f>IF(ISBLANK(Inputs!B31),"",Inputs!B31)</f>
        <v/>
      </c>
      <c r="I548" s="167"/>
      <c r="J548" s="168" t="str">
        <f>IF(ISBLANK(Inputs!K31),"",Inputs!K31)</f>
        <v/>
      </c>
      <c r="K548" s="168"/>
      <c r="L548" s="168"/>
      <c r="M548" s="168" t="str">
        <f>IF(ISBLANK(Inputs!D31),"",Inputs!D31)</f>
        <v/>
      </c>
      <c r="N548" s="168"/>
      <c r="O548" s="168"/>
      <c r="P548" s="168" t="str">
        <f>IF(ISBLANK(Inputs!F31),"",Inputs!$B$10-Inputs!F31)</f>
        <v/>
      </c>
      <c r="Q548" s="168"/>
      <c r="R548" s="168"/>
      <c r="S548" s="168" t="str">
        <f>IF(ISBLANK(Inputs!L31),"",Inputs!L31)</f>
        <v/>
      </c>
      <c r="T548" s="168"/>
      <c r="U548" s="168"/>
      <c r="V548" s="168" t="str">
        <f>IF(ISBLANK(Inputs!E31),"",Inputs!E31)</f>
        <v/>
      </c>
      <c r="W548" s="168"/>
      <c r="X548" s="168"/>
      <c r="Y548" s="168" t="str">
        <f>IF(ISBLANK(Inputs!M31),"",Inputs!M31)</f>
        <v/>
      </c>
      <c r="Z548" s="168"/>
      <c r="AA548" s="168"/>
      <c r="AB548" s="168" t="str">
        <f>IF(ISBLANK(Inputs!N31),"",Inputs!N31)</f>
        <v/>
      </c>
      <c r="AC548" s="168"/>
      <c r="AD548" s="168"/>
      <c r="AE548" s="371" t="str">
        <f>IF(ISBLANK(Inputs!A31),"",Y548)</f>
        <v/>
      </c>
      <c r="AF548" s="371"/>
      <c r="AG548" s="329" t="str">
        <f>IF(ISBLANK(Inputs!$A31),"",
IF(OR(AE548="Solved",AE548="--"),"--",
((Mat.Conc_Alpha.1*Mat.Conc_f.c*$AB548*MIN(AE548*Mat.Conc_Beta.1,$Y548))
+(Mat.Conc_Alpha.1*Mat.Conc_f.c*$V548*MAX(0,AE548*Mat.Conc_Beta.1-$Y548)))
-($J548*MIN(Mat.Rebar_f.y,(Mat.Rebar_epsilon.cl*($S548-AE548)/AE548)*Mat.PT_E.s))
-($M548*Mat.PT_f.pu*(1-Mat.PT_k*AE548/$P548))))</f>
        <v/>
      </c>
      <c r="AH548" s="329"/>
      <c r="AI548" s="167" t="str">
        <f>IF(ISBLANK(Inputs!$A31),"",
IF(ABS(AG548)&lt;=0.001,"Solved",IF(AG548&gt;0,0.85*AE548,1.15*AE548)))</f>
        <v/>
      </c>
      <c r="AJ548" s="167"/>
      <c r="AK548" s="329" t="str">
        <f>IF(ISBLANK(Inputs!$A31),"",
IF(OR(AI548="Solved",AI548="--"),"--",
((Mat.Conc_Alpha.1*Mat.Conc_f.c*$AB548*MIN(AI548*Mat.Conc_Beta.1,$Y548))
+(Mat.Conc_Alpha.1*Mat.Conc_f.c*$V548*MAX(0,AI548*Mat.Conc_Beta.1-$Y548)))
-($J548*MIN(Mat.Rebar_f.y,(Mat.Rebar_epsilon.cl*($S548-AI548)/AI548)*Mat.PT_E.s))
-($M548*Mat.PT_f.pu*(1-Mat.PT_k*AI548/$P548))))</f>
        <v/>
      </c>
      <c r="AL548" s="329"/>
      <c r="AM548" s="167" t="str">
        <f>IF(ISBLANK(Inputs!$A31),"",
IF(AK548="--","Solved",
IF(ABS(AK548)&lt;=0.001,"Solved",AI548-AK548*(AI548-AE548)/(AK548-AG548))))</f>
        <v/>
      </c>
      <c r="AN548" s="167"/>
      <c r="AO548" s="329" t="str">
        <f>IF(ISBLANK(Inputs!$A31),"",
IF(OR(AM548="Solved",AM548="--"),"--",
((Mat.Conc_Alpha.1*Mat.Conc_f.c*$AB548*MIN(AM548*Mat.Conc_Beta.1,$Y548))
+(Mat.Conc_Alpha.1*Mat.Conc_f.c*$V548*MAX(0,AM548*Mat.Conc_Beta.1-$Y548)))
-($J548*MIN(Mat.Rebar_f.y,(Mat.Rebar_epsilon.cl*($S548-AM548)/AM548)*Mat.PT_E.s))
-($M548*Mat.PT_f.pu*(1-Mat.PT_k*AM548/$P548))))</f>
        <v/>
      </c>
      <c r="AP548" s="329"/>
      <c r="AQ548" s="167" t="str">
        <f>IF(ISBLANK(Inputs!$A31),"",
IF(AO548="--","Solved",
IF(ABS(AO548)&lt;=0.001,"Solved",AM548-AO548*(AM548-AI548)/(AO548-AK548))))</f>
        <v/>
      </c>
      <c r="AR548" s="167"/>
      <c r="AS548" s="329" t="str">
        <f>IF(ISBLANK(Inputs!$A31),"",
IF(OR(AQ548="Solved",AQ548="--"),"--",
((Mat.Conc_Alpha.1*Mat.Conc_f.c*$AB548*MIN(AQ548*Mat.Conc_Beta.1,$Y548))
+(Mat.Conc_Alpha.1*Mat.Conc_f.c*$V548*MAX(0,AQ548*Mat.Conc_Beta.1-$Y548)))
-($J548*MIN(Mat.Rebar_f.y,(Mat.Rebar_epsilon.cl*($S548-AQ548)/AQ548)*Mat.PT_E.s))
-($M548*Mat.PT_f.pu*(1-Mat.PT_k*AQ548/$P548))))</f>
        <v/>
      </c>
      <c r="AT548" s="329"/>
      <c r="AU548" s="167" t="str">
        <f>IF(ISBLANK(Inputs!$A31),"",
IF(AS548="--","Solved",
IF(ABS(AS548)&lt;=0.001,"Solved",AQ548-AS548*(AQ548-AM548)/(AS548-AO548))))</f>
        <v/>
      </c>
      <c r="AV548" s="167"/>
      <c r="AW548" s="329" t="str">
        <f>IF(ISBLANK(Inputs!$A31),"",
IF(OR(AU548="Solved",AU548="--"),"--",
((Mat.Conc_Alpha.1*Mat.Conc_f.c*$AB548*MIN(AU548*Mat.Conc_Beta.1,$Y548))
+(Mat.Conc_Alpha.1*Mat.Conc_f.c*$V548*MAX(0,AU548*Mat.Conc_Beta.1-$Y548)))
-($J548*MIN(Mat.Rebar_f.y,(Mat.Rebar_epsilon.cl*($S548-AU548)/AU548)*Mat.PT_E.s))
-($M548*Mat.PT_f.pu*(1-Mat.PT_k*AU548/$P548))))</f>
        <v/>
      </c>
      <c r="AX548" s="329"/>
      <c r="AY548" s="167" t="str">
        <f>IF(ISBLANK(Inputs!$A31),"",
IF(AW548="--","Solved",
IF(ABS(AW548)&lt;=0.001,"Solved",AU548-AW548*(AU548-AQ548)/(AW548-AS548))))</f>
        <v/>
      </c>
      <c r="AZ548" s="167"/>
      <c r="BA548" s="329" t="str">
        <f>IF(ISBLANK(Inputs!$A31),"",
IF(OR(AY548="Solved",AY548="--"),"--",
((Mat.Conc_Alpha.1*Mat.Conc_f.c*$AB548*MIN(AY548*Mat.Conc_Beta.1,$Y548))
+(Mat.Conc_Alpha.1*Mat.Conc_f.c*$V548*MAX(0,AY548*Mat.Conc_Beta.1-$Y548)))
-($J548*MIN(Mat.Rebar_f.y,(Mat.Rebar_epsilon.cl*($S548-AY548)/AY548)*Mat.PT_E.s))
-($M548*Mat.PT_f.pu*(1-Mat.PT_k*AY548/$P548))))</f>
        <v/>
      </c>
      <c r="BB548" s="329"/>
      <c r="BC548" s="167" t="str">
        <f>IF(ISBLANK(Inputs!$A31),"",
IF(BA548="--","Solved",
IF(ABS(BA548)&lt;=0.001,"Solved",AY548-BA548*(AY548-AU548)/(BA548-AW548))))</f>
        <v/>
      </c>
      <c r="BD548" s="167"/>
      <c r="BE548" s="329" t="str">
        <f>IF(ISBLANK(Inputs!$A31),"",
IF(OR(BC548="Solved",BC548="--"),"--",
((Mat.Conc_Alpha.1*Mat.Conc_f.c*$AB548*MIN(BC548*Mat.Conc_Beta.1,$Y548))
+(Mat.Conc_Alpha.1*Mat.Conc_f.c*$V548*MAX(0,BC548*Mat.Conc_Beta.1-$Y548)))
-($J548*MIN(Mat.Rebar_f.y,(Mat.Rebar_epsilon.cl*($S548-BC548)/BC548)*Mat.PT_E.s))
-($M548*Mat.PT_f.pu*(1-Mat.PT_k*BC548/$P548))))</f>
        <v/>
      </c>
      <c r="BF548" s="329"/>
      <c r="BG548" s="167" t="str">
        <f>IF(ISBLANK(Inputs!$A31),"",
IF(BE548="--","Solved",
IF(ABS(BE548)&lt;=0.001,"Solved",BC548-BE548*(BC548-AY548)/(BE548-BA548))))</f>
        <v/>
      </c>
      <c r="BH548" s="167"/>
      <c r="BI548" s="329" t="str">
        <f>IF(ISBLANK(Inputs!$A31),"",
IF(OR(BG548="Solved",BG548="--"),"--",
((Mat.Conc_Alpha.1*Mat.Conc_f.c*$AB548*MIN(BG548*Mat.Conc_Beta.1,$Y548))
+(Mat.Conc_Alpha.1*Mat.Conc_f.c*$V548*MAX(0,BG548*Mat.Conc_Beta.1-$Y548)))
-($J548*MIN(Mat.Rebar_f.y,(Mat.Rebar_epsilon.cl*($S548-BG548)/BG548)*Mat.PT_E.s))
-($M548*Mat.PT_f.pu*(1-Mat.PT_k*BG548/$P548))))</f>
        <v/>
      </c>
      <c r="BJ548" s="329"/>
      <c r="BK548" s="167" t="str">
        <f>IF(ISBLANK(Inputs!$A31),"",
IF(BI548="--","Solved",
IF(ABS(BI548)&lt;=0.001,"Solved",BG548-BI548*(BG548-BC548)/(BI548-BE548))))</f>
        <v/>
      </c>
      <c r="BL548" s="167"/>
      <c r="BM548" s="329" t="str">
        <f>IF(ISBLANK(Inputs!$A31),"",
IF(OR(BK548="Solved",BK548="--"),"--",
((Mat.Conc_Alpha.1*Mat.Conc_f.c*$AB548*MIN(BK548*Mat.Conc_Beta.1,$Y548))
+(Mat.Conc_Alpha.1*Mat.Conc_f.c*$V548*MAX(0,BK548*Mat.Conc_Beta.1-$Y548)))
-($J548*MIN(Mat.Rebar_f.y,(Mat.Rebar_epsilon.cl*($S548-BK548)/BK548)*Mat.PT_E.s))
-($M548*Mat.PT_f.pu*(1-Mat.PT_k*BK548/$P548))))</f>
        <v/>
      </c>
      <c r="BN548" s="329"/>
      <c r="BO548" s="167" t="str">
        <f>IF(ISBLANK(Inputs!$A31),"",
IF(BM548="--","Solved",
IF(ABS(BM548)&lt;=0.001,"Solved",BK548-BM548*(BK548-BG548)/(BM548-BI548))))</f>
        <v/>
      </c>
      <c r="BP548" s="167"/>
      <c r="BQ548" s="329" t="str">
        <f>IF(ISBLANK(Inputs!$A31),"",
IF(OR(BO548="Solved",BO548="--"),"--",
((Mat.Conc_Alpha.1*Mat.Conc_f.c*$AB548*MIN(BO548*Mat.Conc_Beta.1,$Y548))
+(Mat.Conc_Alpha.1*Mat.Conc_f.c*$V548*MAX(0,BO548*Mat.Conc_Beta.1-$Y548)))
-($J548*MIN(Mat.Rebar_f.y,(Mat.Rebar_epsilon.cl*($S548-BO548)/BO548)*Mat.PT_E.s))
-($M548*Mat.PT_f.pu*(1-Mat.PT_k*BO548/$P548))))</f>
        <v/>
      </c>
      <c r="BR548" s="329"/>
      <c r="BS548" s="70"/>
      <c r="BT548" s="70"/>
      <c r="BU548" s="70"/>
      <c r="BV548" s="70"/>
      <c r="BW548" s="8"/>
      <c r="BX548" s="8"/>
      <c r="BY548" s="8"/>
      <c r="BZ548" s="8"/>
      <c r="CA548" s="8"/>
      <c r="CB548" s="10"/>
    </row>
    <row r="549" spans="3:80" ht="15" customHeight="1" x14ac:dyDescent="0.25">
      <c r="C549" s="69"/>
      <c r="F549" s="167" t="str">
        <f>IF(ISBLANK(Inputs!A32),"",Inputs!A32)</f>
        <v/>
      </c>
      <c r="G549" s="167"/>
      <c r="H549" s="167" t="str">
        <f>IF(ISBLANK(Inputs!B32),"",Inputs!B32)</f>
        <v/>
      </c>
      <c r="I549" s="167"/>
      <c r="J549" s="168" t="str">
        <f>IF(ISBLANK(Inputs!K32),"",Inputs!K32)</f>
        <v/>
      </c>
      <c r="K549" s="168"/>
      <c r="L549" s="168"/>
      <c r="M549" s="168" t="str">
        <f>IF(ISBLANK(Inputs!D32),"",Inputs!D32)</f>
        <v/>
      </c>
      <c r="N549" s="168"/>
      <c r="O549" s="168"/>
      <c r="P549" s="168" t="str">
        <f>IF(ISBLANK(Inputs!F32),"",Inputs!$B$10-Inputs!F32)</f>
        <v/>
      </c>
      <c r="Q549" s="168"/>
      <c r="R549" s="168"/>
      <c r="S549" s="168" t="str">
        <f>IF(ISBLANK(Inputs!L32),"",Inputs!L32)</f>
        <v/>
      </c>
      <c r="T549" s="168"/>
      <c r="U549" s="168"/>
      <c r="V549" s="168" t="str">
        <f>IF(ISBLANK(Inputs!E32),"",Inputs!E32)</f>
        <v/>
      </c>
      <c r="W549" s="168"/>
      <c r="X549" s="168"/>
      <c r="Y549" s="168" t="str">
        <f>IF(ISBLANK(Inputs!M32),"",Inputs!M32)</f>
        <v/>
      </c>
      <c r="Z549" s="168"/>
      <c r="AA549" s="168"/>
      <c r="AB549" s="168" t="str">
        <f>IF(ISBLANK(Inputs!N32),"",Inputs!N32)</f>
        <v/>
      </c>
      <c r="AC549" s="168"/>
      <c r="AD549" s="168"/>
      <c r="AE549" s="371" t="str">
        <f>IF(ISBLANK(Inputs!A32),"",Y549)</f>
        <v/>
      </c>
      <c r="AF549" s="371"/>
      <c r="AG549" s="329" t="str">
        <f>IF(ISBLANK(Inputs!$A32),"",
IF(OR(AE549="Solved",AE549="--"),"--",
((Mat.Conc_Alpha.1*Mat.Conc_f.c*$AB549*MIN(AE549*Mat.Conc_Beta.1,$Y549))
+(Mat.Conc_Alpha.1*Mat.Conc_f.c*$V549*MAX(0,AE549*Mat.Conc_Beta.1-$Y549)))
-($J549*MIN(Mat.Rebar_f.y,(Mat.Rebar_epsilon.cl*($S549-AE549)/AE549)*Mat.PT_E.s))
-($M549*Mat.PT_f.pu*(1-Mat.PT_k*AE549/$P549))))</f>
        <v/>
      </c>
      <c r="AH549" s="329"/>
      <c r="AI549" s="167" t="str">
        <f>IF(ISBLANK(Inputs!$A32),"",
IF(ABS(AG549)&lt;=0.001,"Solved",IF(AG549&gt;0,0.85*AE549,1.15*AE549)))</f>
        <v/>
      </c>
      <c r="AJ549" s="167"/>
      <c r="AK549" s="329" t="str">
        <f>IF(ISBLANK(Inputs!$A32),"",
IF(OR(AI549="Solved",AI549="--"),"--",
((Mat.Conc_Alpha.1*Mat.Conc_f.c*$AB549*MIN(AI549*Mat.Conc_Beta.1,$Y549))
+(Mat.Conc_Alpha.1*Mat.Conc_f.c*$V549*MAX(0,AI549*Mat.Conc_Beta.1-$Y549)))
-($J549*MIN(Mat.Rebar_f.y,(Mat.Rebar_epsilon.cl*($S549-AI549)/AI549)*Mat.PT_E.s))
-($M549*Mat.PT_f.pu*(1-Mat.PT_k*AI549/$P549))))</f>
        <v/>
      </c>
      <c r="AL549" s="329"/>
      <c r="AM549" s="167" t="str">
        <f>IF(ISBLANK(Inputs!$A32),"",
IF(AK549="--","Solved",
IF(ABS(AK549)&lt;=0.001,"Solved",AI549-AK549*(AI549-AE549)/(AK549-AG549))))</f>
        <v/>
      </c>
      <c r="AN549" s="167"/>
      <c r="AO549" s="329" t="str">
        <f>IF(ISBLANK(Inputs!$A32),"",
IF(OR(AM549="Solved",AM549="--"),"--",
((Mat.Conc_Alpha.1*Mat.Conc_f.c*$AB549*MIN(AM549*Mat.Conc_Beta.1,$Y549))
+(Mat.Conc_Alpha.1*Mat.Conc_f.c*$V549*MAX(0,AM549*Mat.Conc_Beta.1-$Y549)))
-($J549*MIN(Mat.Rebar_f.y,(Mat.Rebar_epsilon.cl*($S549-AM549)/AM549)*Mat.PT_E.s))
-($M549*Mat.PT_f.pu*(1-Mat.PT_k*AM549/$P549))))</f>
        <v/>
      </c>
      <c r="AP549" s="329"/>
      <c r="AQ549" s="167" t="str">
        <f>IF(ISBLANK(Inputs!$A32),"",
IF(AO549="--","Solved",
IF(ABS(AO549)&lt;=0.001,"Solved",AM549-AO549*(AM549-AI549)/(AO549-AK549))))</f>
        <v/>
      </c>
      <c r="AR549" s="167"/>
      <c r="AS549" s="329" t="str">
        <f>IF(ISBLANK(Inputs!$A32),"",
IF(OR(AQ549="Solved",AQ549="--"),"--",
((Mat.Conc_Alpha.1*Mat.Conc_f.c*$AB549*MIN(AQ549*Mat.Conc_Beta.1,$Y549))
+(Mat.Conc_Alpha.1*Mat.Conc_f.c*$V549*MAX(0,AQ549*Mat.Conc_Beta.1-$Y549)))
-($J549*MIN(Mat.Rebar_f.y,(Mat.Rebar_epsilon.cl*($S549-AQ549)/AQ549)*Mat.PT_E.s))
-($M549*Mat.PT_f.pu*(1-Mat.PT_k*AQ549/$P549))))</f>
        <v/>
      </c>
      <c r="AT549" s="329"/>
      <c r="AU549" s="167" t="str">
        <f>IF(ISBLANK(Inputs!$A32),"",
IF(AS549="--","Solved",
IF(ABS(AS549)&lt;=0.001,"Solved",AQ549-AS549*(AQ549-AM549)/(AS549-AO549))))</f>
        <v/>
      </c>
      <c r="AV549" s="167"/>
      <c r="AW549" s="329" t="str">
        <f>IF(ISBLANK(Inputs!$A32),"",
IF(OR(AU549="Solved",AU549="--"),"--",
((Mat.Conc_Alpha.1*Mat.Conc_f.c*$AB549*MIN(AU549*Mat.Conc_Beta.1,$Y549))
+(Mat.Conc_Alpha.1*Mat.Conc_f.c*$V549*MAX(0,AU549*Mat.Conc_Beta.1-$Y549)))
-($J549*MIN(Mat.Rebar_f.y,(Mat.Rebar_epsilon.cl*($S549-AU549)/AU549)*Mat.PT_E.s))
-($M549*Mat.PT_f.pu*(1-Mat.PT_k*AU549/$P549))))</f>
        <v/>
      </c>
      <c r="AX549" s="329"/>
      <c r="AY549" s="167" t="str">
        <f>IF(ISBLANK(Inputs!$A32),"",
IF(AW549="--","Solved",
IF(ABS(AW549)&lt;=0.001,"Solved",AU549-AW549*(AU549-AQ549)/(AW549-AS549))))</f>
        <v/>
      </c>
      <c r="AZ549" s="167"/>
      <c r="BA549" s="329" t="str">
        <f>IF(ISBLANK(Inputs!$A32),"",
IF(OR(AY549="Solved",AY549="--"),"--",
((Mat.Conc_Alpha.1*Mat.Conc_f.c*$AB549*MIN(AY549*Mat.Conc_Beta.1,$Y549))
+(Mat.Conc_Alpha.1*Mat.Conc_f.c*$V549*MAX(0,AY549*Mat.Conc_Beta.1-$Y549)))
-($J549*MIN(Mat.Rebar_f.y,(Mat.Rebar_epsilon.cl*($S549-AY549)/AY549)*Mat.PT_E.s))
-($M549*Mat.PT_f.pu*(1-Mat.PT_k*AY549/$P549))))</f>
        <v/>
      </c>
      <c r="BB549" s="329"/>
      <c r="BC549" s="167" t="str">
        <f>IF(ISBLANK(Inputs!$A32),"",
IF(BA549="--","Solved",
IF(ABS(BA549)&lt;=0.001,"Solved",AY549-BA549*(AY549-AU549)/(BA549-AW549))))</f>
        <v/>
      </c>
      <c r="BD549" s="167"/>
      <c r="BE549" s="329" t="str">
        <f>IF(ISBLANK(Inputs!$A32),"",
IF(OR(BC549="Solved",BC549="--"),"--",
((Mat.Conc_Alpha.1*Mat.Conc_f.c*$AB549*MIN(BC549*Mat.Conc_Beta.1,$Y549))
+(Mat.Conc_Alpha.1*Mat.Conc_f.c*$V549*MAX(0,BC549*Mat.Conc_Beta.1-$Y549)))
-($J549*MIN(Mat.Rebar_f.y,(Mat.Rebar_epsilon.cl*($S549-BC549)/BC549)*Mat.PT_E.s))
-($M549*Mat.PT_f.pu*(1-Mat.PT_k*BC549/$P549))))</f>
        <v/>
      </c>
      <c r="BF549" s="329"/>
      <c r="BG549" s="167" t="str">
        <f>IF(ISBLANK(Inputs!$A32),"",
IF(BE549="--","Solved",
IF(ABS(BE549)&lt;=0.001,"Solved",BC549-BE549*(BC549-AY549)/(BE549-BA549))))</f>
        <v/>
      </c>
      <c r="BH549" s="167"/>
      <c r="BI549" s="329" t="str">
        <f>IF(ISBLANK(Inputs!$A32),"",
IF(OR(BG549="Solved",BG549="--"),"--",
((Mat.Conc_Alpha.1*Mat.Conc_f.c*$AB549*MIN(BG549*Mat.Conc_Beta.1,$Y549))
+(Mat.Conc_Alpha.1*Mat.Conc_f.c*$V549*MAX(0,BG549*Mat.Conc_Beta.1-$Y549)))
-($J549*MIN(Mat.Rebar_f.y,(Mat.Rebar_epsilon.cl*($S549-BG549)/BG549)*Mat.PT_E.s))
-($M549*Mat.PT_f.pu*(1-Mat.PT_k*BG549/$P549))))</f>
        <v/>
      </c>
      <c r="BJ549" s="329"/>
      <c r="BK549" s="167" t="str">
        <f>IF(ISBLANK(Inputs!$A32),"",
IF(BI549="--","Solved",
IF(ABS(BI549)&lt;=0.001,"Solved",BG549-BI549*(BG549-BC549)/(BI549-BE549))))</f>
        <v/>
      </c>
      <c r="BL549" s="167"/>
      <c r="BM549" s="329" t="str">
        <f>IF(ISBLANK(Inputs!$A32),"",
IF(OR(BK549="Solved",BK549="--"),"--",
((Mat.Conc_Alpha.1*Mat.Conc_f.c*$AB549*MIN(BK549*Mat.Conc_Beta.1,$Y549))
+(Mat.Conc_Alpha.1*Mat.Conc_f.c*$V549*MAX(0,BK549*Mat.Conc_Beta.1-$Y549)))
-($J549*MIN(Mat.Rebar_f.y,(Mat.Rebar_epsilon.cl*($S549-BK549)/BK549)*Mat.PT_E.s))
-($M549*Mat.PT_f.pu*(1-Mat.PT_k*BK549/$P549))))</f>
        <v/>
      </c>
      <c r="BN549" s="329"/>
      <c r="BO549" s="167" t="str">
        <f>IF(ISBLANK(Inputs!$A32),"",
IF(BM549="--","Solved",
IF(ABS(BM549)&lt;=0.001,"Solved",BK549-BM549*(BK549-BG549)/(BM549-BI549))))</f>
        <v/>
      </c>
      <c r="BP549" s="167"/>
      <c r="BQ549" s="329" t="str">
        <f>IF(ISBLANK(Inputs!$A32),"",
IF(OR(BO549="Solved",BO549="--"),"--",
((Mat.Conc_Alpha.1*Mat.Conc_f.c*$AB549*MIN(BO549*Mat.Conc_Beta.1,$Y549))
+(Mat.Conc_Alpha.1*Mat.Conc_f.c*$V549*MAX(0,BO549*Mat.Conc_Beta.1-$Y549)))
-($J549*MIN(Mat.Rebar_f.y,(Mat.Rebar_epsilon.cl*($S549-BO549)/BO549)*Mat.PT_E.s))
-($M549*Mat.PT_f.pu*(1-Mat.PT_k*BO549/$P549))))</f>
        <v/>
      </c>
      <c r="BR549" s="329"/>
      <c r="BS549" s="70"/>
      <c r="BT549" s="70"/>
      <c r="BU549" s="70"/>
      <c r="BV549" s="70"/>
      <c r="BW549" s="8"/>
      <c r="BX549" s="8"/>
      <c r="BY549" s="8"/>
      <c r="BZ549" s="8"/>
      <c r="CA549" s="8"/>
      <c r="CB549" s="10"/>
    </row>
    <row r="550" spans="3:80" ht="15" customHeight="1" x14ac:dyDescent="0.25">
      <c r="C550" s="69"/>
      <c r="F550" s="167" t="str">
        <f>IF(ISBLANK(Inputs!A33),"",Inputs!A33)</f>
        <v/>
      </c>
      <c r="G550" s="167"/>
      <c r="H550" s="167" t="str">
        <f>IF(ISBLANK(Inputs!B33),"",Inputs!B33)</f>
        <v/>
      </c>
      <c r="I550" s="167"/>
      <c r="J550" s="168" t="str">
        <f>IF(ISBLANK(Inputs!K33),"",Inputs!K33)</f>
        <v/>
      </c>
      <c r="K550" s="168"/>
      <c r="L550" s="168"/>
      <c r="M550" s="168" t="str">
        <f>IF(ISBLANK(Inputs!D33),"",Inputs!D33)</f>
        <v/>
      </c>
      <c r="N550" s="168"/>
      <c r="O550" s="168"/>
      <c r="P550" s="168" t="str">
        <f>IF(ISBLANK(Inputs!F33),"",Inputs!$B$10-Inputs!F33)</f>
        <v/>
      </c>
      <c r="Q550" s="168"/>
      <c r="R550" s="168"/>
      <c r="S550" s="168" t="str">
        <f>IF(ISBLANK(Inputs!L33),"",Inputs!L33)</f>
        <v/>
      </c>
      <c r="T550" s="168"/>
      <c r="U550" s="168"/>
      <c r="V550" s="168" t="str">
        <f>IF(ISBLANK(Inputs!E33),"",Inputs!E33)</f>
        <v/>
      </c>
      <c r="W550" s="168"/>
      <c r="X550" s="168"/>
      <c r="Y550" s="168" t="str">
        <f>IF(ISBLANK(Inputs!M33),"",Inputs!M33)</f>
        <v/>
      </c>
      <c r="Z550" s="168"/>
      <c r="AA550" s="168"/>
      <c r="AB550" s="168" t="str">
        <f>IF(ISBLANK(Inputs!N33),"",Inputs!N33)</f>
        <v/>
      </c>
      <c r="AC550" s="168"/>
      <c r="AD550" s="168"/>
      <c r="AE550" s="371" t="str">
        <f>IF(ISBLANK(Inputs!A33),"",Y550)</f>
        <v/>
      </c>
      <c r="AF550" s="371"/>
      <c r="AG550" s="329" t="str">
        <f>IF(ISBLANK(Inputs!$A33),"",
IF(OR(AE550="Solved",AE550="--"),"--",
((Mat.Conc_Alpha.1*Mat.Conc_f.c*$AB550*MIN(AE550*Mat.Conc_Beta.1,$Y550))
+(Mat.Conc_Alpha.1*Mat.Conc_f.c*$V550*MAX(0,AE550*Mat.Conc_Beta.1-$Y550)))
-($J550*MIN(Mat.Rebar_f.y,(Mat.Rebar_epsilon.cl*($S550-AE550)/AE550)*Mat.PT_E.s))
-($M550*Mat.PT_f.pu*(1-Mat.PT_k*AE550/$P550))))</f>
        <v/>
      </c>
      <c r="AH550" s="329"/>
      <c r="AI550" s="167" t="str">
        <f>IF(ISBLANK(Inputs!$A33),"",
IF(ABS(AG550)&lt;=0.001,"Solved",IF(AG550&gt;0,0.85*AE550,1.15*AE550)))</f>
        <v/>
      </c>
      <c r="AJ550" s="167"/>
      <c r="AK550" s="329" t="str">
        <f>IF(ISBLANK(Inputs!$A33),"",
IF(OR(AI550="Solved",AI550="--"),"--",
((Mat.Conc_Alpha.1*Mat.Conc_f.c*$AB550*MIN(AI550*Mat.Conc_Beta.1,$Y550))
+(Mat.Conc_Alpha.1*Mat.Conc_f.c*$V550*MAX(0,AI550*Mat.Conc_Beta.1-$Y550)))
-($J550*MIN(Mat.Rebar_f.y,(Mat.Rebar_epsilon.cl*($S550-AI550)/AI550)*Mat.PT_E.s))
-($M550*Mat.PT_f.pu*(1-Mat.PT_k*AI550/$P550))))</f>
        <v/>
      </c>
      <c r="AL550" s="329"/>
      <c r="AM550" s="167" t="str">
        <f>IF(ISBLANK(Inputs!$A33),"",
IF(AK550="--","Solved",
IF(ABS(AK550)&lt;=0.001,"Solved",AI550-AK550*(AI550-AE550)/(AK550-AG550))))</f>
        <v/>
      </c>
      <c r="AN550" s="167"/>
      <c r="AO550" s="329" t="str">
        <f>IF(ISBLANK(Inputs!$A33),"",
IF(OR(AM550="Solved",AM550="--"),"--",
((Mat.Conc_Alpha.1*Mat.Conc_f.c*$AB550*MIN(AM550*Mat.Conc_Beta.1,$Y550))
+(Mat.Conc_Alpha.1*Mat.Conc_f.c*$V550*MAX(0,AM550*Mat.Conc_Beta.1-$Y550)))
-($J550*MIN(Mat.Rebar_f.y,(Mat.Rebar_epsilon.cl*($S550-AM550)/AM550)*Mat.PT_E.s))
-($M550*Mat.PT_f.pu*(1-Mat.PT_k*AM550/$P550))))</f>
        <v/>
      </c>
      <c r="AP550" s="329"/>
      <c r="AQ550" s="167" t="str">
        <f>IF(ISBLANK(Inputs!$A33),"",
IF(AO550="--","Solved",
IF(ABS(AO550)&lt;=0.001,"Solved",AM550-AO550*(AM550-AI550)/(AO550-AK550))))</f>
        <v/>
      </c>
      <c r="AR550" s="167"/>
      <c r="AS550" s="329" t="str">
        <f>IF(ISBLANK(Inputs!$A33),"",
IF(OR(AQ550="Solved",AQ550="--"),"--",
((Mat.Conc_Alpha.1*Mat.Conc_f.c*$AB550*MIN(AQ550*Mat.Conc_Beta.1,$Y550))
+(Mat.Conc_Alpha.1*Mat.Conc_f.c*$V550*MAX(0,AQ550*Mat.Conc_Beta.1-$Y550)))
-($J550*MIN(Mat.Rebar_f.y,(Mat.Rebar_epsilon.cl*($S550-AQ550)/AQ550)*Mat.PT_E.s))
-($M550*Mat.PT_f.pu*(1-Mat.PT_k*AQ550/$P550))))</f>
        <v/>
      </c>
      <c r="AT550" s="329"/>
      <c r="AU550" s="167" t="str">
        <f>IF(ISBLANK(Inputs!$A33),"",
IF(AS550="--","Solved",
IF(ABS(AS550)&lt;=0.001,"Solved",AQ550-AS550*(AQ550-AM550)/(AS550-AO550))))</f>
        <v/>
      </c>
      <c r="AV550" s="167"/>
      <c r="AW550" s="329" t="str">
        <f>IF(ISBLANK(Inputs!$A33),"",
IF(OR(AU550="Solved",AU550="--"),"--",
((Mat.Conc_Alpha.1*Mat.Conc_f.c*$AB550*MIN(AU550*Mat.Conc_Beta.1,$Y550))
+(Mat.Conc_Alpha.1*Mat.Conc_f.c*$V550*MAX(0,AU550*Mat.Conc_Beta.1-$Y550)))
-($J550*MIN(Mat.Rebar_f.y,(Mat.Rebar_epsilon.cl*($S550-AU550)/AU550)*Mat.PT_E.s))
-($M550*Mat.PT_f.pu*(1-Mat.PT_k*AU550/$P550))))</f>
        <v/>
      </c>
      <c r="AX550" s="329"/>
      <c r="AY550" s="167" t="str">
        <f>IF(ISBLANK(Inputs!$A33),"",
IF(AW550="--","Solved",
IF(ABS(AW550)&lt;=0.001,"Solved",AU550-AW550*(AU550-AQ550)/(AW550-AS550))))</f>
        <v/>
      </c>
      <c r="AZ550" s="167"/>
      <c r="BA550" s="329" t="str">
        <f>IF(ISBLANK(Inputs!$A33),"",
IF(OR(AY550="Solved",AY550="--"),"--",
((Mat.Conc_Alpha.1*Mat.Conc_f.c*$AB550*MIN(AY550*Mat.Conc_Beta.1,$Y550))
+(Mat.Conc_Alpha.1*Mat.Conc_f.c*$V550*MAX(0,AY550*Mat.Conc_Beta.1-$Y550)))
-($J550*MIN(Mat.Rebar_f.y,(Mat.Rebar_epsilon.cl*($S550-AY550)/AY550)*Mat.PT_E.s))
-($M550*Mat.PT_f.pu*(1-Mat.PT_k*AY550/$P550))))</f>
        <v/>
      </c>
      <c r="BB550" s="329"/>
      <c r="BC550" s="167" t="str">
        <f>IF(ISBLANK(Inputs!$A33),"",
IF(BA550="--","Solved",
IF(ABS(BA550)&lt;=0.001,"Solved",AY550-BA550*(AY550-AU550)/(BA550-AW550))))</f>
        <v/>
      </c>
      <c r="BD550" s="167"/>
      <c r="BE550" s="329" t="str">
        <f>IF(ISBLANK(Inputs!$A33),"",
IF(OR(BC550="Solved",BC550="--"),"--",
((Mat.Conc_Alpha.1*Mat.Conc_f.c*$AB550*MIN(BC550*Mat.Conc_Beta.1,$Y550))
+(Mat.Conc_Alpha.1*Mat.Conc_f.c*$V550*MAX(0,BC550*Mat.Conc_Beta.1-$Y550)))
-($J550*MIN(Mat.Rebar_f.y,(Mat.Rebar_epsilon.cl*($S550-BC550)/BC550)*Mat.PT_E.s))
-($M550*Mat.PT_f.pu*(1-Mat.PT_k*BC550/$P550))))</f>
        <v/>
      </c>
      <c r="BF550" s="329"/>
      <c r="BG550" s="167" t="str">
        <f>IF(ISBLANK(Inputs!$A33),"",
IF(BE550="--","Solved",
IF(ABS(BE550)&lt;=0.001,"Solved",BC550-BE550*(BC550-AY550)/(BE550-BA550))))</f>
        <v/>
      </c>
      <c r="BH550" s="167"/>
      <c r="BI550" s="329" t="str">
        <f>IF(ISBLANK(Inputs!$A33),"",
IF(OR(BG550="Solved",BG550="--"),"--",
((Mat.Conc_Alpha.1*Mat.Conc_f.c*$AB550*MIN(BG550*Mat.Conc_Beta.1,$Y550))
+(Mat.Conc_Alpha.1*Mat.Conc_f.c*$V550*MAX(0,BG550*Mat.Conc_Beta.1-$Y550)))
-($J550*MIN(Mat.Rebar_f.y,(Mat.Rebar_epsilon.cl*($S550-BG550)/BG550)*Mat.PT_E.s))
-($M550*Mat.PT_f.pu*(1-Mat.PT_k*BG550/$P550))))</f>
        <v/>
      </c>
      <c r="BJ550" s="329"/>
      <c r="BK550" s="167" t="str">
        <f>IF(ISBLANK(Inputs!$A33),"",
IF(BI550="--","Solved",
IF(ABS(BI550)&lt;=0.001,"Solved",BG550-BI550*(BG550-BC550)/(BI550-BE550))))</f>
        <v/>
      </c>
      <c r="BL550" s="167"/>
      <c r="BM550" s="329" t="str">
        <f>IF(ISBLANK(Inputs!$A33),"",
IF(OR(BK550="Solved",BK550="--"),"--",
((Mat.Conc_Alpha.1*Mat.Conc_f.c*$AB550*MIN(BK550*Mat.Conc_Beta.1,$Y550))
+(Mat.Conc_Alpha.1*Mat.Conc_f.c*$V550*MAX(0,BK550*Mat.Conc_Beta.1-$Y550)))
-($J550*MIN(Mat.Rebar_f.y,(Mat.Rebar_epsilon.cl*($S550-BK550)/BK550)*Mat.PT_E.s))
-($M550*Mat.PT_f.pu*(1-Mat.PT_k*BK550/$P550))))</f>
        <v/>
      </c>
      <c r="BN550" s="329"/>
      <c r="BO550" s="167" t="str">
        <f>IF(ISBLANK(Inputs!$A33),"",
IF(BM550="--","Solved",
IF(ABS(BM550)&lt;=0.001,"Solved",BK550-BM550*(BK550-BG550)/(BM550-BI550))))</f>
        <v/>
      </c>
      <c r="BP550" s="167"/>
      <c r="BQ550" s="329" t="str">
        <f>IF(ISBLANK(Inputs!$A33),"",
IF(OR(BO550="Solved",BO550="--"),"--",
((Mat.Conc_Alpha.1*Mat.Conc_f.c*$AB550*MIN(BO550*Mat.Conc_Beta.1,$Y550))
+(Mat.Conc_Alpha.1*Mat.Conc_f.c*$V550*MAX(0,BO550*Mat.Conc_Beta.1-$Y550)))
-($J550*MIN(Mat.Rebar_f.y,(Mat.Rebar_epsilon.cl*($S550-BO550)/BO550)*Mat.PT_E.s))
-($M550*Mat.PT_f.pu*(1-Mat.PT_k*BO550/$P550))))</f>
        <v/>
      </c>
      <c r="BR550" s="329"/>
      <c r="BS550" s="70"/>
      <c r="BT550" s="70"/>
      <c r="BU550" s="70"/>
      <c r="BV550" s="70"/>
      <c r="BW550" s="8"/>
      <c r="BX550" s="8"/>
      <c r="BY550" s="8"/>
      <c r="BZ550" s="8"/>
      <c r="CA550" s="8"/>
      <c r="CB550" s="10"/>
    </row>
    <row r="551" spans="3:80" ht="15" customHeight="1" x14ac:dyDescent="0.25">
      <c r="C551" s="69"/>
      <c r="F551" s="167" t="str">
        <f>IF(ISBLANK(Inputs!A34),"",Inputs!A34)</f>
        <v/>
      </c>
      <c r="G551" s="167"/>
      <c r="H551" s="167" t="str">
        <f>IF(ISBLANK(Inputs!B34),"",Inputs!B34)</f>
        <v/>
      </c>
      <c r="I551" s="167"/>
      <c r="J551" s="168" t="str">
        <f>IF(ISBLANK(Inputs!K34),"",Inputs!K34)</f>
        <v/>
      </c>
      <c r="K551" s="168"/>
      <c r="L551" s="168"/>
      <c r="M551" s="168" t="str">
        <f>IF(ISBLANK(Inputs!D34),"",Inputs!D34)</f>
        <v/>
      </c>
      <c r="N551" s="168"/>
      <c r="O551" s="168"/>
      <c r="P551" s="168" t="str">
        <f>IF(ISBLANK(Inputs!F34),"",Inputs!$B$10-Inputs!F34)</f>
        <v/>
      </c>
      <c r="Q551" s="168"/>
      <c r="R551" s="168"/>
      <c r="S551" s="168" t="str">
        <f>IF(ISBLANK(Inputs!L34),"",Inputs!L34)</f>
        <v/>
      </c>
      <c r="T551" s="168"/>
      <c r="U551" s="168"/>
      <c r="V551" s="168" t="str">
        <f>IF(ISBLANK(Inputs!E34),"",Inputs!E34)</f>
        <v/>
      </c>
      <c r="W551" s="168"/>
      <c r="X551" s="168"/>
      <c r="Y551" s="168" t="str">
        <f>IF(ISBLANK(Inputs!M34),"",Inputs!M34)</f>
        <v/>
      </c>
      <c r="Z551" s="168"/>
      <c r="AA551" s="168"/>
      <c r="AB551" s="168" t="str">
        <f>IF(ISBLANK(Inputs!N34),"",Inputs!N34)</f>
        <v/>
      </c>
      <c r="AC551" s="168"/>
      <c r="AD551" s="168"/>
      <c r="AE551" s="371" t="str">
        <f>IF(ISBLANK(Inputs!A34),"",Y551)</f>
        <v/>
      </c>
      <c r="AF551" s="371"/>
      <c r="AG551" s="329" t="str">
        <f>IF(ISBLANK(Inputs!$A34),"",
IF(OR(AE551="Solved",AE551="--"),"--",
((Mat.Conc_Alpha.1*Mat.Conc_f.c*$AB551*MIN(AE551*Mat.Conc_Beta.1,$Y551))
+(Mat.Conc_Alpha.1*Mat.Conc_f.c*$V551*MAX(0,AE551*Mat.Conc_Beta.1-$Y551)))
-($J551*MIN(Mat.Rebar_f.y,(Mat.Rebar_epsilon.cl*($S551-AE551)/AE551)*Mat.PT_E.s))
-($M551*Mat.PT_f.pu*(1-Mat.PT_k*AE551/$P551))))</f>
        <v/>
      </c>
      <c r="AH551" s="329"/>
      <c r="AI551" s="167" t="str">
        <f>IF(ISBLANK(Inputs!$A34),"",
IF(ABS(AG551)&lt;=0.001,"Solved",IF(AG551&gt;0,0.85*AE551,1.15*AE551)))</f>
        <v/>
      </c>
      <c r="AJ551" s="167"/>
      <c r="AK551" s="329" t="str">
        <f>IF(ISBLANK(Inputs!$A34),"",
IF(OR(AI551="Solved",AI551="--"),"--",
((Mat.Conc_Alpha.1*Mat.Conc_f.c*$AB551*MIN(AI551*Mat.Conc_Beta.1,$Y551))
+(Mat.Conc_Alpha.1*Mat.Conc_f.c*$V551*MAX(0,AI551*Mat.Conc_Beta.1-$Y551)))
-($J551*MIN(Mat.Rebar_f.y,(Mat.Rebar_epsilon.cl*($S551-AI551)/AI551)*Mat.PT_E.s))
-($M551*Mat.PT_f.pu*(1-Mat.PT_k*AI551/$P551))))</f>
        <v/>
      </c>
      <c r="AL551" s="329"/>
      <c r="AM551" s="167" t="str">
        <f>IF(ISBLANK(Inputs!$A34),"",
IF(AK551="--","Solved",
IF(ABS(AK551)&lt;=0.001,"Solved",AI551-AK551*(AI551-AE551)/(AK551-AG551))))</f>
        <v/>
      </c>
      <c r="AN551" s="167"/>
      <c r="AO551" s="329" t="str">
        <f>IF(ISBLANK(Inputs!$A34),"",
IF(OR(AM551="Solved",AM551="--"),"--",
((Mat.Conc_Alpha.1*Mat.Conc_f.c*$AB551*MIN(AM551*Mat.Conc_Beta.1,$Y551))
+(Mat.Conc_Alpha.1*Mat.Conc_f.c*$V551*MAX(0,AM551*Mat.Conc_Beta.1-$Y551)))
-($J551*MIN(Mat.Rebar_f.y,(Mat.Rebar_epsilon.cl*($S551-AM551)/AM551)*Mat.PT_E.s))
-($M551*Mat.PT_f.pu*(1-Mat.PT_k*AM551/$P551))))</f>
        <v/>
      </c>
      <c r="AP551" s="329"/>
      <c r="AQ551" s="167" t="str">
        <f>IF(ISBLANK(Inputs!$A34),"",
IF(AO551="--","Solved",
IF(ABS(AO551)&lt;=0.001,"Solved",AM551-AO551*(AM551-AI551)/(AO551-AK551))))</f>
        <v/>
      </c>
      <c r="AR551" s="167"/>
      <c r="AS551" s="329" t="str">
        <f>IF(ISBLANK(Inputs!$A34),"",
IF(OR(AQ551="Solved",AQ551="--"),"--",
((Mat.Conc_Alpha.1*Mat.Conc_f.c*$AB551*MIN(AQ551*Mat.Conc_Beta.1,$Y551))
+(Mat.Conc_Alpha.1*Mat.Conc_f.c*$V551*MAX(0,AQ551*Mat.Conc_Beta.1-$Y551)))
-($J551*MIN(Mat.Rebar_f.y,(Mat.Rebar_epsilon.cl*($S551-AQ551)/AQ551)*Mat.PT_E.s))
-($M551*Mat.PT_f.pu*(1-Mat.PT_k*AQ551/$P551))))</f>
        <v/>
      </c>
      <c r="AT551" s="329"/>
      <c r="AU551" s="167" t="str">
        <f>IF(ISBLANK(Inputs!$A34),"",
IF(AS551="--","Solved",
IF(ABS(AS551)&lt;=0.001,"Solved",AQ551-AS551*(AQ551-AM551)/(AS551-AO551))))</f>
        <v/>
      </c>
      <c r="AV551" s="167"/>
      <c r="AW551" s="329" t="str">
        <f>IF(ISBLANK(Inputs!$A34),"",
IF(OR(AU551="Solved",AU551="--"),"--",
((Mat.Conc_Alpha.1*Mat.Conc_f.c*$AB551*MIN(AU551*Mat.Conc_Beta.1,$Y551))
+(Mat.Conc_Alpha.1*Mat.Conc_f.c*$V551*MAX(0,AU551*Mat.Conc_Beta.1-$Y551)))
-($J551*MIN(Mat.Rebar_f.y,(Mat.Rebar_epsilon.cl*($S551-AU551)/AU551)*Mat.PT_E.s))
-($M551*Mat.PT_f.pu*(1-Mat.PT_k*AU551/$P551))))</f>
        <v/>
      </c>
      <c r="AX551" s="329"/>
      <c r="AY551" s="167" t="str">
        <f>IF(ISBLANK(Inputs!$A34),"",
IF(AW551="--","Solved",
IF(ABS(AW551)&lt;=0.001,"Solved",AU551-AW551*(AU551-AQ551)/(AW551-AS551))))</f>
        <v/>
      </c>
      <c r="AZ551" s="167"/>
      <c r="BA551" s="329" t="str">
        <f>IF(ISBLANK(Inputs!$A34),"",
IF(OR(AY551="Solved",AY551="--"),"--",
((Mat.Conc_Alpha.1*Mat.Conc_f.c*$AB551*MIN(AY551*Mat.Conc_Beta.1,$Y551))
+(Mat.Conc_Alpha.1*Mat.Conc_f.c*$V551*MAX(0,AY551*Mat.Conc_Beta.1-$Y551)))
-($J551*MIN(Mat.Rebar_f.y,(Mat.Rebar_epsilon.cl*($S551-AY551)/AY551)*Mat.PT_E.s))
-($M551*Mat.PT_f.pu*(1-Mat.PT_k*AY551/$P551))))</f>
        <v/>
      </c>
      <c r="BB551" s="329"/>
      <c r="BC551" s="167" t="str">
        <f>IF(ISBLANK(Inputs!$A34),"",
IF(BA551="--","Solved",
IF(ABS(BA551)&lt;=0.001,"Solved",AY551-BA551*(AY551-AU551)/(BA551-AW551))))</f>
        <v/>
      </c>
      <c r="BD551" s="167"/>
      <c r="BE551" s="329" t="str">
        <f>IF(ISBLANK(Inputs!$A34),"",
IF(OR(BC551="Solved",BC551="--"),"--",
((Mat.Conc_Alpha.1*Mat.Conc_f.c*$AB551*MIN(BC551*Mat.Conc_Beta.1,$Y551))
+(Mat.Conc_Alpha.1*Mat.Conc_f.c*$V551*MAX(0,BC551*Mat.Conc_Beta.1-$Y551)))
-($J551*MIN(Mat.Rebar_f.y,(Mat.Rebar_epsilon.cl*($S551-BC551)/BC551)*Mat.PT_E.s))
-($M551*Mat.PT_f.pu*(1-Mat.PT_k*BC551/$P551))))</f>
        <v/>
      </c>
      <c r="BF551" s="329"/>
      <c r="BG551" s="167" t="str">
        <f>IF(ISBLANK(Inputs!$A34),"",
IF(BE551="--","Solved",
IF(ABS(BE551)&lt;=0.001,"Solved",BC551-BE551*(BC551-AY551)/(BE551-BA551))))</f>
        <v/>
      </c>
      <c r="BH551" s="167"/>
      <c r="BI551" s="329" t="str">
        <f>IF(ISBLANK(Inputs!$A34),"",
IF(OR(BG551="Solved",BG551="--"),"--",
((Mat.Conc_Alpha.1*Mat.Conc_f.c*$AB551*MIN(BG551*Mat.Conc_Beta.1,$Y551))
+(Mat.Conc_Alpha.1*Mat.Conc_f.c*$V551*MAX(0,BG551*Mat.Conc_Beta.1-$Y551)))
-($J551*MIN(Mat.Rebar_f.y,(Mat.Rebar_epsilon.cl*($S551-BG551)/BG551)*Mat.PT_E.s))
-($M551*Mat.PT_f.pu*(1-Mat.PT_k*BG551/$P551))))</f>
        <v/>
      </c>
      <c r="BJ551" s="329"/>
      <c r="BK551" s="167" t="str">
        <f>IF(ISBLANK(Inputs!$A34),"",
IF(BI551="--","Solved",
IF(ABS(BI551)&lt;=0.001,"Solved",BG551-BI551*(BG551-BC551)/(BI551-BE551))))</f>
        <v/>
      </c>
      <c r="BL551" s="167"/>
      <c r="BM551" s="329" t="str">
        <f>IF(ISBLANK(Inputs!$A34),"",
IF(OR(BK551="Solved",BK551="--"),"--",
((Mat.Conc_Alpha.1*Mat.Conc_f.c*$AB551*MIN(BK551*Mat.Conc_Beta.1,$Y551))
+(Mat.Conc_Alpha.1*Mat.Conc_f.c*$V551*MAX(0,BK551*Mat.Conc_Beta.1-$Y551)))
-($J551*MIN(Mat.Rebar_f.y,(Mat.Rebar_epsilon.cl*($S551-BK551)/BK551)*Mat.PT_E.s))
-($M551*Mat.PT_f.pu*(1-Mat.PT_k*BK551/$P551))))</f>
        <v/>
      </c>
      <c r="BN551" s="329"/>
      <c r="BO551" s="167" t="str">
        <f>IF(ISBLANK(Inputs!$A34),"",
IF(BM551="--","Solved",
IF(ABS(BM551)&lt;=0.001,"Solved",BK551-BM551*(BK551-BG551)/(BM551-BI551))))</f>
        <v/>
      </c>
      <c r="BP551" s="167"/>
      <c r="BQ551" s="329" t="str">
        <f>IF(ISBLANK(Inputs!$A34),"",
IF(OR(BO551="Solved",BO551="--"),"--",
((Mat.Conc_Alpha.1*Mat.Conc_f.c*$AB551*MIN(BO551*Mat.Conc_Beta.1,$Y551))
+(Mat.Conc_Alpha.1*Mat.Conc_f.c*$V551*MAX(0,BO551*Mat.Conc_Beta.1-$Y551)))
-($J551*MIN(Mat.Rebar_f.y,(Mat.Rebar_epsilon.cl*($S551-BO551)/BO551)*Mat.PT_E.s))
-($M551*Mat.PT_f.pu*(1-Mat.PT_k*BO551/$P551))))</f>
        <v/>
      </c>
      <c r="BR551" s="329"/>
      <c r="BS551" s="70"/>
      <c r="BT551" s="70"/>
      <c r="BU551" s="70"/>
      <c r="BV551" s="70"/>
      <c r="BW551" s="8"/>
      <c r="BX551" s="8"/>
      <c r="BY551" s="8"/>
      <c r="BZ551" s="8"/>
      <c r="CA551" s="8"/>
      <c r="CB551" s="10"/>
    </row>
    <row r="552" spans="3:80" ht="15" customHeight="1" x14ac:dyDescent="0.25">
      <c r="C552" s="69"/>
      <c r="F552" s="167" t="str">
        <f>IF(ISBLANK(Inputs!A35),"",Inputs!A35)</f>
        <v/>
      </c>
      <c r="G552" s="167"/>
      <c r="H552" s="167" t="str">
        <f>IF(ISBLANK(Inputs!B35),"",Inputs!B35)</f>
        <v/>
      </c>
      <c r="I552" s="167"/>
      <c r="J552" s="168" t="str">
        <f>IF(ISBLANK(Inputs!K35),"",Inputs!K35)</f>
        <v/>
      </c>
      <c r="K552" s="168"/>
      <c r="L552" s="168"/>
      <c r="M552" s="168" t="str">
        <f>IF(ISBLANK(Inputs!D35),"",Inputs!D35)</f>
        <v/>
      </c>
      <c r="N552" s="168"/>
      <c r="O552" s="168"/>
      <c r="P552" s="168" t="str">
        <f>IF(ISBLANK(Inputs!F35),"",Inputs!$B$10-Inputs!F35)</f>
        <v/>
      </c>
      <c r="Q552" s="168"/>
      <c r="R552" s="168"/>
      <c r="S552" s="168" t="str">
        <f>IF(ISBLANK(Inputs!L35),"",Inputs!L35)</f>
        <v/>
      </c>
      <c r="T552" s="168"/>
      <c r="U552" s="168"/>
      <c r="V552" s="168" t="str">
        <f>IF(ISBLANK(Inputs!E35),"",Inputs!E35)</f>
        <v/>
      </c>
      <c r="W552" s="168"/>
      <c r="X552" s="168"/>
      <c r="Y552" s="168" t="str">
        <f>IF(ISBLANK(Inputs!M35),"",Inputs!M35)</f>
        <v/>
      </c>
      <c r="Z552" s="168"/>
      <c r="AA552" s="168"/>
      <c r="AB552" s="168" t="str">
        <f>IF(ISBLANK(Inputs!N35),"",Inputs!N35)</f>
        <v/>
      </c>
      <c r="AC552" s="168"/>
      <c r="AD552" s="168"/>
      <c r="AE552" s="371" t="str">
        <f>IF(ISBLANK(Inputs!A35),"",Y552)</f>
        <v/>
      </c>
      <c r="AF552" s="371"/>
      <c r="AG552" s="329" t="str">
        <f>IF(ISBLANK(Inputs!$A35),"",
IF(OR(AE552="Solved",AE552="--"),"--",
((Mat.Conc_Alpha.1*Mat.Conc_f.c*$AB552*MIN(AE552*Mat.Conc_Beta.1,$Y552))
+(Mat.Conc_Alpha.1*Mat.Conc_f.c*$V552*MAX(0,AE552*Mat.Conc_Beta.1-$Y552)))
-($J552*MIN(Mat.Rebar_f.y,(Mat.Rebar_epsilon.cl*($S552-AE552)/AE552)*Mat.PT_E.s))
-($M552*Mat.PT_f.pu*(1-Mat.PT_k*AE552/$P552))))</f>
        <v/>
      </c>
      <c r="AH552" s="329"/>
      <c r="AI552" s="167" t="str">
        <f>IF(ISBLANK(Inputs!$A35),"",
IF(ABS(AG552)&lt;=0.001,"Solved",IF(AG552&gt;0,0.85*AE552,1.15*AE552)))</f>
        <v/>
      </c>
      <c r="AJ552" s="167"/>
      <c r="AK552" s="329" t="str">
        <f>IF(ISBLANK(Inputs!$A35),"",
IF(OR(AI552="Solved",AI552="--"),"--",
((Mat.Conc_Alpha.1*Mat.Conc_f.c*$AB552*MIN(AI552*Mat.Conc_Beta.1,$Y552))
+(Mat.Conc_Alpha.1*Mat.Conc_f.c*$V552*MAX(0,AI552*Mat.Conc_Beta.1-$Y552)))
-($J552*MIN(Mat.Rebar_f.y,(Mat.Rebar_epsilon.cl*($S552-AI552)/AI552)*Mat.PT_E.s))
-($M552*Mat.PT_f.pu*(1-Mat.PT_k*AI552/$P552))))</f>
        <v/>
      </c>
      <c r="AL552" s="329"/>
      <c r="AM552" s="167" t="str">
        <f>IF(ISBLANK(Inputs!$A35),"",
IF(AK552="--","Solved",
IF(ABS(AK552)&lt;=0.001,"Solved",AI552-AK552*(AI552-AE552)/(AK552-AG552))))</f>
        <v/>
      </c>
      <c r="AN552" s="167"/>
      <c r="AO552" s="329" t="str">
        <f>IF(ISBLANK(Inputs!$A35),"",
IF(OR(AM552="Solved",AM552="--"),"--",
((Mat.Conc_Alpha.1*Mat.Conc_f.c*$AB552*MIN(AM552*Mat.Conc_Beta.1,$Y552))
+(Mat.Conc_Alpha.1*Mat.Conc_f.c*$V552*MAX(0,AM552*Mat.Conc_Beta.1-$Y552)))
-($J552*MIN(Mat.Rebar_f.y,(Mat.Rebar_epsilon.cl*($S552-AM552)/AM552)*Mat.PT_E.s))
-($M552*Mat.PT_f.pu*(1-Mat.PT_k*AM552/$P552))))</f>
        <v/>
      </c>
      <c r="AP552" s="329"/>
      <c r="AQ552" s="167" t="str">
        <f>IF(ISBLANK(Inputs!$A35),"",
IF(AO552="--","Solved",
IF(ABS(AO552)&lt;=0.001,"Solved",AM552-AO552*(AM552-AI552)/(AO552-AK552))))</f>
        <v/>
      </c>
      <c r="AR552" s="167"/>
      <c r="AS552" s="329" t="str">
        <f>IF(ISBLANK(Inputs!$A35),"",
IF(OR(AQ552="Solved",AQ552="--"),"--",
((Mat.Conc_Alpha.1*Mat.Conc_f.c*$AB552*MIN(AQ552*Mat.Conc_Beta.1,$Y552))
+(Mat.Conc_Alpha.1*Mat.Conc_f.c*$V552*MAX(0,AQ552*Mat.Conc_Beta.1-$Y552)))
-($J552*MIN(Mat.Rebar_f.y,(Mat.Rebar_epsilon.cl*($S552-AQ552)/AQ552)*Mat.PT_E.s))
-($M552*Mat.PT_f.pu*(1-Mat.PT_k*AQ552/$P552))))</f>
        <v/>
      </c>
      <c r="AT552" s="329"/>
      <c r="AU552" s="167" t="str">
        <f>IF(ISBLANK(Inputs!$A35),"",
IF(AS552="--","Solved",
IF(ABS(AS552)&lt;=0.001,"Solved",AQ552-AS552*(AQ552-AM552)/(AS552-AO552))))</f>
        <v/>
      </c>
      <c r="AV552" s="167"/>
      <c r="AW552" s="329" t="str">
        <f>IF(ISBLANK(Inputs!$A35),"",
IF(OR(AU552="Solved",AU552="--"),"--",
((Mat.Conc_Alpha.1*Mat.Conc_f.c*$AB552*MIN(AU552*Mat.Conc_Beta.1,$Y552))
+(Mat.Conc_Alpha.1*Mat.Conc_f.c*$V552*MAX(0,AU552*Mat.Conc_Beta.1-$Y552)))
-($J552*MIN(Mat.Rebar_f.y,(Mat.Rebar_epsilon.cl*($S552-AU552)/AU552)*Mat.PT_E.s))
-($M552*Mat.PT_f.pu*(1-Mat.PT_k*AU552/$P552))))</f>
        <v/>
      </c>
      <c r="AX552" s="329"/>
      <c r="AY552" s="167" t="str">
        <f>IF(ISBLANK(Inputs!$A35),"",
IF(AW552="--","Solved",
IF(ABS(AW552)&lt;=0.001,"Solved",AU552-AW552*(AU552-AQ552)/(AW552-AS552))))</f>
        <v/>
      </c>
      <c r="AZ552" s="167"/>
      <c r="BA552" s="329" t="str">
        <f>IF(ISBLANK(Inputs!$A35),"",
IF(OR(AY552="Solved",AY552="--"),"--",
((Mat.Conc_Alpha.1*Mat.Conc_f.c*$AB552*MIN(AY552*Mat.Conc_Beta.1,$Y552))
+(Mat.Conc_Alpha.1*Mat.Conc_f.c*$V552*MAX(0,AY552*Mat.Conc_Beta.1-$Y552)))
-($J552*MIN(Mat.Rebar_f.y,(Mat.Rebar_epsilon.cl*($S552-AY552)/AY552)*Mat.PT_E.s))
-($M552*Mat.PT_f.pu*(1-Mat.PT_k*AY552/$P552))))</f>
        <v/>
      </c>
      <c r="BB552" s="329"/>
      <c r="BC552" s="167" t="str">
        <f>IF(ISBLANK(Inputs!$A35),"",
IF(BA552="--","Solved",
IF(ABS(BA552)&lt;=0.001,"Solved",AY552-BA552*(AY552-AU552)/(BA552-AW552))))</f>
        <v/>
      </c>
      <c r="BD552" s="167"/>
      <c r="BE552" s="329" t="str">
        <f>IF(ISBLANK(Inputs!$A35),"",
IF(OR(BC552="Solved",BC552="--"),"--",
((Mat.Conc_Alpha.1*Mat.Conc_f.c*$AB552*MIN(BC552*Mat.Conc_Beta.1,$Y552))
+(Mat.Conc_Alpha.1*Mat.Conc_f.c*$V552*MAX(0,BC552*Mat.Conc_Beta.1-$Y552)))
-($J552*MIN(Mat.Rebar_f.y,(Mat.Rebar_epsilon.cl*($S552-BC552)/BC552)*Mat.PT_E.s))
-($M552*Mat.PT_f.pu*(1-Mat.PT_k*BC552/$P552))))</f>
        <v/>
      </c>
      <c r="BF552" s="329"/>
      <c r="BG552" s="167" t="str">
        <f>IF(ISBLANK(Inputs!$A35),"",
IF(BE552="--","Solved",
IF(ABS(BE552)&lt;=0.001,"Solved",BC552-BE552*(BC552-AY552)/(BE552-BA552))))</f>
        <v/>
      </c>
      <c r="BH552" s="167"/>
      <c r="BI552" s="329" t="str">
        <f>IF(ISBLANK(Inputs!$A35),"",
IF(OR(BG552="Solved",BG552="--"),"--",
((Mat.Conc_Alpha.1*Mat.Conc_f.c*$AB552*MIN(BG552*Mat.Conc_Beta.1,$Y552))
+(Mat.Conc_Alpha.1*Mat.Conc_f.c*$V552*MAX(0,BG552*Mat.Conc_Beta.1-$Y552)))
-($J552*MIN(Mat.Rebar_f.y,(Mat.Rebar_epsilon.cl*($S552-BG552)/BG552)*Mat.PT_E.s))
-($M552*Mat.PT_f.pu*(1-Mat.PT_k*BG552/$P552))))</f>
        <v/>
      </c>
      <c r="BJ552" s="329"/>
      <c r="BK552" s="167" t="str">
        <f>IF(ISBLANK(Inputs!$A35),"",
IF(BI552="--","Solved",
IF(ABS(BI552)&lt;=0.001,"Solved",BG552-BI552*(BG552-BC552)/(BI552-BE552))))</f>
        <v/>
      </c>
      <c r="BL552" s="167"/>
      <c r="BM552" s="329" t="str">
        <f>IF(ISBLANK(Inputs!$A35),"",
IF(OR(BK552="Solved",BK552="--"),"--",
((Mat.Conc_Alpha.1*Mat.Conc_f.c*$AB552*MIN(BK552*Mat.Conc_Beta.1,$Y552))
+(Mat.Conc_Alpha.1*Mat.Conc_f.c*$V552*MAX(0,BK552*Mat.Conc_Beta.1-$Y552)))
-($J552*MIN(Mat.Rebar_f.y,(Mat.Rebar_epsilon.cl*($S552-BK552)/BK552)*Mat.PT_E.s))
-($M552*Mat.PT_f.pu*(1-Mat.PT_k*BK552/$P552))))</f>
        <v/>
      </c>
      <c r="BN552" s="329"/>
      <c r="BO552" s="167" t="str">
        <f>IF(ISBLANK(Inputs!$A35),"",
IF(BM552="--","Solved",
IF(ABS(BM552)&lt;=0.001,"Solved",BK552-BM552*(BK552-BG552)/(BM552-BI552))))</f>
        <v/>
      </c>
      <c r="BP552" s="167"/>
      <c r="BQ552" s="329" t="str">
        <f>IF(ISBLANK(Inputs!$A35),"",
IF(OR(BO552="Solved",BO552="--"),"--",
((Mat.Conc_Alpha.1*Mat.Conc_f.c*$AB552*MIN(BO552*Mat.Conc_Beta.1,$Y552))
+(Mat.Conc_Alpha.1*Mat.Conc_f.c*$V552*MAX(0,BO552*Mat.Conc_Beta.1-$Y552)))
-($J552*MIN(Mat.Rebar_f.y,(Mat.Rebar_epsilon.cl*($S552-BO552)/BO552)*Mat.PT_E.s))
-($M552*Mat.PT_f.pu*(1-Mat.PT_k*BO552/$P552))))</f>
        <v/>
      </c>
      <c r="BR552" s="329"/>
      <c r="BS552" s="70"/>
      <c r="BT552" s="70"/>
      <c r="BU552" s="70"/>
      <c r="BV552" s="70"/>
      <c r="BW552" s="8"/>
      <c r="BX552" s="8"/>
      <c r="BY552" s="8"/>
      <c r="BZ552" s="8"/>
      <c r="CA552" s="8"/>
      <c r="CB552" s="10"/>
    </row>
    <row r="553" spans="3:80" ht="15" customHeight="1" x14ac:dyDescent="0.25">
      <c r="C553" s="69"/>
      <c r="F553" s="167" t="str">
        <f>IF(ISBLANK(Inputs!A36),"",Inputs!A36)</f>
        <v/>
      </c>
      <c r="G553" s="167"/>
      <c r="H553" s="167" t="str">
        <f>IF(ISBLANK(Inputs!B36),"",Inputs!B36)</f>
        <v/>
      </c>
      <c r="I553" s="167"/>
      <c r="J553" s="168" t="str">
        <f>IF(ISBLANK(Inputs!K36),"",Inputs!K36)</f>
        <v/>
      </c>
      <c r="K553" s="168"/>
      <c r="L553" s="168"/>
      <c r="M553" s="168" t="str">
        <f>IF(ISBLANK(Inputs!D36),"",Inputs!D36)</f>
        <v/>
      </c>
      <c r="N553" s="168"/>
      <c r="O553" s="168"/>
      <c r="P553" s="168" t="str">
        <f>IF(ISBLANK(Inputs!F36),"",Inputs!$B$10-Inputs!F36)</f>
        <v/>
      </c>
      <c r="Q553" s="168"/>
      <c r="R553" s="168"/>
      <c r="S553" s="168" t="str">
        <f>IF(ISBLANK(Inputs!L36),"",Inputs!L36)</f>
        <v/>
      </c>
      <c r="T553" s="168"/>
      <c r="U553" s="168"/>
      <c r="V553" s="168" t="str">
        <f>IF(ISBLANK(Inputs!E36),"",Inputs!E36)</f>
        <v/>
      </c>
      <c r="W553" s="168"/>
      <c r="X553" s="168"/>
      <c r="Y553" s="168" t="str">
        <f>IF(ISBLANK(Inputs!M36),"",Inputs!M36)</f>
        <v/>
      </c>
      <c r="Z553" s="168"/>
      <c r="AA553" s="168"/>
      <c r="AB553" s="168" t="str">
        <f>IF(ISBLANK(Inputs!N36),"",Inputs!N36)</f>
        <v/>
      </c>
      <c r="AC553" s="168"/>
      <c r="AD553" s="168"/>
      <c r="AE553" s="371" t="str">
        <f>IF(ISBLANK(Inputs!A36),"",Y553)</f>
        <v/>
      </c>
      <c r="AF553" s="371"/>
      <c r="AG553" s="329" t="str">
        <f>IF(ISBLANK(Inputs!$A36),"",
IF(OR(AE553="Solved",AE553="--"),"--",
((Mat.Conc_Alpha.1*Mat.Conc_f.c*$AB553*MIN(AE553*Mat.Conc_Beta.1,$Y553))
+(Mat.Conc_Alpha.1*Mat.Conc_f.c*$V553*MAX(0,AE553*Mat.Conc_Beta.1-$Y553)))
-($J553*MIN(Mat.Rebar_f.y,(Mat.Rebar_epsilon.cl*($S553-AE553)/AE553)*Mat.PT_E.s))
-($M553*Mat.PT_f.pu*(1-Mat.PT_k*AE553/$P553))))</f>
        <v/>
      </c>
      <c r="AH553" s="329"/>
      <c r="AI553" s="167" t="str">
        <f>IF(ISBLANK(Inputs!$A36),"",
IF(ABS(AG553)&lt;=0.001,"Solved",IF(AG553&gt;0,0.85*AE553,1.15*AE553)))</f>
        <v/>
      </c>
      <c r="AJ553" s="167"/>
      <c r="AK553" s="329" t="str">
        <f>IF(ISBLANK(Inputs!$A36),"",
IF(OR(AI553="Solved",AI553="--"),"--",
((Mat.Conc_Alpha.1*Mat.Conc_f.c*$AB553*MIN(AI553*Mat.Conc_Beta.1,$Y553))
+(Mat.Conc_Alpha.1*Mat.Conc_f.c*$V553*MAX(0,AI553*Mat.Conc_Beta.1-$Y553)))
-($J553*MIN(Mat.Rebar_f.y,(Mat.Rebar_epsilon.cl*($S553-AI553)/AI553)*Mat.PT_E.s))
-($M553*Mat.PT_f.pu*(1-Mat.PT_k*AI553/$P553))))</f>
        <v/>
      </c>
      <c r="AL553" s="329"/>
      <c r="AM553" s="167" t="str">
        <f>IF(ISBLANK(Inputs!$A36),"",
IF(AK553="--","Solved",
IF(ABS(AK553)&lt;=0.001,"Solved",AI553-AK553*(AI553-AE553)/(AK553-AG553))))</f>
        <v/>
      </c>
      <c r="AN553" s="167"/>
      <c r="AO553" s="329" t="str">
        <f>IF(ISBLANK(Inputs!$A36),"",
IF(OR(AM553="Solved",AM553="--"),"--",
((Mat.Conc_Alpha.1*Mat.Conc_f.c*$AB553*MIN(AM553*Mat.Conc_Beta.1,$Y553))
+(Mat.Conc_Alpha.1*Mat.Conc_f.c*$V553*MAX(0,AM553*Mat.Conc_Beta.1-$Y553)))
-($J553*MIN(Mat.Rebar_f.y,(Mat.Rebar_epsilon.cl*($S553-AM553)/AM553)*Mat.PT_E.s))
-($M553*Mat.PT_f.pu*(1-Mat.PT_k*AM553/$P553))))</f>
        <v/>
      </c>
      <c r="AP553" s="329"/>
      <c r="AQ553" s="167" t="str">
        <f>IF(ISBLANK(Inputs!$A36),"",
IF(AO553="--","Solved",
IF(ABS(AO553)&lt;=0.001,"Solved",AM553-AO553*(AM553-AI553)/(AO553-AK553))))</f>
        <v/>
      </c>
      <c r="AR553" s="167"/>
      <c r="AS553" s="329" t="str">
        <f>IF(ISBLANK(Inputs!$A36),"",
IF(OR(AQ553="Solved",AQ553="--"),"--",
((Mat.Conc_Alpha.1*Mat.Conc_f.c*$AB553*MIN(AQ553*Mat.Conc_Beta.1,$Y553))
+(Mat.Conc_Alpha.1*Mat.Conc_f.c*$V553*MAX(0,AQ553*Mat.Conc_Beta.1-$Y553)))
-($J553*MIN(Mat.Rebar_f.y,(Mat.Rebar_epsilon.cl*($S553-AQ553)/AQ553)*Mat.PT_E.s))
-($M553*Mat.PT_f.pu*(1-Mat.PT_k*AQ553/$P553))))</f>
        <v/>
      </c>
      <c r="AT553" s="329"/>
      <c r="AU553" s="167" t="str">
        <f>IF(ISBLANK(Inputs!$A36),"",
IF(AS553="--","Solved",
IF(ABS(AS553)&lt;=0.001,"Solved",AQ553-AS553*(AQ553-AM553)/(AS553-AO553))))</f>
        <v/>
      </c>
      <c r="AV553" s="167"/>
      <c r="AW553" s="329" t="str">
        <f>IF(ISBLANK(Inputs!$A36),"",
IF(OR(AU553="Solved",AU553="--"),"--",
((Mat.Conc_Alpha.1*Mat.Conc_f.c*$AB553*MIN(AU553*Mat.Conc_Beta.1,$Y553))
+(Mat.Conc_Alpha.1*Mat.Conc_f.c*$V553*MAX(0,AU553*Mat.Conc_Beta.1-$Y553)))
-($J553*MIN(Mat.Rebar_f.y,(Mat.Rebar_epsilon.cl*($S553-AU553)/AU553)*Mat.PT_E.s))
-($M553*Mat.PT_f.pu*(1-Mat.PT_k*AU553/$P553))))</f>
        <v/>
      </c>
      <c r="AX553" s="329"/>
      <c r="AY553" s="167" t="str">
        <f>IF(ISBLANK(Inputs!$A36),"",
IF(AW553="--","Solved",
IF(ABS(AW553)&lt;=0.001,"Solved",AU553-AW553*(AU553-AQ553)/(AW553-AS553))))</f>
        <v/>
      </c>
      <c r="AZ553" s="167"/>
      <c r="BA553" s="329" t="str">
        <f>IF(ISBLANK(Inputs!$A36),"",
IF(OR(AY553="Solved",AY553="--"),"--",
((Mat.Conc_Alpha.1*Mat.Conc_f.c*$AB553*MIN(AY553*Mat.Conc_Beta.1,$Y553))
+(Mat.Conc_Alpha.1*Mat.Conc_f.c*$V553*MAX(0,AY553*Mat.Conc_Beta.1-$Y553)))
-($J553*MIN(Mat.Rebar_f.y,(Mat.Rebar_epsilon.cl*($S553-AY553)/AY553)*Mat.PT_E.s))
-($M553*Mat.PT_f.pu*(1-Mat.PT_k*AY553/$P553))))</f>
        <v/>
      </c>
      <c r="BB553" s="329"/>
      <c r="BC553" s="167" t="str">
        <f>IF(ISBLANK(Inputs!$A36),"",
IF(BA553="--","Solved",
IF(ABS(BA553)&lt;=0.001,"Solved",AY553-BA553*(AY553-AU553)/(BA553-AW553))))</f>
        <v/>
      </c>
      <c r="BD553" s="167"/>
      <c r="BE553" s="329" t="str">
        <f>IF(ISBLANK(Inputs!$A36),"",
IF(OR(BC553="Solved",BC553="--"),"--",
((Mat.Conc_Alpha.1*Mat.Conc_f.c*$AB553*MIN(BC553*Mat.Conc_Beta.1,$Y553))
+(Mat.Conc_Alpha.1*Mat.Conc_f.c*$V553*MAX(0,BC553*Mat.Conc_Beta.1-$Y553)))
-($J553*MIN(Mat.Rebar_f.y,(Mat.Rebar_epsilon.cl*($S553-BC553)/BC553)*Mat.PT_E.s))
-($M553*Mat.PT_f.pu*(1-Mat.PT_k*BC553/$P553))))</f>
        <v/>
      </c>
      <c r="BF553" s="329"/>
      <c r="BG553" s="167" t="str">
        <f>IF(ISBLANK(Inputs!$A36),"",
IF(BE553="--","Solved",
IF(ABS(BE553)&lt;=0.001,"Solved",BC553-BE553*(BC553-AY553)/(BE553-BA553))))</f>
        <v/>
      </c>
      <c r="BH553" s="167"/>
      <c r="BI553" s="329" t="str">
        <f>IF(ISBLANK(Inputs!$A36),"",
IF(OR(BG553="Solved",BG553="--"),"--",
((Mat.Conc_Alpha.1*Mat.Conc_f.c*$AB553*MIN(BG553*Mat.Conc_Beta.1,$Y553))
+(Mat.Conc_Alpha.1*Mat.Conc_f.c*$V553*MAX(0,BG553*Mat.Conc_Beta.1-$Y553)))
-($J553*MIN(Mat.Rebar_f.y,(Mat.Rebar_epsilon.cl*($S553-BG553)/BG553)*Mat.PT_E.s))
-($M553*Mat.PT_f.pu*(1-Mat.PT_k*BG553/$P553))))</f>
        <v/>
      </c>
      <c r="BJ553" s="329"/>
      <c r="BK553" s="167" t="str">
        <f>IF(ISBLANK(Inputs!$A36),"",
IF(BI553="--","Solved",
IF(ABS(BI553)&lt;=0.001,"Solved",BG553-BI553*(BG553-BC553)/(BI553-BE553))))</f>
        <v/>
      </c>
      <c r="BL553" s="167"/>
      <c r="BM553" s="329" t="str">
        <f>IF(ISBLANK(Inputs!$A36),"",
IF(OR(BK553="Solved",BK553="--"),"--",
((Mat.Conc_Alpha.1*Mat.Conc_f.c*$AB553*MIN(BK553*Mat.Conc_Beta.1,$Y553))
+(Mat.Conc_Alpha.1*Mat.Conc_f.c*$V553*MAX(0,BK553*Mat.Conc_Beta.1-$Y553)))
-($J553*MIN(Mat.Rebar_f.y,(Mat.Rebar_epsilon.cl*($S553-BK553)/BK553)*Mat.PT_E.s))
-($M553*Mat.PT_f.pu*(1-Mat.PT_k*BK553/$P553))))</f>
        <v/>
      </c>
      <c r="BN553" s="329"/>
      <c r="BO553" s="167" t="str">
        <f>IF(ISBLANK(Inputs!$A36),"",
IF(BM553="--","Solved",
IF(ABS(BM553)&lt;=0.001,"Solved",BK553-BM553*(BK553-BG553)/(BM553-BI553))))</f>
        <v/>
      </c>
      <c r="BP553" s="167"/>
      <c r="BQ553" s="329" t="str">
        <f>IF(ISBLANK(Inputs!$A36),"",
IF(OR(BO553="Solved",BO553="--"),"--",
((Mat.Conc_Alpha.1*Mat.Conc_f.c*$AB553*MIN(BO553*Mat.Conc_Beta.1,$Y553))
+(Mat.Conc_Alpha.1*Mat.Conc_f.c*$V553*MAX(0,BO553*Mat.Conc_Beta.1-$Y553)))
-($J553*MIN(Mat.Rebar_f.y,(Mat.Rebar_epsilon.cl*($S553-BO553)/BO553)*Mat.PT_E.s))
-($M553*Mat.PT_f.pu*(1-Mat.PT_k*BO553/$P553))))</f>
        <v/>
      </c>
      <c r="BR553" s="329"/>
      <c r="BS553" s="70"/>
      <c r="BT553" s="70"/>
      <c r="BU553" s="70"/>
      <c r="BV553" s="70"/>
      <c r="BW553" s="8"/>
      <c r="BX553" s="8"/>
      <c r="BY553" s="8"/>
      <c r="BZ553" s="8"/>
      <c r="CA553" s="8"/>
      <c r="CB553" s="10"/>
    </row>
    <row r="554" spans="3:80" ht="15" customHeight="1" x14ac:dyDescent="0.25">
      <c r="C554" s="69"/>
      <c r="F554" s="167" t="str">
        <f>IF(ISBLANK(Inputs!A37),"",Inputs!A37)</f>
        <v/>
      </c>
      <c r="G554" s="167"/>
      <c r="H554" s="167" t="str">
        <f>IF(ISBLANK(Inputs!B37),"",Inputs!B37)</f>
        <v/>
      </c>
      <c r="I554" s="167"/>
      <c r="J554" s="168" t="str">
        <f>IF(ISBLANK(Inputs!K37),"",Inputs!K37)</f>
        <v/>
      </c>
      <c r="K554" s="168"/>
      <c r="L554" s="168"/>
      <c r="M554" s="168" t="str">
        <f>IF(ISBLANK(Inputs!D37),"",Inputs!D37)</f>
        <v/>
      </c>
      <c r="N554" s="168"/>
      <c r="O554" s="168"/>
      <c r="P554" s="168" t="str">
        <f>IF(ISBLANK(Inputs!F37),"",Inputs!$B$10-Inputs!F37)</f>
        <v/>
      </c>
      <c r="Q554" s="168"/>
      <c r="R554" s="168"/>
      <c r="S554" s="168" t="str">
        <f>IF(ISBLANK(Inputs!L37),"",Inputs!L37)</f>
        <v/>
      </c>
      <c r="T554" s="168"/>
      <c r="U554" s="168"/>
      <c r="V554" s="168" t="str">
        <f>IF(ISBLANK(Inputs!E37),"",Inputs!E37)</f>
        <v/>
      </c>
      <c r="W554" s="168"/>
      <c r="X554" s="168"/>
      <c r="Y554" s="168" t="str">
        <f>IF(ISBLANK(Inputs!M37),"",Inputs!M37)</f>
        <v/>
      </c>
      <c r="Z554" s="168"/>
      <c r="AA554" s="168"/>
      <c r="AB554" s="168" t="str">
        <f>IF(ISBLANK(Inputs!N37),"",Inputs!N37)</f>
        <v/>
      </c>
      <c r="AC554" s="168"/>
      <c r="AD554" s="168"/>
      <c r="AE554" s="371" t="str">
        <f>IF(ISBLANK(Inputs!A37),"",Y554)</f>
        <v/>
      </c>
      <c r="AF554" s="371"/>
      <c r="AG554" s="329" t="str">
        <f>IF(ISBLANK(Inputs!$A37),"",
IF(OR(AE554="Solved",AE554="--"),"--",
((Mat.Conc_Alpha.1*Mat.Conc_f.c*$AB554*MIN(AE554*Mat.Conc_Beta.1,$Y554))
+(Mat.Conc_Alpha.1*Mat.Conc_f.c*$V554*MAX(0,AE554*Mat.Conc_Beta.1-$Y554)))
-($J554*MIN(Mat.Rebar_f.y,(Mat.Rebar_epsilon.cl*($S554-AE554)/AE554)*Mat.PT_E.s))
-($M554*Mat.PT_f.pu*(1-Mat.PT_k*AE554/$P554))))</f>
        <v/>
      </c>
      <c r="AH554" s="329"/>
      <c r="AI554" s="167" t="str">
        <f>IF(ISBLANK(Inputs!$A37),"",
IF(ABS(AG554)&lt;=0.001,"Solved",IF(AG554&gt;0,0.85*AE554,1.15*AE554)))</f>
        <v/>
      </c>
      <c r="AJ554" s="167"/>
      <c r="AK554" s="329" t="str">
        <f>IF(ISBLANK(Inputs!$A37),"",
IF(OR(AI554="Solved",AI554="--"),"--",
((Mat.Conc_Alpha.1*Mat.Conc_f.c*$AB554*MIN(AI554*Mat.Conc_Beta.1,$Y554))
+(Mat.Conc_Alpha.1*Mat.Conc_f.c*$V554*MAX(0,AI554*Mat.Conc_Beta.1-$Y554)))
-($J554*MIN(Mat.Rebar_f.y,(Mat.Rebar_epsilon.cl*($S554-AI554)/AI554)*Mat.PT_E.s))
-($M554*Mat.PT_f.pu*(1-Mat.PT_k*AI554/$P554))))</f>
        <v/>
      </c>
      <c r="AL554" s="329"/>
      <c r="AM554" s="167" t="str">
        <f>IF(ISBLANK(Inputs!$A37),"",
IF(AK554="--","Solved",
IF(ABS(AK554)&lt;=0.001,"Solved",AI554-AK554*(AI554-AE554)/(AK554-AG554))))</f>
        <v/>
      </c>
      <c r="AN554" s="167"/>
      <c r="AO554" s="329" t="str">
        <f>IF(ISBLANK(Inputs!$A37),"",
IF(OR(AM554="Solved",AM554="--"),"--",
((Mat.Conc_Alpha.1*Mat.Conc_f.c*$AB554*MIN(AM554*Mat.Conc_Beta.1,$Y554))
+(Mat.Conc_Alpha.1*Mat.Conc_f.c*$V554*MAX(0,AM554*Mat.Conc_Beta.1-$Y554)))
-($J554*MIN(Mat.Rebar_f.y,(Mat.Rebar_epsilon.cl*($S554-AM554)/AM554)*Mat.PT_E.s))
-($M554*Mat.PT_f.pu*(1-Mat.PT_k*AM554/$P554))))</f>
        <v/>
      </c>
      <c r="AP554" s="329"/>
      <c r="AQ554" s="167" t="str">
        <f>IF(ISBLANK(Inputs!$A37),"",
IF(AO554="--","Solved",
IF(ABS(AO554)&lt;=0.001,"Solved",AM554-AO554*(AM554-AI554)/(AO554-AK554))))</f>
        <v/>
      </c>
      <c r="AR554" s="167"/>
      <c r="AS554" s="329" t="str">
        <f>IF(ISBLANK(Inputs!$A37),"",
IF(OR(AQ554="Solved",AQ554="--"),"--",
((Mat.Conc_Alpha.1*Mat.Conc_f.c*$AB554*MIN(AQ554*Mat.Conc_Beta.1,$Y554))
+(Mat.Conc_Alpha.1*Mat.Conc_f.c*$V554*MAX(0,AQ554*Mat.Conc_Beta.1-$Y554)))
-($J554*MIN(Mat.Rebar_f.y,(Mat.Rebar_epsilon.cl*($S554-AQ554)/AQ554)*Mat.PT_E.s))
-($M554*Mat.PT_f.pu*(1-Mat.PT_k*AQ554/$P554))))</f>
        <v/>
      </c>
      <c r="AT554" s="329"/>
      <c r="AU554" s="167" t="str">
        <f>IF(ISBLANK(Inputs!$A37),"",
IF(AS554="--","Solved",
IF(ABS(AS554)&lt;=0.001,"Solved",AQ554-AS554*(AQ554-AM554)/(AS554-AO554))))</f>
        <v/>
      </c>
      <c r="AV554" s="167"/>
      <c r="AW554" s="329" t="str">
        <f>IF(ISBLANK(Inputs!$A37),"",
IF(OR(AU554="Solved",AU554="--"),"--",
((Mat.Conc_Alpha.1*Mat.Conc_f.c*$AB554*MIN(AU554*Mat.Conc_Beta.1,$Y554))
+(Mat.Conc_Alpha.1*Mat.Conc_f.c*$V554*MAX(0,AU554*Mat.Conc_Beta.1-$Y554)))
-($J554*MIN(Mat.Rebar_f.y,(Mat.Rebar_epsilon.cl*($S554-AU554)/AU554)*Mat.PT_E.s))
-($M554*Mat.PT_f.pu*(1-Mat.PT_k*AU554/$P554))))</f>
        <v/>
      </c>
      <c r="AX554" s="329"/>
      <c r="AY554" s="167" t="str">
        <f>IF(ISBLANK(Inputs!$A37),"",
IF(AW554="--","Solved",
IF(ABS(AW554)&lt;=0.001,"Solved",AU554-AW554*(AU554-AQ554)/(AW554-AS554))))</f>
        <v/>
      </c>
      <c r="AZ554" s="167"/>
      <c r="BA554" s="329" t="str">
        <f>IF(ISBLANK(Inputs!$A37),"",
IF(OR(AY554="Solved",AY554="--"),"--",
((Mat.Conc_Alpha.1*Mat.Conc_f.c*$AB554*MIN(AY554*Mat.Conc_Beta.1,$Y554))
+(Mat.Conc_Alpha.1*Mat.Conc_f.c*$V554*MAX(0,AY554*Mat.Conc_Beta.1-$Y554)))
-($J554*MIN(Mat.Rebar_f.y,(Mat.Rebar_epsilon.cl*($S554-AY554)/AY554)*Mat.PT_E.s))
-($M554*Mat.PT_f.pu*(1-Mat.PT_k*AY554/$P554))))</f>
        <v/>
      </c>
      <c r="BB554" s="329"/>
      <c r="BC554" s="167" t="str">
        <f>IF(ISBLANK(Inputs!$A37),"",
IF(BA554="--","Solved",
IF(ABS(BA554)&lt;=0.001,"Solved",AY554-BA554*(AY554-AU554)/(BA554-AW554))))</f>
        <v/>
      </c>
      <c r="BD554" s="167"/>
      <c r="BE554" s="329" t="str">
        <f>IF(ISBLANK(Inputs!$A37),"",
IF(OR(BC554="Solved",BC554="--"),"--",
((Mat.Conc_Alpha.1*Mat.Conc_f.c*$AB554*MIN(BC554*Mat.Conc_Beta.1,$Y554))
+(Mat.Conc_Alpha.1*Mat.Conc_f.c*$V554*MAX(0,BC554*Mat.Conc_Beta.1-$Y554)))
-($J554*MIN(Mat.Rebar_f.y,(Mat.Rebar_epsilon.cl*($S554-BC554)/BC554)*Mat.PT_E.s))
-($M554*Mat.PT_f.pu*(1-Mat.PT_k*BC554/$P554))))</f>
        <v/>
      </c>
      <c r="BF554" s="329"/>
      <c r="BG554" s="167" t="str">
        <f>IF(ISBLANK(Inputs!$A37),"",
IF(BE554="--","Solved",
IF(ABS(BE554)&lt;=0.001,"Solved",BC554-BE554*(BC554-AY554)/(BE554-BA554))))</f>
        <v/>
      </c>
      <c r="BH554" s="167"/>
      <c r="BI554" s="329" t="str">
        <f>IF(ISBLANK(Inputs!$A37),"",
IF(OR(BG554="Solved",BG554="--"),"--",
((Mat.Conc_Alpha.1*Mat.Conc_f.c*$AB554*MIN(BG554*Mat.Conc_Beta.1,$Y554))
+(Mat.Conc_Alpha.1*Mat.Conc_f.c*$V554*MAX(0,BG554*Mat.Conc_Beta.1-$Y554)))
-($J554*MIN(Mat.Rebar_f.y,(Mat.Rebar_epsilon.cl*($S554-BG554)/BG554)*Mat.PT_E.s))
-($M554*Mat.PT_f.pu*(1-Mat.PT_k*BG554/$P554))))</f>
        <v/>
      </c>
      <c r="BJ554" s="329"/>
      <c r="BK554" s="167" t="str">
        <f>IF(ISBLANK(Inputs!$A37),"",
IF(BI554="--","Solved",
IF(ABS(BI554)&lt;=0.001,"Solved",BG554-BI554*(BG554-BC554)/(BI554-BE554))))</f>
        <v/>
      </c>
      <c r="BL554" s="167"/>
      <c r="BM554" s="329" t="str">
        <f>IF(ISBLANK(Inputs!$A37),"",
IF(OR(BK554="Solved",BK554="--"),"--",
((Mat.Conc_Alpha.1*Mat.Conc_f.c*$AB554*MIN(BK554*Mat.Conc_Beta.1,$Y554))
+(Mat.Conc_Alpha.1*Mat.Conc_f.c*$V554*MAX(0,BK554*Mat.Conc_Beta.1-$Y554)))
-($J554*MIN(Mat.Rebar_f.y,(Mat.Rebar_epsilon.cl*($S554-BK554)/BK554)*Mat.PT_E.s))
-($M554*Mat.PT_f.pu*(1-Mat.PT_k*BK554/$P554))))</f>
        <v/>
      </c>
      <c r="BN554" s="329"/>
      <c r="BO554" s="167" t="str">
        <f>IF(ISBLANK(Inputs!$A37),"",
IF(BM554="--","Solved",
IF(ABS(BM554)&lt;=0.001,"Solved",BK554-BM554*(BK554-BG554)/(BM554-BI554))))</f>
        <v/>
      </c>
      <c r="BP554" s="167"/>
      <c r="BQ554" s="329" t="str">
        <f>IF(ISBLANK(Inputs!$A37),"",
IF(OR(BO554="Solved",BO554="--"),"--",
((Mat.Conc_Alpha.1*Mat.Conc_f.c*$AB554*MIN(BO554*Mat.Conc_Beta.1,$Y554))
+(Mat.Conc_Alpha.1*Mat.Conc_f.c*$V554*MAX(0,BO554*Mat.Conc_Beta.1-$Y554)))
-($J554*MIN(Mat.Rebar_f.y,(Mat.Rebar_epsilon.cl*($S554-BO554)/BO554)*Mat.PT_E.s))
-($M554*Mat.PT_f.pu*(1-Mat.PT_k*BO554/$P554))))</f>
        <v/>
      </c>
      <c r="BR554" s="329"/>
      <c r="BS554" s="70"/>
      <c r="BT554" s="70"/>
      <c r="BU554" s="70"/>
      <c r="BV554" s="70"/>
      <c r="BW554" s="8"/>
      <c r="BX554" s="8"/>
      <c r="BY554" s="8"/>
      <c r="BZ554" s="8"/>
      <c r="CA554" s="8"/>
      <c r="CB554" s="10"/>
    </row>
    <row r="555" spans="3:80" ht="15" customHeight="1" x14ac:dyDescent="0.25">
      <c r="C555" s="69"/>
      <c r="F555" s="167" t="str">
        <f>IF(ISBLANK(Inputs!A38),"",Inputs!A38)</f>
        <v/>
      </c>
      <c r="G555" s="167"/>
      <c r="H555" s="167" t="str">
        <f>IF(ISBLANK(Inputs!B38),"",Inputs!B38)</f>
        <v/>
      </c>
      <c r="I555" s="167"/>
      <c r="J555" s="168" t="str">
        <f>IF(ISBLANK(Inputs!K38),"",Inputs!K38)</f>
        <v/>
      </c>
      <c r="K555" s="168"/>
      <c r="L555" s="168"/>
      <c r="M555" s="168" t="str">
        <f>IF(ISBLANK(Inputs!D38),"",Inputs!D38)</f>
        <v/>
      </c>
      <c r="N555" s="168"/>
      <c r="O555" s="168"/>
      <c r="P555" s="168" t="str">
        <f>IF(ISBLANK(Inputs!F38),"",Inputs!$B$10-Inputs!F38)</f>
        <v/>
      </c>
      <c r="Q555" s="168"/>
      <c r="R555" s="168"/>
      <c r="S555" s="168" t="str">
        <f>IF(ISBLANK(Inputs!L38),"",Inputs!L38)</f>
        <v/>
      </c>
      <c r="T555" s="168"/>
      <c r="U555" s="168"/>
      <c r="V555" s="168" t="str">
        <f>IF(ISBLANK(Inputs!E38),"",Inputs!E38)</f>
        <v/>
      </c>
      <c r="W555" s="168"/>
      <c r="X555" s="168"/>
      <c r="Y555" s="168" t="str">
        <f>IF(ISBLANK(Inputs!M38),"",Inputs!M38)</f>
        <v/>
      </c>
      <c r="Z555" s="168"/>
      <c r="AA555" s="168"/>
      <c r="AB555" s="168" t="str">
        <f>IF(ISBLANK(Inputs!N38),"",Inputs!N38)</f>
        <v/>
      </c>
      <c r="AC555" s="168"/>
      <c r="AD555" s="168"/>
      <c r="AE555" s="371" t="str">
        <f>IF(ISBLANK(Inputs!A38),"",Y555)</f>
        <v/>
      </c>
      <c r="AF555" s="371"/>
      <c r="AG555" s="329" t="str">
        <f>IF(ISBLANK(Inputs!$A38),"",
IF(OR(AE555="Solved",AE555="--"),"--",
((Mat.Conc_Alpha.1*Mat.Conc_f.c*$AB555*MIN(AE555*Mat.Conc_Beta.1,$Y555))
+(Mat.Conc_Alpha.1*Mat.Conc_f.c*$V555*MAX(0,AE555*Mat.Conc_Beta.1-$Y555)))
-($J555*MIN(Mat.Rebar_f.y,(Mat.Rebar_epsilon.cl*($S555-AE555)/AE555)*Mat.PT_E.s))
-($M555*Mat.PT_f.pu*(1-Mat.PT_k*AE555/$P555))))</f>
        <v/>
      </c>
      <c r="AH555" s="329"/>
      <c r="AI555" s="167" t="str">
        <f>IF(ISBLANK(Inputs!$A38),"",
IF(ABS(AG555)&lt;=0.001,"Solved",IF(AG555&gt;0,0.85*AE555,1.15*AE555)))</f>
        <v/>
      </c>
      <c r="AJ555" s="167"/>
      <c r="AK555" s="329" t="str">
        <f>IF(ISBLANK(Inputs!$A38),"",
IF(OR(AI555="Solved",AI555="--"),"--",
((Mat.Conc_Alpha.1*Mat.Conc_f.c*$AB555*MIN(AI555*Mat.Conc_Beta.1,$Y555))
+(Mat.Conc_Alpha.1*Mat.Conc_f.c*$V555*MAX(0,AI555*Mat.Conc_Beta.1-$Y555)))
-($J555*MIN(Mat.Rebar_f.y,(Mat.Rebar_epsilon.cl*($S555-AI555)/AI555)*Mat.PT_E.s))
-($M555*Mat.PT_f.pu*(1-Mat.PT_k*AI555/$P555))))</f>
        <v/>
      </c>
      <c r="AL555" s="329"/>
      <c r="AM555" s="167" t="str">
        <f>IF(ISBLANK(Inputs!$A38),"",
IF(AK555="--","Solved",
IF(ABS(AK555)&lt;=0.001,"Solved",AI555-AK555*(AI555-AE555)/(AK555-AG555))))</f>
        <v/>
      </c>
      <c r="AN555" s="167"/>
      <c r="AO555" s="329" t="str">
        <f>IF(ISBLANK(Inputs!$A38),"",
IF(OR(AM555="Solved",AM555="--"),"--",
((Mat.Conc_Alpha.1*Mat.Conc_f.c*$AB555*MIN(AM555*Mat.Conc_Beta.1,$Y555))
+(Mat.Conc_Alpha.1*Mat.Conc_f.c*$V555*MAX(0,AM555*Mat.Conc_Beta.1-$Y555)))
-($J555*MIN(Mat.Rebar_f.y,(Mat.Rebar_epsilon.cl*($S555-AM555)/AM555)*Mat.PT_E.s))
-($M555*Mat.PT_f.pu*(1-Mat.PT_k*AM555/$P555))))</f>
        <v/>
      </c>
      <c r="AP555" s="329"/>
      <c r="AQ555" s="167" t="str">
        <f>IF(ISBLANK(Inputs!$A38),"",
IF(AO555="--","Solved",
IF(ABS(AO555)&lt;=0.001,"Solved",AM555-AO555*(AM555-AI555)/(AO555-AK555))))</f>
        <v/>
      </c>
      <c r="AR555" s="167"/>
      <c r="AS555" s="329" t="str">
        <f>IF(ISBLANK(Inputs!$A38),"",
IF(OR(AQ555="Solved",AQ555="--"),"--",
((Mat.Conc_Alpha.1*Mat.Conc_f.c*$AB555*MIN(AQ555*Mat.Conc_Beta.1,$Y555))
+(Mat.Conc_Alpha.1*Mat.Conc_f.c*$V555*MAX(0,AQ555*Mat.Conc_Beta.1-$Y555)))
-($J555*MIN(Mat.Rebar_f.y,(Mat.Rebar_epsilon.cl*($S555-AQ555)/AQ555)*Mat.PT_E.s))
-($M555*Mat.PT_f.pu*(1-Mat.PT_k*AQ555/$P555))))</f>
        <v/>
      </c>
      <c r="AT555" s="329"/>
      <c r="AU555" s="167" t="str">
        <f>IF(ISBLANK(Inputs!$A38),"",
IF(AS555="--","Solved",
IF(ABS(AS555)&lt;=0.001,"Solved",AQ555-AS555*(AQ555-AM555)/(AS555-AO555))))</f>
        <v/>
      </c>
      <c r="AV555" s="167"/>
      <c r="AW555" s="329" t="str">
        <f>IF(ISBLANK(Inputs!$A38),"",
IF(OR(AU555="Solved",AU555="--"),"--",
((Mat.Conc_Alpha.1*Mat.Conc_f.c*$AB555*MIN(AU555*Mat.Conc_Beta.1,$Y555))
+(Mat.Conc_Alpha.1*Mat.Conc_f.c*$V555*MAX(0,AU555*Mat.Conc_Beta.1-$Y555)))
-($J555*MIN(Mat.Rebar_f.y,(Mat.Rebar_epsilon.cl*($S555-AU555)/AU555)*Mat.PT_E.s))
-($M555*Mat.PT_f.pu*(1-Mat.PT_k*AU555/$P555))))</f>
        <v/>
      </c>
      <c r="AX555" s="329"/>
      <c r="AY555" s="167" t="str">
        <f>IF(ISBLANK(Inputs!$A38),"",
IF(AW555="--","Solved",
IF(ABS(AW555)&lt;=0.001,"Solved",AU555-AW555*(AU555-AQ555)/(AW555-AS555))))</f>
        <v/>
      </c>
      <c r="AZ555" s="167"/>
      <c r="BA555" s="329" t="str">
        <f>IF(ISBLANK(Inputs!$A38),"",
IF(OR(AY555="Solved",AY555="--"),"--",
((Mat.Conc_Alpha.1*Mat.Conc_f.c*$AB555*MIN(AY555*Mat.Conc_Beta.1,$Y555))
+(Mat.Conc_Alpha.1*Mat.Conc_f.c*$V555*MAX(0,AY555*Mat.Conc_Beta.1-$Y555)))
-($J555*MIN(Mat.Rebar_f.y,(Mat.Rebar_epsilon.cl*($S555-AY555)/AY555)*Mat.PT_E.s))
-($M555*Mat.PT_f.pu*(1-Mat.PT_k*AY555/$P555))))</f>
        <v/>
      </c>
      <c r="BB555" s="329"/>
      <c r="BC555" s="167" t="str">
        <f>IF(ISBLANK(Inputs!$A38),"",
IF(BA555="--","Solved",
IF(ABS(BA555)&lt;=0.001,"Solved",AY555-BA555*(AY555-AU555)/(BA555-AW555))))</f>
        <v/>
      </c>
      <c r="BD555" s="167"/>
      <c r="BE555" s="329" t="str">
        <f>IF(ISBLANK(Inputs!$A38),"",
IF(OR(BC555="Solved",BC555="--"),"--",
((Mat.Conc_Alpha.1*Mat.Conc_f.c*$AB555*MIN(BC555*Mat.Conc_Beta.1,$Y555))
+(Mat.Conc_Alpha.1*Mat.Conc_f.c*$V555*MAX(0,BC555*Mat.Conc_Beta.1-$Y555)))
-($J555*MIN(Mat.Rebar_f.y,(Mat.Rebar_epsilon.cl*($S555-BC555)/BC555)*Mat.PT_E.s))
-($M555*Mat.PT_f.pu*(1-Mat.PT_k*BC555/$P555))))</f>
        <v/>
      </c>
      <c r="BF555" s="329"/>
      <c r="BG555" s="167" t="str">
        <f>IF(ISBLANK(Inputs!$A38),"",
IF(BE555="--","Solved",
IF(ABS(BE555)&lt;=0.001,"Solved",BC555-BE555*(BC555-AY555)/(BE555-BA555))))</f>
        <v/>
      </c>
      <c r="BH555" s="167"/>
      <c r="BI555" s="329" t="str">
        <f>IF(ISBLANK(Inputs!$A38),"",
IF(OR(BG555="Solved",BG555="--"),"--",
((Mat.Conc_Alpha.1*Mat.Conc_f.c*$AB555*MIN(BG555*Mat.Conc_Beta.1,$Y555))
+(Mat.Conc_Alpha.1*Mat.Conc_f.c*$V555*MAX(0,BG555*Mat.Conc_Beta.1-$Y555)))
-($J555*MIN(Mat.Rebar_f.y,(Mat.Rebar_epsilon.cl*($S555-BG555)/BG555)*Mat.PT_E.s))
-($M555*Mat.PT_f.pu*(1-Mat.PT_k*BG555/$P555))))</f>
        <v/>
      </c>
      <c r="BJ555" s="329"/>
      <c r="BK555" s="167" t="str">
        <f>IF(ISBLANK(Inputs!$A38),"",
IF(BI555="--","Solved",
IF(ABS(BI555)&lt;=0.001,"Solved",BG555-BI555*(BG555-BC555)/(BI555-BE555))))</f>
        <v/>
      </c>
      <c r="BL555" s="167"/>
      <c r="BM555" s="329" t="str">
        <f>IF(ISBLANK(Inputs!$A38),"",
IF(OR(BK555="Solved",BK555="--"),"--",
((Mat.Conc_Alpha.1*Mat.Conc_f.c*$AB555*MIN(BK555*Mat.Conc_Beta.1,$Y555))
+(Mat.Conc_Alpha.1*Mat.Conc_f.c*$V555*MAX(0,BK555*Mat.Conc_Beta.1-$Y555)))
-($J555*MIN(Mat.Rebar_f.y,(Mat.Rebar_epsilon.cl*($S555-BK555)/BK555)*Mat.PT_E.s))
-($M555*Mat.PT_f.pu*(1-Mat.PT_k*BK555/$P555))))</f>
        <v/>
      </c>
      <c r="BN555" s="329"/>
      <c r="BO555" s="167" t="str">
        <f>IF(ISBLANK(Inputs!$A38),"",
IF(BM555="--","Solved",
IF(ABS(BM555)&lt;=0.001,"Solved",BK555-BM555*(BK555-BG555)/(BM555-BI555))))</f>
        <v/>
      </c>
      <c r="BP555" s="167"/>
      <c r="BQ555" s="329" t="str">
        <f>IF(ISBLANK(Inputs!$A38),"",
IF(OR(BO555="Solved",BO555="--"),"--",
((Mat.Conc_Alpha.1*Mat.Conc_f.c*$AB555*MIN(BO555*Mat.Conc_Beta.1,$Y555))
+(Mat.Conc_Alpha.1*Mat.Conc_f.c*$V555*MAX(0,BO555*Mat.Conc_Beta.1-$Y555)))
-($J555*MIN(Mat.Rebar_f.y,(Mat.Rebar_epsilon.cl*($S555-BO555)/BO555)*Mat.PT_E.s))
-($M555*Mat.PT_f.pu*(1-Mat.PT_k*BO555/$P555))))</f>
        <v/>
      </c>
      <c r="BR555" s="329"/>
      <c r="BS555" s="70"/>
      <c r="BT555" s="70"/>
      <c r="BU555" s="70"/>
      <c r="BV555" s="70"/>
      <c r="BW555" s="8"/>
      <c r="BX555" s="8"/>
      <c r="BY555" s="8"/>
      <c r="BZ555" s="8"/>
      <c r="CA555" s="8"/>
      <c r="CB555" s="10"/>
    </row>
    <row r="556" spans="3:80" ht="15" customHeight="1" x14ac:dyDescent="0.25">
      <c r="C556" s="69"/>
      <c r="F556" s="167" t="str">
        <f>IF(ISBLANK(Inputs!A39),"",Inputs!A39)</f>
        <v/>
      </c>
      <c r="G556" s="167"/>
      <c r="H556" s="167" t="str">
        <f>IF(ISBLANK(Inputs!B39),"",Inputs!B39)</f>
        <v/>
      </c>
      <c r="I556" s="167"/>
      <c r="J556" s="168" t="str">
        <f>IF(ISBLANK(Inputs!K39),"",Inputs!K39)</f>
        <v/>
      </c>
      <c r="K556" s="168"/>
      <c r="L556" s="168"/>
      <c r="M556" s="168" t="str">
        <f>IF(ISBLANK(Inputs!D39),"",Inputs!D39)</f>
        <v/>
      </c>
      <c r="N556" s="168"/>
      <c r="O556" s="168"/>
      <c r="P556" s="168" t="str">
        <f>IF(ISBLANK(Inputs!F39),"",Inputs!$B$10-Inputs!F39)</f>
        <v/>
      </c>
      <c r="Q556" s="168"/>
      <c r="R556" s="168"/>
      <c r="S556" s="168" t="str">
        <f>IF(ISBLANK(Inputs!L39),"",Inputs!L39)</f>
        <v/>
      </c>
      <c r="T556" s="168"/>
      <c r="U556" s="168"/>
      <c r="V556" s="168" t="str">
        <f>IF(ISBLANK(Inputs!E39),"",Inputs!E39)</f>
        <v/>
      </c>
      <c r="W556" s="168"/>
      <c r="X556" s="168"/>
      <c r="Y556" s="168" t="str">
        <f>IF(ISBLANK(Inputs!M39),"",Inputs!M39)</f>
        <v/>
      </c>
      <c r="Z556" s="168"/>
      <c r="AA556" s="168"/>
      <c r="AB556" s="168" t="str">
        <f>IF(ISBLANK(Inputs!N39),"",Inputs!N39)</f>
        <v/>
      </c>
      <c r="AC556" s="168"/>
      <c r="AD556" s="168"/>
      <c r="AE556" s="371" t="str">
        <f>IF(ISBLANK(Inputs!A39),"",Y556)</f>
        <v/>
      </c>
      <c r="AF556" s="371"/>
      <c r="AG556" s="329" t="str">
        <f>IF(ISBLANK(Inputs!$A39),"",
IF(OR(AE556="Solved",AE556="--"),"--",
((Mat.Conc_Alpha.1*Mat.Conc_f.c*$AB556*MIN(AE556*Mat.Conc_Beta.1,$Y556))
+(Mat.Conc_Alpha.1*Mat.Conc_f.c*$V556*MAX(0,AE556*Mat.Conc_Beta.1-$Y556)))
-($J556*MIN(Mat.Rebar_f.y,(Mat.Rebar_epsilon.cl*($S556-AE556)/AE556)*Mat.PT_E.s))
-($M556*Mat.PT_f.pu*(1-Mat.PT_k*AE556/$P556))))</f>
        <v/>
      </c>
      <c r="AH556" s="329"/>
      <c r="AI556" s="167" t="str">
        <f>IF(ISBLANK(Inputs!$A39),"",
IF(ABS(AG556)&lt;=0.001,"Solved",IF(AG556&gt;0,0.85*AE556,1.15*AE556)))</f>
        <v/>
      </c>
      <c r="AJ556" s="167"/>
      <c r="AK556" s="329" t="str">
        <f>IF(ISBLANK(Inputs!$A39),"",
IF(OR(AI556="Solved",AI556="--"),"--",
((Mat.Conc_Alpha.1*Mat.Conc_f.c*$AB556*MIN(AI556*Mat.Conc_Beta.1,$Y556))
+(Mat.Conc_Alpha.1*Mat.Conc_f.c*$V556*MAX(0,AI556*Mat.Conc_Beta.1-$Y556)))
-($J556*MIN(Mat.Rebar_f.y,(Mat.Rebar_epsilon.cl*($S556-AI556)/AI556)*Mat.PT_E.s))
-($M556*Mat.PT_f.pu*(1-Mat.PT_k*AI556/$P556))))</f>
        <v/>
      </c>
      <c r="AL556" s="329"/>
      <c r="AM556" s="167" t="str">
        <f>IF(ISBLANK(Inputs!$A39),"",
IF(AK556="--","Solved",
IF(ABS(AK556)&lt;=0.001,"Solved",AI556-AK556*(AI556-AE556)/(AK556-AG556))))</f>
        <v/>
      </c>
      <c r="AN556" s="167"/>
      <c r="AO556" s="329" t="str">
        <f>IF(ISBLANK(Inputs!$A39),"",
IF(OR(AM556="Solved",AM556="--"),"--",
((Mat.Conc_Alpha.1*Mat.Conc_f.c*$AB556*MIN(AM556*Mat.Conc_Beta.1,$Y556))
+(Mat.Conc_Alpha.1*Mat.Conc_f.c*$V556*MAX(0,AM556*Mat.Conc_Beta.1-$Y556)))
-($J556*MIN(Mat.Rebar_f.y,(Mat.Rebar_epsilon.cl*($S556-AM556)/AM556)*Mat.PT_E.s))
-($M556*Mat.PT_f.pu*(1-Mat.PT_k*AM556/$P556))))</f>
        <v/>
      </c>
      <c r="AP556" s="329"/>
      <c r="AQ556" s="167" t="str">
        <f>IF(ISBLANK(Inputs!$A39),"",
IF(AO556="--","Solved",
IF(ABS(AO556)&lt;=0.001,"Solved",AM556-AO556*(AM556-AI556)/(AO556-AK556))))</f>
        <v/>
      </c>
      <c r="AR556" s="167"/>
      <c r="AS556" s="329" t="str">
        <f>IF(ISBLANK(Inputs!$A39),"",
IF(OR(AQ556="Solved",AQ556="--"),"--",
((Mat.Conc_Alpha.1*Mat.Conc_f.c*$AB556*MIN(AQ556*Mat.Conc_Beta.1,$Y556))
+(Mat.Conc_Alpha.1*Mat.Conc_f.c*$V556*MAX(0,AQ556*Mat.Conc_Beta.1-$Y556)))
-($J556*MIN(Mat.Rebar_f.y,(Mat.Rebar_epsilon.cl*($S556-AQ556)/AQ556)*Mat.PT_E.s))
-($M556*Mat.PT_f.pu*(1-Mat.PT_k*AQ556/$P556))))</f>
        <v/>
      </c>
      <c r="AT556" s="329"/>
      <c r="AU556" s="167" t="str">
        <f>IF(ISBLANK(Inputs!$A39),"",
IF(AS556="--","Solved",
IF(ABS(AS556)&lt;=0.001,"Solved",AQ556-AS556*(AQ556-AM556)/(AS556-AO556))))</f>
        <v/>
      </c>
      <c r="AV556" s="167"/>
      <c r="AW556" s="329" t="str">
        <f>IF(ISBLANK(Inputs!$A39),"",
IF(OR(AU556="Solved",AU556="--"),"--",
((Mat.Conc_Alpha.1*Mat.Conc_f.c*$AB556*MIN(AU556*Mat.Conc_Beta.1,$Y556))
+(Mat.Conc_Alpha.1*Mat.Conc_f.c*$V556*MAX(0,AU556*Mat.Conc_Beta.1-$Y556)))
-($J556*MIN(Mat.Rebar_f.y,(Mat.Rebar_epsilon.cl*($S556-AU556)/AU556)*Mat.PT_E.s))
-($M556*Mat.PT_f.pu*(1-Mat.PT_k*AU556/$P556))))</f>
        <v/>
      </c>
      <c r="AX556" s="329"/>
      <c r="AY556" s="167" t="str">
        <f>IF(ISBLANK(Inputs!$A39),"",
IF(AW556="--","Solved",
IF(ABS(AW556)&lt;=0.001,"Solved",AU556-AW556*(AU556-AQ556)/(AW556-AS556))))</f>
        <v/>
      </c>
      <c r="AZ556" s="167"/>
      <c r="BA556" s="329" t="str">
        <f>IF(ISBLANK(Inputs!$A39),"",
IF(OR(AY556="Solved",AY556="--"),"--",
((Mat.Conc_Alpha.1*Mat.Conc_f.c*$AB556*MIN(AY556*Mat.Conc_Beta.1,$Y556))
+(Mat.Conc_Alpha.1*Mat.Conc_f.c*$V556*MAX(0,AY556*Mat.Conc_Beta.1-$Y556)))
-($J556*MIN(Mat.Rebar_f.y,(Mat.Rebar_epsilon.cl*($S556-AY556)/AY556)*Mat.PT_E.s))
-($M556*Mat.PT_f.pu*(1-Mat.PT_k*AY556/$P556))))</f>
        <v/>
      </c>
      <c r="BB556" s="329"/>
      <c r="BC556" s="167" t="str">
        <f>IF(ISBLANK(Inputs!$A39),"",
IF(BA556="--","Solved",
IF(ABS(BA556)&lt;=0.001,"Solved",AY556-BA556*(AY556-AU556)/(BA556-AW556))))</f>
        <v/>
      </c>
      <c r="BD556" s="167"/>
      <c r="BE556" s="329" t="str">
        <f>IF(ISBLANK(Inputs!$A39),"",
IF(OR(BC556="Solved",BC556="--"),"--",
((Mat.Conc_Alpha.1*Mat.Conc_f.c*$AB556*MIN(BC556*Mat.Conc_Beta.1,$Y556))
+(Mat.Conc_Alpha.1*Mat.Conc_f.c*$V556*MAX(0,BC556*Mat.Conc_Beta.1-$Y556)))
-($J556*MIN(Mat.Rebar_f.y,(Mat.Rebar_epsilon.cl*($S556-BC556)/BC556)*Mat.PT_E.s))
-($M556*Mat.PT_f.pu*(1-Mat.PT_k*BC556/$P556))))</f>
        <v/>
      </c>
      <c r="BF556" s="329"/>
      <c r="BG556" s="167" t="str">
        <f>IF(ISBLANK(Inputs!$A39),"",
IF(BE556="--","Solved",
IF(ABS(BE556)&lt;=0.001,"Solved",BC556-BE556*(BC556-AY556)/(BE556-BA556))))</f>
        <v/>
      </c>
      <c r="BH556" s="167"/>
      <c r="BI556" s="329" t="str">
        <f>IF(ISBLANK(Inputs!$A39),"",
IF(OR(BG556="Solved",BG556="--"),"--",
((Mat.Conc_Alpha.1*Mat.Conc_f.c*$AB556*MIN(BG556*Mat.Conc_Beta.1,$Y556))
+(Mat.Conc_Alpha.1*Mat.Conc_f.c*$V556*MAX(0,BG556*Mat.Conc_Beta.1-$Y556)))
-($J556*MIN(Mat.Rebar_f.y,(Mat.Rebar_epsilon.cl*($S556-BG556)/BG556)*Mat.PT_E.s))
-($M556*Mat.PT_f.pu*(1-Mat.PT_k*BG556/$P556))))</f>
        <v/>
      </c>
      <c r="BJ556" s="329"/>
      <c r="BK556" s="167" t="str">
        <f>IF(ISBLANK(Inputs!$A39),"",
IF(BI556="--","Solved",
IF(ABS(BI556)&lt;=0.001,"Solved",BG556-BI556*(BG556-BC556)/(BI556-BE556))))</f>
        <v/>
      </c>
      <c r="BL556" s="167"/>
      <c r="BM556" s="329" t="str">
        <f>IF(ISBLANK(Inputs!$A39),"",
IF(OR(BK556="Solved",BK556="--"),"--",
((Mat.Conc_Alpha.1*Mat.Conc_f.c*$AB556*MIN(BK556*Mat.Conc_Beta.1,$Y556))
+(Mat.Conc_Alpha.1*Mat.Conc_f.c*$V556*MAX(0,BK556*Mat.Conc_Beta.1-$Y556)))
-($J556*MIN(Mat.Rebar_f.y,(Mat.Rebar_epsilon.cl*($S556-BK556)/BK556)*Mat.PT_E.s))
-($M556*Mat.PT_f.pu*(1-Mat.PT_k*BK556/$P556))))</f>
        <v/>
      </c>
      <c r="BN556" s="329"/>
      <c r="BO556" s="167" t="str">
        <f>IF(ISBLANK(Inputs!$A39),"",
IF(BM556="--","Solved",
IF(ABS(BM556)&lt;=0.001,"Solved",BK556-BM556*(BK556-BG556)/(BM556-BI556))))</f>
        <v/>
      </c>
      <c r="BP556" s="167"/>
      <c r="BQ556" s="329" t="str">
        <f>IF(ISBLANK(Inputs!$A39),"",
IF(OR(BO556="Solved",BO556="--"),"--",
((Mat.Conc_Alpha.1*Mat.Conc_f.c*$AB556*MIN(BO556*Mat.Conc_Beta.1,$Y556))
+(Mat.Conc_Alpha.1*Mat.Conc_f.c*$V556*MAX(0,BO556*Mat.Conc_Beta.1-$Y556)))
-($J556*MIN(Mat.Rebar_f.y,(Mat.Rebar_epsilon.cl*($S556-BO556)/BO556)*Mat.PT_E.s))
-($M556*Mat.PT_f.pu*(1-Mat.PT_k*BO556/$P556))))</f>
        <v/>
      </c>
      <c r="BR556" s="329"/>
      <c r="BS556" s="70"/>
      <c r="BT556" s="70"/>
      <c r="BU556" s="70"/>
      <c r="BV556" s="70"/>
      <c r="BW556" s="8"/>
      <c r="BX556" s="8"/>
      <c r="BY556" s="8"/>
      <c r="BZ556" s="8"/>
      <c r="CA556" s="8"/>
      <c r="CB556" s="10"/>
    </row>
    <row r="557" spans="3:80" ht="15" customHeight="1" x14ac:dyDescent="0.25">
      <c r="C557" s="69"/>
      <c r="F557" s="167" t="str">
        <f>IF(ISBLANK(Inputs!A40),"",Inputs!A40)</f>
        <v/>
      </c>
      <c r="G557" s="167"/>
      <c r="H557" s="167" t="str">
        <f>IF(ISBLANK(Inputs!B40),"",Inputs!B40)</f>
        <v/>
      </c>
      <c r="I557" s="167"/>
      <c r="J557" s="168" t="str">
        <f>IF(ISBLANK(Inputs!K40),"",Inputs!K40)</f>
        <v/>
      </c>
      <c r="K557" s="168"/>
      <c r="L557" s="168"/>
      <c r="M557" s="168" t="str">
        <f>IF(ISBLANK(Inputs!D40),"",Inputs!D40)</f>
        <v/>
      </c>
      <c r="N557" s="168"/>
      <c r="O557" s="168"/>
      <c r="P557" s="168" t="str">
        <f>IF(ISBLANK(Inputs!F40),"",Inputs!$B$10-Inputs!F40)</f>
        <v/>
      </c>
      <c r="Q557" s="168"/>
      <c r="R557" s="168"/>
      <c r="S557" s="168" t="str">
        <f>IF(ISBLANK(Inputs!L40),"",Inputs!L40)</f>
        <v/>
      </c>
      <c r="T557" s="168"/>
      <c r="U557" s="168"/>
      <c r="V557" s="168" t="str">
        <f>IF(ISBLANK(Inputs!E40),"",Inputs!E40)</f>
        <v/>
      </c>
      <c r="W557" s="168"/>
      <c r="X557" s="168"/>
      <c r="Y557" s="168" t="str">
        <f>IF(ISBLANK(Inputs!M40),"",Inputs!M40)</f>
        <v/>
      </c>
      <c r="Z557" s="168"/>
      <c r="AA557" s="168"/>
      <c r="AB557" s="168" t="str">
        <f>IF(ISBLANK(Inputs!N40),"",Inputs!N40)</f>
        <v/>
      </c>
      <c r="AC557" s="168"/>
      <c r="AD557" s="168"/>
      <c r="AE557" s="371" t="str">
        <f>IF(ISBLANK(Inputs!A40),"",Y557)</f>
        <v/>
      </c>
      <c r="AF557" s="371"/>
      <c r="AG557" s="329" t="str">
        <f>IF(ISBLANK(Inputs!$A40),"",
IF(OR(AE557="Solved",AE557="--"),"--",
((Mat.Conc_Alpha.1*Mat.Conc_f.c*$AB557*MIN(AE557*Mat.Conc_Beta.1,$Y557))
+(Mat.Conc_Alpha.1*Mat.Conc_f.c*$V557*MAX(0,AE557*Mat.Conc_Beta.1-$Y557)))
-($J557*MIN(Mat.Rebar_f.y,(Mat.Rebar_epsilon.cl*($S557-AE557)/AE557)*Mat.PT_E.s))
-($M557*Mat.PT_f.pu*(1-Mat.PT_k*AE557/$P557))))</f>
        <v/>
      </c>
      <c r="AH557" s="329"/>
      <c r="AI557" s="167" t="str">
        <f>IF(ISBLANK(Inputs!$A40),"",
IF(ABS(AG557)&lt;=0.001,"Solved",IF(AG557&gt;0,0.85*AE557,1.15*AE557)))</f>
        <v/>
      </c>
      <c r="AJ557" s="167"/>
      <c r="AK557" s="329" t="str">
        <f>IF(ISBLANK(Inputs!$A40),"",
IF(OR(AI557="Solved",AI557="--"),"--",
((Mat.Conc_Alpha.1*Mat.Conc_f.c*$AB557*MIN(AI557*Mat.Conc_Beta.1,$Y557))
+(Mat.Conc_Alpha.1*Mat.Conc_f.c*$V557*MAX(0,AI557*Mat.Conc_Beta.1-$Y557)))
-($J557*MIN(Mat.Rebar_f.y,(Mat.Rebar_epsilon.cl*($S557-AI557)/AI557)*Mat.PT_E.s))
-($M557*Mat.PT_f.pu*(1-Mat.PT_k*AI557/$P557))))</f>
        <v/>
      </c>
      <c r="AL557" s="329"/>
      <c r="AM557" s="167" t="str">
        <f>IF(ISBLANK(Inputs!$A40),"",
IF(AK557="--","Solved",
IF(ABS(AK557)&lt;=0.001,"Solved",AI557-AK557*(AI557-AE557)/(AK557-AG557))))</f>
        <v/>
      </c>
      <c r="AN557" s="167"/>
      <c r="AO557" s="329" t="str">
        <f>IF(ISBLANK(Inputs!$A40),"",
IF(OR(AM557="Solved",AM557="--"),"--",
((Mat.Conc_Alpha.1*Mat.Conc_f.c*$AB557*MIN(AM557*Mat.Conc_Beta.1,$Y557))
+(Mat.Conc_Alpha.1*Mat.Conc_f.c*$V557*MAX(0,AM557*Mat.Conc_Beta.1-$Y557)))
-($J557*MIN(Mat.Rebar_f.y,(Mat.Rebar_epsilon.cl*($S557-AM557)/AM557)*Mat.PT_E.s))
-($M557*Mat.PT_f.pu*(1-Mat.PT_k*AM557/$P557))))</f>
        <v/>
      </c>
      <c r="AP557" s="329"/>
      <c r="AQ557" s="167" t="str">
        <f>IF(ISBLANK(Inputs!$A40),"",
IF(AO557="--","Solved",
IF(ABS(AO557)&lt;=0.001,"Solved",AM557-AO557*(AM557-AI557)/(AO557-AK557))))</f>
        <v/>
      </c>
      <c r="AR557" s="167"/>
      <c r="AS557" s="329" t="str">
        <f>IF(ISBLANK(Inputs!$A40),"",
IF(OR(AQ557="Solved",AQ557="--"),"--",
((Mat.Conc_Alpha.1*Mat.Conc_f.c*$AB557*MIN(AQ557*Mat.Conc_Beta.1,$Y557))
+(Mat.Conc_Alpha.1*Mat.Conc_f.c*$V557*MAX(0,AQ557*Mat.Conc_Beta.1-$Y557)))
-($J557*MIN(Mat.Rebar_f.y,(Mat.Rebar_epsilon.cl*($S557-AQ557)/AQ557)*Mat.PT_E.s))
-($M557*Mat.PT_f.pu*(1-Mat.PT_k*AQ557/$P557))))</f>
        <v/>
      </c>
      <c r="AT557" s="329"/>
      <c r="AU557" s="167" t="str">
        <f>IF(ISBLANK(Inputs!$A40),"",
IF(AS557="--","Solved",
IF(ABS(AS557)&lt;=0.001,"Solved",AQ557-AS557*(AQ557-AM557)/(AS557-AO557))))</f>
        <v/>
      </c>
      <c r="AV557" s="167"/>
      <c r="AW557" s="329" t="str">
        <f>IF(ISBLANK(Inputs!$A40),"",
IF(OR(AU557="Solved",AU557="--"),"--",
((Mat.Conc_Alpha.1*Mat.Conc_f.c*$AB557*MIN(AU557*Mat.Conc_Beta.1,$Y557))
+(Mat.Conc_Alpha.1*Mat.Conc_f.c*$V557*MAX(0,AU557*Mat.Conc_Beta.1-$Y557)))
-($J557*MIN(Mat.Rebar_f.y,(Mat.Rebar_epsilon.cl*($S557-AU557)/AU557)*Mat.PT_E.s))
-($M557*Mat.PT_f.pu*(1-Mat.PT_k*AU557/$P557))))</f>
        <v/>
      </c>
      <c r="AX557" s="329"/>
      <c r="AY557" s="167" t="str">
        <f>IF(ISBLANK(Inputs!$A40),"",
IF(AW557="--","Solved",
IF(ABS(AW557)&lt;=0.001,"Solved",AU557-AW557*(AU557-AQ557)/(AW557-AS557))))</f>
        <v/>
      </c>
      <c r="AZ557" s="167"/>
      <c r="BA557" s="329" t="str">
        <f>IF(ISBLANK(Inputs!$A40),"",
IF(OR(AY557="Solved",AY557="--"),"--",
((Mat.Conc_Alpha.1*Mat.Conc_f.c*$AB557*MIN(AY557*Mat.Conc_Beta.1,$Y557))
+(Mat.Conc_Alpha.1*Mat.Conc_f.c*$V557*MAX(0,AY557*Mat.Conc_Beta.1-$Y557)))
-($J557*MIN(Mat.Rebar_f.y,(Mat.Rebar_epsilon.cl*($S557-AY557)/AY557)*Mat.PT_E.s))
-($M557*Mat.PT_f.pu*(1-Mat.PT_k*AY557/$P557))))</f>
        <v/>
      </c>
      <c r="BB557" s="329"/>
      <c r="BC557" s="167" t="str">
        <f>IF(ISBLANK(Inputs!$A40),"",
IF(BA557="--","Solved",
IF(ABS(BA557)&lt;=0.001,"Solved",AY557-BA557*(AY557-AU557)/(BA557-AW557))))</f>
        <v/>
      </c>
      <c r="BD557" s="167"/>
      <c r="BE557" s="329" t="str">
        <f>IF(ISBLANK(Inputs!$A40),"",
IF(OR(BC557="Solved",BC557="--"),"--",
((Mat.Conc_Alpha.1*Mat.Conc_f.c*$AB557*MIN(BC557*Mat.Conc_Beta.1,$Y557))
+(Mat.Conc_Alpha.1*Mat.Conc_f.c*$V557*MAX(0,BC557*Mat.Conc_Beta.1-$Y557)))
-($J557*MIN(Mat.Rebar_f.y,(Mat.Rebar_epsilon.cl*($S557-BC557)/BC557)*Mat.PT_E.s))
-($M557*Mat.PT_f.pu*(1-Mat.PT_k*BC557/$P557))))</f>
        <v/>
      </c>
      <c r="BF557" s="329"/>
      <c r="BG557" s="167" t="str">
        <f>IF(ISBLANK(Inputs!$A40),"",
IF(BE557="--","Solved",
IF(ABS(BE557)&lt;=0.001,"Solved",BC557-BE557*(BC557-AY557)/(BE557-BA557))))</f>
        <v/>
      </c>
      <c r="BH557" s="167"/>
      <c r="BI557" s="329" t="str">
        <f>IF(ISBLANK(Inputs!$A40),"",
IF(OR(BG557="Solved",BG557="--"),"--",
((Mat.Conc_Alpha.1*Mat.Conc_f.c*$AB557*MIN(BG557*Mat.Conc_Beta.1,$Y557))
+(Mat.Conc_Alpha.1*Mat.Conc_f.c*$V557*MAX(0,BG557*Mat.Conc_Beta.1-$Y557)))
-($J557*MIN(Mat.Rebar_f.y,(Mat.Rebar_epsilon.cl*($S557-BG557)/BG557)*Mat.PT_E.s))
-($M557*Mat.PT_f.pu*(1-Mat.PT_k*BG557/$P557))))</f>
        <v/>
      </c>
      <c r="BJ557" s="329"/>
      <c r="BK557" s="167" t="str">
        <f>IF(ISBLANK(Inputs!$A40),"",
IF(BI557="--","Solved",
IF(ABS(BI557)&lt;=0.001,"Solved",BG557-BI557*(BG557-BC557)/(BI557-BE557))))</f>
        <v/>
      </c>
      <c r="BL557" s="167"/>
      <c r="BM557" s="329" t="str">
        <f>IF(ISBLANK(Inputs!$A40),"",
IF(OR(BK557="Solved",BK557="--"),"--",
((Mat.Conc_Alpha.1*Mat.Conc_f.c*$AB557*MIN(BK557*Mat.Conc_Beta.1,$Y557))
+(Mat.Conc_Alpha.1*Mat.Conc_f.c*$V557*MAX(0,BK557*Mat.Conc_Beta.1-$Y557)))
-($J557*MIN(Mat.Rebar_f.y,(Mat.Rebar_epsilon.cl*($S557-BK557)/BK557)*Mat.PT_E.s))
-($M557*Mat.PT_f.pu*(1-Mat.PT_k*BK557/$P557))))</f>
        <v/>
      </c>
      <c r="BN557" s="329"/>
      <c r="BO557" s="167" t="str">
        <f>IF(ISBLANK(Inputs!$A40),"",
IF(BM557="--","Solved",
IF(ABS(BM557)&lt;=0.001,"Solved",BK557-BM557*(BK557-BG557)/(BM557-BI557))))</f>
        <v/>
      </c>
      <c r="BP557" s="167"/>
      <c r="BQ557" s="329" t="str">
        <f>IF(ISBLANK(Inputs!$A40),"",
IF(OR(BO557="Solved",BO557="--"),"--",
((Mat.Conc_Alpha.1*Mat.Conc_f.c*$AB557*MIN(BO557*Mat.Conc_Beta.1,$Y557))
+(Mat.Conc_Alpha.1*Mat.Conc_f.c*$V557*MAX(0,BO557*Mat.Conc_Beta.1-$Y557)))
-($J557*MIN(Mat.Rebar_f.y,(Mat.Rebar_epsilon.cl*($S557-BO557)/BO557)*Mat.PT_E.s))
-($M557*Mat.PT_f.pu*(1-Mat.PT_k*BO557/$P557))))</f>
        <v/>
      </c>
      <c r="BR557" s="329"/>
      <c r="BS557" s="70"/>
      <c r="BT557" s="70"/>
      <c r="BU557" s="70"/>
      <c r="BV557" s="70"/>
      <c r="BW557" s="8"/>
      <c r="BX557" s="8"/>
      <c r="BY557" s="8"/>
      <c r="BZ557" s="8"/>
      <c r="CA557" s="8"/>
      <c r="CB557" s="10"/>
    </row>
    <row r="558" spans="3:80" ht="15" customHeight="1" x14ac:dyDescent="0.25">
      <c r="C558" s="69"/>
      <c r="F558" s="167" t="str">
        <f>IF(ISBLANK(Inputs!A41),"",Inputs!A41)</f>
        <v/>
      </c>
      <c r="G558" s="167"/>
      <c r="H558" s="167" t="str">
        <f>IF(ISBLANK(Inputs!B41),"",Inputs!B41)</f>
        <v/>
      </c>
      <c r="I558" s="167"/>
      <c r="J558" s="168" t="str">
        <f>IF(ISBLANK(Inputs!K41),"",Inputs!K41)</f>
        <v/>
      </c>
      <c r="K558" s="168"/>
      <c r="L558" s="168"/>
      <c r="M558" s="168" t="str">
        <f>IF(ISBLANK(Inputs!D41),"",Inputs!D41)</f>
        <v/>
      </c>
      <c r="N558" s="168"/>
      <c r="O558" s="168"/>
      <c r="P558" s="168" t="str">
        <f>IF(ISBLANK(Inputs!F41),"",Inputs!$B$10-Inputs!F41)</f>
        <v/>
      </c>
      <c r="Q558" s="168"/>
      <c r="R558" s="168"/>
      <c r="S558" s="168" t="str">
        <f>IF(ISBLANK(Inputs!L41),"",Inputs!L41)</f>
        <v/>
      </c>
      <c r="T558" s="168"/>
      <c r="U558" s="168"/>
      <c r="V558" s="168" t="str">
        <f>IF(ISBLANK(Inputs!E41),"",Inputs!E41)</f>
        <v/>
      </c>
      <c r="W558" s="168"/>
      <c r="X558" s="168"/>
      <c r="Y558" s="168" t="str">
        <f>IF(ISBLANK(Inputs!M41),"",Inputs!M41)</f>
        <v/>
      </c>
      <c r="Z558" s="168"/>
      <c r="AA558" s="168"/>
      <c r="AB558" s="168" t="str">
        <f>IF(ISBLANK(Inputs!N41),"",Inputs!N41)</f>
        <v/>
      </c>
      <c r="AC558" s="168"/>
      <c r="AD558" s="168"/>
      <c r="AE558" s="371" t="str">
        <f>IF(ISBLANK(Inputs!A41),"",Y558)</f>
        <v/>
      </c>
      <c r="AF558" s="371"/>
      <c r="AG558" s="329" t="str">
        <f>IF(ISBLANK(Inputs!$A41),"",
IF(OR(AE558="Solved",AE558="--"),"--",
((Mat.Conc_Alpha.1*Mat.Conc_f.c*$AB558*MIN(AE558*Mat.Conc_Beta.1,$Y558))
+(Mat.Conc_Alpha.1*Mat.Conc_f.c*$V558*MAX(0,AE558*Mat.Conc_Beta.1-$Y558)))
-($J558*MIN(Mat.Rebar_f.y,(Mat.Rebar_epsilon.cl*($S558-AE558)/AE558)*Mat.PT_E.s))
-($M558*Mat.PT_f.pu*(1-Mat.PT_k*AE558/$P558))))</f>
        <v/>
      </c>
      <c r="AH558" s="329"/>
      <c r="AI558" s="167" t="str">
        <f>IF(ISBLANK(Inputs!$A41),"",
IF(ABS(AG558)&lt;=0.001,"Solved",IF(AG558&gt;0,0.85*AE558,1.15*AE558)))</f>
        <v/>
      </c>
      <c r="AJ558" s="167"/>
      <c r="AK558" s="329" t="str">
        <f>IF(ISBLANK(Inputs!$A41),"",
IF(OR(AI558="Solved",AI558="--"),"--",
((Mat.Conc_Alpha.1*Mat.Conc_f.c*$AB558*MIN(AI558*Mat.Conc_Beta.1,$Y558))
+(Mat.Conc_Alpha.1*Mat.Conc_f.c*$V558*MAX(0,AI558*Mat.Conc_Beta.1-$Y558)))
-($J558*MIN(Mat.Rebar_f.y,(Mat.Rebar_epsilon.cl*($S558-AI558)/AI558)*Mat.PT_E.s))
-($M558*Mat.PT_f.pu*(1-Mat.PT_k*AI558/$P558))))</f>
        <v/>
      </c>
      <c r="AL558" s="329"/>
      <c r="AM558" s="167" t="str">
        <f>IF(ISBLANK(Inputs!$A41),"",
IF(AK558="--","Solved",
IF(ABS(AK558)&lt;=0.001,"Solved",AI558-AK558*(AI558-AE558)/(AK558-AG558))))</f>
        <v/>
      </c>
      <c r="AN558" s="167"/>
      <c r="AO558" s="329" t="str">
        <f>IF(ISBLANK(Inputs!$A41),"",
IF(OR(AM558="Solved",AM558="--"),"--",
((Mat.Conc_Alpha.1*Mat.Conc_f.c*$AB558*MIN(AM558*Mat.Conc_Beta.1,$Y558))
+(Mat.Conc_Alpha.1*Mat.Conc_f.c*$V558*MAX(0,AM558*Mat.Conc_Beta.1-$Y558)))
-($J558*MIN(Mat.Rebar_f.y,(Mat.Rebar_epsilon.cl*($S558-AM558)/AM558)*Mat.PT_E.s))
-($M558*Mat.PT_f.pu*(1-Mat.PT_k*AM558/$P558))))</f>
        <v/>
      </c>
      <c r="AP558" s="329"/>
      <c r="AQ558" s="167" t="str">
        <f>IF(ISBLANK(Inputs!$A41),"",
IF(AO558="--","Solved",
IF(ABS(AO558)&lt;=0.001,"Solved",AM558-AO558*(AM558-AI558)/(AO558-AK558))))</f>
        <v/>
      </c>
      <c r="AR558" s="167"/>
      <c r="AS558" s="329" t="str">
        <f>IF(ISBLANK(Inputs!$A41),"",
IF(OR(AQ558="Solved",AQ558="--"),"--",
((Mat.Conc_Alpha.1*Mat.Conc_f.c*$AB558*MIN(AQ558*Mat.Conc_Beta.1,$Y558))
+(Mat.Conc_Alpha.1*Mat.Conc_f.c*$V558*MAX(0,AQ558*Mat.Conc_Beta.1-$Y558)))
-($J558*MIN(Mat.Rebar_f.y,(Mat.Rebar_epsilon.cl*($S558-AQ558)/AQ558)*Mat.PT_E.s))
-($M558*Mat.PT_f.pu*(1-Mat.PT_k*AQ558/$P558))))</f>
        <v/>
      </c>
      <c r="AT558" s="329"/>
      <c r="AU558" s="167" t="str">
        <f>IF(ISBLANK(Inputs!$A41),"",
IF(AS558="--","Solved",
IF(ABS(AS558)&lt;=0.001,"Solved",AQ558-AS558*(AQ558-AM558)/(AS558-AO558))))</f>
        <v/>
      </c>
      <c r="AV558" s="167"/>
      <c r="AW558" s="329" t="str">
        <f>IF(ISBLANK(Inputs!$A41),"",
IF(OR(AU558="Solved",AU558="--"),"--",
((Mat.Conc_Alpha.1*Mat.Conc_f.c*$AB558*MIN(AU558*Mat.Conc_Beta.1,$Y558))
+(Mat.Conc_Alpha.1*Mat.Conc_f.c*$V558*MAX(0,AU558*Mat.Conc_Beta.1-$Y558)))
-($J558*MIN(Mat.Rebar_f.y,(Mat.Rebar_epsilon.cl*($S558-AU558)/AU558)*Mat.PT_E.s))
-($M558*Mat.PT_f.pu*(1-Mat.PT_k*AU558/$P558))))</f>
        <v/>
      </c>
      <c r="AX558" s="329"/>
      <c r="AY558" s="167" t="str">
        <f>IF(ISBLANK(Inputs!$A41),"",
IF(AW558="--","Solved",
IF(ABS(AW558)&lt;=0.001,"Solved",AU558-AW558*(AU558-AQ558)/(AW558-AS558))))</f>
        <v/>
      </c>
      <c r="AZ558" s="167"/>
      <c r="BA558" s="329" t="str">
        <f>IF(ISBLANK(Inputs!$A41),"",
IF(OR(AY558="Solved",AY558="--"),"--",
((Mat.Conc_Alpha.1*Mat.Conc_f.c*$AB558*MIN(AY558*Mat.Conc_Beta.1,$Y558))
+(Mat.Conc_Alpha.1*Mat.Conc_f.c*$V558*MAX(0,AY558*Mat.Conc_Beta.1-$Y558)))
-($J558*MIN(Mat.Rebar_f.y,(Mat.Rebar_epsilon.cl*($S558-AY558)/AY558)*Mat.PT_E.s))
-($M558*Mat.PT_f.pu*(1-Mat.PT_k*AY558/$P558))))</f>
        <v/>
      </c>
      <c r="BB558" s="329"/>
      <c r="BC558" s="167" t="str">
        <f>IF(ISBLANK(Inputs!$A41),"",
IF(BA558="--","Solved",
IF(ABS(BA558)&lt;=0.001,"Solved",AY558-BA558*(AY558-AU558)/(BA558-AW558))))</f>
        <v/>
      </c>
      <c r="BD558" s="167"/>
      <c r="BE558" s="329" t="str">
        <f>IF(ISBLANK(Inputs!$A41),"",
IF(OR(BC558="Solved",BC558="--"),"--",
((Mat.Conc_Alpha.1*Mat.Conc_f.c*$AB558*MIN(BC558*Mat.Conc_Beta.1,$Y558))
+(Mat.Conc_Alpha.1*Mat.Conc_f.c*$V558*MAX(0,BC558*Mat.Conc_Beta.1-$Y558)))
-($J558*MIN(Mat.Rebar_f.y,(Mat.Rebar_epsilon.cl*($S558-BC558)/BC558)*Mat.PT_E.s))
-($M558*Mat.PT_f.pu*(1-Mat.PT_k*BC558/$P558))))</f>
        <v/>
      </c>
      <c r="BF558" s="329"/>
      <c r="BG558" s="167" t="str">
        <f>IF(ISBLANK(Inputs!$A41),"",
IF(BE558="--","Solved",
IF(ABS(BE558)&lt;=0.001,"Solved",BC558-BE558*(BC558-AY558)/(BE558-BA558))))</f>
        <v/>
      </c>
      <c r="BH558" s="167"/>
      <c r="BI558" s="329" t="str">
        <f>IF(ISBLANK(Inputs!$A41),"",
IF(OR(BG558="Solved",BG558="--"),"--",
((Mat.Conc_Alpha.1*Mat.Conc_f.c*$AB558*MIN(BG558*Mat.Conc_Beta.1,$Y558))
+(Mat.Conc_Alpha.1*Mat.Conc_f.c*$V558*MAX(0,BG558*Mat.Conc_Beta.1-$Y558)))
-($J558*MIN(Mat.Rebar_f.y,(Mat.Rebar_epsilon.cl*($S558-BG558)/BG558)*Mat.PT_E.s))
-($M558*Mat.PT_f.pu*(1-Mat.PT_k*BG558/$P558))))</f>
        <v/>
      </c>
      <c r="BJ558" s="329"/>
      <c r="BK558" s="167" t="str">
        <f>IF(ISBLANK(Inputs!$A41),"",
IF(BI558="--","Solved",
IF(ABS(BI558)&lt;=0.001,"Solved",BG558-BI558*(BG558-BC558)/(BI558-BE558))))</f>
        <v/>
      </c>
      <c r="BL558" s="167"/>
      <c r="BM558" s="329" t="str">
        <f>IF(ISBLANK(Inputs!$A41),"",
IF(OR(BK558="Solved",BK558="--"),"--",
((Mat.Conc_Alpha.1*Mat.Conc_f.c*$AB558*MIN(BK558*Mat.Conc_Beta.1,$Y558))
+(Mat.Conc_Alpha.1*Mat.Conc_f.c*$V558*MAX(0,BK558*Mat.Conc_Beta.1-$Y558)))
-($J558*MIN(Mat.Rebar_f.y,(Mat.Rebar_epsilon.cl*($S558-BK558)/BK558)*Mat.PT_E.s))
-($M558*Mat.PT_f.pu*(1-Mat.PT_k*BK558/$P558))))</f>
        <v/>
      </c>
      <c r="BN558" s="329"/>
      <c r="BO558" s="167" t="str">
        <f>IF(ISBLANK(Inputs!$A41),"",
IF(BM558="--","Solved",
IF(ABS(BM558)&lt;=0.001,"Solved",BK558-BM558*(BK558-BG558)/(BM558-BI558))))</f>
        <v/>
      </c>
      <c r="BP558" s="167"/>
      <c r="BQ558" s="329" t="str">
        <f>IF(ISBLANK(Inputs!$A41),"",
IF(OR(BO558="Solved",BO558="--"),"--",
((Mat.Conc_Alpha.1*Mat.Conc_f.c*$AB558*MIN(BO558*Mat.Conc_Beta.1,$Y558))
+(Mat.Conc_Alpha.1*Mat.Conc_f.c*$V558*MAX(0,BO558*Mat.Conc_Beta.1-$Y558)))
-($J558*MIN(Mat.Rebar_f.y,(Mat.Rebar_epsilon.cl*($S558-BO558)/BO558)*Mat.PT_E.s))
-($M558*Mat.PT_f.pu*(1-Mat.PT_k*BO558/$P558))))</f>
        <v/>
      </c>
      <c r="BR558" s="329"/>
      <c r="BS558" s="70"/>
      <c r="BT558" s="70"/>
      <c r="BU558" s="70"/>
      <c r="BV558" s="70"/>
      <c r="BW558" s="8"/>
      <c r="BX558" s="8"/>
      <c r="BY558" s="8"/>
      <c r="BZ558" s="8"/>
      <c r="CA558" s="8"/>
      <c r="CB558" s="10"/>
    </row>
    <row r="559" spans="3:80" ht="15" customHeight="1" x14ac:dyDescent="0.25">
      <c r="C559" s="69"/>
      <c r="F559" s="167" t="str">
        <f>IF(ISBLANK(Inputs!A42),"",Inputs!A42)</f>
        <v/>
      </c>
      <c r="G559" s="167"/>
      <c r="H559" s="167" t="str">
        <f>IF(ISBLANK(Inputs!B42),"",Inputs!B42)</f>
        <v/>
      </c>
      <c r="I559" s="167"/>
      <c r="J559" s="168" t="str">
        <f>IF(ISBLANK(Inputs!K42),"",Inputs!K42)</f>
        <v/>
      </c>
      <c r="K559" s="168"/>
      <c r="L559" s="168"/>
      <c r="M559" s="168" t="str">
        <f>IF(ISBLANK(Inputs!D42),"",Inputs!D42)</f>
        <v/>
      </c>
      <c r="N559" s="168"/>
      <c r="O559" s="168"/>
      <c r="P559" s="168" t="str">
        <f>IF(ISBLANK(Inputs!F42),"",Inputs!$B$10-Inputs!F42)</f>
        <v/>
      </c>
      <c r="Q559" s="168"/>
      <c r="R559" s="168"/>
      <c r="S559" s="168" t="str">
        <f>IF(ISBLANK(Inputs!L42),"",Inputs!L42)</f>
        <v/>
      </c>
      <c r="T559" s="168"/>
      <c r="U559" s="168"/>
      <c r="V559" s="168" t="str">
        <f>IF(ISBLANK(Inputs!E42),"",Inputs!E42)</f>
        <v/>
      </c>
      <c r="W559" s="168"/>
      <c r="X559" s="168"/>
      <c r="Y559" s="168" t="str">
        <f>IF(ISBLANK(Inputs!M42),"",Inputs!M42)</f>
        <v/>
      </c>
      <c r="Z559" s="168"/>
      <c r="AA559" s="168"/>
      <c r="AB559" s="168" t="str">
        <f>IF(ISBLANK(Inputs!N42),"",Inputs!N42)</f>
        <v/>
      </c>
      <c r="AC559" s="168"/>
      <c r="AD559" s="168"/>
      <c r="AE559" s="371" t="str">
        <f>IF(ISBLANK(Inputs!A42),"",Y559)</f>
        <v/>
      </c>
      <c r="AF559" s="371"/>
      <c r="AG559" s="329" t="str">
        <f>IF(ISBLANK(Inputs!$A42),"",
IF(OR(AE559="Solved",AE559="--"),"--",
((Mat.Conc_Alpha.1*Mat.Conc_f.c*$AB559*MIN(AE559*Mat.Conc_Beta.1,$Y559))
+(Mat.Conc_Alpha.1*Mat.Conc_f.c*$V559*MAX(0,AE559*Mat.Conc_Beta.1-$Y559)))
-($J559*MIN(Mat.Rebar_f.y,(Mat.Rebar_epsilon.cl*($S559-AE559)/AE559)*Mat.PT_E.s))
-($M559*Mat.PT_f.pu*(1-Mat.PT_k*AE559/$P559))))</f>
        <v/>
      </c>
      <c r="AH559" s="329"/>
      <c r="AI559" s="167" t="str">
        <f>IF(ISBLANK(Inputs!$A42),"",
IF(ABS(AG559)&lt;=0.001,"Solved",IF(AG559&gt;0,0.85*AE559,1.15*AE559)))</f>
        <v/>
      </c>
      <c r="AJ559" s="167"/>
      <c r="AK559" s="329" t="str">
        <f>IF(ISBLANK(Inputs!$A42),"",
IF(OR(AI559="Solved",AI559="--"),"--",
((Mat.Conc_Alpha.1*Mat.Conc_f.c*$AB559*MIN(AI559*Mat.Conc_Beta.1,$Y559))
+(Mat.Conc_Alpha.1*Mat.Conc_f.c*$V559*MAX(0,AI559*Mat.Conc_Beta.1-$Y559)))
-($J559*MIN(Mat.Rebar_f.y,(Mat.Rebar_epsilon.cl*($S559-AI559)/AI559)*Mat.PT_E.s))
-($M559*Mat.PT_f.pu*(1-Mat.PT_k*AI559/$P559))))</f>
        <v/>
      </c>
      <c r="AL559" s="329"/>
      <c r="AM559" s="167" t="str">
        <f>IF(ISBLANK(Inputs!$A42),"",
IF(AK559="--","Solved",
IF(ABS(AK559)&lt;=0.001,"Solved",AI559-AK559*(AI559-AE559)/(AK559-AG559))))</f>
        <v/>
      </c>
      <c r="AN559" s="167"/>
      <c r="AO559" s="329" t="str">
        <f>IF(ISBLANK(Inputs!$A42),"",
IF(OR(AM559="Solved",AM559="--"),"--",
((Mat.Conc_Alpha.1*Mat.Conc_f.c*$AB559*MIN(AM559*Mat.Conc_Beta.1,$Y559))
+(Mat.Conc_Alpha.1*Mat.Conc_f.c*$V559*MAX(0,AM559*Mat.Conc_Beta.1-$Y559)))
-($J559*MIN(Mat.Rebar_f.y,(Mat.Rebar_epsilon.cl*($S559-AM559)/AM559)*Mat.PT_E.s))
-($M559*Mat.PT_f.pu*(1-Mat.PT_k*AM559/$P559))))</f>
        <v/>
      </c>
      <c r="AP559" s="329"/>
      <c r="AQ559" s="167" t="str">
        <f>IF(ISBLANK(Inputs!$A42),"",
IF(AO559="--","Solved",
IF(ABS(AO559)&lt;=0.001,"Solved",AM559-AO559*(AM559-AI559)/(AO559-AK559))))</f>
        <v/>
      </c>
      <c r="AR559" s="167"/>
      <c r="AS559" s="329" t="str">
        <f>IF(ISBLANK(Inputs!$A42),"",
IF(OR(AQ559="Solved",AQ559="--"),"--",
((Mat.Conc_Alpha.1*Mat.Conc_f.c*$AB559*MIN(AQ559*Mat.Conc_Beta.1,$Y559))
+(Mat.Conc_Alpha.1*Mat.Conc_f.c*$V559*MAX(0,AQ559*Mat.Conc_Beta.1-$Y559)))
-($J559*MIN(Mat.Rebar_f.y,(Mat.Rebar_epsilon.cl*($S559-AQ559)/AQ559)*Mat.PT_E.s))
-($M559*Mat.PT_f.pu*(1-Mat.PT_k*AQ559/$P559))))</f>
        <v/>
      </c>
      <c r="AT559" s="329"/>
      <c r="AU559" s="167" t="str">
        <f>IF(ISBLANK(Inputs!$A42),"",
IF(AS559="--","Solved",
IF(ABS(AS559)&lt;=0.001,"Solved",AQ559-AS559*(AQ559-AM559)/(AS559-AO559))))</f>
        <v/>
      </c>
      <c r="AV559" s="167"/>
      <c r="AW559" s="329" t="str">
        <f>IF(ISBLANK(Inputs!$A42),"",
IF(OR(AU559="Solved",AU559="--"),"--",
((Mat.Conc_Alpha.1*Mat.Conc_f.c*$AB559*MIN(AU559*Mat.Conc_Beta.1,$Y559))
+(Mat.Conc_Alpha.1*Mat.Conc_f.c*$V559*MAX(0,AU559*Mat.Conc_Beta.1-$Y559)))
-($J559*MIN(Mat.Rebar_f.y,(Mat.Rebar_epsilon.cl*($S559-AU559)/AU559)*Mat.PT_E.s))
-($M559*Mat.PT_f.pu*(1-Mat.PT_k*AU559/$P559))))</f>
        <v/>
      </c>
      <c r="AX559" s="329"/>
      <c r="AY559" s="167" t="str">
        <f>IF(ISBLANK(Inputs!$A42),"",
IF(AW559="--","Solved",
IF(ABS(AW559)&lt;=0.001,"Solved",AU559-AW559*(AU559-AQ559)/(AW559-AS559))))</f>
        <v/>
      </c>
      <c r="AZ559" s="167"/>
      <c r="BA559" s="329" t="str">
        <f>IF(ISBLANK(Inputs!$A42),"",
IF(OR(AY559="Solved",AY559="--"),"--",
((Mat.Conc_Alpha.1*Mat.Conc_f.c*$AB559*MIN(AY559*Mat.Conc_Beta.1,$Y559))
+(Mat.Conc_Alpha.1*Mat.Conc_f.c*$V559*MAX(0,AY559*Mat.Conc_Beta.1-$Y559)))
-($J559*MIN(Mat.Rebar_f.y,(Mat.Rebar_epsilon.cl*($S559-AY559)/AY559)*Mat.PT_E.s))
-($M559*Mat.PT_f.pu*(1-Mat.PT_k*AY559/$P559))))</f>
        <v/>
      </c>
      <c r="BB559" s="329"/>
      <c r="BC559" s="167" t="str">
        <f>IF(ISBLANK(Inputs!$A42),"",
IF(BA559="--","Solved",
IF(ABS(BA559)&lt;=0.001,"Solved",AY559-BA559*(AY559-AU559)/(BA559-AW559))))</f>
        <v/>
      </c>
      <c r="BD559" s="167"/>
      <c r="BE559" s="329" t="str">
        <f>IF(ISBLANK(Inputs!$A42),"",
IF(OR(BC559="Solved",BC559="--"),"--",
((Mat.Conc_Alpha.1*Mat.Conc_f.c*$AB559*MIN(BC559*Mat.Conc_Beta.1,$Y559))
+(Mat.Conc_Alpha.1*Mat.Conc_f.c*$V559*MAX(0,BC559*Mat.Conc_Beta.1-$Y559)))
-($J559*MIN(Mat.Rebar_f.y,(Mat.Rebar_epsilon.cl*($S559-BC559)/BC559)*Mat.PT_E.s))
-($M559*Mat.PT_f.pu*(1-Mat.PT_k*BC559/$P559))))</f>
        <v/>
      </c>
      <c r="BF559" s="329"/>
      <c r="BG559" s="167" t="str">
        <f>IF(ISBLANK(Inputs!$A42),"",
IF(BE559="--","Solved",
IF(ABS(BE559)&lt;=0.001,"Solved",BC559-BE559*(BC559-AY559)/(BE559-BA559))))</f>
        <v/>
      </c>
      <c r="BH559" s="167"/>
      <c r="BI559" s="329" t="str">
        <f>IF(ISBLANK(Inputs!$A42),"",
IF(OR(BG559="Solved",BG559="--"),"--",
((Mat.Conc_Alpha.1*Mat.Conc_f.c*$AB559*MIN(BG559*Mat.Conc_Beta.1,$Y559))
+(Mat.Conc_Alpha.1*Mat.Conc_f.c*$V559*MAX(0,BG559*Mat.Conc_Beta.1-$Y559)))
-($J559*MIN(Mat.Rebar_f.y,(Mat.Rebar_epsilon.cl*($S559-BG559)/BG559)*Mat.PT_E.s))
-($M559*Mat.PT_f.pu*(1-Mat.PT_k*BG559/$P559))))</f>
        <v/>
      </c>
      <c r="BJ559" s="329"/>
      <c r="BK559" s="167" t="str">
        <f>IF(ISBLANK(Inputs!$A42),"",
IF(BI559="--","Solved",
IF(ABS(BI559)&lt;=0.001,"Solved",BG559-BI559*(BG559-BC559)/(BI559-BE559))))</f>
        <v/>
      </c>
      <c r="BL559" s="167"/>
      <c r="BM559" s="329" t="str">
        <f>IF(ISBLANK(Inputs!$A42),"",
IF(OR(BK559="Solved",BK559="--"),"--",
((Mat.Conc_Alpha.1*Mat.Conc_f.c*$AB559*MIN(BK559*Mat.Conc_Beta.1,$Y559))
+(Mat.Conc_Alpha.1*Mat.Conc_f.c*$V559*MAX(0,BK559*Mat.Conc_Beta.1-$Y559)))
-($J559*MIN(Mat.Rebar_f.y,(Mat.Rebar_epsilon.cl*($S559-BK559)/BK559)*Mat.PT_E.s))
-($M559*Mat.PT_f.pu*(1-Mat.PT_k*BK559/$P559))))</f>
        <v/>
      </c>
      <c r="BN559" s="329"/>
      <c r="BO559" s="167" t="str">
        <f>IF(ISBLANK(Inputs!$A42),"",
IF(BM559="--","Solved",
IF(ABS(BM559)&lt;=0.001,"Solved",BK559-BM559*(BK559-BG559)/(BM559-BI559))))</f>
        <v/>
      </c>
      <c r="BP559" s="167"/>
      <c r="BQ559" s="329" t="str">
        <f>IF(ISBLANK(Inputs!$A42),"",
IF(OR(BO559="Solved",BO559="--"),"--",
((Mat.Conc_Alpha.1*Mat.Conc_f.c*$AB559*MIN(BO559*Mat.Conc_Beta.1,$Y559))
+(Mat.Conc_Alpha.1*Mat.Conc_f.c*$V559*MAX(0,BO559*Mat.Conc_Beta.1-$Y559)))
-($J559*MIN(Mat.Rebar_f.y,(Mat.Rebar_epsilon.cl*($S559-BO559)/BO559)*Mat.PT_E.s))
-($M559*Mat.PT_f.pu*(1-Mat.PT_k*BO559/$P559))))</f>
        <v/>
      </c>
      <c r="BR559" s="329"/>
      <c r="BS559" s="70"/>
      <c r="BT559" s="70"/>
      <c r="BU559" s="70"/>
      <c r="BV559" s="70"/>
      <c r="BW559" s="8"/>
      <c r="BX559" s="8"/>
      <c r="BY559" s="8"/>
      <c r="BZ559" s="8"/>
      <c r="CA559" s="8"/>
      <c r="CB559" s="10"/>
    </row>
    <row r="560" spans="3:80" ht="15" customHeight="1" x14ac:dyDescent="0.25">
      <c r="C560" s="69"/>
      <c r="F560" s="167" t="str">
        <f>IF(ISBLANK(Inputs!A43),"",Inputs!A43)</f>
        <v/>
      </c>
      <c r="G560" s="167"/>
      <c r="H560" s="167" t="str">
        <f>IF(ISBLANK(Inputs!B43),"",Inputs!B43)</f>
        <v/>
      </c>
      <c r="I560" s="167"/>
      <c r="J560" s="168" t="str">
        <f>IF(ISBLANK(Inputs!K43),"",Inputs!K43)</f>
        <v/>
      </c>
      <c r="K560" s="168"/>
      <c r="L560" s="168"/>
      <c r="M560" s="168" t="str">
        <f>IF(ISBLANK(Inputs!D43),"",Inputs!D43)</f>
        <v/>
      </c>
      <c r="N560" s="168"/>
      <c r="O560" s="168"/>
      <c r="P560" s="168" t="str">
        <f>IF(ISBLANK(Inputs!F43),"",Inputs!$B$10-Inputs!F43)</f>
        <v/>
      </c>
      <c r="Q560" s="168"/>
      <c r="R560" s="168"/>
      <c r="S560" s="168" t="str">
        <f>IF(ISBLANK(Inputs!L43),"",Inputs!L43)</f>
        <v/>
      </c>
      <c r="T560" s="168"/>
      <c r="U560" s="168"/>
      <c r="V560" s="168" t="str">
        <f>IF(ISBLANK(Inputs!E43),"",Inputs!E43)</f>
        <v/>
      </c>
      <c r="W560" s="168"/>
      <c r="X560" s="168"/>
      <c r="Y560" s="168" t="str">
        <f>IF(ISBLANK(Inputs!M43),"",Inputs!M43)</f>
        <v/>
      </c>
      <c r="Z560" s="168"/>
      <c r="AA560" s="168"/>
      <c r="AB560" s="168" t="str">
        <f>IF(ISBLANK(Inputs!N43),"",Inputs!N43)</f>
        <v/>
      </c>
      <c r="AC560" s="168"/>
      <c r="AD560" s="168"/>
      <c r="AE560" s="371" t="str">
        <f>IF(ISBLANK(Inputs!A43),"",Y560)</f>
        <v/>
      </c>
      <c r="AF560" s="371"/>
      <c r="AG560" s="329" t="str">
        <f>IF(ISBLANK(Inputs!$A43),"",
IF(OR(AE560="Solved",AE560="--"),"--",
((Mat.Conc_Alpha.1*Mat.Conc_f.c*$AB560*MIN(AE560*Mat.Conc_Beta.1,$Y560))
+(Mat.Conc_Alpha.1*Mat.Conc_f.c*$V560*MAX(0,AE560*Mat.Conc_Beta.1-$Y560)))
-($J560*MIN(Mat.Rebar_f.y,(Mat.Rebar_epsilon.cl*($S560-AE560)/AE560)*Mat.PT_E.s))
-($M560*Mat.PT_f.pu*(1-Mat.PT_k*AE560/$P560))))</f>
        <v/>
      </c>
      <c r="AH560" s="329"/>
      <c r="AI560" s="167" t="str">
        <f>IF(ISBLANK(Inputs!$A43),"",
IF(ABS(AG560)&lt;=0.001,"Solved",IF(AG560&gt;0,0.85*AE560,1.15*AE560)))</f>
        <v/>
      </c>
      <c r="AJ560" s="167"/>
      <c r="AK560" s="329" t="str">
        <f>IF(ISBLANK(Inputs!$A43),"",
IF(OR(AI560="Solved",AI560="--"),"--",
((Mat.Conc_Alpha.1*Mat.Conc_f.c*$AB560*MIN(AI560*Mat.Conc_Beta.1,$Y560))
+(Mat.Conc_Alpha.1*Mat.Conc_f.c*$V560*MAX(0,AI560*Mat.Conc_Beta.1-$Y560)))
-($J560*MIN(Mat.Rebar_f.y,(Mat.Rebar_epsilon.cl*($S560-AI560)/AI560)*Mat.PT_E.s))
-($M560*Mat.PT_f.pu*(1-Mat.PT_k*AI560/$P560))))</f>
        <v/>
      </c>
      <c r="AL560" s="329"/>
      <c r="AM560" s="167" t="str">
        <f>IF(ISBLANK(Inputs!$A43),"",
IF(AK560="--","Solved",
IF(ABS(AK560)&lt;=0.001,"Solved",AI560-AK560*(AI560-AE560)/(AK560-AG560))))</f>
        <v/>
      </c>
      <c r="AN560" s="167"/>
      <c r="AO560" s="329" t="str">
        <f>IF(ISBLANK(Inputs!$A43),"",
IF(OR(AM560="Solved",AM560="--"),"--",
((Mat.Conc_Alpha.1*Mat.Conc_f.c*$AB560*MIN(AM560*Mat.Conc_Beta.1,$Y560))
+(Mat.Conc_Alpha.1*Mat.Conc_f.c*$V560*MAX(0,AM560*Mat.Conc_Beta.1-$Y560)))
-($J560*MIN(Mat.Rebar_f.y,(Mat.Rebar_epsilon.cl*($S560-AM560)/AM560)*Mat.PT_E.s))
-($M560*Mat.PT_f.pu*(1-Mat.PT_k*AM560/$P560))))</f>
        <v/>
      </c>
      <c r="AP560" s="329"/>
      <c r="AQ560" s="167" t="str">
        <f>IF(ISBLANK(Inputs!$A43),"",
IF(AO560="--","Solved",
IF(ABS(AO560)&lt;=0.001,"Solved",AM560-AO560*(AM560-AI560)/(AO560-AK560))))</f>
        <v/>
      </c>
      <c r="AR560" s="167"/>
      <c r="AS560" s="329" t="str">
        <f>IF(ISBLANK(Inputs!$A43),"",
IF(OR(AQ560="Solved",AQ560="--"),"--",
((Mat.Conc_Alpha.1*Mat.Conc_f.c*$AB560*MIN(AQ560*Mat.Conc_Beta.1,$Y560))
+(Mat.Conc_Alpha.1*Mat.Conc_f.c*$V560*MAX(0,AQ560*Mat.Conc_Beta.1-$Y560)))
-($J560*MIN(Mat.Rebar_f.y,(Mat.Rebar_epsilon.cl*($S560-AQ560)/AQ560)*Mat.PT_E.s))
-($M560*Mat.PT_f.pu*(1-Mat.PT_k*AQ560/$P560))))</f>
        <v/>
      </c>
      <c r="AT560" s="329"/>
      <c r="AU560" s="167" t="str">
        <f>IF(ISBLANK(Inputs!$A43),"",
IF(AS560="--","Solved",
IF(ABS(AS560)&lt;=0.001,"Solved",AQ560-AS560*(AQ560-AM560)/(AS560-AO560))))</f>
        <v/>
      </c>
      <c r="AV560" s="167"/>
      <c r="AW560" s="329" t="str">
        <f>IF(ISBLANK(Inputs!$A43),"",
IF(OR(AU560="Solved",AU560="--"),"--",
((Mat.Conc_Alpha.1*Mat.Conc_f.c*$AB560*MIN(AU560*Mat.Conc_Beta.1,$Y560))
+(Mat.Conc_Alpha.1*Mat.Conc_f.c*$V560*MAX(0,AU560*Mat.Conc_Beta.1-$Y560)))
-($J560*MIN(Mat.Rebar_f.y,(Mat.Rebar_epsilon.cl*($S560-AU560)/AU560)*Mat.PT_E.s))
-($M560*Mat.PT_f.pu*(1-Mat.PT_k*AU560/$P560))))</f>
        <v/>
      </c>
      <c r="AX560" s="329"/>
      <c r="AY560" s="167" t="str">
        <f>IF(ISBLANK(Inputs!$A43),"",
IF(AW560="--","Solved",
IF(ABS(AW560)&lt;=0.001,"Solved",AU560-AW560*(AU560-AQ560)/(AW560-AS560))))</f>
        <v/>
      </c>
      <c r="AZ560" s="167"/>
      <c r="BA560" s="329" t="str">
        <f>IF(ISBLANK(Inputs!$A43),"",
IF(OR(AY560="Solved",AY560="--"),"--",
((Mat.Conc_Alpha.1*Mat.Conc_f.c*$AB560*MIN(AY560*Mat.Conc_Beta.1,$Y560))
+(Mat.Conc_Alpha.1*Mat.Conc_f.c*$V560*MAX(0,AY560*Mat.Conc_Beta.1-$Y560)))
-($J560*MIN(Mat.Rebar_f.y,(Mat.Rebar_epsilon.cl*($S560-AY560)/AY560)*Mat.PT_E.s))
-($M560*Mat.PT_f.pu*(1-Mat.PT_k*AY560/$P560))))</f>
        <v/>
      </c>
      <c r="BB560" s="329"/>
      <c r="BC560" s="167" t="str">
        <f>IF(ISBLANK(Inputs!$A43),"",
IF(BA560="--","Solved",
IF(ABS(BA560)&lt;=0.001,"Solved",AY560-BA560*(AY560-AU560)/(BA560-AW560))))</f>
        <v/>
      </c>
      <c r="BD560" s="167"/>
      <c r="BE560" s="329" t="str">
        <f>IF(ISBLANK(Inputs!$A43),"",
IF(OR(BC560="Solved",BC560="--"),"--",
((Mat.Conc_Alpha.1*Mat.Conc_f.c*$AB560*MIN(BC560*Mat.Conc_Beta.1,$Y560))
+(Mat.Conc_Alpha.1*Mat.Conc_f.c*$V560*MAX(0,BC560*Mat.Conc_Beta.1-$Y560)))
-($J560*MIN(Mat.Rebar_f.y,(Mat.Rebar_epsilon.cl*($S560-BC560)/BC560)*Mat.PT_E.s))
-($M560*Mat.PT_f.pu*(1-Mat.PT_k*BC560/$P560))))</f>
        <v/>
      </c>
      <c r="BF560" s="329"/>
      <c r="BG560" s="167" t="str">
        <f>IF(ISBLANK(Inputs!$A43),"",
IF(BE560="--","Solved",
IF(ABS(BE560)&lt;=0.001,"Solved",BC560-BE560*(BC560-AY560)/(BE560-BA560))))</f>
        <v/>
      </c>
      <c r="BH560" s="167"/>
      <c r="BI560" s="329" t="str">
        <f>IF(ISBLANK(Inputs!$A43),"",
IF(OR(BG560="Solved",BG560="--"),"--",
((Mat.Conc_Alpha.1*Mat.Conc_f.c*$AB560*MIN(BG560*Mat.Conc_Beta.1,$Y560))
+(Mat.Conc_Alpha.1*Mat.Conc_f.c*$V560*MAX(0,BG560*Mat.Conc_Beta.1-$Y560)))
-($J560*MIN(Mat.Rebar_f.y,(Mat.Rebar_epsilon.cl*($S560-BG560)/BG560)*Mat.PT_E.s))
-($M560*Mat.PT_f.pu*(1-Mat.PT_k*BG560/$P560))))</f>
        <v/>
      </c>
      <c r="BJ560" s="329"/>
      <c r="BK560" s="167" t="str">
        <f>IF(ISBLANK(Inputs!$A43),"",
IF(BI560="--","Solved",
IF(ABS(BI560)&lt;=0.001,"Solved",BG560-BI560*(BG560-BC560)/(BI560-BE560))))</f>
        <v/>
      </c>
      <c r="BL560" s="167"/>
      <c r="BM560" s="329" t="str">
        <f>IF(ISBLANK(Inputs!$A43),"",
IF(OR(BK560="Solved",BK560="--"),"--",
((Mat.Conc_Alpha.1*Mat.Conc_f.c*$AB560*MIN(BK560*Mat.Conc_Beta.1,$Y560))
+(Mat.Conc_Alpha.1*Mat.Conc_f.c*$V560*MAX(0,BK560*Mat.Conc_Beta.1-$Y560)))
-($J560*MIN(Mat.Rebar_f.y,(Mat.Rebar_epsilon.cl*($S560-BK560)/BK560)*Mat.PT_E.s))
-($M560*Mat.PT_f.pu*(1-Mat.PT_k*BK560/$P560))))</f>
        <v/>
      </c>
      <c r="BN560" s="329"/>
      <c r="BO560" s="167" t="str">
        <f>IF(ISBLANK(Inputs!$A43),"",
IF(BM560="--","Solved",
IF(ABS(BM560)&lt;=0.001,"Solved",BK560-BM560*(BK560-BG560)/(BM560-BI560))))</f>
        <v/>
      </c>
      <c r="BP560" s="167"/>
      <c r="BQ560" s="329" t="str">
        <f>IF(ISBLANK(Inputs!$A43),"",
IF(OR(BO560="Solved",BO560="--"),"--",
((Mat.Conc_Alpha.1*Mat.Conc_f.c*$AB560*MIN(BO560*Mat.Conc_Beta.1,$Y560))
+(Mat.Conc_Alpha.1*Mat.Conc_f.c*$V560*MAX(0,BO560*Mat.Conc_Beta.1-$Y560)))
-($J560*MIN(Mat.Rebar_f.y,(Mat.Rebar_epsilon.cl*($S560-BO560)/BO560)*Mat.PT_E.s))
-($M560*Mat.PT_f.pu*(1-Mat.PT_k*BO560/$P560))))</f>
        <v/>
      </c>
      <c r="BR560" s="329"/>
      <c r="BS560" s="70"/>
      <c r="BT560" s="70"/>
      <c r="BU560" s="70"/>
      <c r="BV560" s="70"/>
      <c r="BW560" s="8"/>
      <c r="BX560" s="8"/>
      <c r="BY560" s="8"/>
      <c r="BZ560" s="8"/>
      <c r="CA560" s="8"/>
      <c r="CB560" s="10"/>
    </row>
    <row r="561" spans="3:80" ht="15" customHeight="1" x14ac:dyDescent="0.25">
      <c r="C561" s="69"/>
      <c r="F561" s="167" t="str">
        <f>IF(ISBLANK(Inputs!A44),"",Inputs!A44)</f>
        <v/>
      </c>
      <c r="G561" s="167"/>
      <c r="H561" s="167" t="str">
        <f>IF(ISBLANK(Inputs!B44),"",Inputs!B44)</f>
        <v/>
      </c>
      <c r="I561" s="167"/>
      <c r="J561" s="168" t="str">
        <f>IF(ISBLANK(Inputs!K44),"",Inputs!K44)</f>
        <v/>
      </c>
      <c r="K561" s="168"/>
      <c r="L561" s="168"/>
      <c r="M561" s="168" t="str">
        <f>IF(ISBLANK(Inputs!D44),"",Inputs!D44)</f>
        <v/>
      </c>
      <c r="N561" s="168"/>
      <c r="O561" s="168"/>
      <c r="P561" s="168" t="str">
        <f>IF(ISBLANK(Inputs!F44),"",Inputs!$B$10-Inputs!F44)</f>
        <v/>
      </c>
      <c r="Q561" s="168"/>
      <c r="R561" s="168"/>
      <c r="S561" s="168" t="str">
        <f>IF(ISBLANK(Inputs!L44),"",Inputs!L44)</f>
        <v/>
      </c>
      <c r="T561" s="168"/>
      <c r="U561" s="168"/>
      <c r="V561" s="168" t="str">
        <f>IF(ISBLANK(Inputs!E44),"",Inputs!E44)</f>
        <v/>
      </c>
      <c r="W561" s="168"/>
      <c r="X561" s="168"/>
      <c r="Y561" s="168" t="str">
        <f>IF(ISBLANK(Inputs!M44),"",Inputs!M44)</f>
        <v/>
      </c>
      <c r="Z561" s="168"/>
      <c r="AA561" s="168"/>
      <c r="AB561" s="168" t="str">
        <f>IF(ISBLANK(Inputs!N44),"",Inputs!N44)</f>
        <v/>
      </c>
      <c r="AC561" s="168"/>
      <c r="AD561" s="168"/>
      <c r="AE561" s="371" t="str">
        <f>IF(ISBLANK(Inputs!A44),"",Y561)</f>
        <v/>
      </c>
      <c r="AF561" s="371"/>
      <c r="AG561" s="329" t="str">
        <f>IF(ISBLANK(Inputs!$A44),"",
IF(OR(AE561="Solved",AE561="--"),"--",
((Mat.Conc_Alpha.1*Mat.Conc_f.c*$AB561*MIN(AE561*Mat.Conc_Beta.1,$Y561))
+(Mat.Conc_Alpha.1*Mat.Conc_f.c*$V561*MAX(0,AE561*Mat.Conc_Beta.1-$Y561)))
-($J561*MIN(Mat.Rebar_f.y,(Mat.Rebar_epsilon.cl*($S561-AE561)/AE561)*Mat.PT_E.s))
-($M561*Mat.PT_f.pu*(1-Mat.PT_k*AE561/$P561))))</f>
        <v/>
      </c>
      <c r="AH561" s="329"/>
      <c r="AI561" s="167" t="str">
        <f>IF(ISBLANK(Inputs!$A44),"",
IF(ABS(AG561)&lt;=0.001,"Solved",IF(AG561&gt;0,0.85*AE561,1.15*AE561)))</f>
        <v/>
      </c>
      <c r="AJ561" s="167"/>
      <c r="AK561" s="329" t="str">
        <f>IF(ISBLANK(Inputs!$A44),"",
IF(OR(AI561="Solved",AI561="--"),"--",
((Mat.Conc_Alpha.1*Mat.Conc_f.c*$AB561*MIN(AI561*Mat.Conc_Beta.1,$Y561))
+(Mat.Conc_Alpha.1*Mat.Conc_f.c*$V561*MAX(0,AI561*Mat.Conc_Beta.1-$Y561)))
-($J561*MIN(Mat.Rebar_f.y,(Mat.Rebar_epsilon.cl*($S561-AI561)/AI561)*Mat.PT_E.s))
-($M561*Mat.PT_f.pu*(1-Mat.PT_k*AI561/$P561))))</f>
        <v/>
      </c>
      <c r="AL561" s="329"/>
      <c r="AM561" s="167" t="str">
        <f>IF(ISBLANK(Inputs!$A44),"",
IF(AK561="--","Solved",
IF(ABS(AK561)&lt;=0.001,"Solved",AI561-AK561*(AI561-AE561)/(AK561-AG561))))</f>
        <v/>
      </c>
      <c r="AN561" s="167"/>
      <c r="AO561" s="329" t="str">
        <f>IF(ISBLANK(Inputs!$A44),"",
IF(OR(AM561="Solved",AM561="--"),"--",
((Mat.Conc_Alpha.1*Mat.Conc_f.c*$AB561*MIN(AM561*Mat.Conc_Beta.1,$Y561))
+(Mat.Conc_Alpha.1*Mat.Conc_f.c*$V561*MAX(0,AM561*Mat.Conc_Beta.1-$Y561)))
-($J561*MIN(Mat.Rebar_f.y,(Mat.Rebar_epsilon.cl*($S561-AM561)/AM561)*Mat.PT_E.s))
-($M561*Mat.PT_f.pu*(1-Mat.PT_k*AM561/$P561))))</f>
        <v/>
      </c>
      <c r="AP561" s="329"/>
      <c r="AQ561" s="167" t="str">
        <f>IF(ISBLANK(Inputs!$A44),"",
IF(AO561="--","Solved",
IF(ABS(AO561)&lt;=0.001,"Solved",AM561-AO561*(AM561-AI561)/(AO561-AK561))))</f>
        <v/>
      </c>
      <c r="AR561" s="167"/>
      <c r="AS561" s="329" t="str">
        <f>IF(ISBLANK(Inputs!$A44),"",
IF(OR(AQ561="Solved",AQ561="--"),"--",
((Mat.Conc_Alpha.1*Mat.Conc_f.c*$AB561*MIN(AQ561*Mat.Conc_Beta.1,$Y561))
+(Mat.Conc_Alpha.1*Mat.Conc_f.c*$V561*MAX(0,AQ561*Mat.Conc_Beta.1-$Y561)))
-($J561*MIN(Mat.Rebar_f.y,(Mat.Rebar_epsilon.cl*($S561-AQ561)/AQ561)*Mat.PT_E.s))
-($M561*Mat.PT_f.pu*(1-Mat.PT_k*AQ561/$P561))))</f>
        <v/>
      </c>
      <c r="AT561" s="329"/>
      <c r="AU561" s="167" t="str">
        <f>IF(ISBLANK(Inputs!$A44),"",
IF(AS561="--","Solved",
IF(ABS(AS561)&lt;=0.001,"Solved",AQ561-AS561*(AQ561-AM561)/(AS561-AO561))))</f>
        <v/>
      </c>
      <c r="AV561" s="167"/>
      <c r="AW561" s="329" t="str">
        <f>IF(ISBLANK(Inputs!$A44),"",
IF(OR(AU561="Solved",AU561="--"),"--",
((Mat.Conc_Alpha.1*Mat.Conc_f.c*$AB561*MIN(AU561*Mat.Conc_Beta.1,$Y561))
+(Mat.Conc_Alpha.1*Mat.Conc_f.c*$V561*MAX(0,AU561*Mat.Conc_Beta.1-$Y561)))
-($J561*MIN(Mat.Rebar_f.y,(Mat.Rebar_epsilon.cl*($S561-AU561)/AU561)*Mat.PT_E.s))
-($M561*Mat.PT_f.pu*(1-Mat.PT_k*AU561/$P561))))</f>
        <v/>
      </c>
      <c r="AX561" s="329"/>
      <c r="AY561" s="167" t="str">
        <f>IF(ISBLANK(Inputs!$A44),"",
IF(AW561="--","Solved",
IF(ABS(AW561)&lt;=0.001,"Solved",AU561-AW561*(AU561-AQ561)/(AW561-AS561))))</f>
        <v/>
      </c>
      <c r="AZ561" s="167"/>
      <c r="BA561" s="329" t="str">
        <f>IF(ISBLANK(Inputs!$A44),"",
IF(OR(AY561="Solved",AY561="--"),"--",
((Mat.Conc_Alpha.1*Mat.Conc_f.c*$AB561*MIN(AY561*Mat.Conc_Beta.1,$Y561))
+(Mat.Conc_Alpha.1*Mat.Conc_f.c*$V561*MAX(0,AY561*Mat.Conc_Beta.1-$Y561)))
-($J561*MIN(Mat.Rebar_f.y,(Mat.Rebar_epsilon.cl*($S561-AY561)/AY561)*Mat.PT_E.s))
-($M561*Mat.PT_f.pu*(1-Mat.PT_k*AY561/$P561))))</f>
        <v/>
      </c>
      <c r="BB561" s="329"/>
      <c r="BC561" s="167" t="str">
        <f>IF(ISBLANK(Inputs!$A44),"",
IF(BA561="--","Solved",
IF(ABS(BA561)&lt;=0.001,"Solved",AY561-BA561*(AY561-AU561)/(BA561-AW561))))</f>
        <v/>
      </c>
      <c r="BD561" s="167"/>
      <c r="BE561" s="329" t="str">
        <f>IF(ISBLANK(Inputs!$A44),"",
IF(OR(BC561="Solved",BC561="--"),"--",
((Mat.Conc_Alpha.1*Mat.Conc_f.c*$AB561*MIN(BC561*Mat.Conc_Beta.1,$Y561))
+(Mat.Conc_Alpha.1*Mat.Conc_f.c*$V561*MAX(0,BC561*Mat.Conc_Beta.1-$Y561)))
-($J561*MIN(Mat.Rebar_f.y,(Mat.Rebar_epsilon.cl*($S561-BC561)/BC561)*Mat.PT_E.s))
-($M561*Mat.PT_f.pu*(1-Mat.PT_k*BC561/$P561))))</f>
        <v/>
      </c>
      <c r="BF561" s="329"/>
      <c r="BG561" s="167" t="str">
        <f>IF(ISBLANK(Inputs!$A44),"",
IF(BE561="--","Solved",
IF(ABS(BE561)&lt;=0.001,"Solved",BC561-BE561*(BC561-AY561)/(BE561-BA561))))</f>
        <v/>
      </c>
      <c r="BH561" s="167"/>
      <c r="BI561" s="329" t="str">
        <f>IF(ISBLANK(Inputs!$A44),"",
IF(OR(BG561="Solved",BG561="--"),"--",
((Mat.Conc_Alpha.1*Mat.Conc_f.c*$AB561*MIN(BG561*Mat.Conc_Beta.1,$Y561))
+(Mat.Conc_Alpha.1*Mat.Conc_f.c*$V561*MAX(0,BG561*Mat.Conc_Beta.1-$Y561)))
-($J561*MIN(Mat.Rebar_f.y,(Mat.Rebar_epsilon.cl*($S561-BG561)/BG561)*Mat.PT_E.s))
-($M561*Mat.PT_f.pu*(1-Mat.PT_k*BG561/$P561))))</f>
        <v/>
      </c>
      <c r="BJ561" s="329"/>
      <c r="BK561" s="167" t="str">
        <f>IF(ISBLANK(Inputs!$A44),"",
IF(BI561="--","Solved",
IF(ABS(BI561)&lt;=0.001,"Solved",BG561-BI561*(BG561-BC561)/(BI561-BE561))))</f>
        <v/>
      </c>
      <c r="BL561" s="167"/>
      <c r="BM561" s="329" t="str">
        <f>IF(ISBLANK(Inputs!$A44),"",
IF(OR(BK561="Solved",BK561="--"),"--",
((Mat.Conc_Alpha.1*Mat.Conc_f.c*$AB561*MIN(BK561*Mat.Conc_Beta.1,$Y561))
+(Mat.Conc_Alpha.1*Mat.Conc_f.c*$V561*MAX(0,BK561*Mat.Conc_Beta.1-$Y561)))
-($J561*MIN(Mat.Rebar_f.y,(Mat.Rebar_epsilon.cl*($S561-BK561)/BK561)*Mat.PT_E.s))
-($M561*Mat.PT_f.pu*(1-Mat.PT_k*BK561/$P561))))</f>
        <v/>
      </c>
      <c r="BN561" s="329"/>
      <c r="BO561" s="167" t="str">
        <f>IF(ISBLANK(Inputs!$A44),"",
IF(BM561="--","Solved",
IF(ABS(BM561)&lt;=0.001,"Solved",BK561-BM561*(BK561-BG561)/(BM561-BI561))))</f>
        <v/>
      </c>
      <c r="BP561" s="167"/>
      <c r="BQ561" s="329" t="str">
        <f>IF(ISBLANK(Inputs!$A44),"",
IF(OR(BO561="Solved",BO561="--"),"--",
((Mat.Conc_Alpha.1*Mat.Conc_f.c*$AB561*MIN(BO561*Mat.Conc_Beta.1,$Y561))
+(Mat.Conc_Alpha.1*Mat.Conc_f.c*$V561*MAX(0,BO561*Mat.Conc_Beta.1-$Y561)))
-($J561*MIN(Mat.Rebar_f.y,(Mat.Rebar_epsilon.cl*($S561-BO561)/BO561)*Mat.PT_E.s))
-($M561*Mat.PT_f.pu*(1-Mat.PT_k*BO561/$P561))))</f>
        <v/>
      </c>
      <c r="BR561" s="329"/>
      <c r="BS561" s="70"/>
      <c r="BT561" s="70"/>
      <c r="BU561" s="70"/>
      <c r="BV561" s="70"/>
      <c r="BW561" s="8"/>
      <c r="BX561" s="8"/>
      <c r="BY561" s="8"/>
      <c r="BZ561" s="8"/>
      <c r="CA561" s="8"/>
      <c r="CB561" s="10"/>
    </row>
    <row r="562" spans="3:80" ht="15" customHeight="1" x14ac:dyDescent="0.25">
      <c r="C562" s="69"/>
      <c r="F562" s="167" t="str">
        <f>IF(ISBLANK(Inputs!A45),"",Inputs!A45)</f>
        <v/>
      </c>
      <c r="G562" s="167"/>
      <c r="H562" s="167" t="str">
        <f>IF(ISBLANK(Inputs!B45),"",Inputs!B45)</f>
        <v/>
      </c>
      <c r="I562" s="167"/>
      <c r="J562" s="168" t="str">
        <f>IF(ISBLANK(Inputs!K45),"",Inputs!K45)</f>
        <v/>
      </c>
      <c r="K562" s="168"/>
      <c r="L562" s="168"/>
      <c r="M562" s="168" t="str">
        <f>IF(ISBLANK(Inputs!D45),"",Inputs!D45)</f>
        <v/>
      </c>
      <c r="N562" s="168"/>
      <c r="O562" s="168"/>
      <c r="P562" s="168" t="str">
        <f>IF(ISBLANK(Inputs!F45),"",Inputs!$B$10-Inputs!F45)</f>
        <v/>
      </c>
      <c r="Q562" s="168"/>
      <c r="R562" s="168"/>
      <c r="S562" s="168" t="str">
        <f>IF(ISBLANK(Inputs!L45),"",Inputs!L45)</f>
        <v/>
      </c>
      <c r="T562" s="168"/>
      <c r="U562" s="168"/>
      <c r="V562" s="168" t="str">
        <f>IF(ISBLANK(Inputs!E45),"",Inputs!E45)</f>
        <v/>
      </c>
      <c r="W562" s="168"/>
      <c r="X562" s="168"/>
      <c r="Y562" s="168" t="str">
        <f>IF(ISBLANK(Inputs!M45),"",Inputs!M45)</f>
        <v/>
      </c>
      <c r="Z562" s="168"/>
      <c r="AA562" s="168"/>
      <c r="AB562" s="168" t="str">
        <f>IF(ISBLANK(Inputs!N45),"",Inputs!N45)</f>
        <v/>
      </c>
      <c r="AC562" s="168"/>
      <c r="AD562" s="168"/>
      <c r="AE562" s="371" t="str">
        <f>IF(ISBLANK(Inputs!A45),"",Y562)</f>
        <v/>
      </c>
      <c r="AF562" s="371"/>
      <c r="AG562" s="329" t="str">
        <f>IF(ISBLANK(Inputs!$A45),"",
IF(OR(AE562="Solved",AE562="--"),"--",
((Mat.Conc_Alpha.1*Mat.Conc_f.c*$AB562*MIN(AE562*Mat.Conc_Beta.1,$Y562))
+(Mat.Conc_Alpha.1*Mat.Conc_f.c*$V562*MAX(0,AE562*Mat.Conc_Beta.1-$Y562)))
-($J562*MIN(Mat.Rebar_f.y,(Mat.Rebar_epsilon.cl*($S562-AE562)/AE562)*Mat.PT_E.s))
-($M562*Mat.PT_f.pu*(1-Mat.PT_k*AE562/$P562))))</f>
        <v/>
      </c>
      <c r="AH562" s="329"/>
      <c r="AI562" s="167" t="str">
        <f>IF(ISBLANK(Inputs!$A45),"",
IF(ABS(AG562)&lt;=0.001,"Solved",IF(AG562&gt;0,0.85*AE562,1.15*AE562)))</f>
        <v/>
      </c>
      <c r="AJ562" s="167"/>
      <c r="AK562" s="329" t="str">
        <f>IF(ISBLANK(Inputs!$A45),"",
IF(OR(AI562="Solved",AI562="--"),"--",
((Mat.Conc_Alpha.1*Mat.Conc_f.c*$AB562*MIN(AI562*Mat.Conc_Beta.1,$Y562))
+(Mat.Conc_Alpha.1*Mat.Conc_f.c*$V562*MAX(0,AI562*Mat.Conc_Beta.1-$Y562)))
-($J562*MIN(Mat.Rebar_f.y,(Mat.Rebar_epsilon.cl*($S562-AI562)/AI562)*Mat.PT_E.s))
-($M562*Mat.PT_f.pu*(1-Mat.PT_k*AI562/$P562))))</f>
        <v/>
      </c>
      <c r="AL562" s="329"/>
      <c r="AM562" s="167" t="str">
        <f>IF(ISBLANK(Inputs!$A45),"",
IF(AK562="--","Solved",
IF(ABS(AK562)&lt;=0.001,"Solved",AI562-AK562*(AI562-AE562)/(AK562-AG562))))</f>
        <v/>
      </c>
      <c r="AN562" s="167"/>
      <c r="AO562" s="329" t="str">
        <f>IF(ISBLANK(Inputs!$A45),"",
IF(OR(AM562="Solved",AM562="--"),"--",
((Mat.Conc_Alpha.1*Mat.Conc_f.c*$AB562*MIN(AM562*Mat.Conc_Beta.1,$Y562))
+(Mat.Conc_Alpha.1*Mat.Conc_f.c*$V562*MAX(0,AM562*Mat.Conc_Beta.1-$Y562)))
-($J562*MIN(Mat.Rebar_f.y,(Mat.Rebar_epsilon.cl*($S562-AM562)/AM562)*Mat.PT_E.s))
-($M562*Mat.PT_f.pu*(1-Mat.PT_k*AM562/$P562))))</f>
        <v/>
      </c>
      <c r="AP562" s="329"/>
      <c r="AQ562" s="167" t="str">
        <f>IF(ISBLANK(Inputs!$A45),"",
IF(AO562="--","Solved",
IF(ABS(AO562)&lt;=0.001,"Solved",AM562-AO562*(AM562-AI562)/(AO562-AK562))))</f>
        <v/>
      </c>
      <c r="AR562" s="167"/>
      <c r="AS562" s="329" t="str">
        <f>IF(ISBLANK(Inputs!$A45),"",
IF(OR(AQ562="Solved",AQ562="--"),"--",
((Mat.Conc_Alpha.1*Mat.Conc_f.c*$AB562*MIN(AQ562*Mat.Conc_Beta.1,$Y562))
+(Mat.Conc_Alpha.1*Mat.Conc_f.c*$V562*MAX(0,AQ562*Mat.Conc_Beta.1-$Y562)))
-($J562*MIN(Mat.Rebar_f.y,(Mat.Rebar_epsilon.cl*($S562-AQ562)/AQ562)*Mat.PT_E.s))
-($M562*Mat.PT_f.pu*(1-Mat.PT_k*AQ562/$P562))))</f>
        <v/>
      </c>
      <c r="AT562" s="329"/>
      <c r="AU562" s="167" t="str">
        <f>IF(ISBLANK(Inputs!$A45),"",
IF(AS562="--","Solved",
IF(ABS(AS562)&lt;=0.001,"Solved",AQ562-AS562*(AQ562-AM562)/(AS562-AO562))))</f>
        <v/>
      </c>
      <c r="AV562" s="167"/>
      <c r="AW562" s="329" t="str">
        <f>IF(ISBLANK(Inputs!$A45),"",
IF(OR(AU562="Solved",AU562="--"),"--",
((Mat.Conc_Alpha.1*Mat.Conc_f.c*$AB562*MIN(AU562*Mat.Conc_Beta.1,$Y562))
+(Mat.Conc_Alpha.1*Mat.Conc_f.c*$V562*MAX(0,AU562*Mat.Conc_Beta.1-$Y562)))
-($J562*MIN(Mat.Rebar_f.y,(Mat.Rebar_epsilon.cl*($S562-AU562)/AU562)*Mat.PT_E.s))
-($M562*Mat.PT_f.pu*(1-Mat.PT_k*AU562/$P562))))</f>
        <v/>
      </c>
      <c r="AX562" s="329"/>
      <c r="AY562" s="167" t="str">
        <f>IF(ISBLANK(Inputs!$A45),"",
IF(AW562="--","Solved",
IF(ABS(AW562)&lt;=0.001,"Solved",AU562-AW562*(AU562-AQ562)/(AW562-AS562))))</f>
        <v/>
      </c>
      <c r="AZ562" s="167"/>
      <c r="BA562" s="329" t="str">
        <f>IF(ISBLANK(Inputs!$A45),"",
IF(OR(AY562="Solved",AY562="--"),"--",
((Mat.Conc_Alpha.1*Mat.Conc_f.c*$AB562*MIN(AY562*Mat.Conc_Beta.1,$Y562))
+(Mat.Conc_Alpha.1*Mat.Conc_f.c*$V562*MAX(0,AY562*Mat.Conc_Beta.1-$Y562)))
-($J562*MIN(Mat.Rebar_f.y,(Mat.Rebar_epsilon.cl*($S562-AY562)/AY562)*Mat.PT_E.s))
-($M562*Mat.PT_f.pu*(1-Mat.PT_k*AY562/$P562))))</f>
        <v/>
      </c>
      <c r="BB562" s="329"/>
      <c r="BC562" s="167" t="str">
        <f>IF(ISBLANK(Inputs!$A45),"",
IF(BA562="--","Solved",
IF(ABS(BA562)&lt;=0.001,"Solved",AY562-BA562*(AY562-AU562)/(BA562-AW562))))</f>
        <v/>
      </c>
      <c r="BD562" s="167"/>
      <c r="BE562" s="329" t="str">
        <f>IF(ISBLANK(Inputs!$A45),"",
IF(OR(BC562="Solved",BC562="--"),"--",
((Mat.Conc_Alpha.1*Mat.Conc_f.c*$AB562*MIN(BC562*Mat.Conc_Beta.1,$Y562))
+(Mat.Conc_Alpha.1*Mat.Conc_f.c*$V562*MAX(0,BC562*Mat.Conc_Beta.1-$Y562)))
-($J562*MIN(Mat.Rebar_f.y,(Mat.Rebar_epsilon.cl*($S562-BC562)/BC562)*Mat.PT_E.s))
-($M562*Mat.PT_f.pu*(1-Mat.PT_k*BC562/$P562))))</f>
        <v/>
      </c>
      <c r="BF562" s="329"/>
      <c r="BG562" s="167" t="str">
        <f>IF(ISBLANK(Inputs!$A45),"",
IF(BE562="--","Solved",
IF(ABS(BE562)&lt;=0.001,"Solved",BC562-BE562*(BC562-AY562)/(BE562-BA562))))</f>
        <v/>
      </c>
      <c r="BH562" s="167"/>
      <c r="BI562" s="329" t="str">
        <f>IF(ISBLANK(Inputs!$A45),"",
IF(OR(BG562="Solved",BG562="--"),"--",
((Mat.Conc_Alpha.1*Mat.Conc_f.c*$AB562*MIN(BG562*Mat.Conc_Beta.1,$Y562))
+(Mat.Conc_Alpha.1*Mat.Conc_f.c*$V562*MAX(0,BG562*Mat.Conc_Beta.1-$Y562)))
-($J562*MIN(Mat.Rebar_f.y,(Mat.Rebar_epsilon.cl*($S562-BG562)/BG562)*Mat.PT_E.s))
-($M562*Mat.PT_f.pu*(1-Mat.PT_k*BG562/$P562))))</f>
        <v/>
      </c>
      <c r="BJ562" s="329"/>
      <c r="BK562" s="167" t="str">
        <f>IF(ISBLANK(Inputs!$A45),"",
IF(BI562="--","Solved",
IF(ABS(BI562)&lt;=0.001,"Solved",BG562-BI562*(BG562-BC562)/(BI562-BE562))))</f>
        <v/>
      </c>
      <c r="BL562" s="167"/>
      <c r="BM562" s="329" t="str">
        <f>IF(ISBLANK(Inputs!$A45),"",
IF(OR(BK562="Solved",BK562="--"),"--",
((Mat.Conc_Alpha.1*Mat.Conc_f.c*$AB562*MIN(BK562*Mat.Conc_Beta.1,$Y562))
+(Mat.Conc_Alpha.1*Mat.Conc_f.c*$V562*MAX(0,BK562*Mat.Conc_Beta.1-$Y562)))
-($J562*MIN(Mat.Rebar_f.y,(Mat.Rebar_epsilon.cl*($S562-BK562)/BK562)*Mat.PT_E.s))
-($M562*Mat.PT_f.pu*(1-Mat.PT_k*BK562/$P562))))</f>
        <v/>
      </c>
      <c r="BN562" s="329"/>
      <c r="BO562" s="167" t="str">
        <f>IF(ISBLANK(Inputs!$A45),"",
IF(BM562="--","Solved",
IF(ABS(BM562)&lt;=0.001,"Solved",BK562-BM562*(BK562-BG562)/(BM562-BI562))))</f>
        <v/>
      </c>
      <c r="BP562" s="167"/>
      <c r="BQ562" s="329" t="str">
        <f>IF(ISBLANK(Inputs!$A45),"",
IF(OR(BO562="Solved",BO562="--"),"--",
((Mat.Conc_Alpha.1*Mat.Conc_f.c*$AB562*MIN(BO562*Mat.Conc_Beta.1,$Y562))
+(Mat.Conc_Alpha.1*Mat.Conc_f.c*$V562*MAX(0,BO562*Mat.Conc_Beta.1-$Y562)))
-($J562*MIN(Mat.Rebar_f.y,(Mat.Rebar_epsilon.cl*($S562-BO562)/BO562)*Mat.PT_E.s))
-($M562*Mat.PT_f.pu*(1-Mat.PT_k*BO562/$P562))))</f>
        <v/>
      </c>
      <c r="BR562" s="329"/>
      <c r="BS562" s="70"/>
      <c r="BT562" s="70"/>
      <c r="BU562" s="70"/>
      <c r="BV562" s="70"/>
      <c r="BW562" s="8"/>
      <c r="BX562" s="8"/>
      <c r="BY562" s="8"/>
      <c r="BZ562" s="8"/>
      <c r="CA562" s="8"/>
      <c r="CB562" s="10"/>
    </row>
    <row r="563" spans="3:80" ht="15" customHeight="1" x14ac:dyDescent="0.25">
      <c r="C563" s="69"/>
      <c r="F563" s="167" t="str">
        <f>IF(ISBLANK(Inputs!A46),"",Inputs!A46)</f>
        <v/>
      </c>
      <c r="G563" s="167"/>
      <c r="H563" s="167" t="str">
        <f>IF(ISBLANK(Inputs!B46),"",Inputs!B46)</f>
        <v/>
      </c>
      <c r="I563" s="167"/>
      <c r="J563" s="168" t="str">
        <f>IF(ISBLANK(Inputs!K46),"",Inputs!K46)</f>
        <v/>
      </c>
      <c r="K563" s="168"/>
      <c r="L563" s="168"/>
      <c r="M563" s="168" t="str">
        <f>IF(ISBLANK(Inputs!D46),"",Inputs!D46)</f>
        <v/>
      </c>
      <c r="N563" s="168"/>
      <c r="O563" s="168"/>
      <c r="P563" s="168" t="str">
        <f>IF(ISBLANK(Inputs!F46),"",Inputs!$B$10-Inputs!F46)</f>
        <v/>
      </c>
      <c r="Q563" s="168"/>
      <c r="R563" s="168"/>
      <c r="S563" s="168" t="str">
        <f>IF(ISBLANK(Inputs!L46),"",Inputs!L46)</f>
        <v/>
      </c>
      <c r="T563" s="168"/>
      <c r="U563" s="168"/>
      <c r="V563" s="168" t="str">
        <f>IF(ISBLANK(Inputs!E46),"",Inputs!E46)</f>
        <v/>
      </c>
      <c r="W563" s="168"/>
      <c r="X563" s="168"/>
      <c r="Y563" s="168" t="str">
        <f>IF(ISBLANK(Inputs!M46),"",Inputs!M46)</f>
        <v/>
      </c>
      <c r="Z563" s="168"/>
      <c r="AA563" s="168"/>
      <c r="AB563" s="168" t="str">
        <f>IF(ISBLANK(Inputs!N46),"",Inputs!N46)</f>
        <v/>
      </c>
      <c r="AC563" s="168"/>
      <c r="AD563" s="168"/>
      <c r="AE563" s="371" t="str">
        <f>IF(ISBLANK(Inputs!A46),"",Y563)</f>
        <v/>
      </c>
      <c r="AF563" s="371"/>
      <c r="AG563" s="329" t="str">
        <f>IF(ISBLANK(Inputs!$A46),"",
IF(OR(AE563="Solved",AE563="--"),"--",
((Mat.Conc_Alpha.1*Mat.Conc_f.c*$AB563*MIN(AE563*Mat.Conc_Beta.1,$Y563))
+(Mat.Conc_Alpha.1*Mat.Conc_f.c*$V563*MAX(0,AE563*Mat.Conc_Beta.1-$Y563)))
-($J563*MIN(Mat.Rebar_f.y,(Mat.Rebar_epsilon.cl*($S563-AE563)/AE563)*Mat.PT_E.s))
-($M563*Mat.PT_f.pu*(1-Mat.PT_k*AE563/$P563))))</f>
        <v/>
      </c>
      <c r="AH563" s="329"/>
      <c r="AI563" s="167" t="str">
        <f>IF(ISBLANK(Inputs!$A46),"",
IF(ABS(AG563)&lt;=0.001,"Solved",IF(AG563&gt;0,0.85*AE563,1.15*AE563)))</f>
        <v/>
      </c>
      <c r="AJ563" s="167"/>
      <c r="AK563" s="329" t="str">
        <f>IF(ISBLANK(Inputs!$A46),"",
IF(OR(AI563="Solved",AI563="--"),"--",
((Mat.Conc_Alpha.1*Mat.Conc_f.c*$AB563*MIN(AI563*Mat.Conc_Beta.1,$Y563))
+(Mat.Conc_Alpha.1*Mat.Conc_f.c*$V563*MAX(0,AI563*Mat.Conc_Beta.1-$Y563)))
-($J563*MIN(Mat.Rebar_f.y,(Mat.Rebar_epsilon.cl*($S563-AI563)/AI563)*Mat.PT_E.s))
-($M563*Mat.PT_f.pu*(1-Mat.PT_k*AI563/$P563))))</f>
        <v/>
      </c>
      <c r="AL563" s="329"/>
      <c r="AM563" s="167" t="str">
        <f>IF(ISBLANK(Inputs!$A46),"",
IF(AK563="--","Solved",
IF(ABS(AK563)&lt;=0.001,"Solved",AI563-AK563*(AI563-AE563)/(AK563-AG563))))</f>
        <v/>
      </c>
      <c r="AN563" s="167"/>
      <c r="AO563" s="329" t="str">
        <f>IF(ISBLANK(Inputs!$A46),"",
IF(OR(AM563="Solved",AM563="--"),"--",
((Mat.Conc_Alpha.1*Mat.Conc_f.c*$AB563*MIN(AM563*Mat.Conc_Beta.1,$Y563))
+(Mat.Conc_Alpha.1*Mat.Conc_f.c*$V563*MAX(0,AM563*Mat.Conc_Beta.1-$Y563)))
-($J563*MIN(Mat.Rebar_f.y,(Mat.Rebar_epsilon.cl*($S563-AM563)/AM563)*Mat.PT_E.s))
-($M563*Mat.PT_f.pu*(1-Mat.PT_k*AM563/$P563))))</f>
        <v/>
      </c>
      <c r="AP563" s="329"/>
      <c r="AQ563" s="167" t="str">
        <f>IF(ISBLANK(Inputs!$A46),"",
IF(AO563="--","Solved",
IF(ABS(AO563)&lt;=0.001,"Solved",AM563-AO563*(AM563-AI563)/(AO563-AK563))))</f>
        <v/>
      </c>
      <c r="AR563" s="167"/>
      <c r="AS563" s="329" t="str">
        <f>IF(ISBLANK(Inputs!$A46),"",
IF(OR(AQ563="Solved",AQ563="--"),"--",
((Mat.Conc_Alpha.1*Mat.Conc_f.c*$AB563*MIN(AQ563*Mat.Conc_Beta.1,$Y563))
+(Mat.Conc_Alpha.1*Mat.Conc_f.c*$V563*MAX(0,AQ563*Mat.Conc_Beta.1-$Y563)))
-($J563*MIN(Mat.Rebar_f.y,(Mat.Rebar_epsilon.cl*($S563-AQ563)/AQ563)*Mat.PT_E.s))
-($M563*Mat.PT_f.pu*(1-Mat.PT_k*AQ563/$P563))))</f>
        <v/>
      </c>
      <c r="AT563" s="329"/>
      <c r="AU563" s="167" t="str">
        <f>IF(ISBLANK(Inputs!$A46),"",
IF(AS563="--","Solved",
IF(ABS(AS563)&lt;=0.001,"Solved",AQ563-AS563*(AQ563-AM563)/(AS563-AO563))))</f>
        <v/>
      </c>
      <c r="AV563" s="167"/>
      <c r="AW563" s="329" t="str">
        <f>IF(ISBLANK(Inputs!$A46),"",
IF(OR(AU563="Solved",AU563="--"),"--",
((Mat.Conc_Alpha.1*Mat.Conc_f.c*$AB563*MIN(AU563*Mat.Conc_Beta.1,$Y563))
+(Mat.Conc_Alpha.1*Mat.Conc_f.c*$V563*MAX(0,AU563*Mat.Conc_Beta.1-$Y563)))
-($J563*MIN(Mat.Rebar_f.y,(Mat.Rebar_epsilon.cl*($S563-AU563)/AU563)*Mat.PT_E.s))
-($M563*Mat.PT_f.pu*(1-Mat.PT_k*AU563/$P563))))</f>
        <v/>
      </c>
      <c r="AX563" s="329"/>
      <c r="AY563" s="167" t="str">
        <f>IF(ISBLANK(Inputs!$A46),"",
IF(AW563="--","Solved",
IF(ABS(AW563)&lt;=0.001,"Solved",AU563-AW563*(AU563-AQ563)/(AW563-AS563))))</f>
        <v/>
      </c>
      <c r="AZ563" s="167"/>
      <c r="BA563" s="329" t="str">
        <f>IF(ISBLANK(Inputs!$A46),"",
IF(OR(AY563="Solved",AY563="--"),"--",
((Mat.Conc_Alpha.1*Mat.Conc_f.c*$AB563*MIN(AY563*Mat.Conc_Beta.1,$Y563))
+(Mat.Conc_Alpha.1*Mat.Conc_f.c*$V563*MAX(0,AY563*Mat.Conc_Beta.1-$Y563)))
-($J563*MIN(Mat.Rebar_f.y,(Mat.Rebar_epsilon.cl*($S563-AY563)/AY563)*Mat.PT_E.s))
-($M563*Mat.PT_f.pu*(1-Mat.PT_k*AY563/$P563))))</f>
        <v/>
      </c>
      <c r="BB563" s="329"/>
      <c r="BC563" s="167" t="str">
        <f>IF(ISBLANK(Inputs!$A46),"",
IF(BA563="--","Solved",
IF(ABS(BA563)&lt;=0.001,"Solved",AY563-BA563*(AY563-AU563)/(BA563-AW563))))</f>
        <v/>
      </c>
      <c r="BD563" s="167"/>
      <c r="BE563" s="329" t="str">
        <f>IF(ISBLANK(Inputs!$A46),"",
IF(OR(BC563="Solved",BC563="--"),"--",
((Mat.Conc_Alpha.1*Mat.Conc_f.c*$AB563*MIN(BC563*Mat.Conc_Beta.1,$Y563))
+(Mat.Conc_Alpha.1*Mat.Conc_f.c*$V563*MAX(0,BC563*Mat.Conc_Beta.1-$Y563)))
-($J563*MIN(Mat.Rebar_f.y,(Mat.Rebar_epsilon.cl*($S563-BC563)/BC563)*Mat.PT_E.s))
-($M563*Mat.PT_f.pu*(1-Mat.PT_k*BC563/$P563))))</f>
        <v/>
      </c>
      <c r="BF563" s="329"/>
      <c r="BG563" s="167" t="str">
        <f>IF(ISBLANK(Inputs!$A46),"",
IF(BE563="--","Solved",
IF(ABS(BE563)&lt;=0.001,"Solved",BC563-BE563*(BC563-AY563)/(BE563-BA563))))</f>
        <v/>
      </c>
      <c r="BH563" s="167"/>
      <c r="BI563" s="329" t="str">
        <f>IF(ISBLANK(Inputs!$A46),"",
IF(OR(BG563="Solved",BG563="--"),"--",
((Mat.Conc_Alpha.1*Mat.Conc_f.c*$AB563*MIN(BG563*Mat.Conc_Beta.1,$Y563))
+(Mat.Conc_Alpha.1*Mat.Conc_f.c*$V563*MAX(0,BG563*Mat.Conc_Beta.1-$Y563)))
-($J563*MIN(Mat.Rebar_f.y,(Mat.Rebar_epsilon.cl*($S563-BG563)/BG563)*Mat.PT_E.s))
-($M563*Mat.PT_f.pu*(1-Mat.PT_k*BG563/$P563))))</f>
        <v/>
      </c>
      <c r="BJ563" s="329"/>
      <c r="BK563" s="167" t="str">
        <f>IF(ISBLANK(Inputs!$A46),"",
IF(BI563="--","Solved",
IF(ABS(BI563)&lt;=0.001,"Solved",BG563-BI563*(BG563-BC563)/(BI563-BE563))))</f>
        <v/>
      </c>
      <c r="BL563" s="167"/>
      <c r="BM563" s="329" t="str">
        <f>IF(ISBLANK(Inputs!$A46),"",
IF(OR(BK563="Solved",BK563="--"),"--",
((Mat.Conc_Alpha.1*Mat.Conc_f.c*$AB563*MIN(BK563*Mat.Conc_Beta.1,$Y563))
+(Mat.Conc_Alpha.1*Mat.Conc_f.c*$V563*MAX(0,BK563*Mat.Conc_Beta.1-$Y563)))
-($J563*MIN(Mat.Rebar_f.y,(Mat.Rebar_epsilon.cl*($S563-BK563)/BK563)*Mat.PT_E.s))
-($M563*Mat.PT_f.pu*(1-Mat.PT_k*BK563/$P563))))</f>
        <v/>
      </c>
      <c r="BN563" s="329"/>
      <c r="BO563" s="167" t="str">
        <f>IF(ISBLANK(Inputs!$A46),"",
IF(BM563="--","Solved",
IF(ABS(BM563)&lt;=0.001,"Solved",BK563-BM563*(BK563-BG563)/(BM563-BI563))))</f>
        <v/>
      </c>
      <c r="BP563" s="167"/>
      <c r="BQ563" s="329" t="str">
        <f>IF(ISBLANK(Inputs!$A46),"",
IF(OR(BO563="Solved",BO563="--"),"--",
((Mat.Conc_Alpha.1*Mat.Conc_f.c*$AB563*MIN(BO563*Mat.Conc_Beta.1,$Y563))
+(Mat.Conc_Alpha.1*Mat.Conc_f.c*$V563*MAX(0,BO563*Mat.Conc_Beta.1-$Y563)))
-($J563*MIN(Mat.Rebar_f.y,(Mat.Rebar_epsilon.cl*($S563-BO563)/BO563)*Mat.PT_E.s))
-($M563*Mat.PT_f.pu*(1-Mat.PT_k*BO563/$P563))))</f>
        <v/>
      </c>
      <c r="BR563" s="329"/>
      <c r="BS563" s="70"/>
      <c r="BT563" s="70"/>
      <c r="BU563" s="70"/>
      <c r="BV563" s="70"/>
      <c r="BW563" s="8"/>
      <c r="BX563" s="8"/>
      <c r="BY563" s="8"/>
      <c r="BZ563" s="8"/>
      <c r="CA563" s="8"/>
      <c r="CB563" s="10"/>
    </row>
    <row r="564" spans="3:80" ht="15" customHeight="1" x14ac:dyDescent="0.25">
      <c r="C564" s="69"/>
      <c r="F564" s="167" t="str">
        <f>IF(ISBLANK(Inputs!A47),"",Inputs!A47)</f>
        <v/>
      </c>
      <c r="G564" s="167"/>
      <c r="H564" s="167" t="str">
        <f>IF(ISBLANK(Inputs!B47),"",Inputs!B47)</f>
        <v/>
      </c>
      <c r="I564" s="167"/>
      <c r="J564" s="168" t="str">
        <f>IF(ISBLANK(Inputs!K47),"",Inputs!K47)</f>
        <v/>
      </c>
      <c r="K564" s="168"/>
      <c r="L564" s="168"/>
      <c r="M564" s="168" t="str">
        <f>IF(ISBLANK(Inputs!D47),"",Inputs!D47)</f>
        <v/>
      </c>
      <c r="N564" s="168"/>
      <c r="O564" s="168"/>
      <c r="P564" s="168" t="str">
        <f>IF(ISBLANK(Inputs!F47),"",Inputs!$B$10-Inputs!F47)</f>
        <v/>
      </c>
      <c r="Q564" s="168"/>
      <c r="R564" s="168"/>
      <c r="S564" s="168" t="str">
        <f>IF(ISBLANK(Inputs!L47),"",Inputs!L47)</f>
        <v/>
      </c>
      <c r="T564" s="168"/>
      <c r="U564" s="168"/>
      <c r="V564" s="168" t="str">
        <f>IF(ISBLANK(Inputs!E47),"",Inputs!E47)</f>
        <v/>
      </c>
      <c r="W564" s="168"/>
      <c r="X564" s="168"/>
      <c r="Y564" s="168" t="str">
        <f>IF(ISBLANK(Inputs!M47),"",Inputs!M47)</f>
        <v/>
      </c>
      <c r="Z564" s="168"/>
      <c r="AA564" s="168"/>
      <c r="AB564" s="168" t="str">
        <f>IF(ISBLANK(Inputs!N47),"",Inputs!N47)</f>
        <v/>
      </c>
      <c r="AC564" s="168"/>
      <c r="AD564" s="168"/>
      <c r="AE564" s="371" t="str">
        <f>IF(ISBLANK(Inputs!A47),"",Y564)</f>
        <v/>
      </c>
      <c r="AF564" s="371"/>
      <c r="AG564" s="329" t="str">
        <f>IF(ISBLANK(Inputs!$A47),"",
IF(OR(AE564="Solved",AE564="--"),"--",
((Mat.Conc_Alpha.1*Mat.Conc_f.c*$AB564*MIN(AE564*Mat.Conc_Beta.1,$Y564))
+(Mat.Conc_Alpha.1*Mat.Conc_f.c*$V564*MAX(0,AE564*Mat.Conc_Beta.1-$Y564)))
-($J564*MIN(Mat.Rebar_f.y,(Mat.Rebar_epsilon.cl*($S564-AE564)/AE564)*Mat.PT_E.s))
-($M564*Mat.PT_f.pu*(1-Mat.PT_k*AE564/$P564))))</f>
        <v/>
      </c>
      <c r="AH564" s="329"/>
      <c r="AI564" s="167" t="str">
        <f>IF(ISBLANK(Inputs!$A47),"",
IF(ABS(AG564)&lt;=0.001,"Solved",IF(AG564&gt;0,0.85*AE564,1.15*AE564)))</f>
        <v/>
      </c>
      <c r="AJ564" s="167"/>
      <c r="AK564" s="329" t="str">
        <f>IF(ISBLANK(Inputs!$A47),"",
IF(OR(AI564="Solved",AI564="--"),"--",
((Mat.Conc_Alpha.1*Mat.Conc_f.c*$AB564*MIN(AI564*Mat.Conc_Beta.1,$Y564))
+(Mat.Conc_Alpha.1*Mat.Conc_f.c*$V564*MAX(0,AI564*Mat.Conc_Beta.1-$Y564)))
-($J564*MIN(Mat.Rebar_f.y,(Mat.Rebar_epsilon.cl*($S564-AI564)/AI564)*Mat.PT_E.s))
-($M564*Mat.PT_f.pu*(1-Mat.PT_k*AI564/$P564))))</f>
        <v/>
      </c>
      <c r="AL564" s="329"/>
      <c r="AM564" s="167" t="str">
        <f>IF(ISBLANK(Inputs!$A47),"",
IF(AK564="--","Solved",
IF(ABS(AK564)&lt;=0.001,"Solved",AI564-AK564*(AI564-AE564)/(AK564-AG564))))</f>
        <v/>
      </c>
      <c r="AN564" s="167"/>
      <c r="AO564" s="329" t="str">
        <f>IF(ISBLANK(Inputs!$A47),"",
IF(OR(AM564="Solved",AM564="--"),"--",
((Mat.Conc_Alpha.1*Mat.Conc_f.c*$AB564*MIN(AM564*Mat.Conc_Beta.1,$Y564))
+(Mat.Conc_Alpha.1*Mat.Conc_f.c*$V564*MAX(0,AM564*Mat.Conc_Beta.1-$Y564)))
-($J564*MIN(Mat.Rebar_f.y,(Mat.Rebar_epsilon.cl*($S564-AM564)/AM564)*Mat.PT_E.s))
-($M564*Mat.PT_f.pu*(1-Mat.PT_k*AM564/$P564))))</f>
        <v/>
      </c>
      <c r="AP564" s="329"/>
      <c r="AQ564" s="167" t="str">
        <f>IF(ISBLANK(Inputs!$A47),"",
IF(AO564="--","Solved",
IF(ABS(AO564)&lt;=0.001,"Solved",AM564-AO564*(AM564-AI564)/(AO564-AK564))))</f>
        <v/>
      </c>
      <c r="AR564" s="167"/>
      <c r="AS564" s="329" t="str">
        <f>IF(ISBLANK(Inputs!$A47),"",
IF(OR(AQ564="Solved",AQ564="--"),"--",
((Mat.Conc_Alpha.1*Mat.Conc_f.c*$AB564*MIN(AQ564*Mat.Conc_Beta.1,$Y564))
+(Mat.Conc_Alpha.1*Mat.Conc_f.c*$V564*MAX(0,AQ564*Mat.Conc_Beta.1-$Y564)))
-($J564*MIN(Mat.Rebar_f.y,(Mat.Rebar_epsilon.cl*($S564-AQ564)/AQ564)*Mat.PT_E.s))
-($M564*Mat.PT_f.pu*(1-Mat.PT_k*AQ564/$P564))))</f>
        <v/>
      </c>
      <c r="AT564" s="329"/>
      <c r="AU564" s="167" t="str">
        <f>IF(ISBLANK(Inputs!$A47),"",
IF(AS564="--","Solved",
IF(ABS(AS564)&lt;=0.001,"Solved",AQ564-AS564*(AQ564-AM564)/(AS564-AO564))))</f>
        <v/>
      </c>
      <c r="AV564" s="167"/>
      <c r="AW564" s="329" t="str">
        <f>IF(ISBLANK(Inputs!$A47),"",
IF(OR(AU564="Solved",AU564="--"),"--",
((Mat.Conc_Alpha.1*Mat.Conc_f.c*$AB564*MIN(AU564*Mat.Conc_Beta.1,$Y564))
+(Mat.Conc_Alpha.1*Mat.Conc_f.c*$V564*MAX(0,AU564*Mat.Conc_Beta.1-$Y564)))
-($J564*MIN(Mat.Rebar_f.y,(Mat.Rebar_epsilon.cl*($S564-AU564)/AU564)*Mat.PT_E.s))
-($M564*Mat.PT_f.pu*(1-Mat.PT_k*AU564/$P564))))</f>
        <v/>
      </c>
      <c r="AX564" s="329"/>
      <c r="AY564" s="167" t="str">
        <f>IF(ISBLANK(Inputs!$A47),"",
IF(AW564="--","Solved",
IF(ABS(AW564)&lt;=0.001,"Solved",AU564-AW564*(AU564-AQ564)/(AW564-AS564))))</f>
        <v/>
      </c>
      <c r="AZ564" s="167"/>
      <c r="BA564" s="329" t="str">
        <f>IF(ISBLANK(Inputs!$A47),"",
IF(OR(AY564="Solved",AY564="--"),"--",
((Mat.Conc_Alpha.1*Mat.Conc_f.c*$AB564*MIN(AY564*Mat.Conc_Beta.1,$Y564))
+(Mat.Conc_Alpha.1*Mat.Conc_f.c*$V564*MAX(0,AY564*Mat.Conc_Beta.1-$Y564)))
-($J564*MIN(Mat.Rebar_f.y,(Mat.Rebar_epsilon.cl*($S564-AY564)/AY564)*Mat.PT_E.s))
-($M564*Mat.PT_f.pu*(1-Mat.PT_k*AY564/$P564))))</f>
        <v/>
      </c>
      <c r="BB564" s="329"/>
      <c r="BC564" s="167" t="str">
        <f>IF(ISBLANK(Inputs!$A47),"",
IF(BA564="--","Solved",
IF(ABS(BA564)&lt;=0.001,"Solved",AY564-BA564*(AY564-AU564)/(BA564-AW564))))</f>
        <v/>
      </c>
      <c r="BD564" s="167"/>
      <c r="BE564" s="329" t="str">
        <f>IF(ISBLANK(Inputs!$A47),"",
IF(OR(BC564="Solved",BC564="--"),"--",
((Mat.Conc_Alpha.1*Mat.Conc_f.c*$AB564*MIN(BC564*Mat.Conc_Beta.1,$Y564))
+(Mat.Conc_Alpha.1*Mat.Conc_f.c*$V564*MAX(0,BC564*Mat.Conc_Beta.1-$Y564)))
-($J564*MIN(Mat.Rebar_f.y,(Mat.Rebar_epsilon.cl*($S564-BC564)/BC564)*Mat.PT_E.s))
-($M564*Mat.PT_f.pu*(1-Mat.PT_k*BC564/$P564))))</f>
        <v/>
      </c>
      <c r="BF564" s="329"/>
      <c r="BG564" s="167" t="str">
        <f>IF(ISBLANK(Inputs!$A47),"",
IF(BE564="--","Solved",
IF(ABS(BE564)&lt;=0.001,"Solved",BC564-BE564*(BC564-AY564)/(BE564-BA564))))</f>
        <v/>
      </c>
      <c r="BH564" s="167"/>
      <c r="BI564" s="329" t="str">
        <f>IF(ISBLANK(Inputs!$A47),"",
IF(OR(BG564="Solved",BG564="--"),"--",
((Mat.Conc_Alpha.1*Mat.Conc_f.c*$AB564*MIN(BG564*Mat.Conc_Beta.1,$Y564))
+(Mat.Conc_Alpha.1*Mat.Conc_f.c*$V564*MAX(0,BG564*Mat.Conc_Beta.1-$Y564)))
-($J564*MIN(Mat.Rebar_f.y,(Mat.Rebar_epsilon.cl*($S564-BG564)/BG564)*Mat.PT_E.s))
-($M564*Mat.PT_f.pu*(1-Mat.PT_k*BG564/$P564))))</f>
        <v/>
      </c>
      <c r="BJ564" s="329"/>
      <c r="BK564" s="167" t="str">
        <f>IF(ISBLANK(Inputs!$A47),"",
IF(BI564="--","Solved",
IF(ABS(BI564)&lt;=0.001,"Solved",BG564-BI564*(BG564-BC564)/(BI564-BE564))))</f>
        <v/>
      </c>
      <c r="BL564" s="167"/>
      <c r="BM564" s="329" t="str">
        <f>IF(ISBLANK(Inputs!$A47),"",
IF(OR(BK564="Solved",BK564="--"),"--",
((Mat.Conc_Alpha.1*Mat.Conc_f.c*$AB564*MIN(BK564*Mat.Conc_Beta.1,$Y564))
+(Mat.Conc_Alpha.1*Mat.Conc_f.c*$V564*MAX(0,BK564*Mat.Conc_Beta.1-$Y564)))
-($J564*MIN(Mat.Rebar_f.y,(Mat.Rebar_epsilon.cl*($S564-BK564)/BK564)*Mat.PT_E.s))
-($M564*Mat.PT_f.pu*(1-Mat.PT_k*BK564/$P564))))</f>
        <v/>
      </c>
      <c r="BN564" s="329"/>
      <c r="BO564" s="167" t="str">
        <f>IF(ISBLANK(Inputs!$A47),"",
IF(BM564="--","Solved",
IF(ABS(BM564)&lt;=0.001,"Solved",BK564-BM564*(BK564-BG564)/(BM564-BI564))))</f>
        <v/>
      </c>
      <c r="BP564" s="167"/>
      <c r="BQ564" s="329" t="str">
        <f>IF(ISBLANK(Inputs!$A47),"",
IF(OR(BO564="Solved",BO564="--"),"--",
((Mat.Conc_Alpha.1*Mat.Conc_f.c*$AB564*MIN(BO564*Mat.Conc_Beta.1,$Y564))
+(Mat.Conc_Alpha.1*Mat.Conc_f.c*$V564*MAX(0,BO564*Mat.Conc_Beta.1-$Y564)))
-($J564*MIN(Mat.Rebar_f.y,(Mat.Rebar_epsilon.cl*($S564-BO564)/BO564)*Mat.PT_E.s))
-($M564*Mat.PT_f.pu*(1-Mat.PT_k*BO564/$P564))))</f>
        <v/>
      </c>
      <c r="BR564" s="329"/>
      <c r="BS564" s="70"/>
      <c r="BT564" s="70"/>
      <c r="BU564" s="70"/>
      <c r="BV564" s="70"/>
      <c r="BW564" s="8"/>
      <c r="BX564" s="8"/>
      <c r="BY564" s="8"/>
      <c r="BZ564" s="8"/>
      <c r="CA564" s="8"/>
      <c r="CB564" s="10"/>
    </row>
    <row r="565" spans="3:80" ht="15" customHeight="1" x14ac:dyDescent="0.25">
      <c r="C565" s="69"/>
      <c r="F565" s="167" t="str">
        <f>IF(ISBLANK(Inputs!A48),"",Inputs!A48)</f>
        <v/>
      </c>
      <c r="G565" s="167"/>
      <c r="H565" s="167" t="str">
        <f>IF(ISBLANK(Inputs!B48),"",Inputs!B48)</f>
        <v/>
      </c>
      <c r="I565" s="167"/>
      <c r="J565" s="168" t="str">
        <f>IF(ISBLANK(Inputs!K48),"",Inputs!K48)</f>
        <v/>
      </c>
      <c r="K565" s="168"/>
      <c r="L565" s="168"/>
      <c r="M565" s="168" t="str">
        <f>IF(ISBLANK(Inputs!D48),"",Inputs!D48)</f>
        <v/>
      </c>
      <c r="N565" s="168"/>
      <c r="O565" s="168"/>
      <c r="P565" s="168" t="str">
        <f>IF(ISBLANK(Inputs!F48),"",Inputs!$B$10-Inputs!F48)</f>
        <v/>
      </c>
      <c r="Q565" s="168"/>
      <c r="R565" s="168"/>
      <c r="S565" s="168" t="str">
        <f>IF(ISBLANK(Inputs!L48),"",Inputs!L48)</f>
        <v/>
      </c>
      <c r="T565" s="168"/>
      <c r="U565" s="168"/>
      <c r="V565" s="168" t="str">
        <f>IF(ISBLANK(Inputs!E48),"",Inputs!E48)</f>
        <v/>
      </c>
      <c r="W565" s="168"/>
      <c r="X565" s="168"/>
      <c r="Y565" s="168" t="str">
        <f>IF(ISBLANK(Inputs!M48),"",Inputs!M48)</f>
        <v/>
      </c>
      <c r="Z565" s="168"/>
      <c r="AA565" s="168"/>
      <c r="AB565" s="168" t="str">
        <f>IF(ISBLANK(Inputs!N48),"",Inputs!N48)</f>
        <v/>
      </c>
      <c r="AC565" s="168"/>
      <c r="AD565" s="168"/>
      <c r="AE565" s="371" t="str">
        <f>IF(ISBLANK(Inputs!A48),"",Y565)</f>
        <v/>
      </c>
      <c r="AF565" s="371"/>
      <c r="AG565" s="329" t="str">
        <f>IF(ISBLANK(Inputs!$A48),"",
IF(OR(AE565="Solved",AE565="--"),"--",
((Mat.Conc_Alpha.1*Mat.Conc_f.c*$AB565*MIN(AE565*Mat.Conc_Beta.1,$Y565))
+(Mat.Conc_Alpha.1*Mat.Conc_f.c*$V565*MAX(0,AE565*Mat.Conc_Beta.1-$Y565)))
-($J565*MIN(Mat.Rebar_f.y,(Mat.Rebar_epsilon.cl*($S565-AE565)/AE565)*Mat.PT_E.s))
-($M565*Mat.PT_f.pu*(1-Mat.PT_k*AE565/$P565))))</f>
        <v/>
      </c>
      <c r="AH565" s="329"/>
      <c r="AI565" s="167" t="str">
        <f>IF(ISBLANK(Inputs!$A48),"",
IF(ABS(AG565)&lt;=0.001,"Solved",IF(AG565&gt;0,0.85*AE565,1.15*AE565)))</f>
        <v/>
      </c>
      <c r="AJ565" s="167"/>
      <c r="AK565" s="329" t="str">
        <f>IF(ISBLANK(Inputs!$A48),"",
IF(OR(AI565="Solved",AI565="--"),"--",
((Mat.Conc_Alpha.1*Mat.Conc_f.c*$AB565*MIN(AI565*Mat.Conc_Beta.1,$Y565))
+(Mat.Conc_Alpha.1*Mat.Conc_f.c*$V565*MAX(0,AI565*Mat.Conc_Beta.1-$Y565)))
-($J565*MIN(Mat.Rebar_f.y,(Mat.Rebar_epsilon.cl*($S565-AI565)/AI565)*Mat.PT_E.s))
-($M565*Mat.PT_f.pu*(1-Mat.PT_k*AI565/$P565))))</f>
        <v/>
      </c>
      <c r="AL565" s="329"/>
      <c r="AM565" s="167" t="str">
        <f>IF(ISBLANK(Inputs!$A48),"",
IF(AK565="--","Solved",
IF(ABS(AK565)&lt;=0.001,"Solved",AI565-AK565*(AI565-AE565)/(AK565-AG565))))</f>
        <v/>
      </c>
      <c r="AN565" s="167"/>
      <c r="AO565" s="329" t="str">
        <f>IF(ISBLANK(Inputs!$A48),"",
IF(OR(AM565="Solved",AM565="--"),"--",
((Mat.Conc_Alpha.1*Mat.Conc_f.c*$AB565*MIN(AM565*Mat.Conc_Beta.1,$Y565))
+(Mat.Conc_Alpha.1*Mat.Conc_f.c*$V565*MAX(0,AM565*Mat.Conc_Beta.1-$Y565)))
-($J565*MIN(Mat.Rebar_f.y,(Mat.Rebar_epsilon.cl*($S565-AM565)/AM565)*Mat.PT_E.s))
-($M565*Mat.PT_f.pu*(1-Mat.PT_k*AM565/$P565))))</f>
        <v/>
      </c>
      <c r="AP565" s="329"/>
      <c r="AQ565" s="167" t="str">
        <f>IF(ISBLANK(Inputs!$A48),"",
IF(AO565="--","Solved",
IF(ABS(AO565)&lt;=0.001,"Solved",AM565-AO565*(AM565-AI565)/(AO565-AK565))))</f>
        <v/>
      </c>
      <c r="AR565" s="167"/>
      <c r="AS565" s="329" t="str">
        <f>IF(ISBLANK(Inputs!$A48),"",
IF(OR(AQ565="Solved",AQ565="--"),"--",
((Mat.Conc_Alpha.1*Mat.Conc_f.c*$AB565*MIN(AQ565*Mat.Conc_Beta.1,$Y565))
+(Mat.Conc_Alpha.1*Mat.Conc_f.c*$V565*MAX(0,AQ565*Mat.Conc_Beta.1-$Y565)))
-($J565*MIN(Mat.Rebar_f.y,(Mat.Rebar_epsilon.cl*($S565-AQ565)/AQ565)*Mat.PT_E.s))
-($M565*Mat.PT_f.pu*(1-Mat.PT_k*AQ565/$P565))))</f>
        <v/>
      </c>
      <c r="AT565" s="329"/>
      <c r="AU565" s="167" t="str">
        <f>IF(ISBLANK(Inputs!$A48),"",
IF(AS565="--","Solved",
IF(ABS(AS565)&lt;=0.001,"Solved",AQ565-AS565*(AQ565-AM565)/(AS565-AO565))))</f>
        <v/>
      </c>
      <c r="AV565" s="167"/>
      <c r="AW565" s="329" t="str">
        <f>IF(ISBLANK(Inputs!$A48),"",
IF(OR(AU565="Solved",AU565="--"),"--",
((Mat.Conc_Alpha.1*Mat.Conc_f.c*$AB565*MIN(AU565*Mat.Conc_Beta.1,$Y565))
+(Mat.Conc_Alpha.1*Mat.Conc_f.c*$V565*MAX(0,AU565*Mat.Conc_Beta.1-$Y565)))
-($J565*MIN(Mat.Rebar_f.y,(Mat.Rebar_epsilon.cl*($S565-AU565)/AU565)*Mat.PT_E.s))
-($M565*Mat.PT_f.pu*(1-Mat.PT_k*AU565/$P565))))</f>
        <v/>
      </c>
      <c r="AX565" s="329"/>
      <c r="AY565" s="167" t="str">
        <f>IF(ISBLANK(Inputs!$A48),"",
IF(AW565="--","Solved",
IF(ABS(AW565)&lt;=0.001,"Solved",AU565-AW565*(AU565-AQ565)/(AW565-AS565))))</f>
        <v/>
      </c>
      <c r="AZ565" s="167"/>
      <c r="BA565" s="329" t="str">
        <f>IF(ISBLANK(Inputs!$A48),"",
IF(OR(AY565="Solved",AY565="--"),"--",
((Mat.Conc_Alpha.1*Mat.Conc_f.c*$AB565*MIN(AY565*Mat.Conc_Beta.1,$Y565))
+(Mat.Conc_Alpha.1*Mat.Conc_f.c*$V565*MAX(0,AY565*Mat.Conc_Beta.1-$Y565)))
-($J565*MIN(Mat.Rebar_f.y,(Mat.Rebar_epsilon.cl*($S565-AY565)/AY565)*Mat.PT_E.s))
-($M565*Mat.PT_f.pu*(1-Mat.PT_k*AY565/$P565))))</f>
        <v/>
      </c>
      <c r="BB565" s="329"/>
      <c r="BC565" s="167" t="str">
        <f>IF(ISBLANK(Inputs!$A48),"",
IF(BA565="--","Solved",
IF(ABS(BA565)&lt;=0.001,"Solved",AY565-BA565*(AY565-AU565)/(BA565-AW565))))</f>
        <v/>
      </c>
      <c r="BD565" s="167"/>
      <c r="BE565" s="329" t="str">
        <f>IF(ISBLANK(Inputs!$A48),"",
IF(OR(BC565="Solved",BC565="--"),"--",
((Mat.Conc_Alpha.1*Mat.Conc_f.c*$AB565*MIN(BC565*Mat.Conc_Beta.1,$Y565))
+(Mat.Conc_Alpha.1*Mat.Conc_f.c*$V565*MAX(0,BC565*Mat.Conc_Beta.1-$Y565)))
-($J565*MIN(Mat.Rebar_f.y,(Mat.Rebar_epsilon.cl*($S565-BC565)/BC565)*Mat.PT_E.s))
-($M565*Mat.PT_f.pu*(1-Mat.PT_k*BC565/$P565))))</f>
        <v/>
      </c>
      <c r="BF565" s="329"/>
      <c r="BG565" s="167" t="str">
        <f>IF(ISBLANK(Inputs!$A48),"",
IF(BE565="--","Solved",
IF(ABS(BE565)&lt;=0.001,"Solved",BC565-BE565*(BC565-AY565)/(BE565-BA565))))</f>
        <v/>
      </c>
      <c r="BH565" s="167"/>
      <c r="BI565" s="329" t="str">
        <f>IF(ISBLANK(Inputs!$A48),"",
IF(OR(BG565="Solved",BG565="--"),"--",
((Mat.Conc_Alpha.1*Mat.Conc_f.c*$AB565*MIN(BG565*Mat.Conc_Beta.1,$Y565))
+(Mat.Conc_Alpha.1*Mat.Conc_f.c*$V565*MAX(0,BG565*Mat.Conc_Beta.1-$Y565)))
-($J565*MIN(Mat.Rebar_f.y,(Mat.Rebar_epsilon.cl*($S565-BG565)/BG565)*Mat.PT_E.s))
-($M565*Mat.PT_f.pu*(1-Mat.PT_k*BG565/$P565))))</f>
        <v/>
      </c>
      <c r="BJ565" s="329"/>
      <c r="BK565" s="167" t="str">
        <f>IF(ISBLANK(Inputs!$A48),"",
IF(BI565="--","Solved",
IF(ABS(BI565)&lt;=0.001,"Solved",BG565-BI565*(BG565-BC565)/(BI565-BE565))))</f>
        <v/>
      </c>
      <c r="BL565" s="167"/>
      <c r="BM565" s="329" t="str">
        <f>IF(ISBLANK(Inputs!$A48),"",
IF(OR(BK565="Solved",BK565="--"),"--",
((Mat.Conc_Alpha.1*Mat.Conc_f.c*$AB565*MIN(BK565*Mat.Conc_Beta.1,$Y565))
+(Mat.Conc_Alpha.1*Mat.Conc_f.c*$V565*MAX(0,BK565*Mat.Conc_Beta.1-$Y565)))
-($J565*MIN(Mat.Rebar_f.y,(Mat.Rebar_epsilon.cl*($S565-BK565)/BK565)*Mat.PT_E.s))
-($M565*Mat.PT_f.pu*(1-Mat.PT_k*BK565/$P565))))</f>
        <v/>
      </c>
      <c r="BN565" s="329"/>
      <c r="BO565" s="167" t="str">
        <f>IF(ISBLANK(Inputs!$A48),"",
IF(BM565="--","Solved",
IF(ABS(BM565)&lt;=0.001,"Solved",BK565-BM565*(BK565-BG565)/(BM565-BI565))))</f>
        <v/>
      </c>
      <c r="BP565" s="167"/>
      <c r="BQ565" s="329" t="str">
        <f>IF(ISBLANK(Inputs!$A48),"",
IF(OR(BO565="Solved",BO565="--"),"--",
((Mat.Conc_Alpha.1*Mat.Conc_f.c*$AB565*MIN(BO565*Mat.Conc_Beta.1,$Y565))
+(Mat.Conc_Alpha.1*Mat.Conc_f.c*$V565*MAX(0,BO565*Mat.Conc_Beta.1-$Y565)))
-($J565*MIN(Mat.Rebar_f.y,(Mat.Rebar_epsilon.cl*($S565-BO565)/BO565)*Mat.PT_E.s))
-($M565*Mat.PT_f.pu*(1-Mat.PT_k*BO565/$P565))))</f>
        <v/>
      </c>
      <c r="BR565" s="329"/>
      <c r="BS565" s="70"/>
      <c r="BT565" s="70"/>
      <c r="BU565" s="70"/>
      <c r="BV565" s="70"/>
      <c r="BW565" s="8"/>
      <c r="BX565" s="8"/>
      <c r="BY565" s="8"/>
      <c r="BZ565" s="8"/>
      <c r="CA565" s="8"/>
      <c r="CB565" s="10"/>
    </row>
    <row r="566" spans="3:80" ht="15" customHeight="1" x14ac:dyDescent="0.25">
      <c r="C566" s="69"/>
      <c r="F566" s="167" t="str">
        <f>IF(ISBLANK(Inputs!A49),"",Inputs!A49)</f>
        <v/>
      </c>
      <c r="G566" s="167"/>
      <c r="H566" s="167" t="str">
        <f>IF(ISBLANK(Inputs!B49),"",Inputs!B49)</f>
        <v/>
      </c>
      <c r="I566" s="167"/>
      <c r="J566" s="168" t="str">
        <f>IF(ISBLANK(Inputs!K49),"",Inputs!K49)</f>
        <v/>
      </c>
      <c r="K566" s="168"/>
      <c r="L566" s="168"/>
      <c r="M566" s="168" t="str">
        <f>IF(ISBLANK(Inputs!D49),"",Inputs!D49)</f>
        <v/>
      </c>
      <c r="N566" s="168"/>
      <c r="O566" s="168"/>
      <c r="P566" s="168" t="str">
        <f>IF(ISBLANK(Inputs!F49),"",Inputs!$B$10-Inputs!F49)</f>
        <v/>
      </c>
      <c r="Q566" s="168"/>
      <c r="R566" s="168"/>
      <c r="S566" s="168" t="str">
        <f>IF(ISBLANK(Inputs!L49),"",Inputs!L49)</f>
        <v/>
      </c>
      <c r="T566" s="168"/>
      <c r="U566" s="168"/>
      <c r="V566" s="168" t="str">
        <f>IF(ISBLANK(Inputs!E49),"",Inputs!E49)</f>
        <v/>
      </c>
      <c r="W566" s="168"/>
      <c r="X566" s="168"/>
      <c r="Y566" s="168" t="str">
        <f>IF(ISBLANK(Inputs!M49),"",Inputs!M49)</f>
        <v/>
      </c>
      <c r="Z566" s="168"/>
      <c r="AA566" s="168"/>
      <c r="AB566" s="168" t="str">
        <f>IF(ISBLANK(Inputs!N49),"",Inputs!N49)</f>
        <v/>
      </c>
      <c r="AC566" s="168"/>
      <c r="AD566" s="168"/>
      <c r="AE566" s="371" t="str">
        <f>IF(ISBLANK(Inputs!A49),"",Y566)</f>
        <v/>
      </c>
      <c r="AF566" s="371"/>
      <c r="AG566" s="329" t="str">
        <f>IF(ISBLANK(Inputs!$A49),"",
IF(OR(AE566="Solved",AE566="--"),"--",
((Mat.Conc_Alpha.1*Mat.Conc_f.c*$AB566*MIN(AE566*Mat.Conc_Beta.1,$Y566))
+(Mat.Conc_Alpha.1*Mat.Conc_f.c*$V566*MAX(0,AE566*Mat.Conc_Beta.1-$Y566)))
-($J566*MIN(Mat.Rebar_f.y,(Mat.Rebar_epsilon.cl*($S566-AE566)/AE566)*Mat.PT_E.s))
-($M566*Mat.PT_f.pu*(1-Mat.PT_k*AE566/$P566))))</f>
        <v/>
      </c>
      <c r="AH566" s="329"/>
      <c r="AI566" s="167" t="str">
        <f>IF(ISBLANK(Inputs!$A49),"",
IF(ABS(AG566)&lt;=0.001,"Solved",IF(AG566&gt;0,0.85*AE566,1.15*AE566)))</f>
        <v/>
      </c>
      <c r="AJ566" s="167"/>
      <c r="AK566" s="329" t="str">
        <f>IF(ISBLANK(Inputs!$A49),"",
IF(OR(AI566="Solved",AI566="--"),"--",
((Mat.Conc_Alpha.1*Mat.Conc_f.c*$AB566*MIN(AI566*Mat.Conc_Beta.1,$Y566))
+(Mat.Conc_Alpha.1*Mat.Conc_f.c*$V566*MAX(0,AI566*Mat.Conc_Beta.1-$Y566)))
-($J566*MIN(Mat.Rebar_f.y,(Mat.Rebar_epsilon.cl*($S566-AI566)/AI566)*Mat.PT_E.s))
-($M566*Mat.PT_f.pu*(1-Mat.PT_k*AI566/$P566))))</f>
        <v/>
      </c>
      <c r="AL566" s="329"/>
      <c r="AM566" s="167" t="str">
        <f>IF(ISBLANK(Inputs!$A49),"",
IF(AK566="--","Solved",
IF(ABS(AK566)&lt;=0.001,"Solved",AI566-AK566*(AI566-AE566)/(AK566-AG566))))</f>
        <v/>
      </c>
      <c r="AN566" s="167"/>
      <c r="AO566" s="329" t="str">
        <f>IF(ISBLANK(Inputs!$A49),"",
IF(OR(AM566="Solved",AM566="--"),"--",
((Mat.Conc_Alpha.1*Mat.Conc_f.c*$AB566*MIN(AM566*Mat.Conc_Beta.1,$Y566))
+(Mat.Conc_Alpha.1*Mat.Conc_f.c*$V566*MAX(0,AM566*Mat.Conc_Beta.1-$Y566)))
-($J566*MIN(Mat.Rebar_f.y,(Mat.Rebar_epsilon.cl*($S566-AM566)/AM566)*Mat.PT_E.s))
-($M566*Mat.PT_f.pu*(1-Mat.PT_k*AM566/$P566))))</f>
        <v/>
      </c>
      <c r="AP566" s="329"/>
      <c r="AQ566" s="167" t="str">
        <f>IF(ISBLANK(Inputs!$A49),"",
IF(AO566="--","Solved",
IF(ABS(AO566)&lt;=0.001,"Solved",AM566-AO566*(AM566-AI566)/(AO566-AK566))))</f>
        <v/>
      </c>
      <c r="AR566" s="167"/>
      <c r="AS566" s="329" t="str">
        <f>IF(ISBLANK(Inputs!$A49),"",
IF(OR(AQ566="Solved",AQ566="--"),"--",
((Mat.Conc_Alpha.1*Mat.Conc_f.c*$AB566*MIN(AQ566*Mat.Conc_Beta.1,$Y566))
+(Mat.Conc_Alpha.1*Mat.Conc_f.c*$V566*MAX(0,AQ566*Mat.Conc_Beta.1-$Y566)))
-($J566*MIN(Mat.Rebar_f.y,(Mat.Rebar_epsilon.cl*($S566-AQ566)/AQ566)*Mat.PT_E.s))
-($M566*Mat.PT_f.pu*(1-Mat.PT_k*AQ566/$P566))))</f>
        <v/>
      </c>
      <c r="AT566" s="329"/>
      <c r="AU566" s="167" t="str">
        <f>IF(ISBLANK(Inputs!$A49),"",
IF(AS566="--","Solved",
IF(ABS(AS566)&lt;=0.001,"Solved",AQ566-AS566*(AQ566-AM566)/(AS566-AO566))))</f>
        <v/>
      </c>
      <c r="AV566" s="167"/>
      <c r="AW566" s="329" t="str">
        <f>IF(ISBLANK(Inputs!$A49),"",
IF(OR(AU566="Solved",AU566="--"),"--",
((Mat.Conc_Alpha.1*Mat.Conc_f.c*$AB566*MIN(AU566*Mat.Conc_Beta.1,$Y566))
+(Mat.Conc_Alpha.1*Mat.Conc_f.c*$V566*MAX(0,AU566*Mat.Conc_Beta.1-$Y566)))
-($J566*MIN(Mat.Rebar_f.y,(Mat.Rebar_epsilon.cl*($S566-AU566)/AU566)*Mat.PT_E.s))
-($M566*Mat.PT_f.pu*(1-Mat.PT_k*AU566/$P566))))</f>
        <v/>
      </c>
      <c r="AX566" s="329"/>
      <c r="AY566" s="167" t="str">
        <f>IF(ISBLANK(Inputs!$A49),"",
IF(AW566="--","Solved",
IF(ABS(AW566)&lt;=0.001,"Solved",AU566-AW566*(AU566-AQ566)/(AW566-AS566))))</f>
        <v/>
      </c>
      <c r="AZ566" s="167"/>
      <c r="BA566" s="329" t="str">
        <f>IF(ISBLANK(Inputs!$A49),"",
IF(OR(AY566="Solved",AY566="--"),"--",
((Mat.Conc_Alpha.1*Mat.Conc_f.c*$AB566*MIN(AY566*Mat.Conc_Beta.1,$Y566))
+(Mat.Conc_Alpha.1*Mat.Conc_f.c*$V566*MAX(0,AY566*Mat.Conc_Beta.1-$Y566)))
-($J566*MIN(Mat.Rebar_f.y,(Mat.Rebar_epsilon.cl*($S566-AY566)/AY566)*Mat.PT_E.s))
-($M566*Mat.PT_f.pu*(1-Mat.PT_k*AY566/$P566))))</f>
        <v/>
      </c>
      <c r="BB566" s="329"/>
      <c r="BC566" s="167" t="str">
        <f>IF(ISBLANK(Inputs!$A49),"",
IF(BA566="--","Solved",
IF(ABS(BA566)&lt;=0.001,"Solved",AY566-BA566*(AY566-AU566)/(BA566-AW566))))</f>
        <v/>
      </c>
      <c r="BD566" s="167"/>
      <c r="BE566" s="329" t="str">
        <f>IF(ISBLANK(Inputs!$A49),"",
IF(OR(BC566="Solved",BC566="--"),"--",
((Mat.Conc_Alpha.1*Mat.Conc_f.c*$AB566*MIN(BC566*Mat.Conc_Beta.1,$Y566))
+(Mat.Conc_Alpha.1*Mat.Conc_f.c*$V566*MAX(0,BC566*Mat.Conc_Beta.1-$Y566)))
-($J566*MIN(Mat.Rebar_f.y,(Mat.Rebar_epsilon.cl*($S566-BC566)/BC566)*Mat.PT_E.s))
-($M566*Mat.PT_f.pu*(1-Mat.PT_k*BC566/$P566))))</f>
        <v/>
      </c>
      <c r="BF566" s="329"/>
      <c r="BG566" s="167" t="str">
        <f>IF(ISBLANK(Inputs!$A49),"",
IF(BE566="--","Solved",
IF(ABS(BE566)&lt;=0.001,"Solved",BC566-BE566*(BC566-AY566)/(BE566-BA566))))</f>
        <v/>
      </c>
      <c r="BH566" s="167"/>
      <c r="BI566" s="329" t="str">
        <f>IF(ISBLANK(Inputs!$A49),"",
IF(OR(BG566="Solved",BG566="--"),"--",
((Mat.Conc_Alpha.1*Mat.Conc_f.c*$AB566*MIN(BG566*Mat.Conc_Beta.1,$Y566))
+(Mat.Conc_Alpha.1*Mat.Conc_f.c*$V566*MAX(0,BG566*Mat.Conc_Beta.1-$Y566)))
-($J566*MIN(Mat.Rebar_f.y,(Mat.Rebar_epsilon.cl*($S566-BG566)/BG566)*Mat.PT_E.s))
-($M566*Mat.PT_f.pu*(1-Mat.PT_k*BG566/$P566))))</f>
        <v/>
      </c>
      <c r="BJ566" s="329"/>
      <c r="BK566" s="167" t="str">
        <f>IF(ISBLANK(Inputs!$A49),"",
IF(BI566="--","Solved",
IF(ABS(BI566)&lt;=0.001,"Solved",BG566-BI566*(BG566-BC566)/(BI566-BE566))))</f>
        <v/>
      </c>
      <c r="BL566" s="167"/>
      <c r="BM566" s="329" t="str">
        <f>IF(ISBLANK(Inputs!$A49),"",
IF(OR(BK566="Solved",BK566="--"),"--",
((Mat.Conc_Alpha.1*Mat.Conc_f.c*$AB566*MIN(BK566*Mat.Conc_Beta.1,$Y566))
+(Mat.Conc_Alpha.1*Mat.Conc_f.c*$V566*MAX(0,BK566*Mat.Conc_Beta.1-$Y566)))
-($J566*MIN(Mat.Rebar_f.y,(Mat.Rebar_epsilon.cl*($S566-BK566)/BK566)*Mat.PT_E.s))
-($M566*Mat.PT_f.pu*(1-Mat.PT_k*BK566/$P566))))</f>
        <v/>
      </c>
      <c r="BN566" s="329"/>
      <c r="BO566" s="167" t="str">
        <f>IF(ISBLANK(Inputs!$A49),"",
IF(BM566="--","Solved",
IF(ABS(BM566)&lt;=0.001,"Solved",BK566-BM566*(BK566-BG566)/(BM566-BI566))))</f>
        <v/>
      </c>
      <c r="BP566" s="167"/>
      <c r="BQ566" s="329" t="str">
        <f>IF(ISBLANK(Inputs!$A49),"",
IF(OR(BO566="Solved",BO566="--"),"--",
((Mat.Conc_Alpha.1*Mat.Conc_f.c*$AB566*MIN(BO566*Mat.Conc_Beta.1,$Y566))
+(Mat.Conc_Alpha.1*Mat.Conc_f.c*$V566*MAX(0,BO566*Mat.Conc_Beta.1-$Y566)))
-($J566*MIN(Mat.Rebar_f.y,(Mat.Rebar_epsilon.cl*($S566-BO566)/BO566)*Mat.PT_E.s))
-($M566*Mat.PT_f.pu*(1-Mat.PT_k*BO566/$P566))))</f>
        <v/>
      </c>
      <c r="BR566" s="329"/>
      <c r="BS566" s="70"/>
      <c r="BT566" s="70"/>
      <c r="BU566" s="70"/>
      <c r="BV566" s="70"/>
      <c r="BW566" s="8"/>
      <c r="BX566" s="8"/>
      <c r="BY566" s="8"/>
      <c r="BZ566" s="8"/>
      <c r="CA566" s="8"/>
      <c r="CB566" s="10"/>
    </row>
    <row r="567" spans="3:80" ht="15" customHeight="1" x14ac:dyDescent="0.25">
      <c r="C567" s="69"/>
      <c r="F567" s="167" t="str">
        <f>IF(ISBLANK(Inputs!A50),"",Inputs!A50)</f>
        <v/>
      </c>
      <c r="G567" s="167"/>
      <c r="H567" s="167" t="str">
        <f>IF(ISBLANK(Inputs!B50),"",Inputs!B50)</f>
        <v/>
      </c>
      <c r="I567" s="167"/>
      <c r="J567" s="168" t="str">
        <f>IF(ISBLANK(Inputs!K50),"",Inputs!K50)</f>
        <v/>
      </c>
      <c r="K567" s="168"/>
      <c r="L567" s="168"/>
      <c r="M567" s="168" t="str">
        <f>IF(ISBLANK(Inputs!D50),"",Inputs!D50)</f>
        <v/>
      </c>
      <c r="N567" s="168"/>
      <c r="O567" s="168"/>
      <c r="P567" s="168" t="str">
        <f>IF(ISBLANK(Inputs!F50),"",Inputs!$B$10-Inputs!F50)</f>
        <v/>
      </c>
      <c r="Q567" s="168"/>
      <c r="R567" s="168"/>
      <c r="S567" s="168" t="str">
        <f>IF(ISBLANK(Inputs!L50),"",Inputs!L50)</f>
        <v/>
      </c>
      <c r="T567" s="168"/>
      <c r="U567" s="168"/>
      <c r="V567" s="168" t="str">
        <f>IF(ISBLANK(Inputs!E50),"",Inputs!E50)</f>
        <v/>
      </c>
      <c r="W567" s="168"/>
      <c r="X567" s="168"/>
      <c r="Y567" s="168" t="str">
        <f>IF(ISBLANK(Inputs!M50),"",Inputs!M50)</f>
        <v/>
      </c>
      <c r="Z567" s="168"/>
      <c r="AA567" s="168"/>
      <c r="AB567" s="168" t="str">
        <f>IF(ISBLANK(Inputs!N50),"",Inputs!N50)</f>
        <v/>
      </c>
      <c r="AC567" s="168"/>
      <c r="AD567" s="168"/>
      <c r="AE567" s="371" t="str">
        <f>IF(ISBLANK(Inputs!A50),"",Y567)</f>
        <v/>
      </c>
      <c r="AF567" s="371"/>
      <c r="AG567" s="329" t="str">
        <f>IF(ISBLANK(Inputs!$A50),"",
IF(OR(AE567="Solved",AE567="--"),"--",
((Mat.Conc_Alpha.1*Mat.Conc_f.c*$AB567*MIN(AE567*Mat.Conc_Beta.1,$Y567))
+(Mat.Conc_Alpha.1*Mat.Conc_f.c*$V567*MAX(0,AE567*Mat.Conc_Beta.1-$Y567)))
-($J567*MIN(Mat.Rebar_f.y,(Mat.Rebar_epsilon.cl*($S567-AE567)/AE567)*Mat.PT_E.s))
-($M567*Mat.PT_f.pu*(1-Mat.PT_k*AE567/$P567))))</f>
        <v/>
      </c>
      <c r="AH567" s="329"/>
      <c r="AI567" s="167" t="str">
        <f>IF(ISBLANK(Inputs!$A50),"",
IF(ABS(AG567)&lt;=0.001,"Solved",IF(AG567&gt;0,0.85*AE567,1.15*AE567)))</f>
        <v/>
      </c>
      <c r="AJ567" s="167"/>
      <c r="AK567" s="329" t="str">
        <f>IF(ISBLANK(Inputs!$A50),"",
IF(OR(AI567="Solved",AI567="--"),"--",
((Mat.Conc_Alpha.1*Mat.Conc_f.c*$AB567*MIN(AI567*Mat.Conc_Beta.1,$Y567))
+(Mat.Conc_Alpha.1*Mat.Conc_f.c*$V567*MAX(0,AI567*Mat.Conc_Beta.1-$Y567)))
-($J567*MIN(Mat.Rebar_f.y,(Mat.Rebar_epsilon.cl*($S567-AI567)/AI567)*Mat.PT_E.s))
-($M567*Mat.PT_f.pu*(1-Mat.PT_k*AI567/$P567))))</f>
        <v/>
      </c>
      <c r="AL567" s="329"/>
      <c r="AM567" s="167" t="str">
        <f>IF(ISBLANK(Inputs!$A50),"",
IF(AK567="--","Solved",
IF(ABS(AK567)&lt;=0.001,"Solved",AI567-AK567*(AI567-AE567)/(AK567-AG567))))</f>
        <v/>
      </c>
      <c r="AN567" s="167"/>
      <c r="AO567" s="329" t="str">
        <f>IF(ISBLANK(Inputs!$A50),"",
IF(OR(AM567="Solved",AM567="--"),"--",
((Mat.Conc_Alpha.1*Mat.Conc_f.c*$AB567*MIN(AM567*Mat.Conc_Beta.1,$Y567))
+(Mat.Conc_Alpha.1*Mat.Conc_f.c*$V567*MAX(0,AM567*Mat.Conc_Beta.1-$Y567)))
-($J567*MIN(Mat.Rebar_f.y,(Mat.Rebar_epsilon.cl*($S567-AM567)/AM567)*Mat.PT_E.s))
-($M567*Mat.PT_f.pu*(1-Mat.PT_k*AM567/$P567))))</f>
        <v/>
      </c>
      <c r="AP567" s="329"/>
      <c r="AQ567" s="167" t="str">
        <f>IF(ISBLANK(Inputs!$A50),"",
IF(AO567="--","Solved",
IF(ABS(AO567)&lt;=0.001,"Solved",AM567-AO567*(AM567-AI567)/(AO567-AK567))))</f>
        <v/>
      </c>
      <c r="AR567" s="167"/>
      <c r="AS567" s="329" t="str">
        <f>IF(ISBLANK(Inputs!$A50),"",
IF(OR(AQ567="Solved",AQ567="--"),"--",
((Mat.Conc_Alpha.1*Mat.Conc_f.c*$AB567*MIN(AQ567*Mat.Conc_Beta.1,$Y567))
+(Mat.Conc_Alpha.1*Mat.Conc_f.c*$V567*MAX(0,AQ567*Mat.Conc_Beta.1-$Y567)))
-($J567*MIN(Mat.Rebar_f.y,(Mat.Rebar_epsilon.cl*($S567-AQ567)/AQ567)*Mat.PT_E.s))
-($M567*Mat.PT_f.pu*(1-Mat.PT_k*AQ567/$P567))))</f>
        <v/>
      </c>
      <c r="AT567" s="329"/>
      <c r="AU567" s="167" t="str">
        <f>IF(ISBLANK(Inputs!$A50),"",
IF(AS567="--","Solved",
IF(ABS(AS567)&lt;=0.001,"Solved",AQ567-AS567*(AQ567-AM567)/(AS567-AO567))))</f>
        <v/>
      </c>
      <c r="AV567" s="167"/>
      <c r="AW567" s="329" t="str">
        <f>IF(ISBLANK(Inputs!$A50),"",
IF(OR(AU567="Solved",AU567="--"),"--",
((Mat.Conc_Alpha.1*Mat.Conc_f.c*$AB567*MIN(AU567*Mat.Conc_Beta.1,$Y567))
+(Mat.Conc_Alpha.1*Mat.Conc_f.c*$V567*MAX(0,AU567*Mat.Conc_Beta.1-$Y567)))
-($J567*MIN(Mat.Rebar_f.y,(Mat.Rebar_epsilon.cl*($S567-AU567)/AU567)*Mat.PT_E.s))
-($M567*Mat.PT_f.pu*(1-Mat.PT_k*AU567/$P567))))</f>
        <v/>
      </c>
      <c r="AX567" s="329"/>
      <c r="AY567" s="167" t="str">
        <f>IF(ISBLANK(Inputs!$A50),"",
IF(AW567="--","Solved",
IF(ABS(AW567)&lt;=0.001,"Solved",AU567-AW567*(AU567-AQ567)/(AW567-AS567))))</f>
        <v/>
      </c>
      <c r="AZ567" s="167"/>
      <c r="BA567" s="329" t="str">
        <f>IF(ISBLANK(Inputs!$A50),"",
IF(OR(AY567="Solved",AY567="--"),"--",
((Mat.Conc_Alpha.1*Mat.Conc_f.c*$AB567*MIN(AY567*Mat.Conc_Beta.1,$Y567))
+(Mat.Conc_Alpha.1*Mat.Conc_f.c*$V567*MAX(0,AY567*Mat.Conc_Beta.1-$Y567)))
-($J567*MIN(Mat.Rebar_f.y,(Mat.Rebar_epsilon.cl*($S567-AY567)/AY567)*Mat.PT_E.s))
-($M567*Mat.PT_f.pu*(1-Mat.PT_k*AY567/$P567))))</f>
        <v/>
      </c>
      <c r="BB567" s="329"/>
      <c r="BC567" s="167" t="str">
        <f>IF(ISBLANK(Inputs!$A50),"",
IF(BA567="--","Solved",
IF(ABS(BA567)&lt;=0.001,"Solved",AY567-BA567*(AY567-AU567)/(BA567-AW567))))</f>
        <v/>
      </c>
      <c r="BD567" s="167"/>
      <c r="BE567" s="329" t="str">
        <f>IF(ISBLANK(Inputs!$A50),"",
IF(OR(BC567="Solved",BC567="--"),"--",
((Mat.Conc_Alpha.1*Mat.Conc_f.c*$AB567*MIN(BC567*Mat.Conc_Beta.1,$Y567))
+(Mat.Conc_Alpha.1*Mat.Conc_f.c*$V567*MAX(0,BC567*Mat.Conc_Beta.1-$Y567)))
-($J567*MIN(Mat.Rebar_f.y,(Mat.Rebar_epsilon.cl*($S567-BC567)/BC567)*Mat.PT_E.s))
-($M567*Mat.PT_f.pu*(1-Mat.PT_k*BC567/$P567))))</f>
        <v/>
      </c>
      <c r="BF567" s="329"/>
      <c r="BG567" s="167" t="str">
        <f>IF(ISBLANK(Inputs!$A50),"",
IF(BE567="--","Solved",
IF(ABS(BE567)&lt;=0.001,"Solved",BC567-BE567*(BC567-AY567)/(BE567-BA567))))</f>
        <v/>
      </c>
      <c r="BH567" s="167"/>
      <c r="BI567" s="329" t="str">
        <f>IF(ISBLANK(Inputs!$A50),"",
IF(OR(BG567="Solved",BG567="--"),"--",
((Mat.Conc_Alpha.1*Mat.Conc_f.c*$AB567*MIN(BG567*Mat.Conc_Beta.1,$Y567))
+(Mat.Conc_Alpha.1*Mat.Conc_f.c*$V567*MAX(0,BG567*Mat.Conc_Beta.1-$Y567)))
-($J567*MIN(Mat.Rebar_f.y,(Mat.Rebar_epsilon.cl*($S567-BG567)/BG567)*Mat.PT_E.s))
-($M567*Mat.PT_f.pu*(1-Mat.PT_k*BG567/$P567))))</f>
        <v/>
      </c>
      <c r="BJ567" s="329"/>
      <c r="BK567" s="167" t="str">
        <f>IF(ISBLANK(Inputs!$A50),"",
IF(BI567="--","Solved",
IF(ABS(BI567)&lt;=0.001,"Solved",BG567-BI567*(BG567-BC567)/(BI567-BE567))))</f>
        <v/>
      </c>
      <c r="BL567" s="167"/>
      <c r="BM567" s="329" t="str">
        <f>IF(ISBLANK(Inputs!$A50),"",
IF(OR(BK567="Solved",BK567="--"),"--",
((Mat.Conc_Alpha.1*Mat.Conc_f.c*$AB567*MIN(BK567*Mat.Conc_Beta.1,$Y567))
+(Mat.Conc_Alpha.1*Mat.Conc_f.c*$V567*MAX(0,BK567*Mat.Conc_Beta.1-$Y567)))
-($J567*MIN(Mat.Rebar_f.y,(Mat.Rebar_epsilon.cl*($S567-BK567)/BK567)*Mat.PT_E.s))
-($M567*Mat.PT_f.pu*(1-Mat.PT_k*BK567/$P567))))</f>
        <v/>
      </c>
      <c r="BN567" s="329"/>
      <c r="BO567" s="167" t="str">
        <f>IF(ISBLANK(Inputs!$A50),"",
IF(BM567="--","Solved",
IF(ABS(BM567)&lt;=0.001,"Solved",BK567-BM567*(BK567-BG567)/(BM567-BI567))))</f>
        <v/>
      </c>
      <c r="BP567" s="167"/>
      <c r="BQ567" s="329" t="str">
        <f>IF(ISBLANK(Inputs!$A50),"",
IF(OR(BO567="Solved",BO567="--"),"--",
((Mat.Conc_Alpha.1*Mat.Conc_f.c*$AB567*MIN(BO567*Mat.Conc_Beta.1,$Y567))
+(Mat.Conc_Alpha.1*Mat.Conc_f.c*$V567*MAX(0,BO567*Mat.Conc_Beta.1-$Y567)))
-($J567*MIN(Mat.Rebar_f.y,(Mat.Rebar_epsilon.cl*($S567-BO567)/BO567)*Mat.PT_E.s))
-($M567*Mat.PT_f.pu*(1-Mat.PT_k*BO567/$P567))))</f>
        <v/>
      </c>
      <c r="BR567" s="329"/>
      <c r="BS567" s="70"/>
      <c r="BT567" s="70"/>
      <c r="BU567" s="70"/>
      <c r="BV567" s="70"/>
      <c r="BW567" s="8"/>
      <c r="BX567" s="8"/>
      <c r="BY567" s="8"/>
      <c r="BZ567" s="8"/>
      <c r="CA567" s="8"/>
      <c r="CB567" s="10"/>
    </row>
    <row r="568" spans="3:80" ht="15" customHeight="1" x14ac:dyDescent="0.25">
      <c r="C568" s="69"/>
      <c r="F568" s="167" t="str">
        <f>IF(ISBLANK(Inputs!A51),"",Inputs!A51)</f>
        <v/>
      </c>
      <c r="G568" s="167"/>
      <c r="H568" s="167" t="str">
        <f>IF(ISBLANK(Inputs!B51),"",Inputs!B51)</f>
        <v/>
      </c>
      <c r="I568" s="167"/>
      <c r="J568" s="168" t="str">
        <f>IF(ISBLANK(Inputs!K51),"",Inputs!K51)</f>
        <v/>
      </c>
      <c r="K568" s="168"/>
      <c r="L568" s="168"/>
      <c r="M568" s="168" t="str">
        <f>IF(ISBLANK(Inputs!D51),"",Inputs!D51)</f>
        <v/>
      </c>
      <c r="N568" s="168"/>
      <c r="O568" s="168"/>
      <c r="P568" s="168" t="str">
        <f>IF(ISBLANK(Inputs!F51),"",Inputs!$B$10-Inputs!F51)</f>
        <v/>
      </c>
      <c r="Q568" s="168"/>
      <c r="R568" s="168"/>
      <c r="S568" s="168" t="str">
        <f>IF(ISBLANK(Inputs!L51),"",Inputs!L51)</f>
        <v/>
      </c>
      <c r="T568" s="168"/>
      <c r="U568" s="168"/>
      <c r="V568" s="168" t="str">
        <f>IF(ISBLANK(Inputs!E51),"",Inputs!E51)</f>
        <v/>
      </c>
      <c r="W568" s="168"/>
      <c r="X568" s="168"/>
      <c r="Y568" s="168" t="str">
        <f>IF(ISBLANK(Inputs!M51),"",Inputs!M51)</f>
        <v/>
      </c>
      <c r="Z568" s="168"/>
      <c r="AA568" s="168"/>
      <c r="AB568" s="168" t="str">
        <f>IF(ISBLANK(Inputs!N51),"",Inputs!N51)</f>
        <v/>
      </c>
      <c r="AC568" s="168"/>
      <c r="AD568" s="168"/>
      <c r="AE568" s="371" t="str">
        <f>IF(ISBLANK(Inputs!A51),"",Y568)</f>
        <v/>
      </c>
      <c r="AF568" s="371"/>
      <c r="AG568" s="329" t="str">
        <f>IF(ISBLANK(Inputs!$A51),"",
IF(OR(AE568="Solved",AE568="--"),"--",
((Mat.Conc_Alpha.1*Mat.Conc_f.c*$AB568*MIN(AE568*Mat.Conc_Beta.1,$Y568))
+(Mat.Conc_Alpha.1*Mat.Conc_f.c*$V568*MAX(0,AE568*Mat.Conc_Beta.1-$Y568)))
-($J568*MIN(Mat.Rebar_f.y,(Mat.Rebar_epsilon.cl*($S568-AE568)/AE568)*Mat.PT_E.s))
-($M568*Mat.PT_f.pu*(1-Mat.PT_k*AE568/$P568))))</f>
        <v/>
      </c>
      <c r="AH568" s="329"/>
      <c r="AI568" s="167" t="str">
        <f>IF(ISBLANK(Inputs!$A51),"",
IF(ABS(AG568)&lt;=0.001,"Solved",IF(AG568&gt;0,0.85*AE568,1.15*AE568)))</f>
        <v/>
      </c>
      <c r="AJ568" s="167"/>
      <c r="AK568" s="329" t="str">
        <f>IF(ISBLANK(Inputs!$A51),"",
IF(OR(AI568="Solved",AI568="--"),"--",
((Mat.Conc_Alpha.1*Mat.Conc_f.c*$AB568*MIN(AI568*Mat.Conc_Beta.1,$Y568))
+(Mat.Conc_Alpha.1*Mat.Conc_f.c*$V568*MAX(0,AI568*Mat.Conc_Beta.1-$Y568)))
-($J568*MIN(Mat.Rebar_f.y,(Mat.Rebar_epsilon.cl*($S568-AI568)/AI568)*Mat.PT_E.s))
-($M568*Mat.PT_f.pu*(1-Mat.PT_k*AI568/$P568))))</f>
        <v/>
      </c>
      <c r="AL568" s="329"/>
      <c r="AM568" s="167" t="str">
        <f>IF(ISBLANK(Inputs!$A51),"",
IF(AK568="--","Solved",
IF(ABS(AK568)&lt;=0.001,"Solved",AI568-AK568*(AI568-AE568)/(AK568-AG568))))</f>
        <v/>
      </c>
      <c r="AN568" s="167"/>
      <c r="AO568" s="329" t="str">
        <f>IF(ISBLANK(Inputs!$A51),"",
IF(OR(AM568="Solved",AM568="--"),"--",
((Mat.Conc_Alpha.1*Mat.Conc_f.c*$AB568*MIN(AM568*Mat.Conc_Beta.1,$Y568))
+(Mat.Conc_Alpha.1*Mat.Conc_f.c*$V568*MAX(0,AM568*Mat.Conc_Beta.1-$Y568)))
-($J568*MIN(Mat.Rebar_f.y,(Mat.Rebar_epsilon.cl*($S568-AM568)/AM568)*Mat.PT_E.s))
-($M568*Mat.PT_f.pu*(1-Mat.PT_k*AM568/$P568))))</f>
        <v/>
      </c>
      <c r="AP568" s="329"/>
      <c r="AQ568" s="167" t="str">
        <f>IF(ISBLANK(Inputs!$A51),"",
IF(AO568="--","Solved",
IF(ABS(AO568)&lt;=0.001,"Solved",AM568-AO568*(AM568-AI568)/(AO568-AK568))))</f>
        <v/>
      </c>
      <c r="AR568" s="167"/>
      <c r="AS568" s="329" t="str">
        <f>IF(ISBLANK(Inputs!$A51),"",
IF(OR(AQ568="Solved",AQ568="--"),"--",
((Mat.Conc_Alpha.1*Mat.Conc_f.c*$AB568*MIN(AQ568*Mat.Conc_Beta.1,$Y568))
+(Mat.Conc_Alpha.1*Mat.Conc_f.c*$V568*MAX(0,AQ568*Mat.Conc_Beta.1-$Y568)))
-($J568*MIN(Mat.Rebar_f.y,(Mat.Rebar_epsilon.cl*($S568-AQ568)/AQ568)*Mat.PT_E.s))
-($M568*Mat.PT_f.pu*(1-Mat.PT_k*AQ568/$P568))))</f>
        <v/>
      </c>
      <c r="AT568" s="329"/>
      <c r="AU568" s="167" t="str">
        <f>IF(ISBLANK(Inputs!$A51),"",
IF(AS568="--","Solved",
IF(ABS(AS568)&lt;=0.001,"Solved",AQ568-AS568*(AQ568-AM568)/(AS568-AO568))))</f>
        <v/>
      </c>
      <c r="AV568" s="167"/>
      <c r="AW568" s="329" t="str">
        <f>IF(ISBLANK(Inputs!$A51),"",
IF(OR(AU568="Solved",AU568="--"),"--",
((Mat.Conc_Alpha.1*Mat.Conc_f.c*$AB568*MIN(AU568*Mat.Conc_Beta.1,$Y568))
+(Mat.Conc_Alpha.1*Mat.Conc_f.c*$V568*MAX(0,AU568*Mat.Conc_Beta.1-$Y568)))
-($J568*MIN(Mat.Rebar_f.y,(Mat.Rebar_epsilon.cl*($S568-AU568)/AU568)*Mat.PT_E.s))
-($M568*Mat.PT_f.pu*(1-Mat.PT_k*AU568/$P568))))</f>
        <v/>
      </c>
      <c r="AX568" s="329"/>
      <c r="AY568" s="167" t="str">
        <f>IF(ISBLANK(Inputs!$A51),"",
IF(AW568="--","Solved",
IF(ABS(AW568)&lt;=0.001,"Solved",AU568-AW568*(AU568-AQ568)/(AW568-AS568))))</f>
        <v/>
      </c>
      <c r="AZ568" s="167"/>
      <c r="BA568" s="329" t="str">
        <f>IF(ISBLANK(Inputs!$A51),"",
IF(OR(AY568="Solved",AY568="--"),"--",
((Mat.Conc_Alpha.1*Mat.Conc_f.c*$AB568*MIN(AY568*Mat.Conc_Beta.1,$Y568))
+(Mat.Conc_Alpha.1*Mat.Conc_f.c*$V568*MAX(0,AY568*Mat.Conc_Beta.1-$Y568)))
-($J568*MIN(Mat.Rebar_f.y,(Mat.Rebar_epsilon.cl*($S568-AY568)/AY568)*Mat.PT_E.s))
-($M568*Mat.PT_f.pu*(1-Mat.PT_k*AY568/$P568))))</f>
        <v/>
      </c>
      <c r="BB568" s="329"/>
      <c r="BC568" s="167" t="str">
        <f>IF(ISBLANK(Inputs!$A51),"",
IF(BA568="--","Solved",
IF(ABS(BA568)&lt;=0.001,"Solved",AY568-BA568*(AY568-AU568)/(BA568-AW568))))</f>
        <v/>
      </c>
      <c r="BD568" s="167"/>
      <c r="BE568" s="329" t="str">
        <f>IF(ISBLANK(Inputs!$A51),"",
IF(OR(BC568="Solved",BC568="--"),"--",
((Mat.Conc_Alpha.1*Mat.Conc_f.c*$AB568*MIN(BC568*Mat.Conc_Beta.1,$Y568))
+(Mat.Conc_Alpha.1*Mat.Conc_f.c*$V568*MAX(0,BC568*Mat.Conc_Beta.1-$Y568)))
-($J568*MIN(Mat.Rebar_f.y,(Mat.Rebar_epsilon.cl*($S568-BC568)/BC568)*Mat.PT_E.s))
-($M568*Mat.PT_f.pu*(1-Mat.PT_k*BC568/$P568))))</f>
        <v/>
      </c>
      <c r="BF568" s="329"/>
      <c r="BG568" s="167" t="str">
        <f>IF(ISBLANK(Inputs!$A51),"",
IF(BE568="--","Solved",
IF(ABS(BE568)&lt;=0.001,"Solved",BC568-BE568*(BC568-AY568)/(BE568-BA568))))</f>
        <v/>
      </c>
      <c r="BH568" s="167"/>
      <c r="BI568" s="329" t="str">
        <f>IF(ISBLANK(Inputs!$A51),"",
IF(OR(BG568="Solved",BG568="--"),"--",
((Mat.Conc_Alpha.1*Mat.Conc_f.c*$AB568*MIN(BG568*Mat.Conc_Beta.1,$Y568))
+(Mat.Conc_Alpha.1*Mat.Conc_f.c*$V568*MAX(0,BG568*Mat.Conc_Beta.1-$Y568)))
-($J568*MIN(Mat.Rebar_f.y,(Mat.Rebar_epsilon.cl*($S568-BG568)/BG568)*Mat.PT_E.s))
-($M568*Mat.PT_f.pu*(1-Mat.PT_k*BG568/$P568))))</f>
        <v/>
      </c>
      <c r="BJ568" s="329"/>
      <c r="BK568" s="167" t="str">
        <f>IF(ISBLANK(Inputs!$A51),"",
IF(BI568="--","Solved",
IF(ABS(BI568)&lt;=0.001,"Solved",BG568-BI568*(BG568-BC568)/(BI568-BE568))))</f>
        <v/>
      </c>
      <c r="BL568" s="167"/>
      <c r="BM568" s="329" t="str">
        <f>IF(ISBLANK(Inputs!$A51),"",
IF(OR(BK568="Solved",BK568="--"),"--",
((Mat.Conc_Alpha.1*Mat.Conc_f.c*$AB568*MIN(BK568*Mat.Conc_Beta.1,$Y568))
+(Mat.Conc_Alpha.1*Mat.Conc_f.c*$V568*MAX(0,BK568*Mat.Conc_Beta.1-$Y568)))
-($J568*MIN(Mat.Rebar_f.y,(Mat.Rebar_epsilon.cl*($S568-BK568)/BK568)*Mat.PT_E.s))
-($M568*Mat.PT_f.pu*(1-Mat.PT_k*BK568/$P568))))</f>
        <v/>
      </c>
      <c r="BN568" s="329"/>
      <c r="BO568" s="167" t="str">
        <f>IF(ISBLANK(Inputs!$A51),"",
IF(BM568="--","Solved",
IF(ABS(BM568)&lt;=0.001,"Solved",BK568-BM568*(BK568-BG568)/(BM568-BI568))))</f>
        <v/>
      </c>
      <c r="BP568" s="167"/>
      <c r="BQ568" s="329" t="str">
        <f>IF(ISBLANK(Inputs!$A51),"",
IF(OR(BO568="Solved",BO568="--"),"--",
((Mat.Conc_Alpha.1*Mat.Conc_f.c*$AB568*MIN(BO568*Mat.Conc_Beta.1,$Y568))
+(Mat.Conc_Alpha.1*Mat.Conc_f.c*$V568*MAX(0,BO568*Mat.Conc_Beta.1-$Y568)))
-($J568*MIN(Mat.Rebar_f.y,(Mat.Rebar_epsilon.cl*($S568-BO568)/BO568)*Mat.PT_E.s))
-($M568*Mat.PT_f.pu*(1-Mat.PT_k*BO568/$P568))))</f>
        <v/>
      </c>
      <c r="BR568" s="329"/>
      <c r="BS568" s="70"/>
      <c r="BT568" s="70"/>
      <c r="BU568" s="70"/>
      <c r="BV568" s="70"/>
      <c r="BW568" s="8"/>
      <c r="BX568" s="8"/>
      <c r="BY568" s="8"/>
      <c r="BZ568" s="8"/>
      <c r="CA568" s="8"/>
      <c r="CB568" s="10"/>
    </row>
    <row r="569" spans="3:80" ht="15" customHeight="1" x14ac:dyDescent="0.25">
      <c r="C569" s="69"/>
      <c r="F569" s="167" t="str">
        <f>IF(ISBLANK(Inputs!A52),"",Inputs!A52)</f>
        <v/>
      </c>
      <c r="G569" s="167"/>
      <c r="H569" s="167" t="str">
        <f>IF(ISBLANK(Inputs!B52),"",Inputs!B52)</f>
        <v/>
      </c>
      <c r="I569" s="167"/>
      <c r="J569" s="168" t="str">
        <f>IF(ISBLANK(Inputs!K52),"",Inputs!K52)</f>
        <v/>
      </c>
      <c r="K569" s="168"/>
      <c r="L569" s="168"/>
      <c r="M569" s="168" t="str">
        <f>IF(ISBLANK(Inputs!D52),"",Inputs!D52)</f>
        <v/>
      </c>
      <c r="N569" s="168"/>
      <c r="O569" s="168"/>
      <c r="P569" s="168" t="str">
        <f>IF(ISBLANK(Inputs!F52),"",Inputs!$B$10-Inputs!F52)</f>
        <v/>
      </c>
      <c r="Q569" s="168"/>
      <c r="R569" s="168"/>
      <c r="S569" s="168" t="str">
        <f>IF(ISBLANK(Inputs!L52),"",Inputs!L52)</f>
        <v/>
      </c>
      <c r="T569" s="168"/>
      <c r="U569" s="168"/>
      <c r="V569" s="168" t="str">
        <f>IF(ISBLANK(Inputs!E52),"",Inputs!E52)</f>
        <v/>
      </c>
      <c r="W569" s="168"/>
      <c r="X569" s="168"/>
      <c r="Y569" s="168" t="str">
        <f>IF(ISBLANK(Inputs!M52),"",Inputs!M52)</f>
        <v/>
      </c>
      <c r="Z569" s="168"/>
      <c r="AA569" s="168"/>
      <c r="AB569" s="168" t="str">
        <f>IF(ISBLANK(Inputs!N52),"",Inputs!N52)</f>
        <v/>
      </c>
      <c r="AC569" s="168"/>
      <c r="AD569" s="168"/>
      <c r="AE569" s="371" t="str">
        <f>IF(ISBLANK(Inputs!A52),"",Y569)</f>
        <v/>
      </c>
      <c r="AF569" s="371"/>
      <c r="AG569" s="329" t="str">
        <f>IF(ISBLANK(Inputs!$A52),"",
IF(OR(AE569="Solved",AE569="--"),"--",
((Mat.Conc_Alpha.1*Mat.Conc_f.c*$AB569*MIN(AE569*Mat.Conc_Beta.1,$Y569))
+(Mat.Conc_Alpha.1*Mat.Conc_f.c*$V569*MAX(0,AE569*Mat.Conc_Beta.1-$Y569)))
-($J569*MIN(Mat.Rebar_f.y,(Mat.Rebar_epsilon.cl*($S569-AE569)/AE569)*Mat.PT_E.s))
-($M569*Mat.PT_f.pu*(1-Mat.PT_k*AE569/$P569))))</f>
        <v/>
      </c>
      <c r="AH569" s="329"/>
      <c r="AI569" s="167" t="str">
        <f>IF(ISBLANK(Inputs!$A52),"",
IF(ABS(AG569)&lt;=0.001,"Solved",IF(AG569&gt;0,0.85*AE569,1.15*AE569)))</f>
        <v/>
      </c>
      <c r="AJ569" s="167"/>
      <c r="AK569" s="329" t="str">
        <f>IF(ISBLANK(Inputs!$A52),"",
IF(OR(AI569="Solved",AI569="--"),"--",
((Mat.Conc_Alpha.1*Mat.Conc_f.c*$AB569*MIN(AI569*Mat.Conc_Beta.1,$Y569))
+(Mat.Conc_Alpha.1*Mat.Conc_f.c*$V569*MAX(0,AI569*Mat.Conc_Beta.1-$Y569)))
-($J569*MIN(Mat.Rebar_f.y,(Mat.Rebar_epsilon.cl*($S569-AI569)/AI569)*Mat.PT_E.s))
-($M569*Mat.PT_f.pu*(1-Mat.PT_k*AI569/$P569))))</f>
        <v/>
      </c>
      <c r="AL569" s="329"/>
      <c r="AM569" s="167" t="str">
        <f>IF(ISBLANK(Inputs!$A52),"",
IF(AK569="--","Solved",
IF(ABS(AK569)&lt;=0.001,"Solved",AI569-AK569*(AI569-AE569)/(AK569-AG569))))</f>
        <v/>
      </c>
      <c r="AN569" s="167"/>
      <c r="AO569" s="329" t="str">
        <f>IF(ISBLANK(Inputs!$A52),"",
IF(OR(AM569="Solved",AM569="--"),"--",
((Mat.Conc_Alpha.1*Mat.Conc_f.c*$AB569*MIN(AM569*Mat.Conc_Beta.1,$Y569))
+(Mat.Conc_Alpha.1*Mat.Conc_f.c*$V569*MAX(0,AM569*Mat.Conc_Beta.1-$Y569)))
-($J569*MIN(Mat.Rebar_f.y,(Mat.Rebar_epsilon.cl*($S569-AM569)/AM569)*Mat.PT_E.s))
-($M569*Mat.PT_f.pu*(1-Mat.PT_k*AM569/$P569))))</f>
        <v/>
      </c>
      <c r="AP569" s="329"/>
      <c r="AQ569" s="167" t="str">
        <f>IF(ISBLANK(Inputs!$A52),"",
IF(AO569="--","Solved",
IF(ABS(AO569)&lt;=0.001,"Solved",AM569-AO569*(AM569-AI569)/(AO569-AK569))))</f>
        <v/>
      </c>
      <c r="AR569" s="167"/>
      <c r="AS569" s="329" t="str">
        <f>IF(ISBLANK(Inputs!$A52),"",
IF(OR(AQ569="Solved",AQ569="--"),"--",
((Mat.Conc_Alpha.1*Mat.Conc_f.c*$AB569*MIN(AQ569*Mat.Conc_Beta.1,$Y569))
+(Mat.Conc_Alpha.1*Mat.Conc_f.c*$V569*MAX(0,AQ569*Mat.Conc_Beta.1-$Y569)))
-($J569*MIN(Mat.Rebar_f.y,(Mat.Rebar_epsilon.cl*($S569-AQ569)/AQ569)*Mat.PT_E.s))
-($M569*Mat.PT_f.pu*(1-Mat.PT_k*AQ569/$P569))))</f>
        <v/>
      </c>
      <c r="AT569" s="329"/>
      <c r="AU569" s="167" t="str">
        <f>IF(ISBLANK(Inputs!$A52),"",
IF(AS569="--","Solved",
IF(ABS(AS569)&lt;=0.001,"Solved",AQ569-AS569*(AQ569-AM569)/(AS569-AO569))))</f>
        <v/>
      </c>
      <c r="AV569" s="167"/>
      <c r="AW569" s="329" t="str">
        <f>IF(ISBLANK(Inputs!$A52),"",
IF(OR(AU569="Solved",AU569="--"),"--",
((Mat.Conc_Alpha.1*Mat.Conc_f.c*$AB569*MIN(AU569*Mat.Conc_Beta.1,$Y569))
+(Mat.Conc_Alpha.1*Mat.Conc_f.c*$V569*MAX(0,AU569*Mat.Conc_Beta.1-$Y569)))
-($J569*MIN(Mat.Rebar_f.y,(Mat.Rebar_epsilon.cl*($S569-AU569)/AU569)*Mat.PT_E.s))
-($M569*Mat.PT_f.pu*(1-Mat.PT_k*AU569/$P569))))</f>
        <v/>
      </c>
      <c r="AX569" s="329"/>
      <c r="AY569" s="167" t="str">
        <f>IF(ISBLANK(Inputs!$A52),"",
IF(AW569="--","Solved",
IF(ABS(AW569)&lt;=0.001,"Solved",AU569-AW569*(AU569-AQ569)/(AW569-AS569))))</f>
        <v/>
      </c>
      <c r="AZ569" s="167"/>
      <c r="BA569" s="329" t="str">
        <f>IF(ISBLANK(Inputs!$A52),"",
IF(OR(AY569="Solved",AY569="--"),"--",
((Mat.Conc_Alpha.1*Mat.Conc_f.c*$AB569*MIN(AY569*Mat.Conc_Beta.1,$Y569))
+(Mat.Conc_Alpha.1*Mat.Conc_f.c*$V569*MAX(0,AY569*Mat.Conc_Beta.1-$Y569)))
-($J569*MIN(Mat.Rebar_f.y,(Mat.Rebar_epsilon.cl*($S569-AY569)/AY569)*Mat.PT_E.s))
-($M569*Mat.PT_f.pu*(1-Mat.PT_k*AY569/$P569))))</f>
        <v/>
      </c>
      <c r="BB569" s="329"/>
      <c r="BC569" s="167" t="str">
        <f>IF(ISBLANK(Inputs!$A52),"",
IF(BA569="--","Solved",
IF(ABS(BA569)&lt;=0.001,"Solved",AY569-BA569*(AY569-AU569)/(BA569-AW569))))</f>
        <v/>
      </c>
      <c r="BD569" s="167"/>
      <c r="BE569" s="329" t="str">
        <f>IF(ISBLANK(Inputs!$A52),"",
IF(OR(BC569="Solved",BC569="--"),"--",
((Mat.Conc_Alpha.1*Mat.Conc_f.c*$AB569*MIN(BC569*Mat.Conc_Beta.1,$Y569))
+(Mat.Conc_Alpha.1*Mat.Conc_f.c*$V569*MAX(0,BC569*Mat.Conc_Beta.1-$Y569)))
-($J569*MIN(Mat.Rebar_f.y,(Mat.Rebar_epsilon.cl*($S569-BC569)/BC569)*Mat.PT_E.s))
-($M569*Mat.PT_f.pu*(1-Mat.PT_k*BC569/$P569))))</f>
        <v/>
      </c>
      <c r="BF569" s="329"/>
      <c r="BG569" s="167" t="str">
        <f>IF(ISBLANK(Inputs!$A52),"",
IF(BE569="--","Solved",
IF(ABS(BE569)&lt;=0.001,"Solved",BC569-BE569*(BC569-AY569)/(BE569-BA569))))</f>
        <v/>
      </c>
      <c r="BH569" s="167"/>
      <c r="BI569" s="329" t="str">
        <f>IF(ISBLANK(Inputs!$A52),"",
IF(OR(BG569="Solved",BG569="--"),"--",
((Mat.Conc_Alpha.1*Mat.Conc_f.c*$AB569*MIN(BG569*Mat.Conc_Beta.1,$Y569))
+(Mat.Conc_Alpha.1*Mat.Conc_f.c*$V569*MAX(0,BG569*Mat.Conc_Beta.1-$Y569)))
-($J569*MIN(Mat.Rebar_f.y,(Mat.Rebar_epsilon.cl*($S569-BG569)/BG569)*Mat.PT_E.s))
-($M569*Mat.PT_f.pu*(1-Mat.PT_k*BG569/$P569))))</f>
        <v/>
      </c>
      <c r="BJ569" s="329"/>
      <c r="BK569" s="167" t="str">
        <f>IF(ISBLANK(Inputs!$A52),"",
IF(BI569="--","Solved",
IF(ABS(BI569)&lt;=0.001,"Solved",BG569-BI569*(BG569-BC569)/(BI569-BE569))))</f>
        <v/>
      </c>
      <c r="BL569" s="167"/>
      <c r="BM569" s="329" t="str">
        <f>IF(ISBLANK(Inputs!$A52),"",
IF(OR(BK569="Solved",BK569="--"),"--",
((Mat.Conc_Alpha.1*Mat.Conc_f.c*$AB569*MIN(BK569*Mat.Conc_Beta.1,$Y569))
+(Mat.Conc_Alpha.1*Mat.Conc_f.c*$V569*MAX(0,BK569*Mat.Conc_Beta.1-$Y569)))
-($J569*MIN(Mat.Rebar_f.y,(Mat.Rebar_epsilon.cl*($S569-BK569)/BK569)*Mat.PT_E.s))
-($M569*Mat.PT_f.pu*(1-Mat.PT_k*BK569/$P569))))</f>
        <v/>
      </c>
      <c r="BN569" s="329"/>
      <c r="BO569" s="167" t="str">
        <f>IF(ISBLANK(Inputs!$A52),"",
IF(BM569="--","Solved",
IF(ABS(BM569)&lt;=0.001,"Solved",BK569-BM569*(BK569-BG569)/(BM569-BI569))))</f>
        <v/>
      </c>
      <c r="BP569" s="167"/>
      <c r="BQ569" s="329" t="str">
        <f>IF(ISBLANK(Inputs!$A52),"",
IF(OR(BO569="Solved",BO569="--"),"--",
((Mat.Conc_Alpha.1*Mat.Conc_f.c*$AB569*MIN(BO569*Mat.Conc_Beta.1,$Y569))
+(Mat.Conc_Alpha.1*Mat.Conc_f.c*$V569*MAX(0,BO569*Mat.Conc_Beta.1-$Y569)))
-($J569*MIN(Mat.Rebar_f.y,(Mat.Rebar_epsilon.cl*($S569-BO569)/BO569)*Mat.PT_E.s))
-($M569*Mat.PT_f.pu*(1-Mat.PT_k*BO569/$P569))))</f>
        <v/>
      </c>
      <c r="BR569" s="329"/>
      <c r="BS569" s="70"/>
      <c r="BT569" s="70"/>
      <c r="BU569" s="70"/>
      <c r="BV569" s="70"/>
      <c r="BW569" s="8"/>
      <c r="BX569" s="8"/>
      <c r="BY569" s="8"/>
      <c r="BZ569" s="8"/>
      <c r="CA569" s="8"/>
      <c r="CB569" s="10"/>
    </row>
    <row r="570" spans="3:80" ht="15" customHeight="1" x14ac:dyDescent="0.25">
      <c r="C570" s="69"/>
      <c r="F570" s="167" t="str">
        <f>IF(ISBLANK(Inputs!A53),"",Inputs!A53)</f>
        <v/>
      </c>
      <c r="G570" s="167"/>
      <c r="H570" s="167" t="str">
        <f>IF(ISBLANK(Inputs!B53),"",Inputs!B53)</f>
        <v/>
      </c>
      <c r="I570" s="167"/>
      <c r="J570" s="168" t="str">
        <f>IF(ISBLANK(Inputs!K53),"",Inputs!K53)</f>
        <v/>
      </c>
      <c r="K570" s="168"/>
      <c r="L570" s="168"/>
      <c r="M570" s="168" t="str">
        <f>IF(ISBLANK(Inputs!D53),"",Inputs!D53)</f>
        <v/>
      </c>
      <c r="N570" s="168"/>
      <c r="O570" s="168"/>
      <c r="P570" s="168" t="str">
        <f>IF(ISBLANK(Inputs!F53),"",Inputs!$B$10-Inputs!F53)</f>
        <v/>
      </c>
      <c r="Q570" s="168"/>
      <c r="R570" s="168"/>
      <c r="S570" s="168" t="str">
        <f>IF(ISBLANK(Inputs!L53),"",Inputs!L53)</f>
        <v/>
      </c>
      <c r="T570" s="168"/>
      <c r="U570" s="168"/>
      <c r="V570" s="168" t="str">
        <f>IF(ISBLANK(Inputs!E53),"",Inputs!E53)</f>
        <v/>
      </c>
      <c r="W570" s="168"/>
      <c r="X570" s="168"/>
      <c r="Y570" s="168" t="str">
        <f>IF(ISBLANK(Inputs!M53),"",Inputs!M53)</f>
        <v/>
      </c>
      <c r="Z570" s="168"/>
      <c r="AA570" s="168"/>
      <c r="AB570" s="168" t="str">
        <f>IF(ISBLANK(Inputs!N53),"",Inputs!N53)</f>
        <v/>
      </c>
      <c r="AC570" s="168"/>
      <c r="AD570" s="168"/>
      <c r="AE570" s="371" t="str">
        <f>IF(ISBLANK(Inputs!A53),"",Y570)</f>
        <v/>
      </c>
      <c r="AF570" s="371"/>
      <c r="AG570" s="329" t="str">
        <f>IF(ISBLANK(Inputs!$A53),"",
IF(OR(AE570="Solved",AE570="--"),"--",
((Mat.Conc_Alpha.1*Mat.Conc_f.c*$AB570*MIN(AE570*Mat.Conc_Beta.1,$Y570))
+(Mat.Conc_Alpha.1*Mat.Conc_f.c*$V570*MAX(0,AE570*Mat.Conc_Beta.1-$Y570)))
-($J570*MIN(Mat.Rebar_f.y,(Mat.Rebar_epsilon.cl*($S570-AE570)/AE570)*Mat.PT_E.s))
-($M570*Mat.PT_f.pu*(1-Mat.PT_k*AE570/$P570))))</f>
        <v/>
      </c>
      <c r="AH570" s="329"/>
      <c r="AI570" s="167" t="str">
        <f>IF(ISBLANK(Inputs!$A53),"",
IF(ABS(AG570)&lt;=0.001,"Solved",IF(AG570&gt;0,0.85*AE570,1.15*AE570)))</f>
        <v/>
      </c>
      <c r="AJ570" s="167"/>
      <c r="AK570" s="329" t="str">
        <f>IF(ISBLANK(Inputs!$A53),"",
IF(OR(AI570="Solved",AI570="--"),"--",
((Mat.Conc_Alpha.1*Mat.Conc_f.c*$AB570*MIN(AI570*Mat.Conc_Beta.1,$Y570))
+(Mat.Conc_Alpha.1*Mat.Conc_f.c*$V570*MAX(0,AI570*Mat.Conc_Beta.1-$Y570)))
-($J570*MIN(Mat.Rebar_f.y,(Mat.Rebar_epsilon.cl*($S570-AI570)/AI570)*Mat.PT_E.s))
-($M570*Mat.PT_f.pu*(1-Mat.PT_k*AI570/$P570))))</f>
        <v/>
      </c>
      <c r="AL570" s="329"/>
      <c r="AM570" s="167" t="str">
        <f>IF(ISBLANK(Inputs!$A53),"",
IF(AK570="--","Solved",
IF(ABS(AK570)&lt;=0.001,"Solved",AI570-AK570*(AI570-AE570)/(AK570-AG570))))</f>
        <v/>
      </c>
      <c r="AN570" s="167"/>
      <c r="AO570" s="329" t="str">
        <f>IF(ISBLANK(Inputs!$A53),"",
IF(OR(AM570="Solved",AM570="--"),"--",
((Mat.Conc_Alpha.1*Mat.Conc_f.c*$AB570*MIN(AM570*Mat.Conc_Beta.1,$Y570))
+(Mat.Conc_Alpha.1*Mat.Conc_f.c*$V570*MAX(0,AM570*Mat.Conc_Beta.1-$Y570)))
-($J570*MIN(Mat.Rebar_f.y,(Mat.Rebar_epsilon.cl*($S570-AM570)/AM570)*Mat.PT_E.s))
-($M570*Mat.PT_f.pu*(1-Mat.PT_k*AM570/$P570))))</f>
        <v/>
      </c>
      <c r="AP570" s="329"/>
      <c r="AQ570" s="167" t="str">
        <f>IF(ISBLANK(Inputs!$A53),"",
IF(AO570="--","Solved",
IF(ABS(AO570)&lt;=0.001,"Solved",AM570-AO570*(AM570-AI570)/(AO570-AK570))))</f>
        <v/>
      </c>
      <c r="AR570" s="167"/>
      <c r="AS570" s="329" t="str">
        <f>IF(ISBLANK(Inputs!$A53),"",
IF(OR(AQ570="Solved",AQ570="--"),"--",
((Mat.Conc_Alpha.1*Mat.Conc_f.c*$AB570*MIN(AQ570*Mat.Conc_Beta.1,$Y570))
+(Mat.Conc_Alpha.1*Mat.Conc_f.c*$V570*MAX(0,AQ570*Mat.Conc_Beta.1-$Y570)))
-($J570*MIN(Mat.Rebar_f.y,(Mat.Rebar_epsilon.cl*($S570-AQ570)/AQ570)*Mat.PT_E.s))
-($M570*Mat.PT_f.pu*(1-Mat.PT_k*AQ570/$P570))))</f>
        <v/>
      </c>
      <c r="AT570" s="329"/>
      <c r="AU570" s="167" t="str">
        <f>IF(ISBLANK(Inputs!$A53),"",
IF(AS570="--","Solved",
IF(ABS(AS570)&lt;=0.001,"Solved",AQ570-AS570*(AQ570-AM570)/(AS570-AO570))))</f>
        <v/>
      </c>
      <c r="AV570" s="167"/>
      <c r="AW570" s="329" t="str">
        <f>IF(ISBLANK(Inputs!$A53),"",
IF(OR(AU570="Solved",AU570="--"),"--",
((Mat.Conc_Alpha.1*Mat.Conc_f.c*$AB570*MIN(AU570*Mat.Conc_Beta.1,$Y570))
+(Mat.Conc_Alpha.1*Mat.Conc_f.c*$V570*MAX(0,AU570*Mat.Conc_Beta.1-$Y570)))
-($J570*MIN(Mat.Rebar_f.y,(Mat.Rebar_epsilon.cl*($S570-AU570)/AU570)*Mat.PT_E.s))
-($M570*Mat.PT_f.pu*(1-Mat.PT_k*AU570/$P570))))</f>
        <v/>
      </c>
      <c r="AX570" s="329"/>
      <c r="AY570" s="167" t="str">
        <f>IF(ISBLANK(Inputs!$A53),"",
IF(AW570="--","Solved",
IF(ABS(AW570)&lt;=0.001,"Solved",AU570-AW570*(AU570-AQ570)/(AW570-AS570))))</f>
        <v/>
      </c>
      <c r="AZ570" s="167"/>
      <c r="BA570" s="329" t="str">
        <f>IF(ISBLANK(Inputs!$A53),"",
IF(OR(AY570="Solved",AY570="--"),"--",
((Mat.Conc_Alpha.1*Mat.Conc_f.c*$AB570*MIN(AY570*Mat.Conc_Beta.1,$Y570))
+(Mat.Conc_Alpha.1*Mat.Conc_f.c*$V570*MAX(0,AY570*Mat.Conc_Beta.1-$Y570)))
-($J570*MIN(Mat.Rebar_f.y,(Mat.Rebar_epsilon.cl*($S570-AY570)/AY570)*Mat.PT_E.s))
-($M570*Mat.PT_f.pu*(1-Mat.PT_k*AY570/$P570))))</f>
        <v/>
      </c>
      <c r="BB570" s="329"/>
      <c r="BC570" s="167" t="str">
        <f>IF(ISBLANK(Inputs!$A53),"",
IF(BA570="--","Solved",
IF(ABS(BA570)&lt;=0.001,"Solved",AY570-BA570*(AY570-AU570)/(BA570-AW570))))</f>
        <v/>
      </c>
      <c r="BD570" s="167"/>
      <c r="BE570" s="329" t="str">
        <f>IF(ISBLANK(Inputs!$A53),"",
IF(OR(BC570="Solved",BC570="--"),"--",
((Mat.Conc_Alpha.1*Mat.Conc_f.c*$AB570*MIN(BC570*Mat.Conc_Beta.1,$Y570))
+(Mat.Conc_Alpha.1*Mat.Conc_f.c*$V570*MAX(0,BC570*Mat.Conc_Beta.1-$Y570)))
-($J570*MIN(Mat.Rebar_f.y,(Mat.Rebar_epsilon.cl*($S570-BC570)/BC570)*Mat.PT_E.s))
-($M570*Mat.PT_f.pu*(1-Mat.PT_k*BC570/$P570))))</f>
        <v/>
      </c>
      <c r="BF570" s="329"/>
      <c r="BG570" s="167" t="str">
        <f>IF(ISBLANK(Inputs!$A53),"",
IF(BE570="--","Solved",
IF(ABS(BE570)&lt;=0.001,"Solved",BC570-BE570*(BC570-AY570)/(BE570-BA570))))</f>
        <v/>
      </c>
      <c r="BH570" s="167"/>
      <c r="BI570" s="329" t="str">
        <f>IF(ISBLANK(Inputs!$A53),"",
IF(OR(BG570="Solved",BG570="--"),"--",
((Mat.Conc_Alpha.1*Mat.Conc_f.c*$AB570*MIN(BG570*Mat.Conc_Beta.1,$Y570))
+(Mat.Conc_Alpha.1*Mat.Conc_f.c*$V570*MAX(0,BG570*Mat.Conc_Beta.1-$Y570)))
-($J570*MIN(Mat.Rebar_f.y,(Mat.Rebar_epsilon.cl*($S570-BG570)/BG570)*Mat.PT_E.s))
-($M570*Mat.PT_f.pu*(1-Mat.PT_k*BG570/$P570))))</f>
        <v/>
      </c>
      <c r="BJ570" s="329"/>
      <c r="BK570" s="167" t="str">
        <f>IF(ISBLANK(Inputs!$A53),"",
IF(BI570="--","Solved",
IF(ABS(BI570)&lt;=0.001,"Solved",BG570-BI570*(BG570-BC570)/(BI570-BE570))))</f>
        <v/>
      </c>
      <c r="BL570" s="167"/>
      <c r="BM570" s="329" t="str">
        <f>IF(ISBLANK(Inputs!$A53),"",
IF(OR(BK570="Solved",BK570="--"),"--",
((Mat.Conc_Alpha.1*Mat.Conc_f.c*$AB570*MIN(BK570*Mat.Conc_Beta.1,$Y570))
+(Mat.Conc_Alpha.1*Mat.Conc_f.c*$V570*MAX(0,BK570*Mat.Conc_Beta.1-$Y570)))
-($J570*MIN(Mat.Rebar_f.y,(Mat.Rebar_epsilon.cl*($S570-BK570)/BK570)*Mat.PT_E.s))
-($M570*Mat.PT_f.pu*(1-Mat.PT_k*BK570/$P570))))</f>
        <v/>
      </c>
      <c r="BN570" s="329"/>
      <c r="BO570" s="167" t="str">
        <f>IF(ISBLANK(Inputs!$A53),"",
IF(BM570="--","Solved",
IF(ABS(BM570)&lt;=0.001,"Solved",BK570-BM570*(BK570-BG570)/(BM570-BI570))))</f>
        <v/>
      </c>
      <c r="BP570" s="167"/>
      <c r="BQ570" s="329" t="str">
        <f>IF(ISBLANK(Inputs!$A53),"",
IF(OR(BO570="Solved",BO570="--"),"--",
((Mat.Conc_Alpha.1*Mat.Conc_f.c*$AB570*MIN(BO570*Mat.Conc_Beta.1,$Y570))
+(Mat.Conc_Alpha.1*Mat.Conc_f.c*$V570*MAX(0,BO570*Mat.Conc_Beta.1-$Y570)))
-($J570*MIN(Mat.Rebar_f.y,(Mat.Rebar_epsilon.cl*($S570-BO570)/BO570)*Mat.PT_E.s))
-($M570*Mat.PT_f.pu*(1-Mat.PT_k*BO570/$P570))))</f>
        <v/>
      </c>
      <c r="BR570" s="329"/>
      <c r="BS570" s="70"/>
      <c r="BT570" s="70"/>
      <c r="BU570" s="70"/>
      <c r="BV570" s="70"/>
      <c r="BW570" s="8"/>
      <c r="BX570" s="8"/>
      <c r="BY570" s="8"/>
      <c r="BZ570" s="8"/>
      <c r="CA570" s="8"/>
      <c r="CB570" s="10"/>
    </row>
    <row r="571" spans="3:80" ht="15" customHeight="1" x14ac:dyDescent="0.25">
      <c r="C571" s="69"/>
      <c r="F571" s="167" t="str">
        <f>IF(ISBLANK(Inputs!A54),"",Inputs!A54)</f>
        <v/>
      </c>
      <c r="G571" s="167"/>
      <c r="H571" s="167" t="str">
        <f>IF(ISBLANK(Inputs!B54),"",Inputs!B54)</f>
        <v/>
      </c>
      <c r="I571" s="167"/>
      <c r="J571" s="168" t="str">
        <f>IF(ISBLANK(Inputs!K54),"",Inputs!K54)</f>
        <v/>
      </c>
      <c r="K571" s="168"/>
      <c r="L571" s="168"/>
      <c r="M571" s="168" t="str">
        <f>IF(ISBLANK(Inputs!D54),"",Inputs!D54)</f>
        <v/>
      </c>
      <c r="N571" s="168"/>
      <c r="O571" s="168"/>
      <c r="P571" s="168" t="str">
        <f>IF(ISBLANK(Inputs!F54),"",Inputs!$B$10-Inputs!F54)</f>
        <v/>
      </c>
      <c r="Q571" s="168"/>
      <c r="R571" s="168"/>
      <c r="S571" s="168" t="str">
        <f>IF(ISBLANK(Inputs!L54),"",Inputs!L54)</f>
        <v/>
      </c>
      <c r="T571" s="168"/>
      <c r="U571" s="168"/>
      <c r="V571" s="168" t="str">
        <f>IF(ISBLANK(Inputs!E54),"",Inputs!E54)</f>
        <v/>
      </c>
      <c r="W571" s="168"/>
      <c r="X571" s="168"/>
      <c r="Y571" s="168" t="str">
        <f>IF(ISBLANK(Inputs!M54),"",Inputs!M54)</f>
        <v/>
      </c>
      <c r="Z571" s="168"/>
      <c r="AA571" s="168"/>
      <c r="AB571" s="168" t="str">
        <f>IF(ISBLANK(Inputs!N54),"",Inputs!N54)</f>
        <v/>
      </c>
      <c r="AC571" s="168"/>
      <c r="AD571" s="168"/>
      <c r="AE571" s="371" t="str">
        <f>IF(ISBLANK(Inputs!A54),"",Y571)</f>
        <v/>
      </c>
      <c r="AF571" s="371"/>
      <c r="AG571" s="329" t="str">
        <f>IF(ISBLANK(Inputs!$A54),"",
IF(OR(AE571="Solved",AE571="--"),"--",
((Mat.Conc_Alpha.1*Mat.Conc_f.c*$AB571*MIN(AE571*Mat.Conc_Beta.1,$Y571))
+(Mat.Conc_Alpha.1*Mat.Conc_f.c*$V571*MAX(0,AE571*Mat.Conc_Beta.1-$Y571)))
-($J571*MIN(Mat.Rebar_f.y,(Mat.Rebar_epsilon.cl*($S571-AE571)/AE571)*Mat.PT_E.s))
-($M571*Mat.PT_f.pu*(1-Mat.PT_k*AE571/$P571))))</f>
        <v/>
      </c>
      <c r="AH571" s="329"/>
      <c r="AI571" s="167" t="str">
        <f>IF(ISBLANK(Inputs!$A54),"",
IF(ABS(AG571)&lt;=0.001,"Solved",IF(AG571&gt;0,0.85*AE571,1.15*AE571)))</f>
        <v/>
      </c>
      <c r="AJ571" s="167"/>
      <c r="AK571" s="329" t="str">
        <f>IF(ISBLANK(Inputs!$A54),"",
IF(OR(AI571="Solved",AI571="--"),"--",
((Mat.Conc_Alpha.1*Mat.Conc_f.c*$AB571*MIN(AI571*Mat.Conc_Beta.1,$Y571))
+(Mat.Conc_Alpha.1*Mat.Conc_f.c*$V571*MAX(0,AI571*Mat.Conc_Beta.1-$Y571)))
-($J571*MIN(Mat.Rebar_f.y,(Mat.Rebar_epsilon.cl*($S571-AI571)/AI571)*Mat.PT_E.s))
-($M571*Mat.PT_f.pu*(1-Mat.PT_k*AI571/$P571))))</f>
        <v/>
      </c>
      <c r="AL571" s="329"/>
      <c r="AM571" s="167" t="str">
        <f>IF(ISBLANK(Inputs!$A54),"",
IF(AK571="--","Solved",
IF(ABS(AK571)&lt;=0.001,"Solved",AI571-AK571*(AI571-AE571)/(AK571-AG571))))</f>
        <v/>
      </c>
      <c r="AN571" s="167"/>
      <c r="AO571" s="329" t="str">
        <f>IF(ISBLANK(Inputs!$A54),"",
IF(OR(AM571="Solved",AM571="--"),"--",
((Mat.Conc_Alpha.1*Mat.Conc_f.c*$AB571*MIN(AM571*Mat.Conc_Beta.1,$Y571))
+(Mat.Conc_Alpha.1*Mat.Conc_f.c*$V571*MAX(0,AM571*Mat.Conc_Beta.1-$Y571)))
-($J571*MIN(Mat.Rebar_f.y,(Mat.Rebar_epsilon.cl*($S571-AM571)/AM571)*Mat.PT_E.s))
-($M571*Mat.PT_f.pu*(1-Mat.PT_k*AM571/$P571))))</f>
        <v/>
      </c>
      <c r="AP571" s="329"/>
      <c r="AQ571" s="167" t="str">
        <f>IF(ISBLANK(Inputs!$A54),"",
IF(AO571="--","Solved",
IF(ABS(AO571)&lt;=0.001,"Solved",AM571-AO571*(AM571-AI571)/(AO571-AK571))))</f>
        <v/>
      </c>
      <c r="AR571" s="167"/>
      <c r="AS571" s="329" t="str">
        <f>IF(ISBLANK(Inputs!$A54),"",
IF(OR(AQ571="Solved",AQ571="--"),"--",
((Mat.Conc_Alpha.1*Mat.Conc_f.c*$AB571*MIN(AQ571*Mat.Conc_Beta.1,$Y571))
+(Mat.Conc_Alpha.1*Mat.Conc_f.c*$V571*MAX(0,AQ571*Mat.Conc_Beta.1-$Y571)))
-($J571*MIN(Mat.Rebar_f.y,(Mat.Rebar_epsilon.cl*($S571-AQ571)/AQ571)*Mat.PT_E.s))
-($M571*Mat.PT_f.pu*(1-Mat.PT_k*AQ571/$P571))))</f>
        <v/>
      </c>
      <c r="AT571" s="329"/>
      <c r="AU571" s="167" t="str">
        <f>IF(ISBLANK(Inputs!$A54),"",
IF(AS571="--","Solved",
IF(ABS(AS571)&lt;=0.001,"Solved",AQ571-AS571*(AQ571-AM571)/(AS571-AO571))))</f>
        <v/>
      </c>
      <c r="AV571" s="167"/>
      <c r="AW571" s="329" t="str">
        <f>IF(ISBLANK(Inputs!$A54),"",
IF(OR(AU571="Solved",AU571="--"),"--",
((Mat.Conc_Alpha.1*Mat.Conc_f.c*$AB571*MIN(AU571*Mat.Conc_Beta.1,$Y571))
+(Mat.Conc_Alpha.1*Mat.Conc_f.c*$V571*MAX(0,AU571*Mat.Conc_Beta.1-$Y571)))
-($J571*MIN(Mat.Rebar_f.y,(Mat.Rebar_epsilon.cl*($S571-AU571)/AU571)*Mat.PT_E.s))
-($M571*Mat.PT_f.pu*(1-Mat.PT_k*AU571/$P571))))</f>
        <v/>
      </c>
      <c r="AX571" s="329"/>
      <c r="AY571" s="167" t="str">
        <f>IF(ISBLANK(Inputs!$A54),"",
IF(AW571="--","Solved",
IF(ABS(AW571)&lt;=0.001,"Solved",AU571-AW571*(AU571-AQ571)/(AW571-AS571))))</f>
        <v/>
      </c>
      <c r="AZ571" s="167"/>
      <c r="BA571" s="329" t="str">
        <f>IF(ISBLANK(Inputs!$A54),"",
IF(OR(AY571="Solved",AY571="--"),"--",
((Mat.Conc_Alpha.1*Mat.Conc_f.c*$AB571*MIN(AY571*Mat.Conc_Beta.1,$Y571))
+(Mat.Conc_Alpha.1*Mat.Conc_f.c*$V571*MAX(0,AY571*Mat.Conc_Beta.1-$Y571)))
-($J571*MIN(Mat.Rebar_f.y,(Mat.Rebar_epsilon.cl*($S571-AY571)/AY571)*Mat.PT_E.s))
-($M571*Mat.PT_f.pu*(1-Mat.PT_k*AY571/$P571))))</f>
        <v/>
      </c>
      <c r="BB571" s="329"/>
      <c r="BC571" s="167" t="str">
        <f>IF(ISBLANK(Inputs!$A54),"",
IF(BA571="--","Solved",
IF(ABS(BA571)&lt;=0.001,"Solved",AY571-BA571*(AY571-AU571)/(BA571-AW571))))</f>
        <v/>
      </c>
      <c r="BD571" s="167"/>
      <c r="BE571" s="329" t="str">
        <f>IF(ISBLANK(Inputs!$A54),"",
IF(OR(BC571="Solved",BC571="--"),"--",
((Mat.Conc_Alpha.1*Mat.Conc_f.c*$AB571*MIN(BC571*Mat.Conc_Beta.1,$Y571))
+(Mat.Conc_Alpha.1*Mat.Conc_f.c*$V571*MAX(0,BC571*Mat.Conc_Beta.1-$Y571)))
-($J571*MIN(Mat.Rebar_f.y,(Mat.Rebar_epsilon.cl*($S571-BC571)/BC571)*Mat.PT_E.s))
-($M571*Mat.PT_f.pu*(1-Mat.PT_k*BC571/$P571))))</f>
        <v/>
      </c>
      <c r="BF571" s="329"/>
      <c r="BG571" s="167" t="str">
        <f>IF(ISBLANK(Inputs!$A54),"",
IF(BE571="--","Solved",
IF(ABS(BE571)&lt;=0.001,"Solved",BC571-BE571*(BC571-AY571)/(BE571-BA571))))</f>
        <v/>
      </c>
      <c r="BH571" s="167"/>
      <c r="BI571" s="329" t="str">
        <f>IF(ISBLANK(Inputs!$A54),"",
IF(OR(BG571="Solved",BG571="--"),"--",
((Mat.Conc_Alpha.1*Mat.Conc_f.c*$AB571*MIN(BG571*Mat.Conc_Beta.1,$Y571))
+(Mat.Conc_Alpha.1*Mat.Conc_f.c*$V571*MAX(0,BG571*Mat.Conc_Beta.1-$Y571)))
-($J571*MIN(Mat.Rebar_f.y,(Mat.Rebar_epsilon.cl*($S571-BG571)/BG571)*Mat.PT_E.s))
-($M571*Mat.PT_f.pu*(1-Mat.PT_k*BG571/$P571))))</f>
        <v/>
      </c>
      <c r="BJ571" s="329"/>
      <c r="BK571" s="167" t="str">
        <f>IF(ISBLANK(Inputs!$A54),"",
IF(BI571="--","Solved",
IF(ABS(BI571)&lt;=0.001,"Solved",BG571-BI571*(BG571-BC571)/(BI571-BE571))))</f>
        <v/>
      </c>
      <c r="BL571" s="167"/>
      <c r="BM571" s="329" t="str">
        <f>IF(ISBLANK(Inputs!$A54),"",
IF(OR(BK571="Solved",BK571="--"),"--",
((Mat.Conc_Alpha.1*Mat.Conc_f.c*$AB571*MIN(BK571*Mat.Conc_Beta.1,$Y571))
+(Mat.Conc_Alpha.1*Mat.Conc_f.c*$V571*MAX(0,BK571*Mat.Conc_Beta.1-$Y571)))
-($J571*MIN(Mat.Rebar_f.y,(Mat.Rebar_epsilon.cl*($S571-BK571)/BK571)*Mat.PT_E.s))
-($M571*Mat.PT_f.pu*(1-Mat.PT_k*BK571/$P571))))</f>
        <v/>
      </c>
      <c r="BN571" s="329"/>
      <c r="BO571" s="167" t="str">
        <f>IF(ISBLANK(Inputs!$A54),"",
IF(BM571="--","Solved",
IF(ABS(BM571)&lt;=0.001,"Solved",BK571-BM571*(BK571-BG571)/(BM571-BI571))))</f>
        <v/>
      </c>
      <c r="BP571" s="167"/>
      <c r="BQ571" s="329" t="str">
        <f>IF(ISBLANK(Inputs!$A54),"",
IF(OR(BO571="Solved",BO571="--"),"--",
((Mat.Conc_Alpha.1*Mat.Conc_f.c*$AB571*MIN(BO571*Mat.Conc_Beta.1,$Y571))
+(Mat.Conc_Alpha.1*Mat.Conc_f.c*$V571*MAX(0,BO571*Mat.Conc_Beta.1-$Y571)))
-($J571*MIN(Mat.Rebar_f.y,(Mat.Rebar_epsilon.cl*($S571-BO571)/BO571)*Mat.PT_E.s))
-($M571*Mat.PT_f.pu*(1-Mat.PT_k*BO571/$P571))))</f>
        <v/>
      </c>
      <c r="BR571" s="329"/>
      <c r="BS571" s="70"/>
      <c r="BT571" s="70"/>
      <c r="BU571" s="70"/>
      <c r="BV571" s="70"/>
      <c r="BW571" s="8"/>
      <c r="BX571" s="8"/>
      <c r="BY571" s="8"/>
      <c r="BZ571" s="8"/>
      <c r="CA571" s="8"/>
      <c r="CB571" s="10"/>
    </row>
    <row r="572" spans="3:80" ht="15" customHeight="1" x14ac:dyDescent="0.25">
      <c r="C572" s="69"/>
      <c r="F572" s="167" t="str">
        <f>IF(ISBLANK(Inputs!A55),"",Inputs!A55)</f>
        <v/>
      </c>
      <c r="G572" s="167"/>
      <c r="H572" s="167" t="str">
        <f>IF(ISBLANK(Inputs!B55),"",Inputs!B55)</f>
        <v/>
      </c>
      <c r="I572" s="167"/>
      <c r="J572" s="168" t="str">
        <f>IF(ISBLANK(Inputs!K55),"",Inputs!K55)</f>
        <v/>
      </c>
      <c r="K572" s="168"/>
      <c r="L572" s="168"/>
      <c r="M572" s="168" t="str">
        <f>IF(ISBLANK(Inputs!D55),"",Inputs!D55)</f>
        <v/>
      </c>
      <c r="N572" s="168"/>
      <c r="O572" s="168"/>
      <c r="P572" s="168" t="str">
        <f>IF(ISBLANK(Inputs!F55),"",Inputs!$B$10-Inputs!F55)</f>
        <v/>
      </c>
      <c r="Q572" s="168"/>
      <c r="R572" s="168"/>
      <c r="S572" s="168" t="str">
        <f>IF(ISBLANK(Inputs!L55),"",Inputs!L55)</f>
        <v/>
      </c>
      <c r="T572" s="168"/>
      <c r="U572" s="168"/>
      <c r="V572" s="168" t="str">
        <f>IF(ISBLANK(Inputs!E55),"",Inputs!E55)</f>
        <v/>
      </c>
      <c r="W572" s="168"/>
      <c r="X572" s="168"/>
      <c r="Y572" s="168" t="str">
        <f>IF(ISBLANK(Inputs!M55),"",Inputs!M55)</f>
        <v/>
      </c>
      <c r="Z572" s="168"/>
      <c r="AA572" s="168"/>
      <c r="AB572" s="168" t="str">
        <f>IF(ISBLANK(Inputs!N55),"",Inputs!N55)</f>
        <v/>
      </c>
      <c r="AC572" s="168"/>
      <c r="AD572" s="168"/>
      <c r="AE572" s="371" t="str">
        <f>IF(ISBLANK(Inputs!A55),"",Y572)</f>
        <v/>
      </c>
      <c r="AF572" s="371"/>
      <c r="AG572" s="329" t="str">
        <f>IF(ISBLANK(Inputs!$A55),"",
IF(OR(AE572="Solved",AE572="--"),"--",
((Mat.Conc_Alpha.1*Mat.Conc_f.c*$AB572*MIN(AE572*Mat.Conc_Beta.1,$Y572))
+(Mat.Conc_Alpha.1*Mat.Conc_f.c*$V572*MAX(0,AE572*Mat.Conc_Beta.1-$Y572)))
-($J572*MIN(Mat.Rebar_f.y,(Mat.Rebar_epsilon.cl*($S572-AE572)/AE572)*Mat.PT_E.s))
-($M572*Mat.PT_f.pu*(1-Mat.PT_k*AE572/$P572))))</f>
        <v/>
      </c>
      <c r="AH572" s="329"/>
      <c r="AI572" s="167" t="str">
        <f>IF(ISBLANK(Inputs!$A55),"",
IF(ABS(AG572)&lt;=0.001,"Solved",IF(AG572&gt;0,0.85*AE572,1.15*AE572)))</f>
        <v/>
      </c>
      <c r="AJ572" s="167"/>
      <c r="AK572" s="329" t="str">
        <f>IF(ISBLANK(Inputs!$A55),"",
IF(OR(AI572="Solved",AI572="--"),"--",
((Mat.Conc_Alpha.1*Mat.Conc_f.c*$AB572*MIN(AI572*Mat.Conc_Beta.1,$Y572))
+(Mat.Conc_Alpha.1*Mat.Conc_f.c*$V572*MAX(0,AI572*Mat.Conc_Beta.1-$Y572)))
-($J572*MIN(Mat.Rebar_f.y,(Mat.Rebar_epsilon.cl*($S572-AI572)/AI572)*Mat.PT_E.s))
-($M572*Mat.PT_f.pu*(1-Mat.PT_k*AI572/$P572))))</f>
        <v/>
      </c>
      <c r="AL572" s="329"/>
      <c r="AM572" s="167" t="str">
        <f>IF(ISBLANK(Inputs!$A55),"",
IF(AK572="--","Solved",
IF(ABS(AK572)&lt;=0.001,"Solved",AI572-AK572*(AI572-AE572)/(AK572-AG572))))</f>
        <v/>
      </c>
      <c r="AN572" s="167"/>
      <c r="AO572" s="329" t="str">
        <f>IF(ISBLANK(Inputs!$A55),"",
IF(OR(AM572="Solved",AM572="--"),"--",
((Mat.Conc_Alpha.1*Mat.Conc_f.c*$AB572*MIN(AM572*Mat.Conc_Beta.1,$Y572))
+(Mat.Conc_Alpha.1*Mat.Conc_f.c*$V572*MAX(0,AM572*Mat.Conc_Beta.1-$Y572)))
-($J572*MIN(Mat.Rebar_f.y,(Mat.Rebar_epsilon.cl*($S572-AM572)/AM572)*Mat.PT_E.s))
-($M572*Mat.PT_f.pu*(1-Mat.PT_k*AM572/$P572))))</f>
        <v/>
      </c>
      <c r="AP572" s="329"/>
      <c r="AQ572" s="167" t="str">
        <f>IF(ISBLANK(Inputs!$A55),"",
IF(AO572="--","Solved",
IF(ABS(AO572)&lt;=0.001,"Solved",AM572-AO572*(AM572-AI572)/(AO572-AK572))))</f>
        <v/>
      </c>
      <c r="AR572" s="167"/>
      <c r="AS572" s="329" t="str">
        <f>IF(ISBLANK(Inputs!$A55),"",
IF(OR(AQ572="Solved",AQ572="--"),"--",
((Mat.Conc_Alpha.1*Mat.Conc_f.c*$AB572*MIN(AQ572*Mat.Conc_Beta.1,$Y572))
+(Mat.Conc_Alpha.1*Mat.Conc_f.c*$V572*MAX(0,AQ572*Mat.Conc_Beta.1-$Y572)))
-($J572*MIN(Mat.Rebar_f.y,(Mat.Rebar_epsilon.cl*($S572-AQ572)/AQ572)*Mat.PT_E.s))
-($M572*Mat.PT_f.pu*(1-Mat.PT_k*AQ572/$P572))))</f>
        <v/>
      </c>
      <c r="AT572" s="329"/>
      <c r="AU572" s="167" t="str">
        <f>IF(ISBLANK(Inputs!$A55),"",
IF(AS572="--","Solved",
IF(ABS(AS572)&lt;=0.001,"Solved",AQ572-AS572*(AQ572-AM572)/(AS572-AO572))))</f>
        <v/>
      </c>
      <c r="AV572" s="167"/>
      <c r="AW572" s="329" t="str">
        <f>IF(ISBLANK(Inputs!$A55),"",
IF(OR(AU572="Solved",AU572="--"),"--",
((Mat.Conc_Alpha.1*Mat.Conc_f.c*$AB572*MIN(AU572*Mat.Conc_Beta.1,$Y572))
+(Mat.Conc_Alpha.1*Mat.Conc_f.c*$V572*MAX(0,AU572*Mat.Conc_Beta.1-$Y572)))
-($J572*MIN(Mat.Rebar_f.y,(Mat.Rebar_epsilon.cl*($S572-AU572)/AU572)*Mat.PT_E.s))
-($M572*Mat.PT_f.pu*(1-Mat.PT_k*AU572/$P572))))</f>
        <v/>
      </c>
      <c r="AX572" s="329"/>
      <c r="AY572" s="167" t="str">
        <f>IF(ISBLANK(Inputs!$A55),"",
IF(AW572="--","Solved",
IF(ABS(AW572)&lt;=0.001,"Solved",AU572-AW572*(AU572-AQ572)/(AW572-AS572))))</f>
        <v/>
      </c>
      <c r="AZ572" s="167"/>
      <c r="BA572" s="329" t="str">
        <f>IF(ISBLANK(Inputs!$A55),"",
IF(OR(AY572="Solved",AY572="--"),"--",
((Mat.Conc_Alpha.1*Mat.Conc_f.c*$AB572*MIN(AY572*Mat.Conc_Beta.1,$Y572))
+(Mat.Conc_Alpha.1*Mat.Conc_f.c*$V572*MAX(0,AY572*Mat.Conc_Beta.1-$Y572)))
-($J572*MIN(Mat.Rebar_f.y,(Mat.Rebar_epsilon.cl*($S572-AY572)/AY572)*Mat.PT_E.s))
-($M572*Mat.PT_f.pu*(1-Mat.PT_k*AY572/$P572))))</f>
        <v/>
      </c>
      <c r="BB572" s="329"/>
      <c r="BC572" s="167" t="str">
        <f>IF(ISBLANK(Inputs!$A55),"",
IF(BA572="--","Solved",
IF(ABS(BA572)&lt;=0.001,"Solved",AY572-BA572*(AY572-AU572)/(BA572-AW572))))</f>
        <v/>
      </c>
      <c r="BD572" s="167"/>
      <c r="BE572" s="329" t="str">
        <f>IF(ISBLANK(Inputs!$A55),"",
IF(OR(BC572="Solved",BC572="--"),"--",
((Mat.Conc_Alpha.1*Mat.Conc_f.c*$AB572*MIN(BC572*Mat.Conc_Beta.1,$Y572))
+(Mat.Conc_Alpha.1*Mat.Conc_f.c*$V572*MAX(0,BC572*Mat.Conc_Beta.1-$Y572)))
-($J572*MIN(Mat.Rebar_f.y,(Mat.Rebar_epsilon.cl*($S572-BC572)/BC572)*Mat.PT_E.s))
-($M572*Mat.PT_f.pu*(1-Mat.PT_k*BC572/$P572))))</f>
        <v/>
      </c>
      <c r="BF572" s="329"/>
      <c r="BG572" s="167" t="str">
        <f>IF(ISBLANK(Inputs!$A55),"",
IF(BE572="--","Solved",
IF(ABS(BE572)&lt;=0.001,"Solved",BC572-BE572*(BC572-AY572)/(BE572-BA572))))</f>
        <v/>
      </c>
      <c r="BH572" s="167"/>
      <c r="BI572" s="329" t="str">
        <f>IF(ISBLANK(Inputs!$A55),"",
IF(OR(BG572="Solved",BG572="--"),"--",
((Mat.Conc_Alpha.1*Mat.Conc_f.c*$AB572*MIN(BG572*Mat.Conc_Beta.1,$Y572))
+(Mat.Conc_Alpha.1*Mat.Conc_f.c*$V572*MAX(0,BG572*Mat.Conc_Beta.1-$Y572)))
-($J572*MIN(Mat.Rebar_f.y,(Mat.Rebar_epsilon.cl*($S572-BG572)/BG572)*Mat.PT_E.s))
-($M572*Mat.PT_f.pu*(1-Mat.PT_k*BG572/$P572))))</f>
        <v/>
      </c>
      <c r="BJ572" s="329"/>
      <c r="BK572" s="167" t="str">
        <f>IF(ISBLANK(Inputs!$A55),"",
IF(BI572="--","Solved",
IF(ABS(BI572)&lt;=0.001,"Solved",BG572-BI572*(BG572-BC572)/(BI572-BE572))))</f>
        <v/>
      </c>
      <c r="BL572" s="167"/>
      <c r="BM572" s="329" t="str">
        <f>IF(ISBLANK(Inputs!$A55),"",
IF(OR(BK572="Solved",BK572="--"),"--",
((Mat.Conc_Alpha.1*Mat.Conc_f.c*$AB572*MIN(BK572*Mat.Conc_Beta.1,$Y572))
+(Mat.Conc_Alpha.1*Mat.Conc_f.c*$V572*MAX(0,BK572*Mat.Conc_Beta.1-$Y572)))
-($J572*MIN(Mat.Rebar_f.y,(Mat.Rebar_epsilon.cl*($S572-BK572)/BK572)*Mat.PT_E.s))
-($M572*Mat.PT_f.pu*(1-Mat.PT_k*BK572/$P572))))</f>
        <v/>
      </c>
      <c r="BN572" s="329"/>
      <c r="BO572" s="167" t="str">
        <f>IF(ISBLANK(Inputs!$A55),"",
IF(BM572="--","Solved",
IF(ABS(BM572)&lt;=0.001,"Solved",BK572-BM572*(BK572-BG572)/(BM572-BI572))))</f>
        <v/>
      </c>
      <c r="BP572" s="167"/>
      <c r="BQ572" s="329" t="str">
        <f>IF(ISBLANK(Inputs!$A55),"",
IF(OR(BO572="Solved",BO572="--"),"--",
((Mat.Conc_Alpha.1*Mat.Conc_f.c*$AB572*MIN(BO572*Mat.Conc_Beta.1,$Y572))
+(Mat.Conc_Alpha.1*Mat.Conc_f.c*$V572*MAX(0,BO572*Mat.Conc_Beta.1-$Y572)))
-($J572*MIN(Mat.Rebar_f.y,(Mat.Rebar_epsilon.cl*($S572-BO572)/BO572)*Mat.PT_E.s))
-($M572*Mat.PT_f.pu*(1-Mat.PT_k*BO572/$P572))))</f>
        <v/>
      </c>
      <c r="BR572" s="329"/>
      <c r="BS572" s="70"/>
      <c r="BT572" s="70"/>
      <c r="BU572" s="70"/>
      <c r="BV572" s="70"/>
      <c r="BW572" s="8"/>
      <c r="BX572" s="8"/>
      <c r="BY572" s="8"/>
      <c r="BZ572" s="8"/>
      <c r="CA572" s="8"/>
      <c r="CB572" s="10"/>
    </row>
    <row r="573" spans="3:80" ht="15" customHeight="1" x14ac:dyDescent="0.25">
      <c r="C573" s="69"/>
      <c r="F573" s="167" t="str">
        <f>IF(ISBLANK(Inputs!A56),"",Inputs!A56)</f>
        <v/>
      </c>
      <c r="G573" s="167"/>
      <c r="H573" s="167" t="str">
        <f>IF(ISBLANK(Inputs!B56),"",Inputs!B56)</f>
        <v/>
      </c>
      <c r="I573" s="167"/>
      <c r="J573" s="168" t="str">
        <f>IF(ISBLANK(Inputs!K56),"",Inputs!K56)</f>
        <v/>
      </c>
      <c r="K573" s="168"/>
      <c r="L573" s="168"/>
      <c r="M573" s="168" t="str">
        <f>IF(ISBLANK(Inputs!D56),"",Inputs!D56)</f>
        <v/>
      </c>
      <c r="N573" s="168"/>
      <c r="O573" s="168"/>
      <c r="P573" s="168" t="str">
        <f>IF(ISBLANK(Inputs!F56),"",Inputs!$B$10-Inputs!F56)</f>
        <v/>
      </c>
      <c r="Q573" s="168"/>
      <c r="R573" s="168"/>
      <c r="S573" s="168" t="str">
        <f>IF(ISBLANK(Inputs!L56),"",Inputs!L56)</f>
        <v/>
      </c>
      <c r="T573" s="168"/>
      <c r="U573" s="168"/>
      <c r="V573" s="168" t="str">
        <f>IF(ISBLANK(Inputs!E56),"",Inputs!E56)</f>
        <v/>
      </c>
      <c r="W573" s="168"/>
      <c r="X573" s="168"/>
      <c r="Y573" s="168" t="str">
        <f>IF(ISBLANK(Inputs!M56),"",Inputs!M56)</f>
        <v/>
      </c>
      <c r="Z573" s="168"/>
      <c r="AA573" s="168"/>
      <c r="AB573" s="168" t="str">
        <f>IF(ISBLANK(Inputs!N56),"",Inputs!N56)</f>
        <v/>
      </c>
      <c r="AC573" s="168"/>
      <c r="AD573" s="168"/>
      <c r="AE573" s="371" t="str">
        <f>IF(ISBLANK(Inputs!A56),"",Y573)</f>
        <v/>
      </c>
      <c r="AF573" s="371"/>
      <c r="AG573" s="329" t="str">
        <f>IF(ISBLANK(Inputs!$A56),"",
IF(OR(AE573="Solved",AE573="--"),"--",
((Mat.Conc_Alpha.1*Mat.Conc_f.c*$AB573*MIN(AE573*Mat.Conc_Beta.1,$Y573))
+(Mat.Conc_Alpha.1*Mat.Conc_f.c*$V573*MAX(0,AE573*Mat.Conc_Beta.1-$Y573)))
-($J573*MIN(Mat.Rebar_f.y,(Mat.Rebar_epsilon.cl*($S573-AE573)/AE573)*Mat.PT_E.s))
-($M573*Mat.PT_f.pu*(1-Mat.PT_k*AE573/$P573))))</f>
        <v/>
      </c>
      <c r="AH573" s="329"/>
      <c r="AI573" s="167" t="str">
        <f>IF(ISBLANK(Inputs!$A56),"",
IF(ABS(AG573)&lt;=0.001,"Solved",IF(AG573&gt;0,0.85*AE573,1.15*AE573)))</f>
        <v/>
      </c>
      <c r="AJ573" s="167"/>
      <c r="AK573" s="329" t="str">
        <f>IF(ISBLANK(Inputs!$A56),"",
IF(OR(AI573="Solved",AI573="--"),"--",
((Mat.Conc_Alpha.1*Mat.Conc_f.c*$AB573*MIN(AI573*Mat.Conc_Beta.1,$Y573))
+(Mat.Conc_Alpha.1*Mat.Conc_f.c*$V573*MAX(0,AI573*Mat.Conc_Beta.1-$Y573)))
-($J573*MIN(Mat.Rebar_f.y,(Mat.Rebar_epsilon.cl*($S573-AI573)/AI573)*Mat.PT_E.s))
-($M573*Mat.PT_f.pu*(1-Mat.PT_k*AI573/$P573))))</f>
        <v/>
      </c>
      <c r="AL573" s="329"/>
      <c r="AM573" s="167" t="str">
        <f>IF(ISBLANK(Inputs!$A56),"",
IF(AK573="--","Solved",
IF(ABS(AK573)&lt;=0.001,"Solved",AI573-AK573*(AI573-AE573)/(AK573-AG573))))</f>
        <v/>
      </c>
      <c r="AN573" s="167"/>
      <c r="AO573" s="329" t="str">
        <f>IF(ISBLANK(Inputs!$A56),"",
IF(OR(AM573="Solved",AM573="--"),"--",
((Mat.Conc_Alpha.1*Mat.Conc_f.c*$AB573*MIN(AM573*Mat.Conc_Beta.1,$Y573))
+(Mat.Conc_Alpha.1*Mat.Conc_f.c*$V573*MAX(0,AM573*Mat.Conc_Beta.1-$Y573)))
-($J573*MIN(Mat.Rebar_f.y,(Mat.Rebar_epsilon.cl*($S573-AM573)/AM573)*Mat.PT_E.s))
-($M573*Mat.PT_f.pu*(1-Mat.PT_k*AM573/$P573))))</f>
        <v/>
      </c>
      <c r="AP573" s="329"/>
      <c r="AQ573" s="167" t="str">
        <f>IF(ISBLANK(Inputs!$A56),"",
IF(AO573="--","Solved",
IF(ABS(AO573)&lt;=0.001,"Solved",AM573-AO573*(AM573-AI573)/(AO573-AK573))))</f>
        <v/>
      </c>
      <c r="AR573" s="167"/>
      <c r="AS573" s="329" t="str">
        <f>IF(ISBLANK(Inputs!$A56),"",
IF(OR(AQ573="Solved",AQ573="--"),"--",
((Mat.Conc_Alpha.1*Mat.Conc_f.c*$AB573*MIN(AQ573*Mat.Conc_Beta.1,$Y573))
+(Mat.Conc_Alpha.1*Mat.Conc_f.c*$V573*MAX(0,AQ573*Mat.Conc_Beta.1-$Y573)))
-($J573*MIN(Mat.Rebar_f.y,(Mat.Rebar_epsilon.cl*($S573-AQ573)/AQ573)*Mat.PT_E.s))
-($M573*Mat.PT_f.pu*(1-Mat.PT_k*AQ573/$P573))))</f>
        <v/>
      </c>
      <c r="AT573" s="329"/>
      <c r="AU573" s="167" t="str">
        <f>IF(ISBLANK(Inputs!$A56),"",
IF(AS573="--","Solved",
IF(ABS(AS573)&lt;=0.001,"Solved",AQ573-AS573*(AQ573-AM573)/(AS573-AO573))))</f>
        <v/>
      </c>
      <c r="AV573" s="167"/>
      <c r="AW573" s="329" t="str">
        <f>IF(ISBLANK(Inputs!$A56),"",
IF(OR(AU573="Solved",AU573="--"),"--",
((Mat.Conc_Alpha.1*Mat.Conc_f.c*$AB573*MIN(AU573*Mat.Conc_Beta.1,$Y573))
+(Mat.Conc_Alpha.1*Mat.Conc_f.c*$V573*MAX(0,AU573*Mat.Conc_Beta.1-$Y573)))
-($J573*MIN(Mat.Rebar_f.y,(Mat.Rebar_epsilon.cl*($S573-AU573)/AU573)*Mat.PT_E.s))
-($M573*Mat.PT_f.pu*(1-Mat.PT_k*AU573/$P573))))</f>
        <v/>
      </c>
      <c r="AX573" s="329"/>
      <c r="AY573" s="167" t="str">
        <f>IF(ISBLANK(Inputs!$A56),"",
IF(AW573="--","Solved",
IF(ABS(AW573)&lt;=0.001,"Solved",AU573-AW573*(AU573-AQ573)/(AW573-AS573))))</f>
        <v/>
      </c>
      <c r="AZ573" s="167"/>
      <c r="BA573" s="329" t="str">
        <f>IF(ISBLANK(Inputs!$A56),"",
IF(OR(AY573="Solved",AY573="--"),"--",
((Mat.Conc_Alpha.1*Mat.Conc_f.c*$AB573*MIN(AY573*Mat.Conc_Beta.1,$Y573))
+(Mat.Conc_Alpha.1*Mat.Conc_f.c*$V573*MAX(0,AY573*Mat.Conc_Beta.1-$Y573)))
-($J573*MIN(Mat.Rebar_f.y,(Mat.Rebar_epsilon.cl*($S573-AY573)/AY573)*Mat.PT_E.s))
-($M573*Mat.PT_f.pu*(1-Mat.PT_k*AY573/$P573))))</f>
        <v/>
      </c>
      <c r="BB573" s="329"/>
      <c r="BC573" s="167" t="str">
        <f>IF(ISBLANK(Inputs!$A56),"",
IF(BA573="--","Solved",
IF(ABS(BA573)&lt;=0.001,"Solved",AY573-BA573*(AY573-AU573)/(BA573-AW573))))</f>
        <v/>
      </c>
      <c r="BD573" s="167"/>
      <c r="BE573" s="329" t="str">
        <f>IF(ISBLANK(Inputs!$A56),"",
IF(OR(BC573="Solved",BC573="--"),"--",
((Mat.Conc_Alpha.1*Mat.Conc_f.c*$AB573*MIN(BC573*Mat.Conc_Beta.1,$Y573))
+(Mat.Conc_Alpha.1*Mat.Conc_f.c*$V573*MAX(0,BC573*Mat.Conc_Beta.1-$Y573)))
-($J573*MIN(Mat.Rebar_f.y,(Mat.Rebar_epsilon.cl*($S573-BC573)/BC573)*Mat.PT_E.s))
-($M573*Mat.PT_f.pu*(1-Mat.PT_k*BC573/$P573))))</f>
        <v/>
      </c>
      <c r="BF573" s="329"/>
      <c r="BG573" s="167" t="str">
        <f>IF(ISBLANK(Inputs!$A56),"",
IF(BE573="--","Solved",
IF(ABS(BE573)&lt;=0.001,"Solved",BC573-BE573*(BC573-AY573)/(BE573-BA573))))</f>
        <v/>
      </c>
      <c r="BH573" s="167"/>
      <c r="BI573" s="329" t="str">
        <f>IF(ISBLANK(Inputs!$A56),"",
IF(OR(BG573="Solved",BG573="--"),"--",
((Mat.Conc_Alpha.1*Mat.Conc_f.c*$AB573*MIN(BG573*Mat.Conc_Beta.1,$Y573))
+(Mat.Conc_Alpha.1*Mat.Conc_f.c*$V573*MAX(0,BG573*Mat.Conc_Beta.1-$Y573)))
-($J573*MIN(Mat.Rebar_f.y,(Mat.Rebar_epsilon.cl*($S573-BG573)/BG573)*Mat.PT_E.s))
-($M573*Mat.PT_f.pu*(1-Mat.PT_k*BG573/$P573))))</f>
        <v/>
      </c>
      <c r="BJ573" s="329"/>
      <c r="BK573" s="167" t="str">
        <f>IF(ISBLANK(Inputs!$A56),"",
IF(BI573="--","Solved",
IF(ABS(BI573)&lt;=0.001,"Solved",BG573-BI573*(BG573-BC573)/(BI573-BE573))))</f>
        <v/>
      </c>
      <c r="BL573" s="167"/>
      <c r="BM573" s="329" t="str">
        <f>IF(ISBLANK(Inputs!$A56),"",
IF(OR(BK573="Solved",BK573="--"),"--",
((Mat.Conc_Alpha.1*Mat.Conc_f.c*$AB573*MIN(BK573*Mat.Conc_Beta.1,$Y573))
+(Mat.Conc_Alpha.1*Mat.Conc_f.c*$V573*MAX(0,BK573*Mat.Conc_Beta.1-$Y573)))
-($J573*MIN(Mat.Rebar_f.y,(Mat.Rebar_epsilon.cl*($S573-BK573)/BK573)*Mat.PT_E.s))
-($M573*Mat.PT_f.pu*(1-Mat.PT_k*BK573/$P573))))</f>
        <v/>
      </c>
      <c r="BN573" s="329"/>
      <c r="BO573" s="167" t="str">
        <f>IF(ISBLANK(Inputs!$A56),"",
IF(BM573="--","Solved",
IF(ABS(BM573)&lt;=0.001,"Solved",BK573-BM573*(BK573-BG573)/(BM573-BI573))))</f>
        <v/>
      </c>
      <c r="BP573" s="167"/>
      <c r="BQ573" s="329" t="str">
        <f>IF(ISBLANK(Inputs!$A56),"",
IF(OR(BO573="Solved",BO573="--"),"--",
((Mat.Conc_Alpha.1*Mat.Conc_f.c*$AB573*MIN(BO573*Mat.Conc_Beta.1,$Y573))
+(Mat.Conc_Alpha.1*Mat.Conc_f.c*$V573*MAX(0,BO573*Mat.Conc_Beta.1-$Y573)))
-($J573*MIN(Mat.Rebar_f.y,(Mat.Rebar_epsilon.cl*($S573-BO573)/BO573)*Mat.PT_E.s))
-($M573*Mat.PT_f.pu*(1-Mat.PT_k*BO573/$P573))))</f>
        <v/>
      </c>
      <c r="BR573" s="329"/>
      <c r="BS573" s="70"/>
      <c r="BT573" s="70"/>
      <c r="BU573" s="70"/>
      <c r="BV573" s="70"/>
      <c r="BW573" s="8"/>
      <c r="BX573" s="8"/>
      <c r="BY573" s="8"/>
      <c r="BZ573" s="8"/>
      <c r="CA573" s="8"/>
      <c r="CB573" s="10"/>
    </row>
    <row r="574" spans="3:80" ht="15" customHeight="1" x14ac:dyDescent="0.25">
      <c r="C574" s="69"/>
      <c r="F574" s="167" t="str">
        <f>IF(ISBLANK(Inputs!A57),"",Inputs!A57)</f>
        <v/>
      </c>
      <c r="G574" s="167"/>
      <c r="H574" s="167" t="str">
        <f>IF(ISBLANK(Inputs!B57),"",Inputs!B57)</f>
        <v/>
      </c>
      <c r="I574" s="167"/>
      <c r="J574" s="168" t="str">
        <f>IF(ISBLANK(Inputs!K57),"",Inputs!K57)</f>
        <v/>
      </c>
      <c r="K574" s="168"/>
      <c r="L574" s="168"/>
      <c r="M574" s="168" t="str">
        <f>IF(ISBLANK(Inputs!D57),"",Inputs!D57)</f>
        <v/>
      </c>
      <c r="N574" s="168"/>
      <c r="O574" s="168"/>
      <c r="P574" s="168" t="str">
        <f>IF(ISBLANK(Inputs!F57),"",Inputs!$B$10-Inputs!F57)</f>
        <v/>
      </c>
      <c r="Q574" s="168"/>
      <c r="R574" s="168"/>
      <c r="S574" s="168" t="str">
        <f>IF(ISBLANK(Inputs!L57),"",Inputs!L57)</f>
        <v/>
      </c>
      <c r="T574" s="168"/>
      <c r="U574" s="168"/>
      <c r="V574" s="168" t="str">
        <f>IF(ISBLANK(Inputs!E57),"",Inputs!E57)</f>
        <v/>
      </c>
      <c r="W574" s="168"/>
      <c r="X574" s="168"/>
      <c r="Y574" s="168" t="str">
        <f>IF(ISBLANK(Inputs!M57),"",Inputs!M57)</f>
        <v/>
      </c>
      <c r="Z574" s="168"/>
      <c r="AA574" s="168"/>
      <c r="AB574" s="168" t="str">
        <f>IF(ISBLANK(Inputs!N57),"",Inputs!N57)</f>
        <v/>
      </c>
      <c r="AC574" s="168"/>
      <c r="AD574" s="168"/>
      <c r="AE574" s="371" t="str">
        <f>IF(ISBLANK(Inputs!A57),"",Y574)</f>
        <v/>
      </c>
      <c r="AF574" s="371"/>
      <c r="AG574" s="329" t="str">
        <f>IF(ISBLANK(Inputs!$A57),"",
IF(OR(AE574="Solved",AE574="--"),"--",
((Mat.Conc_Alpha.1*Mat.Conc_f.c*$AB574*MIN(AE574*Mat.Conc_Beta.1,$Y574))
+(Mat.Conc_Alpha.1*Mat.Conc_f.c*$V574*MAX(0,AE574*Mat.Conc_Beta.1-$Y574)))
-($J574*MIN(Mat.Rebar_f.y,(Mat.Rebar_epsilon.cl*($S574-AE574)/AE574)*Mat.PT_E.s))
-($M574*Mat.PT_f.pu*(1-Mat.PT_k*AE574/$P574))))</f>
        <v/>
      </c>
      <c r="AH574" s="329"/>
      <c r="AI574" s="167" t="str">
        <f>IF(ISBLANK(Inputs!$A57),"",
IF(ABS(AG574)&lt;=0.001,"Solved",IF(AG574&gt;0,0.85*AE574,1.15*AE574)))</f>
        <v/>
      </c>
      <c r="AJ574" s="167"/>
      <c r="AK574" s="329" t="str">
        <f>IF(ISBLANK(Inputs!$A57),"",
IF(OR(AI574="Solved",AI574="--"),"--",
((Mat.Conc_Alpha.1*Mat.Conc_f.c*$AB574*MIN(AI574*Mat.Conc_Beta.1,$Y574))
+(Mat.Conc_Alpha.1*Mat.Conc_f.c*$V574*MAX(0,AI574*Mat.Conc_Beta.1-$Y574)))
-($J574*MIN(Mat.Rebar_f.y,(Mat.Rebar_epsilon.cl*($S574-AI574)/AI574)*Mat.PT_E.s))
-($M574*Mat.PT_f.pu*(1-Mat.PT_k*AI574/$P574))))</f>
        <v/>
      </c>
      <c r="AL574" s="329"/>
      <c r="AM574" s="167" t="str">
        <f>IF(ISBLANK(Inputs!$A57),"",
IF(AK574="--","Solved",
IF(ABS(AK574)&lt;=0.001,"Solved",AI574-AK574*(AI574-AE574)/(AK574-AG574))))</f>
        <v/>
      </c>
      <c r="AN574" s="167"/>
      <c r="AO574" s="329" t="str">
        <f>IF(ISBLANK(Inputs!$A57),"",
IF(OR(AM574="Solved",AM574="--"),"--",
((Mat.Conc_Alpha.1*Mat.Conc_f.c*$AB574*MIN(AM574*Mat.Conc_Beta.1,$Y574))
+(Mat.Conc_Alpha.1*Mat.Conc_f.c*$V574*MAX(0,AM574*Mat.Conc_Beta.1-$Y574)))
-($J574*MIN(Mat.Rebar_f.y,(Mat.Rebar_epsilon.cl*($S574-AM574)/AM574)*Mat.PT_E.s))
-($M574*Mat.PT_f.pu*(1-Mat.PT_k*AM574/$P574))))</f>
        <v/>
      </c>
      <c r="AP574" s="329"/>
      <c r="AQ574" s="167" t="str">
        <f>IF(ISBLANK(Inputs!$A57),"",
IF(AO574="--","Solved",
IF(ABS(AO574)&lt;=0.001,"Solved",AM574-AO574*(AM574-AI574)/(AO574-AK574))))</f>
        <v/>
      </c>
      <c r="AR574" s="167"/>
      <c r="AS574" s="329" t="str">
        <f>IF(ISBLANK(Inputs!$A57),"",
IF(OR(AQ574="Solved",AQ574="--"),"--",
((Mat.Conc_Alpha.1*Mat.Conc_f.c*$AB574*MIN(AQ574*Mat.Conc_Beta.1,$Y574))
+(Mat.Conc_Alpha.1*Mat.Conc_f.c*$V574*MAX(0,AQ574*Mat.Conc_Beta.1-$Y574)))
-($J574*MIN(Mat.Rebar_f.y,(Mat.Rebar_epsilon.cl*($S574-AQ574)/AQ574)*Mat.PT_E.s))
-($M574*Mat.PT_f.pu*(1-Mat.PT_k*AQ574/$P574))))</f>
        <v/>
      </c>
      <c r="AT574" s="329"/>
      <c r="AU574" s="167" t="str">
        <f>IF(ISBLANK(Inputs!$A57),"",
IF(AS574="--","Solved",
IF(ABS(AS574)&lt;=0.001,"Solved",AQ574-AS574*(AQ574-AM574)/(AS574-AO574))))</f>
        <v/>
      </c>
      <c r="AV574" s="167"/>
      <c r="AW574" s="329" t="str">
        <f>IF(ISBLANK(Inputs!$A57),"",
IF(OR(AU574="Solved",AU574="--"),"--",
((Mat.Conc_Alpha.1*Mat.Conc_f.c*$AB574*MIN(AU574*Mat.Conc_Beta.1,$Y574))
+(Mat.Conc_Alpha.1*Mat.Conc_f.c*$V574*MAX(0,AU574*Mat.Conc_Beta.1-$Y574)))
-($J574*MIN(Mat.Rebar_f.y,(Mat.Rebar_epsilon.cl*($S574-AU574)/AU574)*Mat.PT_E.s))
-($M574*Mat.PT_f.pu*(1-Mat.PT_k*AU574/$P574))))</f>
        <v/>
      </c>
      <c r="AX574" s="329"/>
      <c r="AY574" s="167" t="str">
        <f>IF(ISBLANK(Inputs!$A57),"",
IF(AW574="--","Solved",
IF(ABS(AW574)&lt;=0.001,"Solved",AU574-AW574*(AU574-AQ574)/(AW574-AS574))))</f>
        <v/>
      </c>
      <c r="AZ574" s="167"/>
      <c r="BA574" s="329" t="str">
        <f>IF(ISBLANK(Inputs!$A57),"",
IF(OR(AY574="Solved",AY574="--"),"--",
((Mat.Conc_Alpha.1*Mat.Conc_f.c*$AB574*MIN(AY574*Mat.Conc_Beta.1,$Y574))
+(Mat.Conc_Alpha.1*Mat.Conc_f.c*$V574*MAX(0,AY574*Mat.Conc_Beta.1-$Y574)))
-($J574*MIN(Mat.Rebar_f.y,(Mat.Rebar_epsilon.cl*($S574-AY574)/AY574)*Mat.PT_E.s))
-($M574*Mat.PT_f.pu*(1-Mat.PT_k*AY574/$P574))))</f>
        <v/>
      </c>
      <c r="BB574" s="329"/>
      <c r="BC574" s="167" t="str">
        <f>IF(ISBLANK(Inputs!$A57),"",
IF(BA574="--","Solved",
IF(ABS(BA574)&lt;=0.001,"Solved",AY574-BA574*(AY574-AU574)/(BA574-AW574))))</f>
        <v/>
      </c>
      <c r="BD574" s="167"/>
      <c r="BE574" s="329" t="str">
        <f>IF(ISBLANK(Inputs!$A57),"",
IF(OR(BC574="Solved",BC574="--"),"--",
((Mat.Conc_Alpha.1*Mat.Conc_f.c*$AB574*MIN(BC574*Mat.Conc_Beta.1,$Y574))
+(Mat.Conc_Alpha.1*Mat.Conc_f.c*$V574*MAX(0,BC574*Mat.Conc_Beta.1-$Y574)))
-($J574*MIN(Mat.Rebar_f.y,(Mat.Rebar_epsilon.cl*($S574-BC574)/BC574)*Mat.PT_E.s))
-($M574*Mat.PT_f.pu*(1-Mat.PT_k*BC574/$P574))))</f>
        <v/>
      </c>
      <c r="BF574" s="329"/>
      <c r="BG574" s="167" t="str">
        <f>IF(ISBLANK(Inputs!$A57),"",
IF(BE574="--","Solved",
IF(ABS(BE574)&lt;=0.001,"Solved",BC574-BE574*(BC574-AY574)/(BE574-BA574))))</f>
        <v/>
      </c>
      <c r="BH574" s="167"/>
      <c r="BI574" s="329" t="str">
        <f>IF(ISBLANK(Inputs!$A57),"",
IF(OR(BG574="Solved",BG574="--"),"--",
((Mat.Conc_Alpha.1*Mat.Conc_f.c*$AB574*MIN(BG574*Mat.Conc_Beta.1,$Y574))
+(Mat.Conc_Alpha.1*Mat.Conc_f.c*$V574*MAX(0,BG574*Mat.Conc_Beta.1-$Y574)))
-($J574*MIN(Mat.Rebar_f.y,(Mat.Rebar_epsilon.cl*($S574-BG574)/BG574)*Mat.PT_E.s))
-($M574*Mat.PT_f.pu*(1-Mat.PT_k*BG574/$P574))))</f>
        <v/>
      </c>
      <c r="BJ574" s="329"/>
      <c r="BK574" s="167" t="str">
        <f>IF(ISBLANK(Inputs!$A57),"",
IF(BI574="--","Solved",
IF(ABS(BI574)&lt;=0.001,"Solved",BG574-BI574*(BG574-BC574)/(BI574-BE574))))</f>
        <v/>
      </c>
      <c r="BL574" s="167"/>
      <c r="BM574" s="329" t="str">
        <f>IF(ISBLANK(Inputs!$A57),"",
IF(OR(BK574="Solved",BK574="--"),"--",
((Mat.Conc_Alpha.1*Mat.Conc_f.c*$AB574*MIN(BK574*Mat.Conc_Beta.1,$Y574))
+(Mat.Conc_Alpha.1*Mat.Conc_f.c*$V574*MAX(0,BK574*Mat.Conc_Beta.1-$Y574)))
-($J574*MIN(Mat.Rebar_f.y,(Mat.Rebar_epsilon.cl*($S574-BK574)/BK574)*Mat.PT_E.s))
-($M574*Mat.PT_f.pu*(1-Mat.PT_k*BK574/$P574))))</f>
        <v/>
      </c>
      <c r="BN574" s="329"/>
      <c r="BO574" s="167" t="str">
        <f>IF(ISBLANK(Inputs!$A57),"",
IF(BM574="--","Solved",
IF(ABS(BM574)&lt;=0.001,"Solved",BK574-BM574*(BK574-BG574)/(BM574-BI574))))</f>
        <v/>
      </c>
      <c r="BP574" s="167"/>
      <c r="BQ574" s="329" t="str">
        <f>IF(ISBLANK(Inputs!$A57),"",
IF(OR(BO574="Solved",BO574="--"),"--",
((Mat.Conc_Alpha.1*Mat.Conc_f.c*$AB574*MIN(BO574*Mat.Conc_Beta.1,$Y574))
+(Mat.Conc_Alpha.1*Mat.Conc_f.c*$V574*MAX(0,BO574*Mat.Conc_Beta.1-$Y574)))
-($J574*MIN(Mat.Rebar_f.y,(Mat.Rebar_epsilon.cl*($S574-BO574)/BO574)*Mat.PT_E.s))
-($M574*Mat.PT_f.pu*(1-Mat.PT_k*BO574/$P574))))</f>
        <v/>
      </c>
      <c r="BR574" s="329"/>
      <c r="BS574" s="70"/>
      <c r="BT574" s="70"/>
      <c r="BU574" s="70"/>
      <c r="BV574" s="70"/>
      <c r="BW574" s="8"/>
      <c r="BX574" s="8"/>
      <c r="BY574" s="8"/>
      <c r="BZ574" s="8"/>
      <c r="CA574" s="8"/>
      <c r="CB574" s="10"/>
    </row>
    <row r="575" spans="3:80" ht="15" customHeight="1" x14ac:dyDescent="0.25">
      <c r="C575" s="69"/>
      <c r="F575" s="167" t="str">
        <f>IF(ISBLANK(Inputs!A58),"",Inputs!A58)</f>
        <v/>
      </c>
      <c r="G575" s="167"/>
      <c r="H575" s="167" t="str">
        <f>IF(ISBLANK(Inputs!B58),"",Inputs!B58)</f>
        <v/>
      </c>
      <c r="I575" s="167"/>
      <c r="J575" s="168" t="str">
        <f>IF(ISBLANK(Inputs!K58),"",Inputs!K58)</f>
        <v/>
      </c>
      <c r="K575" s="168"/>
      <c r="L575" s="168"/>
      <c r="M575" s="168" t="str">
        <f>IF(ISBLANK(Inputs!D58),"",Inputs!D58)</f>
        <v/>
      </c>
      <c r="N575" s="168"/>
      <c r="O575" s="168"/>
      <c r="P575" s="168" t="str">
        <f>IF(ISBLANK(Inputs!F58),"",Inputs!$B$10-Inputs!F58)</f>
        <v/>
      </c>
      <c r="Q575" s="168"/>
      <c r="R575" s="168"/>
      <c r="S575" s="168" t="str">
        <f>IF(ISBLANK(Inputs!L58),"",Inputs!L58)</f>
        <v/>
      </c>
      <c r="T575" s="168"/>
      <c r="U575" s="168"/>
      <c r="V575" s="168" t="str">
        <f>IF(ISBLANK(Inputs!E58),"",Inputs!E58)</f>
        <v/>
      </c>
      <c r="W575" s="168"/>
      <c r="X575" s="168"/>
      <c r="Y575" s="168" t="str">
        <f>IF(ISBLANK(Inputs!M58),"",Inputs!M58)</f>
        <v/>
      </c>
      <c r="Z575" s="168"/>
      <c r="AA575" s="168"/>
      <c r="AB575" s="168" t="str">
        <f>IF(ISBLANK(Inputs!N58),"",Inputs!N58)</f>
        <v/>
      </c>
      <c r="AC575" s="168"/>
      <c r="AD575" s="168"/>
      <c r="AE575" s="371" t="str">
        <f>IF(ISBLANK(Inputs!A58),"",Y575)</f>
        <v/>
      </c>
      <c r="AF575" s="371"/>
      <c r="AG575" s="329" t="str">
        <f>IF(ISBLANK(Inputs!$A58),"",
IF(OR(AE575="Solved",AE575="--"),"--",
((Mat.Conc_Alpha.1*Mat.Conc_f.c*$AB575*MIN(AE575*Mat.Conc_Beta.1,$Y575))
+(Mat.Conc_Alpha.1*Mat.Conc_f.c*$V575*MAX(0,AE575*Mat.Conc_Beta.1-$Y575)))
-($J575*MIN(Mat.Rebar_f.y,(Mat.Rebar_epsilon.cl*($S575-AE575)/AE575)*Mat.PT_E.s))
-($M575*Mat.PT_f.pu*(1-Mat.PT_k*AE575/$P575))))</f>
        <v/>
      </c>
      <c r="AH575" s="329"/>
      <c r="AI575" s="167" t="str">
        <f>IF(ISBLANK(Inputs!$A58),"",
IF(ABS(AG575)&lt;=0.001,"Solved",IF(AG575&gt;0,0.85*AE575,1.15*AE575)))</f>
        <v/>
      </c>
      <c r="AJ575" s="167"/>
      <c r="AK575" s="329" t="str">
        <f>IF(ISBLANK(Inputs!$A58),"",
IF(OR(AI575="Solved",AI575="--"),"--",
((Mat.Conc_Alpha.1*Mat.Conc_f.c*$AB575*MIN(AI575*Mat.Conc_Beta.1,$Y575))
+(Mat.Conc_Alpha.1*Mat.Conc_f.c*$V575*MAX(0,AI575*Mat.Conc_Beta.1-$Y575)))
-($J575*MIN(Mat.Rebar_f.y,(Mat.Rebar_epsilon.cl*($S575-AI575)/AI575)*Mat.PT_E.s))
-($M575*Mat.PT_f.pu*(1-Mat.PT_k*AI575/$P575))))</f>
        <v/>
      </c>
      <c r="AL575" s="329"/>
      <c r="AM575" s="167" t="str">
        <f>IF(ISBLANK(Inputs!$A58),"",
IF(AK575="--","Solved",
IF(ABS(AK575)&lt;=0.001,"Solved",AI575-AK575*(AI575-AE575)/(AK575-AG575))))</f>
        <v/>
      </c>
      <c r="AN575" s="167"/>
      <c r="AO575" s="329" t="str">
        <f>IF(ISBLANK(Inputs!$A58),"",
IF(OR(AM575="Solved",AM575="--"),"--",
((Mat.Conc_Alpha.1*Mat.Conc_f.c*$AB575*MIN(AM575*Mat.Conc_Beta.1,$Y575))
+(Mat.Conc_Alpha.1*Mat.Conc_f.c*$V575*MAX(0,AM575*Mat.Conc_Beta.1-$Y575)))
-($J575*MIN(Mat.Rebar_f.y,(Mat.Rebar_epsilon.cl*($S575-AM575)/AM575)*Mat.PT_E.s))
-($M575*Mat.PT_f.pu*(1-Mat.PT_k*AM575/$P575))))</f>
        <v/>
      </c>
      <c r="AP575" s="329"/>
      <c r="AQ575" s="167" t="str">
        <f>IF(ISBLANK(Inputs!$A58),"",
IF(AO575="--","Solved",
IF(ABS(AO575)&lt;=0.001,"Solved",AM575-AO575*(AM575-AI575)/(AO575-AK575))))</f>
        <v/>
      </c>
      <c r="AR575" s="167"/>
      <c r="AS575" s="329" t="str">
        <f>IF(ISBLANK(Inputs!$A58),"",
IF(OR(AQ575="Solved",AQ575="--"),"--",
((Mat.Conc_Alpha.1*Mat.Conc_f.c*$AB575*MIN(AQ575*Mat.Conc_Beta.1,$Y575))
+(Mat.Conc_Alpha.1*Mat.Conc_f.c*$V575*MAX(0,AQ575*Mat.Conc_Beta.1-$Y575)))
-($J575*MIN(Mat.Rebar_f.y,(Mat.Rebar_epsilon.cl*($S575-AQ575)/AQ575)*Mat.PT_E.s))
-($M575*Mat.PT_f.pu*(1-Mat.PT_k*AQ575/$P575))))</f>
        <v/>
      </c>
      <c r="AT575" s="329"/>
      <c r="AU575" s="167" t="str">
        <f>IF(ISBLANK(Inputs!$A58),"",
IF(AS575="--","Solved",
IF(ABS(AS575)&lt;=0.001,"Solved",AQ575-AS575*(AQ575-AM575)/(AS575-AO575))))</f>
        <v/>
      </c>
      <c r="AV575" s="167"/>
      <c r="AW575" s="329" t="str">
        <f>IF(ISBLANK(Inputs!$A58),"",
IF(OR(AU575="Solved",AU575="--"),"--",
((Mat.Conc_Alpha.1*Mat.Conc_f.c*$AB575*MIN(AU575*Mat.Conc_Beta.1,$Y575))
+(Mat.Conc_Alpha.1*Mat.Conc_f.c*$V575*MAX(0,AU575*Mat.Conc_Beta.1-$Y575)))
-($J575*MIN(Mat.Rebar_f.y,(Mat.Rebar_epsilon.cl*($S575-AU575)/AU575)*Mat.PT_E.s))
-($M575*Mat.PT_f.pu*(1-Mat.PT_k*AU575/$P575))))</f>
        <v/>
      </c>
      <c r="AX575" s="329"/>
      <c r="AY575" s="167" t="str">
        <f>IF(ISBLANK(Inputs!$A58),"",
IF(AW575="--","Solved",
IF(ABS(AW575)&lt;=0.001,"Solved",AU575-AW575*(AU575-AQ575)/(AW575-AS575))))</f>
        <v/>
      </c>
      <c r="AZ575" s="167"/>
      <c r="BA575" s="329" t="str">
        <f>IF(ISBLANK(Inputs!$A58),"",
IF(OR(AY575="Solved",AY575="--"),"--",
((Mat.Conc_Alpha.1*Mat.Conc_f.c*$AB575*MIN(AY575*Mat.Conc_Beta.1,$Y575))
+(Mat.Conc_Alpha.1*Mat.Conc_f.c*$V575*MAX(0,AY575*Mat.Conc_Beta.1-$Y575)))
-($J575*MIN(Mat.Rebar_f.y,(Mat.Rebar_epsilon.cl*($S575-AY575)/AY575)*Mat.PT_E.s))
-($M575*Mat.PT_f.pu*(1-Mat.PT_k*AY575/$P575))))</f>
        <v/>
      </c>
      <c r="BB575" s="329"/>
      <c r="BC575" s="167" t="str">
        <f>IF(ISBLANK(Inputs!$A58),"",
IF(BA575="--","Solved",
IF(ABS(BA575)&lt;=0.001,"Solved",AY575-BA575*(AY575-AU575)/(BA575-AW575))))</f>
        <v/>
      </c>
      <c r="BD575" s="167"/>
      <c r="BE575" s="329" t="str">
        <f>IF(ISBLANK(Inputs!$A58),"",
IF(OR(BC575="Solved",BC575="--"),"--",
((Mat.Conc_Alpha.1*Mat.Conc_f.c*$AB575*MIN(BC575*Mat.Conc_Beta.1,$Y575))
+(Mat.Conc_Alpha.1*Mat.Conc_f.c*$V575*MAX(0,BC575*Mat.Conc_Beta.1-$Y575)))
-($J575*MIN(Mat.Rebar_f.y,(Mat.Rebar_epsilon.cl*($S575-BC575)/BC575)*Mat.PT_E.s))
-($M575*Mat.PT_f.pu*(1-Mat.PT_k*BC575/$P575))))</f>
        <v/>
      </c>
      <c r="BF575" s="329"/>
      <c r="BG575" s="167" t="str">
        <f>IF(ISBLANK(Inputs!$A58),"",
IF(BE575="--","Solved",
IF(ABS(BE575)&lt;=0.001,"Solved",BC575-BE575*(BC575-AY575)/(BE575-BA575))))</f>
        <v/>
      </c>
      <c r="BH575" s="167"/>
      <c r="BI575" s="329" t="str">
        <f>IF(ISBLANK(Inputs!$A58),"",
IF(OR(BG575="Solved",BG575="--"),"--",
((Mat.Conc_Alpha.1*Mat.Conc_f.c*$AB575*MIN(BG575*Mat.Conc_Beta.1,$Y575))
+(Mat.Conc_Alpha.1*Mat.Conc_f.c*$V575*MAX(0,BG575*Mat.Conc_Beta.1-$Y575)))
-($J575*MIN(Mat.Rebar_f.y,(Mat.Rebar_epsilon.cl*($S575-BG575)/BG575)*Mat.PT_E.s))
-($M575*Mat.PT_f.pu*(1-Mat.PT_k*BG575/$P575))))</f>
        <v/>
      </c>
      <c r="BJ575" s="329"/>
      <c r="BK575" s="167" t="str">
        <f>IF(ISBLANK(Inputs!$A58),"",
IF(BI575="--","Solved",
IF(ABS(BI575)&lt;=0.001,"Solved",BG575-BI575*(BG575-BC575)/(BI575-BE575))))</f>
        <v/>
      </c>
      <c r="BL575" s="167"/>
      <c r="BM575" s="329" t="str">
        <f>IF(ISBLANK(Inputs!$A58),"",
IF(OR(BK575="Solved",BK575="--"),"--",
((Mat.Conc_Alpha.1*Mat.Conc_f.c*$AB575*MIN(BK575*Mat.Conc_Beta.1,$Y575))
+(Mat.Conc_Alpha.1*Mat.Conc_f.c*$V575*MAX(0,BK575*Mat.Conc_Beta.1-$Y575)))
-($J575*MIN(Mat.Rebar_f.y,(Mat.Rebar_epsilon.cl*($S575-BK575)/BK575)*Mat.PT_E.s))
-($M575*Mat.PT_f.pu*(1-Mat.PT_k*BK575/$P575))))</f>
        <v/>
      </c>
      <c r="BN575" s="329"/>
      <c r="BO575" s="167" t="str">
        <f>IF(ISBLANK(Inputs!$A58),"",
IF(BM575="--","Solved",
IF(ABS(BM575)&lt;=0.001,"Solved",BK575-BM575*(BK575-BG575)/(BM575-BI575))))</f>
        <v/>
      </c>
      <c r="BP575" s="167"/>
      <c r="BQ575" s="329" t="str">
        <f>IF(ISBLANK(Inputs!$A58),"",
IF(OR(BO575="Solved",BO575="--"),"--",
((Mat.Conc_Alpha.1*Mat.Conc_f.c*$AB575*MIN(BO575*Mat.Conc_Beta.1,$Y575))
+(Mat.Conc_Alpha.1*Mat.Conc_f.c*$V575*MAX(0,BO575*Mat.Conc_Beta.1-$Y575)))
-($J575*MIN(Mat.Rebar_f.y,(Mat.Rebar_epsilon.cl*($S575-BO575)/BO575)*Mat.PT_E.s))
-($M575*Mat.PT_f.pu*(1-Mat.PT_k*BO575/$P575))))</f>
        <v/>
      </c>
      <c r="BR575" s="329"/>
      <c r="BS575" s="70"/>
      <c r="BT575" s="70"/>
      <c r="BU575" s="70"/>
      <c r="BV575" s="70"/>
      <c r="BW575" s="8"/>
      <c r="BX575" s="8"/>
      <c r="BY575" s="8"/>
      <c r="BZ575" s="8"/>
      <c r="CA575" s="8"/>
      <c r="CB575" s="10"/>
    </row>
    <row r="576" spans="3:80" ht="15" customHeight="1" x14ac:dyDescent="0.25">
      <c r="C576" s="69"/>
      <c r="F576" s="167" t="str">
        <f>IF(ISBLANK(Inputs!A59),"",Inputs!A59)</f>
        <v/>
      </c>
      <c r="G576" s="167"/>
      <c r="H576" s="167" t="str">
        <f>IF(ISBLANK(Inputs!B59),"",Inputs!B59)</f>
        <v/>
      </c>
      <c r="I576" s="167"/>
      <c r="J576" s="168" t="str">
        <f>IF(ISBLANK(Inputs!K59),"",Inputs!K59)</f>
        <v/>
      </c>
      <c r="K576" s="168"/>
      <c r="L576" s="168"/>
      <c r="M576" s="168" t="str">
        <f>IF(ISBLANK(Inputs!D59),"",Inputs!D59)</f>
        <v/>
      </c>
      <c r="N576" s="168"/>
      <c r="O576" s="168"/>
      <c r="P576" s="168" t="str">
        <f>IF(ISBLANK(Inputs!F59),"",Inputs!$B$10-Inputs!F59)</f>
        <v/>
      </c>
      <c r="Q576" s="168"/>
      <c r="R576" s="168"/>
      <c r="S576" s="168" t="str">
        <f>IF(ISBLANK(Inputs!L59),"",Inputs!L59)</f>
        <v/>
      </c>
      <c r="T576" s="168"/>
      <c r="U576" s="168"/>
      <c r="V576" s="168" t="str">
        <f>IF(ISBLANK(Inputs!E59),"",Inputs!E59)</f>
        <v/>
      </c>
      <c r="W576" s="168"/>
      <c r="X576" s="168"/>
      <c r="Y576" s="168" t="str">
        <f>IF(ISBLANK(Inputs!M59),"",Inputs!M59)</f>
        <v/>
      </c>
      <c r="Z576" s="168"/>
      <c r="AA576" s="168"/>
      <c r="AB576" s="168" t="str">
        <f>IF(ISBLANK(Inputs!N59),"",Inputs!N59)</f>
        <v/>
      </c>
      <c r="AC576" s="168"/>
      <c r="AD576" s="168"/>
      <c r="AE576" s="371" t="str">
        <f>IF(ISBLANK(Inputs!A59),"",Y576)</f>
        <v/>
      </c>
      <c r="AF576" s="371"/>
      <c r="AG576" s="329" t="str">
        <f>IF(ISBLANK(Inputs!$A59),"",
IF(OR(AE576="Solved",AE576="--"),"--",
((Mat.Conc_Alpha.1*Mat.Conc_f.c*$AB576*MIN(AE576*Mat.Conc_Beta.1,$Y576))
+(Mat.Conc_Alpha.1*Mat.Conc_f.c*$V576*MAX(0,AE576*Mat.Conc_Beta.1-$Y576)))
-($J576*MIN(Mat.Rebar_f.y,(Mat.Rebar_epsilon.cl*($S576-AE576)/AE576)*Mat.PT_E.s))
-($M576*Mat.PT_f.pu*(1-Mat.PT_k*AE576/$P576))))</f>
        <v/>
      </c>
      <c r="AH576" s="329"/>
      <c r="AI576" s="167" t="str">
        <f>IF(ISBLANK(Inputs!$A59),"",
IF(ABS(AG576)&lt;=0.001,"Solved",IF(AG576&gt;0,0.85*AE576,1.15*AE576)))</f>
        <v/>
      </c>
      <c r="AJ576" s="167"/>
      <c r="AK576" s="329" t="str">
        <f>IF(ISBLANK(Inputs!$A59),"",
IF(OR(AI576="Solved",AI576="--"),"--",
((Mat.Conc_Alpha.1*Mat.Conc_f.c*$AB576*MIN(AI576*Mat.Conc_Beta.1,$Y576))
+(Mat.Conc_Alpha.1*Mat.Conc_f.c*$V576*MAX(0,AI576*Mat.Conc_Beta.1-$Y576)))
-($J576*MIN(Mat.Rebar_f.y,(Mat.Rebar_epsilon.cl*($S576-AI576)/AI576)*Mat.PT_E.s))
-($M576*Mat.PT_f.pu*(1-Mat.PT_k*AI576/$P576))))</f>
        <v/>
      </c>
      <c r="AL576" s="329"/>
      <c r="AM576" s="167" t="str">
        <f>IF(ISBLANK(Inputs!$A59),"",
IF(AK576="--","Solved",
IF(ABS(AK576)&lt;=0.001,"Solved",AI576-AK576*(AI576-AE576)/(AK576-AG576))))</f>
        <v/>
      </c>
      <c r="AN576" s="167"/>
      <c r="AO576" s="329" t="str">
        <f>IF(ISBLANK(Inputs!$A59),"",
IF(OR(AM576="Solved",AM576="--"),"--",
((Mat.Conc_Alpha.1*Mat.Conc_f.c*$AB576*MIN(AM576*Mat.Conc_Beta.1,$Y576))
+(Mat.Conc_Alpha.1*Mat.Conc_f.c*$V576*MAX(0,AM576*Mat.Conc_Beta.1-$Y576)))
-($J576*MIN(Mat.Rebar_f.y,(Mat.Rebar_epsilon.cl*($S576-AM576)/AM576)*Mat.PT_E.s))
-($M576*Mat.PT_f.pu*(1-Mat.PT_k*AM576/$P576))))</f>
        <v/>
      </c>
      <c r="AP576" s="329"/>
      <c r="AQ576" s="167" t="str">
        <f>IF(ISBLANK(Inputs!$A59),"",
IF(AO576="--","Solved",
IF(ABS(AO576)&lt;=0.001,"Solved",AM576-AO576*(AM576-AI576)/(AO576-AK576))))</f>
        <v/>
      </c>
      <c r="AR576" s="167"/>
      <c r="AS576" s="329" t="str">
        <f>IF(ISBLANK(Inputs!$A59),"",
IF(OR(AQ576="Solved",AQ576="--"),"--",
((Mat.Conc_Alpha.1*Mat.Conc_f.c*$AB576*MIN(AQ576*Mat.Conc_Beta.1,$Y576))
+(Mat.Conc_Alpha.1*Mat.Conc_f.c*$V576*MAX(0,AQ576*Mat.Conc_Beta.1-$Y576)))
-($J576*MIN(Mat.Rebar_f.y,(Mat.Rebar_epsilon.cl*($S576-AQ576)/AQ576)*Mat.PT_E.s))
-($M576*Mat.PT_f.pu*(1-Mat.PT_k*AQ576/$P576))))</f>
        <v/>
      </c>
      <c r="AT576" s="329"/>
      <c r="AU576" s="167" t="str">
        <f>IF(ISBLANK(Inputs!$A59),"",
IF(AS576="--","Solved",
IF(ABS(AS576)&lt;=0.001,"Solved",AQ576-AS576*(AQ576-AM576)/(AS576-AO576))))</f>
        <v/>
      </c>
      <c r="AV576" s="167"/>
      <c r="AW576" s="329" t="str">
        <f>IF(ISBLANK(Inputs!$A59),"",
IF(OR(AU576="Solved",AU576="--"),"--",
((Mat.Conc_Alpha.1*Mat.Conc_f.c*$AB576*MIN(AU576*Mat.Conc_Beta.1,$Y576))
+(Mat.Conc_Alpha.1*Mat.Conc_f.c*$V576*MAX(0,AU576*Mat.Conc_Beta.1-$Y576)))
-($J576*MIN(Mat.Rebar_f.y,(Mat.Rebar_epsilon.cl*($S576-AU576)/AU576)*Mat.PT_E.s))
-($M576*Mat.PT_f.pu*(1-Mat.PT_k*AU576/$P576))))</f>
        <v/>
      </c>
      <c r="AX576" s="329"/>
      <c r="AY576" s="167" t="str">
        <f>IF(ISBLANK(Inputs!$A59),"",
IF(AW576="--","Solved",
IF(ABS(AW576)&lt;=0.001,"Solved",AU576-AW576*(AU576-AQ576)/(AW576-AS576))))</f>
        <v/>
      </c>
      <c r="AZ576" s="167"/>
      <c r="BA576" s="329" t="str">
        <f>IF(ISBLANK(Inputs!$A59),"",
IF(OR(AY576="Solved",AY576="--"),"--",
((Mat.Conc_Alpha.1*Mat.Conc_f.c*$AB576*MIN(AY576*Mat.Conc_Beta.1,$Y576))
+(Mat.Conc_Alpha.1*Mat.Conc_f.c*$V576*MAX(0,AY576*Mat.Conc_Beta.1-$Y576)))
-($J576*MIN(Mat.Rebar_f.y,(Mat.Rebar_epsilon.cl*($S576-AY576)/AY576)*Mat.PT_E.s))
-($M576*Mat.PT_f.pu*(1-Mat.PT_k*AY576/$P576))))</f>
        <v/>
      </c>
      <c r="BB576" s="329"/>
      <c r="BC576" s="167" t="str">
        <f>IF(ISBLANK(Inputs!$A59),"",
IF(BA576="--","Solved",
IF(ABS(BA576)&lt;=0.001,"Solved",AY576-BA576*(AY576-AU576)/(BA576-AW576))))</f>
        <v/>
      </c>
      <c r="BD576" s="167"/>
      <c r="BE576" s="329" t="str">
        <f>IF(ISBLANK(Inputs!$A59),"",
IF(OR(BC576="Solved",BC576="--"),"--",
((Mat.Conc_Alpha.1*Mat.Conc_f.c*$AB576*MIN(BC576*Mat.Conc_Beta.1,$Y576))
+(Mat.Conc_Alpha.1*Mat.Conc_f.c*$V576*MAX(0,BC576*Mat.Conc_Beta.1-$Y576)))
-($J576*MIN(Mat.Rebar_f.y,(Mat.Rebar_epsilon.cl*($S576-BC576)/BC576)*Mat.PT_E.s))
-($M576*Mat.PT_f.pu*(1-Mat.PT_k*BC576/$P576))))</f>
        <v/>
      </c>
      <c r="BF576" s="329"/>
      <c r="BG576" s="167" t="str">
        <f>IF(ISBLANK(Inputs!$A59),"",
IF(BE576="--","Solved",
IF(ABS(BE576)&lt;=0.001,"Solved",BC576-BE576*(BC576-AY576)/(BE576-BA576))))</f>
        <v/>
      </c>
      <c r="BH576" s="167"/>
      <c r="BI576" s="329" t="str">
        <f>IF(ISBLANK(Inputs!$A59),"",
IF(OR(BG576="Solved",BG576="--"),"--",
((Mat.Conc_Alpha.1*Mat.Conc_f.c*$AB576*MIN(BG576*Mat.Conc_Beta.1,$Y576))
+(Mat.Conc_Alpha.1*Mat.Conc_f.c*$V576*MAX(0,BG576*Mat.Conc_Beta.1-$Y576)))
-($J576*MIN(Mat.Rebar_f.y,(Mat.Rebar_epsilon.cl*($S576-BG576)/BG576)*Mat.PT_E.s))
-($M576*Mat.PT_f.pu*(1-Mat.PT_k*BG576/$P576))))</f>
        <v/>
      </c>
      <c r="BJ576" s="329"/>
      <c r="BK576" s="167" t="str">
        <f>IF(ISBLANK(Inputs!$A59),"",
IF(BI576="--","Solved",
IF(ABS(BI576)&lt;=0.001,"Solved",BG576-BI576*(BG576-BC576)/(BI576-BE576))))</f>
        <v/>
      </c>
      <c r="BL576" s="167"/>
      <c r="BM576" s="329" t="str">
        <f>IF(ISBLANK(Inputs!$A59),"",
IF(OR(BK576="Solved",BK576="--"),"--",
((Mat.Conc_Alpha.1*Mat.Conc_f.c*$AB576*MIN(BK576*Mat.Conc_Beta.1,$Y576))
+(Mat.Conc_Alpha.1*Mat.Conc_f.c*$V576*MAX(0,BK576*Mat.Conc_Beta.1-$Y576)))
-($J576*MIN(Mat.Rebar_f.y,(Mat.Rebar_epsilon.cl*($S576-BK576)/BK576)*Mat.PT_E.s))
-($M576*Mat.PT_f.pu*(1-Mat.PT_k*BK576/$P576))))</f>
        <v/>
      </c>
      <c r="BN576" s="329"/>
      <c r="BO576" s="167" t="str">
        <f>IF(ISBLANK(Inputs!$A59),"",
IF(BM576="--","Solved",
IF(ABS(BM576)&lt;=0.001,"Solved",BK576-BM576*(BK576-BG576)/(BM576-BI576))))</f>
        <v/>
      </c>
      <c r="BP576" s="167"/>
      <c r="BQ576" s="329" t="str">
        <f>IF(ISBLANK(Inputs!$A59),"",
IF(OR(BO576="Solved",BO576="--"),"--",
((Mat.Conc_Alpha.1*Mat.Conc_f.c*$AB576*MIN(BO576*Mat.Conc_Beta.1,$Y576))
+(Mat.Conc_Alpha.1*Mat.Conc_f.c*$V576*MAX(0,BO576*Mat.Conc_Beta.1-$Y576)))
-($J576*MIN(Mat.Rebar_f.y,(Mat.Rebar_epsilon.cl*($S576-BO576)/BO576)*Mat.PT_E.s))
-($M576*Mat.PT_f.pu*(1-Mat.PT_k*BO576/$P576))))</f>
        <v/>
      </c>
      <c r="BR576" s="329"/>
      <c r="BS576" s="70"/>
      <c r="BT576" s="70"/>
      <c r="BU576" s="70"/>
      <c r="BV576" s="70"/>
      <c r="BW576" s="8"/>
      <c r="BX576" s="8"/>
      <c r="BY576" s="8"/>
      <c r="BZ576" s="8"/>
      <c r="CA576" s="8"/>
      <c r="CB576" s="10"/>
    </row>
    <row r="577" spans="3:80" ht="15" customHeight="1" x14ac:dyDescent="0.25">
      <c r="C577" s="69"/>
      <c r="F577" s="167" t="str">
        <f>IF(ISBLANK(Inputs!A60),"",Inputs!A60)</f>
        <v/>
      </c>
      <c r="G577" s="167"/>
      <c r="H577" s="167" t="str">
        <f>IF(ISBLANK(Inputs!B60),"",Inputs!B60)</f>
        <v/>
      </c>
      <c r="I577" s="167"/>
      <c r="J577" s="168" t="str">
        <f>IF(ISBLANK(Inputs!K60),"",Inputs!K60)</f>
        <v/>
      </c>
      <c r="K577" s="168"/>
      <c r="L577" s="168"/>
      <c r="M577" s="168" t="str">
        <f>IF(ISBLANK(Inputs!D60),"",Inputs!D60)</f>
        <v/>
      </c>
      <c r="N577" s="168"/>
      <c r="O577" s="168"/>
      <c r="P577" s="168" t="str">
        <f>IF(ISBLANK(Inputs!F60),"",Inputs!$B$10-Inputs!F60)</f>
        <v/>
      </c>
      <c r="Q577" s="168"/>
      <c r="R577" s="168"/>
      <c r="S577" s="168" t="str">
        <f>IF(ISBLANK(Inputs!L60),"",Inputs!L60)</f>
        <v/>
      </c>
      <c r="T577" s="168"/>
      <c r="U577" s="168"/>
      <c r="V577" s="168" t="str">
        <f>IF(ISBLANK(Inputs!E60),"",Inputs!E60)</f>
        <v/>
      </c>
      <c r="W577" s="168"/>
      <c r="X577" s="168"/>
      <c r="Y577" s="168" t="str">
        <f>IF(ISBLANK(Inputs!M60),"",Inputs!M60)</f>
        <v/>
      </c>
      <c r="Z577" s="168"/>
      <c r="AA577" s="168"/>
      <c r="AB577" s="168" t="str">
        <f>IF(ISBLANK(Inputs!N60),"",Inputs!N60)</f>
        <v/>
      </c>
      <c r="AC577" s="168"/>
      <c r="AD577" s="168"/>
      <c r="AE577" s="371" t="str">
        <f>IF(ISBLANK(Inputs!A60),"",Y577)</f>
        <v/>
      </c>
      <c r="AF577" s="371"/>
      <c r="AG577" s="329" t="str">
        <f>IF(ISBLANK(Inputs!$A60),"",
IF(OR(AE577="Solved",AE577="--"),"--",
((Mat.Conc_Alpha.1*Mat.Conc_f.c*$AB577*MIN(AE577*Mat.Conc_Beta.1,$Y577))
+(Mat.Conc_Alpha.1*Mat.Conc_f.c*$V577*MAX(0,AE577*Mat.Conc_Beta.1-$Y577)))
-($J577*MIN(Mat.Rebar_f.y,(Mat.Rebar_epsilon.cl*($S577-AE577)/AE577)*Mat.PT_E.s))
-($M577*Mat.PT_f.pu*(1-Mat.PT_k*AE577/$P577))))</f>
        <v/>
      </c>
      <c r="AH577" s="329"/>
      <c r="AI577" s="167" t="str">
        <f>IF(ISBLANK(Inputs!$A60),"",
IF(ABS(AG577)&lt;=0.001,"Solved",IF(AG577&gt;0,0.85*AE577,1.15*AE577)))</f>
        <v/>
      </c>
      <c r="AJ577" s="167"/>
      <c r="AK577" s="329" t="str">
        <f>IF(ISBLANK(Inputs!$A60),"",
IF(OR(AI577="Solved",AI577="--"),"--",
((Mat.Conc_Alpha.1*Mat.Conc_f.c*$AB577*MIN(AI577*Mat.Conc_Beta.1,$Y577))
+(Mat.Conc_Alpha.1*Mat.Conc_f.c*$V577*MAX(0,AI577*Mat.Conc_Beta.1-$Y577)))
-($J577*MIN(Mat.Rebar_f.y,(Mat.Rebar_epsilon.cl*($S577-AI577)/AI577)*Mat.PT_E.s))
-($M577*Mat.PT_f.pu*(1-Mat.PT_k*AI577/$P577))))</f>
        <v/>
      </c>
      <c r="AL577" s="329"/>
      <c r="AM577" s="167" t="str">
        <f>IF(ISBLANK(Inputs!$A60),"",
IF(AK577="--","Solved",
IF(ABS(AK577)&lt;=0.001,"Solved",AI577-AK577*(AI577-AE577)/(AK577-AG577))))</f>
        <v/>
      </c>
      <c r="AN577" s="167"/>
      <c r="AO577" s="329" t="str">
        <f>IF(ISBLANK(Inputs!$A60),"",
IF(OR(AM577="Solved",AM577="--"),"--",
((Mat.Conc_Alpha.1*Mat.Conc_f.c*$AB577*MIN(AM577*Mat.Conc_Beta.1,$Y577))
+(Mat.Conc_Alpha.1*Mat.Conc_f.c*$V577*MAX(0,AM577*Mat.Conc_Beta.1-$Y577)))
-($J577*MIN(Mat.Rebar_f.y,(Mat.Rebar_epsilon.cl*($S577-AM577)/AM577)*Mat.PT_E.s))
-($M577*Mat.PT_f.pu*(1-Mat.PT_k*AM577/$P577))))</f>
        <v/>
      </c>
      <c r="AP577" s="329"/>
      <c r="AQ577" s="167" t="str">
        <f>IF(ISBLANK(Inputs!$A60),"",
IF(AO577="--","Solved",
IF(ABS(AO577)&lt;=0.001,"Solved",AM577-AO577*(AM577-AI577)/(AO577-AK577))))</f>
        <v/>
      </c>
      <c r="AR577" s="167"/>
      <c r="AS577" s="329" t="str">
        <f>IF(ISBLANK(Inputs!$A60),"",
IF(OR(AQ577="Solved",AQ577="--"),"--",
((Mat.Conc_Alpha.1*Mat.Conc_f.c*$AB577*MIN(AQ577*Mat.Conc_Beta.1,$Y577))
+(Mat.Conc_Alpha.1*Mat.Conc_f.c*$V577*MAX(0,AQ577*Mat.Conc_Beta.1-$Y577)))
-($J577*MIN(Mat.Rebar_f.y,(Mat.Rebar_epsilon.cl*($S577-AQ577)/AQ577)*Mat.PT_E.s))
-($M577*Mat.PT_f.pu*(1-Mat.PT_k*AQ577/$P577))))</f>
        <v/>
      </c>
      <c r="AT577" s="329"/>
      <c r="AU577" s="167" t="str">
        <f>IF(ISBLANK(Inputs!$A60),"",
IF(AS577="--","Solved",
IF(ABS(AS577)&lt;=0.001,"Solved",AQ577-AS577*(AQ577-AM577)/(AS577-AO577))))</f>
        <v/>
      </c>
      <c r="AV577" s="167"/>
      <c r="AW577" s="329" t="str">
        <f>IF(ISBLANK(Inputs!$A60),"",
IF(OR(AU577="Solved",AU577="--"),"--",
((Mat.Conc_Alpha.1*Mat.Conc_f.c*$AB577*MIN(AU577*Mat.Conc_Beta.1,$Y577))
+(Mat.Conc_Alpha.1*Mat.Conc_f.c*$V577*MAX(0,AU577*Mat.Conc_Beta.1-$Y577)))
-($J577*MIN(Mat.Rebar_f.y,(Mat.Rebar_epsilon.cl*($S577-AU577)/AU577)*Mat.PT_E.s))
-($M577*Mat.PT_f.pu*(1-Mat.PT_k*AU577/$P577))))</f>
        <v/>
      </c>
      <c r="AX577" s="329"/>
      <c r="AY577" s="167" t="str">
        <f>IF(ISBLANK(Inputs!$A60),"",
IF(AW577="--","Solved",
IF(ABS(AW577)&lt;=0.001,"Solved",AU577-AW577*(AU577-AQ577)/(AW577-AS577))))</f>
        <v/>
      </c>
      <c r="AZ577" s="167"/>
      <c r="BA577" s="329" t="str">
        <f>IF(ISBLANK(Inputs!$A60),"",
IF(OR(AY577="Solved",AY577="--"),"--",
((Mat.Conc_Alpha.1*Mat.Conc_f.c*$AB577*MIN(AY577*Mat.Conc_Beta.1,$Y577))
+(Mat.Conc_Alpha.1*Mat.Conc_f.c*$V577*MAX(0,AY577*Mat.Conc_Beta.1-$Y577)))
-($J577*MIN(Mat.Rebar_f.y,(Mat.Rebar_epsilon.cl*($S577-AY577)/AY577)*Mat.PT_E.s))
-($M577*Mat.PT_f.pu*(1-Mat.PT_k*AY577/$P577))))</f>
        <v/>
      </c>
      <c r="BB577" s="329"/>
      <c r="BC577" s="167" t="str">
        <f>IF(ISBLANK(Inputs!$A60),"",
IF(BA577="--","Solved",
IF(ABS(BA577)&lt;=0.001,"Solved",AY577-BA577*(AY577-AU577)/(BA577-AW577))))</f>
        <v/>
      </c>
      <c r="BD577" s="167"/>
      <c r="BE577" s="329" t="str">
        <f>IF(ISBLANK(Inputs!$A60),"",
IF(OR(BC577="Solved",BC577="--"),"--",
((Mat.Conc_Alpha.1*Mat.Conc_f.c*$AB577*MIN(BC577*Mat.Conc_Beta.1,$Y577))
+(Mat.Conc_Alpha.1*Mat.Conc_f.c*$V577*MAX(0,BC577*Mat.Conc_Beta.1-$Y577)))
-($J577*MIN(Mat.Rebar_f.y,(Mat.Rebar_epsilon.cl*($S577-BC577)/BC577)*Mat.PT_E.s))
-($M577*Mat.PT_f.pu*(1-Mat.PT_k*BC577/$P577))))</f>
        <v/>
      </c>
      <c r="BF577" s="329"/>
      <c r="BG577" s="167" t="str">
        <f>IF(ISBLANK(Inputs!$A60),"",
IF(BE577="--","Solved",
IF(ABS(BE577)&lt;=0.001,"Solved",BC577-BE577*(BC577-AY577)/(BE577-BA577))))</f>
        <v/>
      </c>
      <c r="BH577" s="167"/>
      <c r="BI577" s="329" t="str">
        <f>IF(ISBLANK(Inputs!$A60),"",
IF(OR(BG577="Solved",BG577="--"),"--",
((Mat.Conc_Alpha.1*Mat.Conc_f.c*$AB577*MIN(BG577*Mat.Conc_Beta.1,$Y577))
+(Mat.Conc_Alpha.1*Mat.Conc_f.c*$V577*MAX(0,BG577*Mat.Conc_Beta.1-$Y577)))
-($J577*MIN(Mat.Rebar_f.y,(Mat.Rebar_epsilon.cl*($S577-BG577)/BG577)*Mat.PT_E.s))
-($M577*Mat.PT_f.pu*(1-Mat.PT_k*BG577/$P577))))</f>
        <v/>
      </c>
      <c r="BJ577" s="329"/>
      <c r="BK577" s="167" t="str">
        <f>IF(ISBLANK(Inputs!$A60),"",
IF(BI577="--","Solved",
IF(ABS(BI577)&lt;=0.001,"Solved",BG577-BI577*(BG577-BC577)/(BI577-BE577))))</f>
        <v/>
      </c>
      <c r="BL577" s="167"/>
      <c r="BM577" s="329" t="str">
        <f>IF(ISBLANK(Inputs!$A60),"",
IF(OR(BK577="Solved",BK577="--"),"--",
((Mat.Conc_Alpha.1*Mat.Conc_f.c*$AB577*MIN(BK577*Mat.Conc_Beta.1,$Y577))
+(Mat.Conc_Alpha.1*Mat.Conc_f.c*$V577*MAX(0,BK577*Mat.Conc_Beta.1-$Y577)))
-($J577*MIN(Mat.Rebar_f.y,(Mat.Rebar_epsilon.cl*($S577-BK577)/BK577)*Mat.PT_E.s))
-($M577*Mat.PT_f.pu*(1-Mat.PT_k*BK577/$P577))))</f>
        <v/>
      </c>
      <c r="BN577" s="329"/>
      <c r="BO577" s="167" t="str">
        <f>IF(ISBLANK(Inputs!$A60),"",
IF(BM577="--","Solved",
IF(ABS(BM577)&lt;=0.001,"Solved",BK577-BM577*(BK577-BG577)/(BM577-BI577))))</f>
        <v/>
      </c>
      <c r="BP577" s="167"/>
      <c r="BQ577" s="329" t="str">
        <f>IF(ISBLANK(Inputs!$A60),"",
IF(OR(BO577="Solved",BO577="--"),"--",
((Mat.Conc_Alpha.1*Mat.Conc_f.c*$AB577*MIN(BO577*Mat.Conc_Beta.1,$Y577))
+(Mat.Conc_Alpha.1*Mat.Conc_f.c*$V577*MAX(0,BO577*Mat.Conc_Beta.1-$Y577)))
-($J577*MIN(Mat.Rebar_f.y,(Mat.Rebar_epsilon.cl*($S577-BO577)/BO577)*Mat.PT_E.s))
-($M577*Mat.PT_f.pu*(1-Mat.PT_k*BO577/$P577))))</f>
        <v/>
      </c>
      <c r="BR577" s="329"/>
      <c r="BS577" s="70"/>
      <c r="BT577" s="70"/>
      <c r="BU577" s="70"/>
      <c r="BV577" s="70"/>
      <c r="BW577" s="8"/>
      <c r="BX577" s="8"/>
      <c r="BY577" s="8"/>
      <c r="BZ577" s="8"/>
      <c r="CA577" s="8"/>
      <c r="CB577" s="10"/>
    </row>
    <row r="578" spans="3:80" ht="15" customHeight="1" x14ac:dyDescent="0.25">
      <c r="C578" s="69"/>
      <c r="F578" s="167" t="str">
        <f>IF(ISBLANK(Inputs!A61),"",Inputs!A61)</f>
        <v/>
      </c>
      <c r="G578" s="167"/>
      <c r="H578" s="167" t="str">
        <f>IF(ISBLANK(Inputs!B61),"",Inputs!B61)</f>
        <v/>
      </c>
      <c r="I578" s="167"/>
      <c r="J578" s="168" t="str">
        <f>IF(ISBLANK(Inputs!K61),"",Inputs!K61)</f>
        <v/>
      </c>
      <c r="K578" s="168"/>
      <c r="L578" s="168"/>
      <c r="M578" s="168" t="str">
        <f>IF(ISBLANK(Inputs!D61),"",Inputs!D61)</f>
        <v/>
      </c>
      <c r="N578" s="168"/>
      <c r="O578" s="168"/>
      <c r="P578" s="168" t="str">
        <f>IF(ISBLANK(Inputs!F61),"",Inputs!$B$10-Inputs!F61)</f>
        <v/>
      </c>
      <c r="Q578" s="168"/>
      <c r="R578" s="168"/>
      <c r="S578" s="168" t="str">
        <f>IF(ISBLANK(Inputs!L61),"",Inputs!L61)</f>
        <v/>
      </c>
      <c r="T578" s="168"/>
      <c r="U578" s="168"/>
      <c r="V578" s="168" t="str">
        <f>IF(ISBLANK(Inputs!E61),"",Inputs!E61)</f>
        <v/>
      </c>
      <c r="W578" s="168"/>
      <c r="X578" s="168"/>
      <c r="Y578" s="168" t="str">
        <f>IF(ISBLANK(Inputs!M61),"",Inputs!M61)</f>
        <v/>
      </c>
      <c r="Z578" s="168"/>
      <c r="AA578" s="168"/>
      <c r="AB578" s="168" t="str">
        <f>IF(ISBLANK(Inputs!N61),"",Inputs!N61)</f>
        <v/>
      </c>
      <c r="AC578" s="168"/>
      <c r="AD578" s="168"/>
      <c r="AE578" s="371" t="str">
        <f>IF(ISBLANK(Inputs!A61),"",Y578)</f>
        <v/>
      </c>
      <c r="AF578" s="371"/>
      <c r="AG578" s="329" t="str">
        <f>IF(ISBLANK(Inputs!$A61),"",
IF(OR(AE578="Solved",AE578="--"),"--",
((Mat.Conc_Alpha.1*Mat.Conc_f.c*$AB578*MIN(AE578*Mat.Conc_Beta.1,$Y578))
+(Mat.Conc_Alpha.1*Mat.Conc_f.c*$V578*MAX(0,AE578*Mat.Conc_Beta.1-$Y578)))
-($J578*MIN(Mat.Rebar_f.y,(Mat.Rebar_epsilon.cl*($S578-AE578)/AE578)*Mat.PT_E.s))
-($M578*Mat.PT_f.pu*(1-Mat.PT_k*AE578/$P578))))</f>
        <v/>
      </c>
      <c r="AH578" s="329"/>
      <c r="AI578" s="167" t="str">
        <f>IF(ISBLANK(Inputs!$A61),"",
IF(ABS(AG578)&lt;=0.001,"Solved",IF(AG578&gt;0,0.85*AE578,1.15*AE578)))</f>
        <v/>
      </c>
      <c r="AJ578" s="167"/>
      <c r="AK578" s="329" t="str">
        <f>IF(ISBLANK(Inputs!$A61),"",
IF(OR(AI578="Solved",AI578="--"),"--",
((Mat.Conc_Alpha.1*Mat.Conc_f.c*$AB578*MIN(AI578*Mat.Conc_Beta.1,$Y578))
+(Mat.Conc_Alpha.1*Mat.Conc_f.c*$V578*MAX(0,AI578*Mat.Conc_Beta.1-$Y578)))
-($J578*MIN(Mat.Rebar_f.y,(Mat.Rebar_epsilon.cl*($S578-AI578)/AI578)*Mat.PT_E.s))
-($M578*Mat.PT_f.pu*(1-Mat.PT_k*AI578/$P578))))</f>
        <v/>
      </c>
      <c r="AL578" s="329"/>
      <c r="AM578" s="167" t="str">
        <f>IF(ISBLANK(Inputs!$A61),"",
IF(AK578="--","Solved",
IF(ABS(AK578)&lt;=0.001,"Solved",AI578-AK578*(AI578-AE578)/(AK578-AG578))))</f>
        <v/>
      </c>
      <c r="AN578" s="167"/>
      <c r="AO578" s="329" t="str">
        <f>IF(ISBLANK(Inputs!$A61),"",
IF(OR(AM578="Solved",AM578="--"),"--",
((Mat.Conc_Alpha.1*Mat.Conc_f.c*$AB578*MIN(AM578*Mat.Conc_Beta.1,$Y578))
+(Mat.Conc_Alpha.1*Mat.Conc_f.c*$V578*MAX(0,AM578*Mat.Conc_Beta.1-$Y578)))
-($J578*MIN(Mat.Rebar_f.y,(Mat.Rebar_epsilon.cl*($S578-AM578)/AM578)*Mat.PT_E.s))
-($M578*Mat.PT_f.pu*(1-Mat.PT_k*AM578/$P578))))</f>
        <v/>
      </c>
      <c r="AP578" s="329"/>
      <c r="AQ578" s="167" t="str">
        <f>IF(ISBLANK(Inputs!$A61),"",
IF(AO578="--","Solved",
IF(ABS(AO578)&lt;=0.001,"Solved",AM578-AO578*(AM578-AI578)/(AO578-AK578))))</f>
        <v/>
      </c>
      <c r="AR578" s="167"/>
      <c r="AS578" s="329" t="str">
        <f>IF(ISBLANK(Inputs!$A61),"",
IF(OR(AQ578="Solved",AQ578="--"),"--",
((Mat.Conc_Alpha.1*Mat.Conc_f.c*$AB578*MIN(AQ578*Mat.Conc_Beta.1,$Y578))
+(Mat.Conc_Alpha.1*Mat.Conc_f.c*$V578*MAX(0,AQ578*Mat.Conc_Beta.1-$Y578)))
-($J578*MIN(Mat.Rebar_f.y,(Mat.Rebar_epsilon.cl*($S578-AQ578)/AQ578)*Mat.PT_E.s))
-($M578*Mat.PT_f.pu*(1-Mat.PT_k*AQ578/$P578))))</f>
        <v/>
      </c>
      <c r="AT578" s="329"/>
      <c r="AU578" s="167" t="str">
        <f>IF(ISBLANK(Inputs!$A61),"",
IF(AS578="--","Solved",
IF(ABS(AS578)&lt;=0.001,"Solved",AQ578-AS578*(AQ578-AM578)/(AS578-AO578))))</f>
        <v/>
      </c>
      <c r="AV578" s="167"/>
      <c r="AW578" s="329" t="str">
        <f>IF(ISBLANK(Inputs!$A61),"",
IF(OR(AU578="Solved",AU578="--"),"--",
((Mat.Conc_Alpha.1*Mat.Conc_f.c*$AB578*MIN(AU578*Mat.Conc_Beta.1,$Y578))
+(Mat.Conc_Alpha.1*Mat.Conc_f.c*$V578*MAX(0,AU578*Mat.Conc_Beta.1-$Y578)))
-($J578*MIN(Mat.Rebar_f.y,(Mat.Rebar_epsilon.cl*($S578-AU578)/AU578)*Mat.PT_E.s))
-($M578*Mat.PT_f.pu*(1-Mat.PT_k*AU578/$P578))))</f>
        <v/>
      </c>
      <c r="AX578" s="329"/>
      <c r="AY578" s="167" t="str">
        <f>IF(ISBLANK(Inputs!$A61),"",
IF(AW578="--","Solved",
IF(ABS(AW578)&lt;=0.001,"Solved",AU578-AW578*(AU578-AQ578)/(AW578-AS578))))</f>
        <v/>
      </c>
      <c r="AZ578" s="167"/>
      <c r="BA578" s="329" t="str">
        <f>IF(ISBLANK(Inputs!$A61),"",
IF(OR(AY578="Solved",AY578="--"),"--",
((Mat.Conc_Alpha.1*Mat.Conc_f.c*$AB578*MIN(AY578*Mat.Conc_Beta.1,$Y578))
+(Mat.Conc_Alpha.1*Mat.Conc_f.c*$V578*MAX(0,AY578*Mat.Conc_Beta.1-$Y578)))
-($J578*MIN(Mat.Rebar_f.y,(Mat.Rebar_epsilon.cl*($S578-AY578)/AY578)*Mat.PT_E.s))
-($M578*Mat.PT_f.pu*(1-Mat.PT_k*AY578/$P578))))</f>
        <v/>
      </c>
      <c r="BB578" s="329"/>
      <c r="BC578" s="167" t="str">
        <f>IF(ISBLANK(Inputs!$A61),"",
IF(BA578="--","Solved",
IF(ABS(BA578)&lt;=0.001,"Solved",AY578-BA578*(AY578-AU578)/(BA578-AW578))))</f>
        <v/>
      </c>
      <c r="BD578" s="167"/>
      <c r="BE578" s="329" t="str">
        <f>IF(ISBLANK(Inputs!$A61),"",
IF(OR(BC578="Solved",BC578="--"),"--",
((Mat.Conc_Alpha.1*Mat.Conc_f.c*$AB578*MIN(BC578*Mat.Conc_Beta.1,$Y578))
+(Mat.Conc_Alpha.1*Mat.Conc_f.c*$V578*MAX(0,BC578*Mat.Conc_Beta.1-$Y578)))
-($J578*MIN(Mat.Rebar_f.y,(Mat.Rebar_epsilon.cl*($S578-BC578)/BC578)*Mat.PT_E.s))
-($M578*Mat.PT_f.pu*(1-Mat.PT_k*BC578/$P578))))</f>
        <v/>
      </c>
      <c r="BF578" s="329"/>
      <c r="BG578" s="167" t="str">
        <f>IF(ISBLANK(Inputs!$A61),"",
IF(BE578="--","Solved",
IF(ABS(BE578)&lt;=0.001,"Solved",BC578-BE578*(BC578-AY578)/(BE578-BA578))))</f>
        <v/>
      </c>
      <c r="BH578" s="167"/>
      <c r="BI578" s="329" t="str">
        <f>IF(ISBLANK(Inputs!$A61),"",
IF(OR(BG578="Solved",BG578="--"),"--",
((Mat.Conc_Alpha.1*Mat.Conc_f.c*$AB578*MIN(BG578*Mat.Conc_Beta.1,$Y578))
+(Mat.Conc_Alpha.1*Mat.Conc_f.c*$V578*MAX(0,BG578*Mat.Conc_Beta.1-$Y578)))
-($J578*MIN(Mat.Rebar_f.y,(Mat.Rebar_epsilon.cl*($S578-BG578)/BG578)*Mat.PT_E.s))
-($M578*Mat.PT_f.pu*(1-Mat.PT_k*BG578/$P578))))</f>
        <v/>
      </c>
      <c r="BJ578" s="329"/>
      <c r="BK578" s="167" t="str">
        <f>IF(ISBLANK(Inputs!$A61),"",
IF(BI578="--","Solved",
IF(ABS(BI578)&lt;=0.001,"Solved",BG578-BI578*(BG578-BC578)/(BI578-BE578))))</f>
        <v/>
      </c>
      <c r="BL578" s="167"/>
      <c r="BM578" s="329" t="str">
        <f>IF(ISBLANK(Inputs!$A61),"",
IF(OR(BK578="Solved",BK578="--"),"--",
((Mat.Conc_Alpha.1*Mat.Conc_f.c*$AB578*MIN(BK578*Mat.Conc_Beta.1,$Y578))
+(Mat.Conc_Alpha.1*Mat.Conc_f.c*$V578*MAX(0,BK578*Mat.Conc_Beta.1-$Y578)))
-($J578*MIN(Mat.Rebar_f.y,(Mat.Rebar_epsilon.cl*($S578-BK578)/BK578)*Mat.PT_E.s))
-($M578*Mat.PT_f.pu*(1-Mat.PT_k*BK578/$P578))))</f>
        <v/>
      </c>
      <c r="BN578" s="329"/>
      <c r="BO578" s="167" t="str">
        <f>IF(ISBLANK(Inputs!$A61),"",
IF(BM578="--","Solved",
IF(ABS(BM578)&lt;=0.001,"Solved",BK578-BM578*(BK578-BG578)/(BM578-BI578))))</f>
        <v/>
      </c>
      <c r="BP578" s="167"/>
      <c r="BQ578" s="329" t="str">
        <f>IF(ISBLANK(Inputs!$A61),"",
IF(OR(BO578="Solved",BO578="--"),"--",
((Mat.Conc_Alpha.1*Mat.Conc_f.c*$AB578*MIN(BO578*Mat.Conc_Beta.1,$Y578))
+(Mat.Conc_Alpha.1*Mat.Conc_f.c*$V578*MAX(0,BO578*Mat.Conc_Beta.1-$Y578)))
-($J578*MIN(Mat.Rebar_f.y,(Mat.Rebar_epsilon.cl*($S578-BO578)/BO578)*Mat.PT_E.s))
-($M578*Mat.PT_f.pu*(1-Mat.PT_k*BO578/$P578))))</f>
        <v/>
      </c>
      <c r="BR578" s="329"/>
      <c r="BS578" s="70"/>
      <c r="BT578" s="70"/>
      <c r="BU578" s="70"/>
      <c r="BV578" s="70"/>
      <c r="BW578" s="8"/>
      <c r="BX578" s="8"/>
      <c r="BY578" s="8"/>
      <c r="BZ578" s="8"/>
      <c r="CA578" s="8"/>
      <c r="CB578" s="10"/>
    </row>
    <row r="579" spans="3:80" ht="15" customHeight="1" x14ac:dyDescent="0.25">
      <c r="C579" s="69"/>
      <c r="F579" s="167" t="str">
        <f>IF(ISBLANK(Inputs!A62),"",Inputs!A62)</f>
        <v/>
      </c>
      <c r="G579" s="167"/>
      <c r="H579" s="167" t="str">
        <f>IF(ISBLANK(Inputs!B62),"",Inputs!B62)</f>
        <v/>
      </c>
      <c r="I579" s="167"/>
      <c r="J579" s="168" t="str">
        <f>IF(ISBLANK(Inputs!K62),"",Inputs!K62)</f>
        <v/>
      </c>
      <c r="K579" s="168"/>
      <c r="L579" s="168"/>
      <c r="M579" s="168" t="str">
        <f>IF(ISBLANK(Inputs!D62),"",Inputs!D62)</f>
        <v/>
      </c>
      <c r="N579" s="168"/>
      <c r="O579" s="168"/>
      <c r="P579" s="168" t="str">
        <f>IF(ISBLANK(Inputs!F62),"",Inputs!$B$10-Inputs!F62)</f>
        <v/>
      </c>
      <c r="Q579" s="168"/>
      <c r="R579" s="168"/>
      <c r="S579" s="168" t="str">
        <f>IF(ISBLANK(Inputs!L62),"",Inputs!L62)</f>
        <v/>
      </c>
      <c r="T579" s="168"/>
      <c r="U579" s="168"/>
      <c r="V579" s="168" t="str">
        <f>IF(ISBLANK(Inputs!E62),"",Inputs!E62)</f>
        <v/>
      </c>
      <c r="W579" s="168"/>
      <c r="X579" s="168"/>
      <c r="Y579" s="168" t="str">
        <f>IF(ISBLANK(Inputs!M62),"",Inputs!M62)</f>
        <v/>
      </c>
      <c r="Z579" s="168"/>
      <c r="AA579" s="168"/>
      <c r="AB579" s="168" t="str">
        <f>IF(ISBLANK(Inputs!N62),"",Inputs!N62)</f>
        <v/>
      </c>
      <c r="AC579" s="168"/>
      <c r="AD579" s="168"/>
      <c r="AE579" s="371" t="str">
        <f>IF(ISBLANK(Inputs!A62),"",Y579)</f>
        <v/>
      </c>
      <c r="AF579" s="371"/>
      <c r="AG579" s="329" t="str">
        <f>IF(ISBLANK(Inputs!$A62),"",
IF(OR(AE579="Solved",AE579="--"),"--",
((Mat.Conc_Alpha.1*Mat.Conc_f.c*$AB579*MIN(AE579*Mat.Conc_Beta.1,$Y579))
+(Mat.Conc_Alpha.1*Mat.Conc_f.c*$V579*MAX(0,AE579*Mat.Conc_Beta.1-$Y579)))
-($J579*MIN(Mat.Rebar_f.y,(Mat.Rebar_epsilon.cl*($S579-AE579)/AE579)*Mat.PT_E.s))
-($M579*Mat.PT_f.pu*(1-Mat.PT_k*AE579/$P579))))</f>
        <v/>
      </c>
      <c r="AH579" s="329"/>
      <c r="AI579" s="167" t="str">
        <f>IF(ISBLANK(Inputs!$A62),"",
IF(ABS(AG579)&lt;=0.001,"Solved",IF(AG579&gt;0,0.85*AE579,1.15*AE579)))</f>
        <v/>
      </c>
      <c r="AJ579" s="167"/>
      <c r="AK579" s="329" t="str">
        <f>IF(ISBLANK(Inputs!$A62),"",
IF(OR(AI579="Solved",AI579="--"),"--",
((Mat.Conc_Alpha.1*Mat.Conc_f.c*$AB579*MIN(AI579*Mat.Conc_Beta.1,$Y579))
+(Mat.Conc_Alpha.1*Mat.Conc_f.c*$V579*MAX(0,AI579*Mat.Conc_Beta.1-$Y579)))
-($J579*MIN(Mat.Rebar_f.y,(Mat.Rebar_epsilon.cl*($S579-AI579)/AI579)*Mat.PT_E.s))
-($M579*Mat.PT_f.pu*(1-Mat.PT_k*AI579/$P579))))</f>
        <v/>
      </c>
      <c r="AL579" s="329"/>
      <c r="AM579" s="167" t="str">
        <f>IF(ISBLANK(Inputs!$A62),"",
IF(AK579="--","Solved",
IF(ABS(AK579)&lt;=0.001,"Solved",AI579-AK579*(AI579-AE579)/(AK579-AG579))))</f>
        <v/>
      </c>
      <c r="AN579" s="167"/>
      <c r="AO579" s="329" t="str">
        <f>IF(ISBLANK(Inputs!$A62),"",
IF(OR(AM579="Solved",AM579="--"),"--",
((Mat.Conc_Alpha.1*Mat.Conc_f.c*$AB579*MIN(AM579*Mat.Conc_Beta.1,$Y579))
+(Mat.Conc_Alpha.1*Mat.Conc_f.c*$V579*MAX(0,AM579*Mat.Conc_Beta.1-$Y579)))
-($J579*MIN(Mat.Rebar_f.y,(Mat.Rebar_epsilon.cl*($S579-AM579)/AM579)*Mat.PT_E.s))
-($M579*Mat.PT_f.pu*(1-Mat.PT_k*AM579/$P579))))</f>
        <v/>
      </c>
      <c r="AP579" s="329"/>
      <c r="AQ579" s="167" t="str">
        <f>IF(ISBLANK(Inputs!$A62),"",
IF(AO579="--","Solved",
IF(ABS(AO579)&lt;=0.001,"Solved",AM579-AO579*(AM579-AI579)/(AO579-AK579))))</f>
        <v/>
      </c>
      <c r="AR579" s="167"/>
      <c r="AS579" s="329" t="str">
        <f>IF(ISBLANK(Inputs!$A62),"",
IF(OR(AQ579="Solved",AQ579="--"),"--",
((Mat.Conc_Alpha.1*Mat.Conc_f.c*$AB579*MIN(AQ579*Mat.Conc_Beta.1,$Y579))
+(Mat.Conc_Alpha.1*Mat.Conc_f.c*$V579*MAX(0,AQ579*Mat.Conc_Beta.1-$Y579)))
-($J579*MIN(Mat.Rebar_f.y,(Mat.Rebar_epsilon.cl*($S579-AQ579)/AQ579)*Mat.PT_E.s))
-($M579*Mat.PT_f.pu*(1-Mat.PT_k*AQ579/$P579))))</f>
        <v/>
      </c>
      <c r="AT579" s="329"/>
      <c r="AU579" s="167" t="str">
        <f>IF(ISBLANK(Inputs!$A62),"",
IF(AS579="--","Solved",
IF(ABS(AS579)&lt;=0.001,"Solved",AQ579-AS579*(AQ579-AM579)/(AS579-AO579))))</f>
        <v/>
      </c>
      <c r="AV579" s="167"/>
      <c r="AW579" s="329" t="str">
        <f>IF(ISBLANK(Inputs!$A62),"",
IF(OR(AU579="Solved",AU579="--"),"--",
((Mat.Conc_Alpha.1*Mat.Conc_f.c*$AB579*MIN(AU579*Mat.Conc_Beta.1,$Y579))
+(Mat.Conc_Alpha.1*Mat.Conc_f.c*$V579*MAX(0,AU579*Mat.Conc_Beta.1-$Y579)))
-($J579*MIN(Mat.Rebar_f.y,(Mat.Rebar_epsilon.cl*($S579-AU579)/AU579)*Mat.PT_E.s))
-($M579*Mat.PT_f.pu*(1-Mat.PT_k*AU579/$P579))))</f>
        <v/>
      </c>
      <c r="AX579" s="329"/>
      <c r="AY579" s="167" t="str">
        <f>IF(ISBLANK(Inputs!$A62),"",
IF(AW579="--","Solved",
IF(ABS(AW579)&lt;=0.001,"Solved",AU579-AW579*(AU579-AQ579)/(AW579-AS579))))</f>
        <v/>
      </c>
      <c r="AZ579" s="167"/>
      <c r="BA579" s="329" t="str">
        <f>IF(ISBLANK(Inputs!$A62),"",
IF(OR(AY579="Solved",AY579="--"),"--",
((Mat.Conc_Alpha.1*Mat.Conc_f.c*$AB579*MIN(AY579*Mat.Conc_Beta.1,$Y579))
+(Mat.Conc_Alpha.1*Mat.Conc_f.c*$V579*MAX(0,AY579*Mat.Conc_Beta.1-$Y579)))
-($J579*MIN(Mat.Rebar_f.y,(Mat.Rebar_epsilon.cl*($S579-AY579)/AY579)*Mat.PT_E.s))
-($M579*Mat.PT_f.pu*(1-Mat.PT_k*AY579/$P579))))</f>
        <v/>
      </c>
      <c r="BB579" s="329"/>
      <c r="BC579" s="167" t="str">
        <f>IF(ISBLANK(Inputs!$A62),"",
IF(BA579="--","Solved",
IF(ABS(BA579)&lt;=0.001,"Solved",AY579-BA579*(AY579-AU579)/(BA579-AW579))))</f>
        <v/>
      </c>
      <c r="BD579" s="167"/>
      <c r="BE579" s="329" t="str">
        <f>IF(ISBLANK(Inputs!$A62),"",
IF(OR(BC579="Solved",BC579="--"),"--",
((Mat.Conc_Alpha.1*Mat.Conc_f.c*$AB579*MIN(BC579*Mat.Conc_Beta.1,$Y579))
+(Mat.Conc_Alpha.1*Mat.Conc_f.c*$V579*MAX(0,BC579*Mat.Conc_Beta.1-$Y579)))
-($J579*MIN(Mat.Rebar_f.y,(Mat.Rebar_epsilon.cl*($S579-BC579)/BC579)*Mat.PT_E.s))
-($M579*Mat.PT_f.pu*(1-Mat.PT_k*BC579/$P579))))</f>
        <v/>
      </c>
      <c r="BF579" s="329"/>
      <c r="BG579" s="167" t="str">
        <f>IF(ISBLANK(Inputs!$A62),"",
IF(BE579="--","Solved",
IF(ABS(BE579)&lt;=0.001,"Solved",BC579-BE579*(BC579-AY579)/(BE579-BA579))))</f>
        <v/>
      </c>
      <c r="BH579" s="167"/>
      <c r="BI579" s="329" t="str">
        <f>IF(ISBLANK(Inputs!$A62),"",
IF(OR(BG579="Solved",BG579="--"),"--",
((Mat.Conc_Alpha.1*Mat.Conc_f.c*$AB579*MIN(BG579*Mat.Conc_Beta.1,$Y579))
+(Mat.Conc_Alpha.1*Mat.Conc_f.c*$V579*MAX(0,BG579*Mat.Conc_Beta.1-$Y579)))
-($J579*MIN(Mat.Rebar_f.y,(Mat.Rebar_epsilon.cl*($S579-BG579)/BG579)*Mat.PT_E.s))
-($M579*Mat.PT_f.pu*(1-Mat.PT_k*BG579/$P579))))</f>
        <v/>
      </c>
      <c r="BJ579" s="329"/>
      <c r="BK579" s="167" t="str">
        <f>IF(ISBLANK(Inputs!$A62),"",
IF(BI579="--","Solved",
IF(ABS(BI579)&lt;=0.001,"Solved",BG579-BI579*(BG579-BC579)/(BI579-BE579))))</f>
        <v/>
      </c>
      <c r="BL579" s="167"/>
      <c r="BM579" s="329" t="str">
        <f>IF(ISBLANK(Inputs!$A62),"",
IF(OR(BK579="Solved",BK579="--"),"--",
((Mat.Conc_Alpha.1*Mat.Conc_f.c*$AB579*MIN(BK579*Mat.Conc_Beta.1,$Y579))
+(Mat.Conc_Alpha.1*Mat.Conc_f.c*$V579*MAX(0,BK579*Mat.Conc_Beta.1-$Y579)))
-($J579*MIN(Mat.Rebar_f.y,(Mat.Rebar_epsilon.cl*($S579-BK579)/BK579)*Mat.PT_E.s))
-($M579*Mat.PT_f.pu*(1-Mat.PT_k*BK579/$P579))))</f>
        <v/>
      </c>
      <c r="BN579" s="329"/>
      <c r="BO579" s="167" t="str">
        <f>IF(ISBLANK(Inputs!$A62),"",
IF(BM579="--","Solved",
IF(ABS(BM579)&lt;=0.001,"Solved",BK579-BM579*(BK579-BG579)/(BM579-BI579))))</f>
        <v/>
      </c>
      <c r="BP579" s="167"/>
      <c r="BQ579" s="329" t="str">
        <f>IF(ISBLANK(Inputs!$A62),"",
IF(OR(BO579="Solved",BO579="--"),"--",
((Mat.Conc_Alpha.1*Mat.Conc_f.c*$AB579*MIN(BO579*Mat.Conc_Beta.1,$Y579))
+(Mat.Conc_Alpha.1*Mat.Conc_f.c*$V579*MAX(0,BO579*Mat.Conc_Beta.1-$Y579)))
-($J579*MIN(Mat.Rebar_f.y,(Mat.Rebar_epsilon.cl*($S579-BO579)/BO579)*Mat.PT_E.s))
-($M579*Mat.PT_f.pu*(1-Mat.PT_k*BO579/$P579))))</f>
        <v/>
      </c>
      <c r="BR579" s="329"/>
      <c r="BS579" s="70"/>
      <c r="BT579" s="70"/>
      <c r="BU579" s="70"/>
      <c r="BV579" s="70"/>
      <c r="BW579" s="8"/>
      <c r="BX579" s="8"/>
      <c r="BY579" s="8"/>
      <c r="BZ579" s="8"/>
      <c r="CA579" s="8"/>
      <c r="CB579" s="10"/>
    </row>
    <row r="580" spans="3:80" ht="15" customHeight="1" x14ac:dyDescent="0.25">
      <c r="C580" s="69"/>
      <c r="F580" s="167" t="str">
        <f>IF(ISBLANK(Inputs!A63),"",Inputs!A63)</f>
        <v/>
      </c>
      <c r="G580" s="167"/>
      <c r="H580" s="167" t="str">
        <f>IF(ISBLANK(Inputs!B63),"",Inputs!B63)</f>
        <v/>
      </c>
      <c r="I580" s="167"/>
      <c r="J580" s="168" t="str">
        <f>IF(ISBLANK(Inputs!K63),"",Inputs!K63)</f>
        <v/>
      </c>
      <c r="K580" s="168"/>
      <c r="L580" s="168"/>
      <c r="M580" s="168" t="str">
        <f>IF(ISBLANK(Inputs!D63),"",Inputs!D63)</f>
        <v/>
      </c>
      <c r="N580" s="168"/>
      <c r="O580" s="168"/>
      <c r="P580" s="168" t="str">
        <f>IF(ISBLANK(Inputs!F63),"",Inputs!$B$10-Inputs!F63)</f>
        <v/>
      </c>
      <c r="Q580" s="168"/>
      <c r="R580" s="168"/>
      <c r="S580" s="168" t="str">
        <f>IF(ISBLANK(Inputs!L63),"",Inputs!L63)</f>
        <v/>
      </c>
      <c r="T580" s="168"/>
      <c r="U580" s="168"/>
      <c r="V580" s="168" t="str">
        <f>IF(ISBLANK(Inputs!E63),"",Inputs!E63)</f>
        <v/>
      </c>
      <c r="W580" s="168"/>
      <c r="X580" s="168"/>
      <c r="Y580" s="168" t="str">
        <f>IF(ISBLANK(Inputs!M63),"",Inputs!M63)</f>
        <v/>
      </c>
      <c r="Z580" s="168"/>
      <c r="AA580" s="168"/>
      <c r="AB580" s="168" t="str">
        <f>IF(ISBLANK(Inputs!N63),"",Inputs!N63)</f>
        <v/>
      </c>
      <c r="AC580" s="168"/>
      <c r="AD580" s="168"/>
      <c r="AE580" s="371" t="str">
        <f>IF(ISBLANK(Inputs!A63),"",Y580)</f>
        <v/>
      </c>
      <c r="AF580" s="371"/>
      <c r="AG580" s="329" t="str">
        <f>IF(ISBLANK(Inputs!$A63),"",
IF(OR(AE580="Solved",AE580="--"),"--",
((Mat.Conc_Alpha.1*Mat.Conc_f.c*$AB580*MIN(AE580*Mat.Conc_Beta.1,$Y580))
+(Mat.Conc_Alpha.1*Mat.Conc_f.c*$V580*MAX(0,AE580*Mat.Conc_Beta.1-$Y580)))
-($J580*MIN(Mat.Rebar_f.y,(Mat.Rebar_epsilon.cl*($S580-AE580)/AE580)*Mat.PT_E.s))
-($M580*Mat.PT_f.pu*(1-Mat.PT_k*AE580/$P580))))</f>
        <v/>
      </c>
      <c r="AH580" s="329"/>
      <c r="AI580" s="167" t="str">
        <f>IF(ISBLANK(Inputs!$A63),"",
IF(ABS(AG580)&lt;=0.001,"Solved",IF(AG580&gt;0,0.85*AE580,1.15*AE580)))</f>
        <v/>
      </c>
      <c r="AJ580" s="167"/>
      <c r="AK580" s="329" t="str">
        <f>IF(ISBLANK(Inputs!$A63),"",
IF(OR(AI580="Solved",AI580="--"),"--",
((Mat.Conc_Alpha.1*Mat.Conc_f.c*$AB580*MIN(AI580*Mat.Conc_Beta.1,$Y580))
+(Mat.Conc_Alpha.1*Mat.Conc_f.c*$V580*MAX(0,AI580*Mat.Conc_Beta.1-$Y580)))
-($J580*MIN(Mat.Rebar_f.y,(Mat.Rebar_epsilon.cl*($S580-AI580)/AI580)*Mat.PT_E.s))
-($M580*Mat.PT_f.pu*(1-Mat.PT_k*AI580/$P580))))</f>
        <v/>
      </c>
      <c r="AL580" s="329"/>
      <c r="AM580" s="167" t="str">
        <f>IF(ISBLANK(Inputs!$A63),"",
IF(AK580="--","Solved",
IF(ABS(AK580)&lt;=0.001,"Solved",AI580-AK580*(AI580-AE580)/(AK580-AG580))))</f>
        <v/>
      </c>
      <c r="AN580" s="167"/>
      <c r="AO580" s="329" t="str">
        <f>IF(ISBLANK(Inputs!$A63),"",
IF(OR(AM580="Solved",AM580="--"),"--",
((Mat.Conc_Alpha.1*Mat.Conc_f.c*$AB580*MIN(AM580*Mat.Conc_Beta.1,$Y580))
+(Mat.Conc_Alpha.1*Mat.Conc_f.c*$V580*MAX(0,AM580*Mat.Conc_Beta.1-$Y580)))
-($J580*MIN(Mat.Rebar_f.y,(Mat.Rebar_epsilon.cl*($S580-AM580)/AM580)*Mat.PT_E.s))
-($M580*Mat.PT_f.pu*(1-Mat.PT_k*AM580/$P580))))</f>
        <v/>
      </c>
      <c r="AP580" s="329"/>
      <c r="AQ580" s="167" t="str">
        <f>IF(ISBLANK(Inputs!$A63),"",
IF(AO580="--","Solved",
IF(ABS(AO580)&lt;=0.001,"Solved",AM580-AO580*(AM580-AI580)/(AO580-AK580))))</f>
        <v/>
      </c>
      <c r="AR580" s="167"/>
      <c r="AS580" s="329" t="str">
        <f>IF(ISBLANK(Inputs!$A63),"",
IF(OR(AQ580="Solved",AQ580="--"),"--",
((Mat.Conc_Alpha.1*Mat.Conc_f.c*$AB580*MIN(AQ580*Mat.Conc_Beta.1,$Y580))
+(Mat.Conc_Alpha.1*Mat.Conc_f.c*$V580*MAX(0,AQ580*Mat.Conc_Beta.1-$Y580)))
-($J580*MIN(Mat.Rebar_f.y,(Mat.Rebar_epsilon.cl*($S580-AQ580)/AQ580)*Mat.PT_E.s))
-($M580*Mat.PT_f.pu*(1-Mat.PT_k*AQ580/$P580))))</f>
        <v/>
      </c>
      <c r="AT580" s="329"/>
      <c r="AU580" s="167" t="str">
        <f>IF(ISBLANK(Inputs!$A63),"",
IF(AS580="--","Solved",
IF(ABS(AS580)&lt;=0.001,"Solved",AQ580-AS580*(AQ580-AM580)/(AS580-AO580))))</f>
        <v/>
      </c>
      <c r="AV580" s="167"/>
      <c r="AW580" s="329" t="str">
        <f>IF(ISBLANK(Inputs!$A63),"",
IF(OR(AU580="Solved",AU580="--"),"--",
((Mat.Conc_Alpha.1*Mat.Conc_f.c*$AB580*MIN(AU580*Mat.Conc_Beta.1,$Y580))
+(Mat.Conc_Alpha.1*Mat.Conc_f.c*$V580*MAX(0,AU580*Mat.Conc_Beta.1-$Y580)))
-($J580*MIN(Mat.Rebar_f.y,(Mat.Rebar_epsilon.cl*($S580-AU580)/AU580)*Mat.PT_E.s))
-($M580*Mat.PT_f.pu*(1-Mat.PT_k*AU580/$P580))))</f>
        <v/>
      </c>
      <c r="AX580" s="329"/>
      <c r="AY580" s="167" t="str">
        <f>IF(ISBLANK(Inputs!$A63),"",
IF(AW580="--","Solved",
IF(ABS(AW580)&lt;=0.001,"Solved",AU580-AW580*(AU580-AQ580)/(AW580-AS580))))</f>
        <v/>
      </c>
      <c r="AZ580" s="167"/>
      <c r="BA580" s="329" t="str">
        <f>IF(ISBLANK(Inputs!$A63),"",
IF(OR(AY580="Solved",AY580="--"),"--",
((Mat.Conc_Alpha.1*Mat.Conc_f.c*$AB580*MIN(AY580*Mat.Conc_Beta.1,$Y580))
+(Mat.Conc_Alpha.1*Mat.Conc_f.c*$V580*MAX(0,AY580*Mat.Conc_Beta.1-$Y580)))
-($J580*MIN(Mat.Rebar_f.y,(Mat.Rebar_epsilon.cl*($S580-AY580)/AY580)*Mat.PT_E.s))
-($M580*Mat.PT_f.pu*(1-Mat.PT_k*AY580/$P580))))</f>
        <v/>
      </c>
      <c r="BB580" s="329"/>
      <c r="BC580" s="167" t="str">
        <f>IF(ISBLANK(Inputs!$A63),"",
IF(BA580="--","Solved",
IF(ABS(BA580)&lt;=0.001,"Solved",AY580-BA580*(AY580-AU580)/(BA580-AW580))))</f>
        <v/>
      </c>
      <c r="BD580" s="167"/>
      <c r="BE580" s="329" t="str">
        <f>IF(ISBLANK(Inputs!$A63),"",
IF(OR(BC580="Solved",BC580="--"),"--",
((Mat.Conc_Alpha.1*Mat.Conc_f.c*$AB580*MIN(BC580*Mat.Conc_Beta.1,$Y580))
+(Mat.Conc_Alpha.1*Mat.Conc_f.c*$V580*MAX(0,BC580*Mat.Conc_Beta.1-$Y580)))
-($J580*MIN(Mat.Rebar_f.y,(Mat.Rebar_epsilon.cl*($S580-BC580)/BC580)*Mat.PT_E.s))
-($M580*Mat.PT_f.pu*(1-Mat.PT_k*BC580/$P580))))</f>
        <v/>
      </c>
      <c r="BF580" s="329"/>
      <c r="BG580" s="167" t="str">
        <f>IF(ISBLANK(Inputs!$A63),"",
IF(BE580="--","Solved",
IF(ABS(BE580)&lt;=0.001,"Solved",BC580-BE580*(BC580-AY580)/(BE580-BA580))))</f>
        <v/>
      </c>
      <c r="BH580" s="167"/>
      <c r="BI580" s="329" t="str">
        <f>IF(ISBLANK(Inputs!$A63),"",
IF(OR(BG580="Solved",BG580="--"),"--",
((Mat.Conc_Alpha.1*Mat.Conc_f.c*$AB580*MIN(BG580*Mat.Conc_Beta.1,$Y580))
+(Mat.Conc_Alpha.1*Mat.Conc_f.c*$V580*MAX(0,BG580*Mat.Conc_Beta.1-$Y580)))
-($J580*MIN(Mat.Rebar_f.y,(Mat.Rebar_epsilon.cl*($S580-BG580)/BG580)*Mat.PT_E.s))
-($M580*Mat.PT_f.pu*(1-Mat.PT_k*BG580/$P580))))</f>
        <v/>
      </c>
      <c r="BJ580" s="329"/>
      <c r="BK580" s="167" t="str">
        <f>IF(ISBLANK(Inputs!$A63),"",
IF(BI580="--","Solved",
IF(ABS(BI580)&lt;=0.001,"Solved",BG580-BI580*(BG580-BC580)/(BI580-BE580))))</f>
        <v/>
      </c>
      <c r="BL580" s="167"/>
      <c r="BM580" s="329" t="str">
        <f>IF(ISBLANK(Inputs!$A63),"",
IF(OR(BK580="Solved",BK580="--"),"--",
((Mat.Conc_Alpha.1*Mat.Conc_f.c*$AB580*MIN(BK580*Mat.Conc_Beta.1,$Y580))
+(Mat.Conc_Alpha.1*Mat.Conc_f.c*$V580*MAX(0,BK580*Mat.Conc_Beta.1-$Y580)))
-($J580*MIN(Mat.Rebar_f.y,(Mat.Rebar_epsilon.cl*($S580-BK580)/BK580)*Mat.PT_E.s))
-($M580*Mat.PT_f.pu*(1-Mat.PT_k*BK580/$P580))))</f>
        <v/>
      </c>
      <c r="BN580" s="329"/>
      <c r="BO580" s="167" t="str">
        <f>IF(ISBLANK(Inputs!$A63),"",
IF(BM580="--","Solved",
IF(ABS(BM580)&lt;=0.001,"Solved",BK580-BM580*(BK580-BG580)/(BM580-BI580))))</f>
        <v/>
      </c>
      <c r="BP580" s="167"/>
      <c r="BQ580" s="329" t="str">
        <f>IF(ISBLANK(Inputs!$A63),"",
IF(OR(BO580="Solved",BO580="--"),"--",
((Mat.Conc_Alpha.1*Mat.Conc_f.c*$AB580*MIN(BO580*Mat.Conc_Beta.1,$Y580))
+(Mat.Conc_Alpha.1*Mat.Conc_f.c*$V580*MAX(0,BO580*Mat.Conc_Beta.1-$Y580)))
-($J580*MIN(Mat.Rebar_f.y,(Mat.Rebar_epsilon.cl*($S580-BO580)/BO580)*Mat.PT_E.s))
-($M580*Mat.PT_f.pu*(1-Mat.PT_k*BO580/$P580))))</f>
        <v/>
      </c>
      <c r="BR580" s="329"/>
      <c r="BS580" s="70"/>
      <c r="BT580" s="70"/>
      <c r="BU580" s="70"/>
      <c r="BV580" s="70"/>
      <c r="BW580" s="8"/>
      <c r="BX580" s="8"/>
      <c r="BY580" s="8"/>
      <c r="BZ580" s="8"/>
      <c r="CA580" s="8"/>
      <c r="CB580" s="10"/>
    </row>
    <row r="581" spans="3:80" ht="15" customHeight="1" x14ac:dyDescent="0.25">
      <c r="C581" s="69"/>
      <c r="F581" s="167" t="str">
        <f>IF(ISBLANK(Inputs!A64),"",Inputs!A64)</f>
        <v/>
      </c>
      <c r="G581" s="167"/>
      <c r="H581" s="167" t="str">
        <f>IF(ISBLANK(Inputs!B64),"",Inputs!B64)</f>
        <v/>
      </c>
      <c r="I581" s="167"/>
      <c r="J581" s="168" t="str">
        <f>IF(ISBLANK(Inputs!K64),"",Inputs!K64)</f>
        <v/>
      </c>
      <c r="K581" s="168"/>
      <c r="L581" s="168"/>
      <c r="M581" s="168" t="str">
        <f>IF(ISBLANK(Inputs!D64),"",Inputs!D64)</f>
        <v/>
      </c>
      <c r="N581" s="168"/>
      <c r="O581" s="168"/>
      <c r="P581" s="168" t="str">
        <f>IF(ISBLANK(Inputs!F64),"",Inputs!$B$10-Inputs!F64)</f>
        <v/>
      </c>
      <c r="Q581" s="168"/>
      <c r="R581" s="168"/>
      <c r="S581" s="168" t="str">
        <f>IF(ISBLANK(Inputs!L64),"",Inputs!L64)</f>
        <v/>
      </c>
      <c r="T581" s="168"/>
      <c r="U581" s="168"/>
      <c r="V581" s="168" t="str">
        <f>IF(ISBLANK(Inputs!E64),"",Inputs!E64)</f>
        <v/>
      </c>
      <c r="W581" s="168"/>
      <c r="X581" s="168"/>
      <c r="Y581" s="168" t="str">
        <f>IF(ISBLANK(Inputs!M64),"",Inputs!M64)</f>
        <v/>
      </c>
      <c r="Z581" s="168"/>
      <c r="AA581" s="168"/>
      <c r="AB581" s="168" t="str">
        <f>IF(ISBLANK(Inputs!N64),"",Inputs!N64)</f>
        <v/>
      </c>
      <c r="AC581" s="168"/>
      <c r="AD581" s="168"/>
      <c r="AE581" s="371" t="str">
        <f>IF(ISBLANK(Inputs!A64),"",Y581)</f>
        <v/>
      </c>
      <c r="AF581" s="371"/>
      <c r="AG581" s="329" t="str">
        <f>IF(ISBLANK(Inputs!$A64),"",
IF(OR(AE581="Solved",AE581="--"),"--",
((Mat.Conc_Alpha.1*Mat.Conc_f.c*$AB581*MIN(AE581*Mat.Conc_Beta.1,$Y581))
+(Mat.Conc_Alpha.1*Mat.Conc_f.c*$V581*MAX(0,AE581*Mat.Conc_Beta.1-$Y581)))
-($J581*MIN(Mat.Rebar_f.y,(Mat.Rebar_epsilon.cl*($S581-AE581)/AE581)*Mat.PT_E.s))
-($M581*Mat.PT_f.pu*(1-Mat.PT_k*AE581/$P581))))</f>
        <v/>
      </c>
      <c r="AH581" s="329"/>
      <c r="AI581" s="167" t="str">
        <f>IF(ISBLANK(Inputs!$A64),"",
IF(ABS(AG581)&lt;=0.001,"Solved",IF(AG581&gt;0,0.85*AE581,1.15*AE581)))</f>
        <v/>
      </c>
      <c r="AJ581" s="167"/>
      <c r="AK581" s="329" t="str">
        <f>IF(ISBLANK(Inputs!$A64),"",
IF(OR(AI581="Solved",AI581="--"),"--",
((Mat.Conc_Alpha.1*Mat.Conc_f.c*$AB581*MIN(AI581*Mat.Conc_Beta.1,$Y581))
+(Mat.Conc_Alpha.1*Mat.Conc_f.c*$V581*MAX(0,AI581*Mat.Conc_Beta.1-$Y581)))
-($J581*MIN(Mat.Rebar_f.y,(Mat.Rebar_epsilon.cl*($S581-AI581)/AI581)*Mat.PT_E.s))
-($M581*Mat.PT_f.pu*(1-Mat.PT_k*AI581/$P581))))</f>
        <v/>
      </c>
      <c r="AL581" s="329"/>
      <c r="AM581" s="167" t="str">
        <f>IF(ISBLANK(Inputs!$A64),"",
IF(AK581="--","Solved",
IF(ABS(AK581)&lt;=0.001,"Solved",AI581-AK581*(AI581-AE581)/(AK581-AG581))))</f>
        <v/>
      </c>
      <c r="AN581" s="167"/>
      <c r="AO581" s="329" t="str">
        <f>IF(ISBLANK(Inputs!$A64),"",
IF(OR(AM581="Solved",AM581="--"),"--",
((Mat.Conc_Alpha.1*Mat.Conc_f.c*$AB581*MIN(AM581*Mat.Conc_Beta.1,$Y581))
+(Mat.Conc_Alpha.1*Mat.Conc_f.c*$V581*MAX(0,AM581*Mat.Conc_Beta.1-$Y581)))
-($J581*MIN(Mat.Rebar_f.y,(Mat.Rebar_epsilon.cl*($S581-AM581)/AM581)*Mat.PT_E.s))
-($M581*Mat.PT_f.pu*(1-Mat.PT_k*AM581/$P581))))</f>
        <v/>
      </c>
      <c r="AP581" s="329"/>
      <c r="AQ581" s="167" t="str">
        <f>IF(ISBLANK(Inputs!$A64),"",
IF(AO581="--","Solved",
IF(ABS(AO581)&lt;=0.001,"Solved",AM581-AO581*(AM581-AI581)/(AO581-AK581))))</f>
        <v/>
      </c>
      <c r="AR581" s="167"/>
      <c r="AS581" s="329" t="str">
        <f>IF(ISBLANK(Inputs!$A64),"",
IF(OR(AQ581="Solved",AQ581="--"),"--",
((Mat.Conc_Alpha.1*Mat.Conc_f.c*$AB581*MIN(AQ581*Mat.Conc_Beta.1,$Y581))
+(Mat.Conc_Alpha.1*Mat.Conc_f.c*$V581*MAX(0,AQ581*Mat.Conc_Beta.1-$Y581)))
-($J581*MIN(Mat.Rebar_f.y,(Mat.Rebar_epsilon.cl*($S581-AQ581)/AQ581)*Mat.PT_E.s))
-($M581*Mat.PT_f.pu*(1-Mat.PT_k*AQ581/$P581))))</f>
        <v/>
      </c>
      <c r="AT581" s="329"/>
      <c r="AU581" s="167" t="str">
        <f>IF(ISBLANK(Inputs!$A64),"",
IF(AS581="--","Solved",
IF(ABS(AS581)&lt;=0.001,"Solved",AQ581-AS581*(AQ581-AM581)/(AS581-AO581))))</f>
        <v/>
      </c>
      <c r="AV581" s="167"/>
      <c r="AW581" s="329" t="str">
        <f>IF(ISBLANK(Inputs!$A64),"",
IF(OR(AU581="Solved",AU581="--"),"--",
((Mat.Conc_Alpha.1*Mat.Conc_f.c*$AB581*MIN(AU581*Mat.Conc_Beta.1,$Y581))
+(Mat.Conc_Alpha.1*Mat.Conc_f.c*$V581*MAX(0,AU581*Mat.Conc_Beta.1-$Y581)))
-($J581*MIN(Mat.Rebar_f.y,(Mat.Rebar_epsilon.cl*($S581-AU581)/AU581)*Mat.PT_E.s))
-($M581*Mat.PT_f.pu*(1-Mat.PT_k*AU581/$P581))))</f>
        <v/>
      </c>
      <c r="AX581" s="329"/>
      <c r="AY581" s="167" t="str">
        <f>IF(ISBLANK(Inputs!$A64),"",
IF(AW581="--","Solved",
IF(ABS(AW581)&lt;=0.001,"Solved",AU581-AW581*(AU581-AQ581)/(AW581-AS581))))</f>
        <v/>
      </c>
      <c r="AZ581" s="167"/>
      <c r="BA581" s="329" t="str">
        <f>IF(ISBLANK(Inputs!$A64),"",
IF(OR(AY581="Solved",AY581="--"),"--",
((Mat.Conc_Alpha.1*Mat.Conc_f.c*$AB581*MIN(AY581*Mat.Conc_Beta.1,$Y581))
+(Mat.Conc_Alpha.1*Mat.Conc_f.c*$V581*MAX(0,AY581*Mat.Conc_Beta.1-$Y581)))
-($J581*MIN(Mat.Rebar_f.y,(Mat.Rebar_epsilon.cl*($S581-AY581)/AY581)*Mat.PT_E.s))
-($M581*Mat.PT_f.pu*(1-Mat.PT_k*AY581/$P581))))</f>
        <v/>
      </c>
      <c r="BB581" s="329"/>
      <c r="BC581" s="167" t="str">
        <f>IF(ISBLANK(Inputs!$A64),"",
IF(BA581="--","Solved",
IF(ABS(BA581)&lt;=0.001,"Solved",AY581-BA581*(AY581-AU581)/(BA581-AW581))))</f>
        <v/>
      </c>
      <c r="BD581" s="167"/>
      <c r="BE581" s="329" t="str">
        <f>IF(ISBLANK(Inputs!$A64),"",
IF(OR(BC581="Solved",BC581="--"),"--",
((Mat.Conc_Alpha.1*Mat.Conc_f.c*$AB581*MIN(BC581*Mat.Conc_Beta.1,$Y581))
+(Mat.Conc_Alpha.1*Mat.Conc_f.c*$V581*MAX(0,BC581*Mat.Conc_Beta.1-$Y581)))
-($J581*MIN(Mat.Rebar_f.y,(Mat.Rebar_epsilon.cl*($S581-BC581)/BC581)*Mat.PT_E.s))
-($M581*Mat.PT_f.pu*(1-Mat.PT_k*BC581/$P581))))</f>
        <v/>
      </c>
      <c r="BF581" s="329"/>
      <c r="BG581" s="167" t="str">
        <f>IF(ISBLANK(Inputs!$A64),"",
IF(BE581="--","Solved",
IF(ABS(BE581)&lt;=0.001,"Solved",BC581-BE581*(BC581-AY581)/(BE581-BA581))))</f>
        <v/>
      </c>
      <c r="BH581" s="167"/>
      <c r="BI581" s="329" t="str">
        <f>IF(ISBLANK(Inputs!$A64),"",
IF(OR(BG581="Solved",BG581="--"),"--",
((Mat.Conc_Alpha.1*Mat.Conc_f.c*$AB581*MIN(BG581*Mat.Conc_Beta.1,$Y581))
+(Mat.Conc_Alpha.1*Mat.Conc_f.c*$V581*MAX(0,BG581*Mat.Conc_Beta.1-$Y581)))
-($J581*MIN(Mat.Rebar_f.y,(Mat.Rebar_epsilon.cl*($S581-BG581)/BG581)*Mat.PT_E.s))
-($M581*Mat.PT_f.pu*(1-Mat.PT_k*BG581/$P581))))</f>
        <v/>
      </c>
      <c r="BJ581" s="329"/>
      <c r="BK581" s="167" t="str">
        <f>IF(ISBLANK(Inputs!$A64),"",
IF(BI581="--","Solved",
IF(ABS(BI581)&lt;=0.001,"Solved",BG581-BI581*(BG581-BC581)/(BI581-BE581))))</f>
        <v/>
      </c>
      <c r="BL581" s="167"/>
      <c r="BM581" s="329" t="str">
        <f>IF(ISBLANK(Inputs!$A64),"",
IF(OR(BK581="Solved",BK581="--"),"--",
((Mat.Conc_Alpha.1*Mat.Conc_f.c*$AB581*MIN(BK581*Mat.Conc_Beta.1,$Y581))
+(Mat.Conc_Alpha.1*Mat.Conc_f.c*$V581*MAX(0,BK581*Mat.Conc_Beta.1-$Y581)))
-($J581*MIN(Mat.Rebar_f.y,(Mat.Rebar_epsilon.cl*($S581-BK581)/BK581)*Mat.PT_E.s))
-($M581*Mat.PT_f.pu*(1-Mat.PT_k*BK581/$P581))))</f>
        <v/>
      </c>
      <c r="BN581" s="329"/>
      <c r="BO581" s="167" t="str">
        <f>IF(ISBLANK(Inputs!$A64),"",
IF(BM581="--","Solved",
IF(ABS(BM581)&lt;=0.001,"Solved",BK581-BM581*(BK581-BG581)/(BM581-BI581))))</f>
        <v/>
      </c>
      <c r="BP581" s="167"/>
      <c r="BQ581" s="329" t="str">
        <f>IF(ISBLANK(Inputs!$A64),"",
IF(OR(BO581="Solved",BO581="--"),"--",
((Mat.Conc_Alpha.1*Mat.Conc_f.c*$AB581*MIN(BO581*Mat.Conc_Beta.1,$Y581))
+(Mat.Conc_Alpha.1*Mat.Conc_f.c*$V581*MAX(0,BO581*Mat.Conc_Beta.1-$Y581)))
-($J581*MIN(Mat.Rebar_f.y,(Mat.Rebar_epsilon.cl*($S581-BO581)/BO581)*Mat.PT_E.s))
-($M581*Mat.PT_f.pu*(1-Mat.PT_k*BO581/$P581))))</f>
        <v/>
      </c>
      <c r="BR581" s="329"/>
      <c r="BS581" s="70"/>
      <c r="BT581" s="70"/>
      <c r="BU581" s="70"/>
      <c r="BV581" s="70"/>
      <c r="BW581" s="8"/>
      <c r="BX581" s="8"/>
      <c r="BY581" s="8"/>
      <c r="BZ581" s="8"/>
      <c r="CA581" s="8"/>
      <c r="CB581" s="10"/>
    </row>
    <row r="582" spans="3:80" ht="15" customHeight="1" x14ac:dyDescent="0.25">
      <c r="C582" s="69"/>
      <c r="F582" s="167" t="str">
        <f>IF(ISBLANK(Inputs!A65),"",Inputs!A65)</f>
        <v/>
      </c>
      <c r="G582" s="167"/>
      <c r="H582" s="167" t="str">
        <f>IF(ISBLANK(Inputs!B65),"",Inputs!B65)</f>
        <v/>
      </c>
      <c r="I582" s="167"/>
      <c r="J582" s="168" t="str">
        <f>IF(ISBLANK(Inputs!K65),"",Inputs!K65)</f>
        <v/>
      </c>
      <c r="K582" s="168"/>
      <c r="L582" s="168"/>
      <c r="M582" s="168" t="str">
        <f>IF(ISBLANK(Inputs!D65),"",Inputs!D65)</f>
        <v/>
      </c>
      <c r="N582" s="168"/>
      <c r="O582" s="168"/>
      <c r="P582" s="168" t="str">
        <f>IF(ISBLANK(Inputs!F65),"",Inputs!$B$10-Inputs!F65)</f>
        <v/>
      </c>
      <c r="Q582" s="168"/>
      <c r="R582" s="168"/>
      <c r="S582" s="168" t="str">
        <f>IF(ISBLANK(Inputs!L65),"",Inputs!L65)</f>
        <v/>
      </c>
      <c r="T582" s="168"/>
      <c r="U582" s="168"/>
      <c r="V582" s="168" t="str">
        <f>IF(ISBLANK(Inputs!E65),"",Inputs!E65)</f>
        <v/>
      </c>
      <c r="W582" s="168"/>
      <c r="X582" s="168"/>
      <c r="Y582" s="168" t="str">
        <f>IF(ISBLANK(Inputs!M65),"",Inputs!M65)</f>
        <v/>
      </c>
      <c r="Z582" s="168"/>
      <c r="AA582" s="168"/>
      <c r="AB582" s="168" t="str">
        <f>IF(ISBLANK(Inputs!N65),"",Inputs!N65)</f>
        <v/>
      </c>
      <c r="AC582" s="168"/>
      <c r="AD582" s="168"/>
      <c r="AE582" s="371" t="str">
        <f>IF(ISBLANK(Inputs!A65),"",Y582)</f>
        <v/>
      </c>
      <c r="AF582" s="371"/>
      <c r="AG582" s="329" t="str">
        <f>IF(ISBLANK(Inputs!$A65),"",
IF(OR(AE582="Solved",AE582="--"),"--",
((Mat.Conc_Alpha.1*Mat.Conc_f.c*$AB582*MIN(AE582*Mat.Conc_Beta.1,$Y582))
+(Mat.Conc_Alpha.1*Mat.Conc_f.c*$V582*MAX(0,AE582*Mat.Conc_Beta.1-$Y582)))
-($J582*MIN(Mat.Rebar_f.y,(Mat.Rebar_epsilon.cl*($S582-AE582)/AE582)*Mat.PT_E.s))
-($M582*Mat.PT_f.pu*(1-Mat.PT_k*AE582/$P582))))</f>
        <v/>
      </c>
      <c r="AH582" s="329"/>
      <c r="AI582" s="167" t="str">
        <f>IF(ISBLANK(Inputs!$A65),"",
IF(ABS(AG582)&lt;=0.001,"Solved",IF(AG582&gt;0,0.85*AE582,1.15*AE582)))</f>
        <v/>
      </c>
      <c r="AJ582" s="167"/>
      <c r="AK582" s="329" t="str">
        <f>IF(ISBLANK(Inputs!$A65),"",
IF(OR(AI582="Solved",AI582="--"),"--",
((Mat.Conc_Alpha.1*Mat.Conc_f.c*$AB582*MIN(AI582*Mat.Conc_Beta.1,$Y582))
+(Mat.Conc_Alpha.1*Mat.Conc_f.c*$V582*MAX(0,AI582*Mat.Conc_Beta.1-$Y582)))
-($J582*MIN(Mat.Rebar_f.y,(Mat.Rebar_epsilon.cl*($S582-AI582)/AI582)*Mat.PT_E.s))
-($M582*Mat.PT_f.pu*(1-Mat.PT_k*AI582/$P582))))</f>
        <v/>
      </c>
      <c r="AL582" s="329"/>
      <c r="AM582" s="167" t="str">
        <f>IF(ISBLANK(Inputs!$A65),"",
IF(AK582="--","Solved",
IF(ABS(AK582)&lt;=0.001,"Solved",AI582-AK582*(AI582-AE582)/(AK582-AG582))))</f>
        <v/>
      </c>
      <c r="AN582" s="167"/>
      <c r="AO582" s="329" t="str">
        <f>IF(ISBLANK(Inputs!$A65),"",
IF(OR(AM582="Solved",AM582="--"),"--",
((Mat.Conc_Alpha.1*Mat.Conc_f.c*$AB582*MIN(AM582*Mat.Conc_Beta.1,$Y582))
+(Mat.Conc_Alpha.1*Mat.Conc_f.c*$V582*MAX(0,AM582*Mat.Conc_Beta.1-$Y582)))
-($J582*MIN(Mat.Rebar_f.y,(Mat.Rebar_epsilon.cl*($S582-AM582)/AM582)*Mat.PT_E.s))
-($M582*Mat.PT_f.pu*(1-Mat.PT_k*AM582/$P582))))</f>
        <v/>
      </c>
      <c r="AP582" s="329"/>
      <c r="AQ582" s="167" t="str">
        <f>IF(ISBLANK(Inputs!$A65),"",
IF(AO582="--","Solved",
IF(ABS(AO582)&lt;=0.001,"Solved",AM582-AO582*(AM582-AI582)/(AO582-AK582))))</f>
        <v/>
      </c>
      <c r="AR582" s="167"/>
      <c r="AS582" s="329" t="str">
        <f>IF(ISBLANK(Inputs!$A65),"",
IF(OR(AQ582="Solved",AQ582="--"),"--",
((Mat.Conc_Alpha.1*Mat.Conc_f.c*$AB582*MIN(AQ582*Mat.Conc_Beta.1,$Y582))
+(Mat.Conc_Alpha.1*Mat.Conc_f.c*$V582*MAX(0,AQ582*Mat.Conc_Beta.1-$Y582)))
-($J582*MIN(Mat.Rebar_f.y,(Mat.Rebar_epsilon.cl*($S582-AQ582)/AQ582)*Mat.PT_E.s))
-($M582*Mat.PT_f.pu*(1-Mat.PT_k*AQ582/$P582))))</f>
        <v/>
      </c>
      <c r="AT582" s="329"/>
      <c r="AU582" s="167" t="str">
        <f>IF(ISBLANK(Inputs!$A65),"",
IF(AS582="--","Solved",
IF(ABS(AS582)&lt;=0.001,"Solved",AQ582-AS582*(AQ582-AM582)/(AS582-AO582))))</f>
        <v/>
      </c>
      <c r="AV582" s="167"/>
      <c r="AW582" s="329" t="str">
        <f>IF(ISBLANK(Inputs!$A65),"",
IF(OR(AU582="Solved",AU582="--"),"--",
((Mat.Conc_Alpha.1*Mat.Conc_f.c*$AB582*MIN(AU582*Mat.Conc_Beta.1,$Y582))
+(Mat.Conc_Alpha.1*Mat.Conc_f.c*$V582*MAX(0,AU582*Mat.Conc_Beta.1-$Y582)))
-($J582*MIN(Mat.Rebar_f.y,(Mat.Rebar_epsilon.cl*($S582-AU582)/AU582)*Mat.PT_E.s))
-($M582*Mat.PT_f.pu*(1-Mat.PT_k*AU582/$P582))))</f>
        <v/>
      </c>
      <c r="AX582" s="329"/>
      <c r="AY582" s="167" t="str">
        <f>IF(ISBLANK(Inputs!$A65),"",
IF(AW582="--","Solved",
IF(ABS(AW582)&lt;=0.001,"Solved",AU582-AW582*(AU582-AQ582)/(AW582-AS582))))</f>
        <v/>
      </c>
      <c r="AZ582" s="167"/>
      <c r="BA582" s="329" t="str">
        <f>IF(ISBLANK(Inputs!$A65),"",
IF(OR(AY582="Solved",AY582="--"),"--",
((Mat.Conc_Alpha.1*Mat.Conc_f.c*$AB582*MIN(AY582*Mat.Conc_Beta.1,$Y582))
+(Mat.Conc_Alpha.1*Mat.Conc_f.c*$V582*MAX(0,AY582*Mat.Conc_Beta.1-$Y582)))
-($J582*MIN(Mat.Rebar_f.y,(Mat.Rebar_epsilon.cl*($S582-AY582)/AY582)*Mat.PT_E.s))
-($M582*Mat.PT_f.pu*(1-Mat.PT_k*AY582/$P582))))</f>
        <v/>
      </c>
      <c r="BB582" s="329"/>
      <c r="BC582" s="167" t="str">
        <f>IF(ISBLANK(Inputs!$A65),"",
IF(BA582="--","Solved",
IF(ABS(BA582)&lt;=0.001,"Solved",AY582-BA582*(AY582-AU582)/(BA582-AW582))))</f>
        <v/>
      </c>
      <c r="BD582" s="167"/>
      <c r="BE582" s="329" t="str">
        <f>IF(ISBLANK(Inputs!$A65),"",
IF(OR(BC582="Solved",BC582="--"),"--",
((Mat.Conc_Alpha.1*Mat.Conc_f.c*$AB582*MIN(BC582*Mat.Conc_Beta.1,$Y582))
+(Mat.Conc_Alpha.1*Mat.Conc_f.c*$V582*MAX(0,BC582*Mat.Conc_Beta.1-$Y582)))
-($J582*MIN(Mat.Rebar_f.y,(Mat.Rebar_epsilon.cl*($S582-BC582)/BC582)*Mat.PT_E.s))
-($M582*Mat.PT_f.pu*(1-Mat.PT_k*BC582/$P582))))</f>
        <v/>
      </c>
      <c r="BF582" s="329"/>
      <c r="BG582" s="167" t="str">
        <f>IF(ISBLANK(Inputs!$A65),"",
IF(BE582="--","Solved",
IF(ABS(BE582)&lt;=0.001,"Solved",BC582-BE582*(BC582-AY582)/(BE582-BA582))))</f>
        <v/>
      </c>
      <c r="BH582" s="167"/>
      <c r="BI582" s="329" t="str">
        <f>IF(ISBLANK(Inputs!$A65),"",
IF(OR(BG582="Solved",BG582="--"),"--",
((Mat.Conc_Alpha.1*Mat.Conc_f.c*$AB582*MIN(BG582*Mat.Conc_Beta.1,$Y582))
+(Mat.Conc_Alpha.1*Mat.Conc_f.c*$V582*MAX(0,BG582*Mat.Conc_Beta.1-$Y582)))
-($J582*MIN(Mat.Rebar_f.y,(Mat.Rebar_epsilon.cl*($S582-BG582)/BG582)*Mat.PT_E.s))
-($M582*Mat.PT_f.pu*(1-Mat.PT_k*BG582/$P582))))</f>
        <v/>
      </c>
      <c r="BJ582" s="329"/>
      <c r="BK582" s="167" t="str">
        <f>IF(ISBLANK(Inputs!$A65),"",
IF(BI582="--","Solved",
IF(ABS(BI582)&lt;=0.001,"Solved",BG582-BI582*(BG582-BC582)/(BI582-BE582))))</f>
        <v/>
      </c>
      <c r="BL582" s="167"/>
      <c r="BM582" s="329" t="str">
        <f>IF(ISBLANK(Inputs!$A65),"",
IF(OR(BK582="Solved",BK582="--"),"--",
((Mat.Conc_Alpha.1*Mat.Conc_f.c*$AB582*MIN(BK582*Mat.Conc_Beta.1,$Y582))
+(Mat.Conc_Alpha.1*Mat.Conc_f.c*$V582*MAX(0,BK582*Mat.Conc_Beta.1-$Y582)))
-($J582*MIN(Mat.Rebar_f.y,(Mat.Rebar_epsilon.cl*($S582-BK582)/BK582)*Mat.PT_E.s))
-($M582*Mat.PT_f.pu*(1-Mat.PT_k*BK582/$P582))))</f>
        <v/>
      </c>
      <c r="BN582" s="329"/>
      <c r="BO582" s="167" t="str">
        <f>IF(ISBLANK(Inputs!$A65),"",
IF(BM582="--","Solved",
IF(ABS(BM582)&lt;=0.001,"Solved",BK582-BM582*(BK582-BG582)/(BM582-BI582))))</f>
        <v/>
      </c>
      <c r="BP582" s="167"/>
      <c r="BQ582" s="329" t="str">
        <f>IF(ISBLANK(Inputs!$A65),"",
IF(OR(BO582="Solved",BO582="--"),"--",
((Mat.Conc_Alpha.1*Mat.Conc_f.c*$AB582*MIN(BO582*Mat.Conc_Beta.1,$Y582))
+(Mat.Conc_Alpha.1*Mat.Conc_f.c*$V582*MAX(0,BO582*Mat.Conc_Beta.1-$Y582)))
-($J582*MIN(Mat.Rebar_f.y,(Mat.Rebar_epsilon.cl*($S582-BO582)/BO582)*Mat.PT_E.s))
-($M582*Mat.PT_f.pu*(1-Mat.PT_k*BO582/$P582))))</f>
        <v/>
      </c>
      <c r="BR582" s="329"/>
      <c r="BS582" s="70"/>
      <c r="BT582" s="70"/>
      <c r="BU582" s="70"/>
      <c r="BV582" s="70"/>
      <c r="BW582" s="8"/>
      <c r="BX582" s="8"/>
      <c r="BY582" s="8"/>
      <c r="BZ582" s="8"/>
      <c r="CA582" s="8"/>
      <c r="CB582" s="10"/>
    </row>
    <row r="583" spans="3:80" ht="15" customHeight="1" x14ac:dyDescent="0.25">
      <c r="C583" s="69"/>
      <c r="F583" s="167" t="str">
        <f>IF(ISBLANK(Inputs!A66),"",Inputs!A66)</f>
        <v/>
      </c>
      <c r="G583" s="167"/>
      <c r="H583" s="167" t="str">
        <f>IF(ISBLANK(Inputs!B66),"",Inputs!B66)</f>
        <v/>
      </c>
      <c r="I583" s="167"/>
      <c r="J583" s="168" t="str">
        <f>IF(ISBLANK(Inputs!K66),"",Inputs!K66)</f>
        <v/>
      </c>
      <c r="K583" s="168"/>
      <c r="L583" s="168"/>
      <c r="M583" s="168" t="str">
        <f>IF(ISBLANK(Inputs!D66),"",Inputs!D66)</f>
        <v/>
      </c>
      <c r="N583" s="168"/>
      <c r="O583" s="168"/>
      <c r="P583" s="168" t="str">
        <f>IF(ISBLANK(Inputs!F66),"",Inputs!$B$10-Inputs!F66)</f>
        <v/>
      </c>
      <c r="Q583" s="168"/>
      <c r="R583" s="168"/>
      <c r="S583" s="168" t="str">
        <f>IF(ISBLANK(Inputs!L66),"",Inputs!L66)</f>
        <v/>
      </c>
      <c r="T583" s="168"/>
      <c r="U583" s="168"/>
      <c r="V583" s="168" t="str">
        <f>IF(ISBLANK(Inputs!E66),"",Inputs!E66)</f>
        <v/>
      </c>
      <c r="W583" s="168"/>
      <c r="X583" s="168"/>
      <c r="Y583" s="168" t="str">
        <f>IF(ISBLANK(Inputs!M66),"",Inputs!M66)</f>
        <v/>
      </c>
      <c r="Z583" s="168"/>
      <c r="AA583" s="168"/>
      <c r="AB583" s="168" t="str">
        <f>IF(ISBLANK(Inputs!N66),"",Inputs!N66)</f>
        <v/>
      </c>
      <c r="AC583" s="168"/>
      <c r="AD583" s="168"/>
      <c r="AE583" s="371" t="str">
        <f>IF(ISBLANK(Inputs!A66),"",Y583)</f>
        <v/>
      </c>
      <c r="AF583" s="371"/>
      <c r="AG583" s="329" t="str">
        <f>IF(ISBLANK(Inputs!$A66),"",
IF(OR(AE583="Solved",AE583="--"),"--",
((Mat.Conc_Alpha.1*Mat.Conc_f.c*$AB583*MIN(AE583*Mat.Conc_Beta.1,$Y583))
+(Mat.Conc_Alpha.1*Mat.Conc_f.c*$V583*MAX(0,AE583*Mat.Conc_Beta.1-$Y583)))
-($J583*MIN(Mat.Rebar_f.y,(Mat.Rebar_epsilon.cl*($S583-AE583)/AE583)*Mat.PT_E.s))
-($M583*Mat.PT_f.pu*(1-Mat.PT_k*AE583/$P583))))</f>
        <v/>
      </c>
      <c r="AH583" s="329"/>
      <c r="AI583" s="167" t="str">
        <f>IF(ISBLANK(Inputs!$A66),"",
IF(ABS(AG583)&lt;=0.001,"Solved",IF(AG583&gt;0,0.85*AE583,1.15*AE583)))</f>
        <v/>
      </c>
      <c r="AJ583" s="167"/>
      <c r="AK583" s="329" t="str">
        <f>IF(ISBLANK(Inputs!$A66),"",
IF(OR(AI583="Solved",AI583="--"),"--",
((Mat.Conc_Alpha.1*Mat.Conc_f.c*$AB583*MIN(AI583*Mat.Conc_Beta.1,$Y583))
+(Mat.Conc_Alpha.1*Mat.Conc_f.c*$V583*MAX(0,AI583*Mat.Conc_Beta.1-$Y583)))
-($J583*MIN(Mat.Rebar_f.y,(Mat.Rebar_epsilon.cl*($S583-AI583)/AI583)*Mat.PT_E.s))
-($M583*Mat.PT_f.pu*(1-Mat.PT_k*AI583/$P583))))</f>
        <v/>
      </c>
      <c r="AL583" s="329"/>
      <c r="AM583" s="167" t="str">
        <f>IF(ISBLANK(Inputs!$A66),"",
IF(AK583="--","Solved",
IF(ABS(AK583)&lt;=0.001,"Solved",AI583-AK583*(AI583-AE583)/(AK583-AG583))))</f>
        <v/>
      </c>
      <c r="AN583" s="167"/>
      <c r="AO583" s="329" t="str">
        <f>IF(ISBLANK(Inputs!$A66),"",
IF(OR(AM583="Solved",AM583="--"),"--",
((Mat.Conc_Alpha.1*Mat.Conc_f.c*$AB583*MIN(AM583*Mat.Conc_Beta.1,$Y583))
+(Mat.Conc_Alpha.1*Mat.Conc_f.c*$V583*MAX(0,AM583*Mat.Conc_Beta.1-$Y583)))
-($J583*MIN(Mat.Rebar_f.y,(Mat.Rebar_epsilon.cl*($S583-AM583)/AM583)*Mat.PT_E.s))
-($M583*Mat.PT_f.pu*(1-Mat.PT_k*AM583/$P583))))</f>
        <v/>
      </c>
      <c r="AP583" s="329"/>
      <c r="AQ583" s="167" t="str">
        <f>IF(ISBLANK(Inputs!$A66),"",
IF(AO583="--","Solved",
IF(ABS(AO583)&lt;=0.001,"Solved",AM583-AO583*(AM583-AI583)/(AO583-AK583))))</f>
        <v/>
      </c>
      <c r="AR583" s="167"/>
      <c r="AS583" s="329" t="str">
        <f>IF(ISBLANK(Inputs!$A66),"",
IF(OR(AQ583="Solved",AQ583="--"),"--",
((Mat.Conc_Alpha.1*Mat.Conc_f.c*$AB583*MIN(AQ583*Mat.Conc_Beta.1,$Y583))
+(Mat.Conc_Alpha.1*Mat.Conc_f.c*$V583*MAX(0,AQ583*Mat.Conc_Beta.1-$Y583)))
-($J583*MIN(Mat.Rebar_f.y,(Mat.Rebar_epsilon.cl*($S583-AQ583)/AQ583)*Mat.PT_E.s))
-($M583*Mat.PT_f.pu*(1-Mat.PT_k*AQ583/$P583))))</f>
        <v/>
      </c>
      <c r="AT583" s="329"/>
      <c r="AU583" s="167" t="str">
        <f>IF(ISBLANK(Inputs!$A66),"",
IF(AS583="--","Solved",
IF(ABS(AS583)&lt;=0.001,"Solved",AQ583-AS583*(AQ583-AM583)/(AS583-AO583))))</f>
        <v/>
      </c>
      <c r="AV583" s="167"/>
      <c r="AW583" s="329" t="str">
        <f>IF(ISBLANK(Inputs!$A66),"",
IF(OR(AU583="Solved",AU583="--"),"--",
((Mat.Conc_Alpha.1*Mat.Conc_f.c*$AB583*MIN(AU583*Mat.Conc_Beta.1,$Y583))
+(Mat.Conc_Alpha.1*Mat.Conc_f.c*$V583*MAX(0,AU583*Mat.Conc_Beta.1-$Y583)))
-($J583*MIN(Mat.Rebar_f.y,(Mat.Rebar_epsilon.cl*($S583-AU583)/AU583)*Mat.PT_E.s))
-($M583*Mat.PT_f.pu*(1-Mat.PT_k*AU583/$P583))))</f>
        <v/>
      </c>
      <c r="AX583" s="329"/>
      <c r="AY583" s="167" t="str">
        <f>IF(ISBLANK(Inputs!$A66),"",
IF(AW583="--","Solved",
IF(ABS(AW583)&lt;=0.001,"Solved",AU583-AW583*(AU583-AQ583)/(AW583-AS583))))</f>
        <v/>
      </c>
      <c r="AZ583" s="167"/>
      <c r="BA583" s="329" t="str">
        <f>IF(ISBLANK(Inputs!$A66),"",
IF(OR(AY583="Solved",AY583="--"),"--",
((Mat.Conc_Alpha.1*Mat.Conc_f.c*$AB583*MIN(AY583*Mat.Conc_Beta.1,$Y583))
+(Mat.Conc_Alpha.1*Mat.Conc_f.c*$V583*MAX(0,AY583*Mat.Conc_Beta.1-$Y583)))
-($J583*MIN(Mat.Rebar_f.y,(Mat.Rebar_epsilon.cl*($S583-AY583)/AY583)*Mat.PT_E.s))
-($M583*Mat.PT_f.pu*(1-Mat.PT_k*AY583/$P583))))</f>
        <v/>
      </c>
      <c r="BB583" s="329"/>
      <c r="BC583" s="167" t="str">
        <f>IF(ISBLANK(Inputs!$A66),"",
IF(BA583="--","Solved",
IF(ABS(BA583)&lt;=0.001,"Solved",AY583-BA583*(AY583-AU583)/(BA583-AW583))))</f>
        <v/>
      </c>
      <c r="BD583" s="167"/>
      <c r="BE583" s="329" t="str">
        <f>IF(ISBLANK(Inputs!$A66),"",
IF(OR(BC583="Solved",BC583="--"),"--",
((Mat.Conc_Alpha.1*Mat.Conc_f.c*$AB583*MIN(BC583*Mat.Conc_Beta.1,$Y583))
+(Mat.Conc_Alpha.1*Mat.Conc_f.c*$V583*MAX(0,BC583*Mat.Conc_Beta.1-$Y583)))
-($J583*MIN(Mat.Rebar_f.y,(Mat.Rebar_epsilon.cl*($S583-BC583)/BC583)*Mat.PT_E.s))
-($M583*Mat.PT_f.pu*(1-Mat.PT_k*BC583/$P583))))</f>
        <v/>
      </c>
      <c r="BF583" s="329"/>
      <c r="BG583" s="167" t="str">
        <f>IF(ISBLANK(Inputs!$A66),"",
IF(BE583="--","Solved",
IF(ABS(BE583)&lt;=0.001,"Solved",BC583-BE583*(BC583-AY583)/(BE583-BA583))))</f>
        <v/>
      </c>
      <c r="BH583" s="167"/>
      <c r="BI583" s="329" t="str">
        <f>IF(ISBLANK(Inputs!$A66),"",
IF(OR(BG583="Solved",BG583="--"),"--",
((Mat.Conc_Alpha.1*Mat.Conc_f.c*$AB583*MIN(BG583*Mat.Conc_Beta.1,$Y583))
+(Mat.Conc_Alpha.1*Mat.Conc_f.c*$V583*MAX(0,BG583*Mat.Conc_Beta.1-$Y583)))
-($J583*MIN(Mat.Rebar_f.y,(Mat.Rebar_epsilon.cl*($S583-BG583)/BG583)*Mat.PT_E.s))
-($M583*Mat.PT_f.pu*(1-Mat.PT_k*BG583/$P583))))</f>
        <v/>
      </c>
      <c r="BJ583" s="329"/>
      <c r="BK583" s="167" t="str">
        <f>IF(ISBLANK(Inputs!$A66),"",
IF(BI583="--","Solved",
IF(ABS(BI583)&lt;=0.001,"Solved",BG583-BI583*(BG583-BC583)/(BI583-BE583))))</f>
        <v/>
      </c>
      <c r="BL583" s="167"/>
      <c r="BM583" s="329" t="str">
        <f>IF(ISBLANK(Inputs!$A66),"",
IF(OR(BK583="Solved",BK583="--"),"--",
((Mat.Conc_Alpha.1*Mat.Conc_f.c*$AB583*MIN(BK583*Mat.Conc_Beta.1,$Y583))
+(Mat.Conc_Alpha.1*Mat.Conc_f.c*$V583*MAX(0,BK583*Mat.Conc_Beta.1-$Y583)))
-($J583*MIN(Mat.Rebar_f.y,(Mat.Rebar_epsilon.cl*($S583-BK583)/BK583)*Mat.PT_E.s))
-($M583*Mat.PT_f.pu*(1-Mat.PT_k*BK583/$P583))))</f>
        <v/>
      </c>
      <c r="BN583" s="329"/>
      <c r="BO583" s="167" t="str">
        <f>IF(ISBLANK(Inputs!$A66),"",
IF(BM583="--","Solved",
IF(ABS(BM583)&lt;=0.001,"Solved",BK583-BM583*(BK583-BG583)/(BM583-BI583))))</f>
        <v/>
      </c>
      <c r="BP583" s="167"/>
      <c r="BQ583" s="329" t="str">
        <f>IF(ISBLANK(Inputs!$A66),"",
IF(OR(BO583="Solved",BO583="--"),"--",
((Mat.Conc_Alpha.1*Mat.Conc_f.c*$AB583*MIN(BO583*Mat.Conc_Beta.1,$Y583))
+(Mat.Conc_Alpha.1*Mat.Conc_f.c*$V583*MAX(0,BO583*Mat.Conc_Beta.1-$Y583)))
-($J583*MIN(Mat.Rebar_f.y,(Mat.Rebar_epsilon.cl*($S583-BO583)/BO583)*Mat.PT_E.s))
-($M583*Mat.PT_f.pu*(1-Mat.PT_k*BO583/$P583))))</f>
        <v/>
      </c>
      <c r="BR583" s="329"/>
      <c r="BS583" s="70"/>
      <c r="BT583" s="70"/>
      <c r="BU583" s="70"/>
      <c r="BV583" s="70"/>
      <c r="BW583" s="8"/>
      <c r="BX583" s="8"/>
      <c r="BY583" s="8"/>
      <c r="BZ583" s="8"/>
      <c r="CA583" s="8"/>
      <c r="CB583" s="10"/>
    </row>
    <row r="584" spans="3:80" ht="15" customHeight="1" x14ac:dyDescent="0.25">
      <c r="C584" s="69"/>
      <c r="F584" s="167" t="str">
        <f>IF(ISBLANK(Inputs!A67),"",Inputs!A67)</f>
        <v/>
      </c>
      <c r="G584" s="167"/>
      <c r="H584" s="167" t="str">
        <f>IF(ISBLANK(Inputs!B67),"",Inputs!B67)</f>
        <v/>
      </c>
      <c r="I584" s="167"/>
      <c r="J584" s="168" t="str">
        <f>IF(ISBLANK(Inputs!K67),"",Inputs!K67)</f>
        <v/>
      </c>
      <c r="K584" s="168"/>
      <c r="L584" s="168"/>
      <c r="M584" s="168" t="str">
        <f>IF(ISBLANK(Inputs!D67),"",Inputs!D67)</f>
        <v/>
      </c>
      <c r="N584" s="168"/>
      <c r="O584" s="168"/>
      <c r="P584" s="168" t="str">
        <f>IF(ISBLANK(Inputs!F67),"",Inputs!$B$10-Inputs!F67)</f>
        <v/>
      </c>
      <c r="Q584" s="168"/>
      <c r="R584" s="168"/>
      <c r="S584" s="168" t="str">
        <f>IF(ISBLANK(Inputs!L67),"",Inputs!L67)</f>
        <v/>
      </c>
      <c r="T584" s="168"/>
      <c r="U584" s="168"/>
      <c r="V584" s="168" t="str">
        <f>IF(ISBLANK(Inputs!E67),"",Inputs!E67)</f>
        <v/>
      </c>
      <c r="W584" s="168"/>
      <c r="X584" s="168"/>
      <c r="Y584" s="168" t="str">
        <f>IF(ISBLANK(Inputs!M67),"",Inputs!M67)</f>
        <v/>
      </c>
      <c r="Z584" s="168"/>
      <c r="AA584" s="168"/>
      <c r="AB584" s="168" t="str">
        <f>IF(ISBLANK(Inputs!N67),"",Inputs!N67)</f>
        <v/>
      </c>
      <c r="AC584" s="168"/>
      <c r="AD584" s="168"/>
      <c r="AE584" s="371" t="str">
        <f>IF(ISBLANK(Inputs!A67),"",Y584)</f>
        <v/>
      </c>
      <c r="AF584" s="371"/>
      <c r="AG584" s="329" t="str">
        <f>IF(ISBLANK(Inputs!$A67),"",
IF(OR(AE584="Solved",AE584="--"),"--",
((Mat.Conc_Alpha.1*Mat.Conc_f.c*$AB584*MIN(AE584*Mat.Conc_Beta.1,$Y584))
+(Mat.Conc_Alpha.1*Mat.Conc_f.c*$V584*MAX(0,AE584*Mat.Conc_Beta.1-$Y584)))
-($J584*MIN(Mat.Rebar_f.y,(Mat.Rebar_epsilon.cl*($S584-AE584)/AE584)*Mat.PT_E.s))
-($M584*Mat.PT_f.pu*(1-Mat.PT_k*AE584/$P584))))</f>
        <v/>
      </c>
      <c r="AH584" s="329"/>
      <c r="AI584" s="167" t="str">
        <f>IF(ISBLANK(Inputs!$A67),"",
IF(ABS(AG584)&lt;=0.001,"Solved",IF(AG584&gt;0,0.85*AE584,1.15*AE584)))</f>
        <v/>
      </c>
      <c r="AJ584" s="167"/>
      <c r="AK584" s="329" t="str">
        <f>IF(ISBLANK(Inputs!$A67),"",
IF(OR(AI584="Solved",AI584="--"),"--",
((Mat.Conc_Alpha.1*Mat.Conc_f.c*$AB584*MIN(AI584*Mat.Conc_Beta.1,$Y584))
+(Mat.Conc_Alpha.1*Mat.Conc_f.c*$V584*MAX(0,AI584*Mat.Conc_Beta.1-$Y584)))
-($J584*MIN(Mat.Rebar_f.y,(Mat.Rebar_epsilon.cl*($S584-AI584)/AI584)*Mat.PT_E.s))
-($M584*Mat.PT_f.pu*(1-Mat.PT_k*AI584/$P584))))</f>
        <v/>
      </c>
      <c r="AL584" s="329"/>
      <c r="AM584" s="167" t="str">
        <f>IF(ISBLANK(Inputs!$A67),"",
IF(AK584="--","Solved",
IF(ABS(AK584)&lt;=0.001,"Solved",AI584-AK584*(AI584-AE584)/(AK584-AG584))))</f>
        <v/>
      </c>
      <c r="AN584" s="167"/>
      <c r="AO584" s="329" t="str">
        <f>IF(ISBLANK(Inputs!$A67),"",
IF(OR(AM584="Solved",AM584="--"),"--",
((Mat.Conc_Alpha.1*Mat.Conc_f.c*$AB584*MIN(AM584*Mat.Conc_Beta.1,$Y584))
+(Mat.Conc_Alpha.1*Mat.Conc_f.c*$V584*MAX(0,AM584*Mat.Conc_Beta.1-$Y584)))
-($J584*MIN(Mat.Rebar_f.y,(Mat.Rebar_epsilon.cl*($S584-AM584)/AM584)*Mat.PT_E.s))
-($M584*Mat.PT_f.pu*(1-Mat.PT_k*AM584/$P584))))</f>
        <v/>
      </c>
      <c r="AP584" s="329"/>
      <c r="AQ584" s="167" t="str">
        <f>IF(ISBLANK(Inputs!$A67),"",
IF(AO584="--","Solved",
IF(ABS(AO584)&lt;=0.001,"Solved",AM584-AO584*(AM584-AI584)/(AO584-AK584))))</f>
        <v/>
      </c>
      <c r="AR584" s="167"/>
      <c r="AS584" s="329" t="str">
        <f>IF(ISBLANK(Inputs!$A67),"",
IF(OR(AQ584="Solved",AQ584="--"),"--",
((Mat.Conc_Alpha.1*Mat.Conc_f.c*$AB584*MIN(AQ584*Mat.Conc_Beta.1,$Y584))
+(Mat.Conc_Alpha.1*Mat.Conc_f.c*$V584*MAX(0,AQ584*Mat.Conc_Beta.1-$Y584)))
-($J584*MIN(Mat.Rebar_f.y,(Mat.Rebar_epsilon.cl*($S584-AQ584)/AQ584)*Mat.PT_E.s))
-($M584*Mat.PT_f.pu*(1-Mat.PT_k*AQ584/$P584))))</f>
        <v/>
      </c>
      <c r="AT584" s="329"/>
      <c r="AU584" s="167" t="str">
        <f>IF(ISBLANK(Inputs!$A67),"",
IF(AS584="--","Solved",
IF(ABS(AS584)&lt;=0.001,"Solved",AQ584-AS584*(AQ584-AM584)/(AS584-AO584))))</f>
        <v/>
      </c>
      <c r="AV584" s="167"/>
      <c r="AW584" s="329" t="str">
        <f>IF(ISBLANK(Inputs!$A67),"",
IF(OR(AU584="Solved",AU584="--"),"--",
((Mat.Conc_Alpha.1*Mat.Conc_f.c*$AB584*MIN(AU584*Mat.Conc_Beta.1,$Y584))
+(Mat.Conc_Alpha.1*Mat.Conc_f.c*$V584*MAX(0,AU584*Mat.Conc_Beta.1-$Y584)))
-($J584*MIN(Mat.Rebar_f.y,(Mat.Rebar_epsilon.cl*($S584-AU584)/AU584)*Mat.PT_E.s))
-($M584*Mat.PT_f.pu*(1-Mat.PT_k*AU584/$P584))))</f>
        <v/>
      </c>
      <c r="AX584" s="329"/>
      <c r="AY584" s="167" t="str">
        <f>IF(ISBLANK(Inputs!$A67),"",
IF(AW584="--","Solved",
IF(ABS(AW584)&lt;=0.001,"Solved",AU584-AW584*(AU584-AQ584)/(AW584-AS584))))</f>
        <v/>
      </c>
      <c r="AZ584" s="167"/>
      <c r="BA584" s="329" t="str">
        <f>IF(ISBLANK(Inputs!$A67),"",
IF(OR(AY584="Solved",AY584="--"),"--",
((Mat.Conc_Alpha.1*Mat.Conc_f.c*$AB584*MIN(AY584*Mat.Conc_Beta.1,$Y584))
+(Mat.Conc_Alpha.1*Mat.Conc_f.c*$V584*MAX(0,AY584*Mat.Conc_Beta.1-$Y584)))
-($J584*MIN(Mat.Rebar_f.y,(Mat.Rebar_epsilon.cl*($S584-AY584)/AY584)*Mat.PT_E.s))
-($M584*Mat.PT_f.pu*(1-Mat.PT_k*AY584/$P584))))</f>
        <v/>
      </c>
      <c r="BB584" s="329"/>
      <c r="BC584" s="167" t="str">
        <f>IF(ISBLANK(Inputs!$A67),"",
IF(BA584="--","Solved",
IF(ABS(BA584)&lt;=0.001,"Solved",AY584-BA584*(AY584-AU584)/(BA584-AW584))))</f>
        <v/>
      </c>
      <c r="BD584" s="167"/>
      <c r="BE584" s="329" t="str">
        <f>IF(ISBLANK(Inputs!$A67),"",
IF(OR(BC584="Solved",BC584="--"),"--",
((Mat.Conc_Alpha.1*Mat.Conc_f.c*$AB584*MIN(BC584*Mat.Conc_Beta.1,$Y584))
+(Mat.Conc_Alpha.1*Mat.Conc_f.c*$V584*MAX(0,BC584*Mat.Conc_Beta.1-$Y584)))
-($J584*MIN(Mat.Rebar_f.y,(Mat.Rebar_epsilon.cl*($S584-BC584)/BC584)*Mat.PT_E.s))
-($M584*Mat.PT_f.pu*(1-Mat.PT_k*BC584/$P584))))</f>
        <v/>
      </c>
      <c r="BF584" s="329"/>
      <c r="BG584" s="167" t="str">
        <f>IF(ISBLANK(Inputs!$A67),"",
IF(BE584="--","Solved",
IF(ABS(BE584)&lt;=0.001,"Solved",BC584-BE584*(BC584-AY584)/(BE584-BA584))))</f>
        <v/>
      </c>
      <c r="BH584" s="167"/>
      <c r="BI584" s="329" t="str">
        <f>IF(ISBLANK(Inputs!$A67),"",
IF(OR(BG584="Solved",BG584="--"),"--",
((Mat.Conc_Alpha.1*Mat.Conc_f.c*$AB584*MIN(BG584*Mat.Conc_Beta.1,$Y584))
+(Mat.Conc_Alpha.1*Mat.Conc_f.c*$V584*MAX(0,BG584*Mat.Conc_Beta.1-$Y584)))
-($J584*MIN(Mat.Rebar_f.y,(Mat.Rebar_epsilon.cl*($S584-BG584)/BG584)*Mat.PT_E.s))
-($M584*Mat.PT_f.pu*(1-Mat.PT_k*BG584/$P584))))</f>
        <v/>
      </c>
      <c r="BJ584" s="329"/>
      <c r="BK584" s="167" t="str">
        <f>IF(ISBLANK(Inputs!$A67),"",
IF(BI584="--","Solved",
IF(ABS(BI584)&lt;=0.001,"Solved",BG584-BI584*(BG584-BC584)/(BI584-BE584))))</f>
        <v/>
      </c>
      <c r="BL584" s="167"/>
      <c r="BM584" s="329" t="str">
        <f>IF(ISBLANK(Inputs!$A67),"",
IF(OR(BK584="Solved",BK584="--"),"--",
((Mat.Conc_Alpha.1*Mat.Conc_f.c*$AB584*MIN(BK584*Mat.Conc_Beta.1,$Y584))
+(Mat.Conc_Alpha.1*Mat.Conc_f.c*$V584*MAX(0,BK584*Mat.Conc_Beta.1-$Y584)))
-($J584*MIN(Mat.Rebar_f.y,(Mat.Rebar_epsilon.cl*($S584-BK584)/BK584)*Mat.PT_E.s))
-($M584*Mat.PT_f.pu*(1-Mat.PT_k*BK584/$P584))))</f>
        <v/>
      </c>
      <c r="BN584" s="329"/>
      <c r="BO584" s="167" t="str">
        <f>IF(ISBLANK(Inputs!$A67),"",
IF(BM584="--","Solved",
IF(ABS(BM584)&lt;=0.001,"Solved",BK584-BM584*(BK584-BG584)/(BM584-BI584))))</f>
        <v/>
      </c>
      <c r="BP584" s="167"/>
      <c r="BQ584" s="329" t="str">
        <f>IF(ISBLANK(Inputs!$A67),"",
IF(OR(BO584="Solved",BO584="--"),"--",
((Mat.Conc_Alpha.1*Mat.Conc_f.c*$AB584*MIN(BO584*Mat.Conc_Beta.1,$Y584))
+(Mat.Conc_Alpha.1*Mat.Conc_f.c*$V584*MAX(0,BO584*Mat.Conc_Beta.1-$Y584)))
-($J584*MIN(Mat.Rebar_f.y,(Mat.Rebar_epsilon.cl*($S584-BO584)/BO584)*Mat.PT_E.s))
-($M584*Mat.PT_f.pu*(1-Mat.PT_k*BO584/$P584))))</f>
        <v/>
      </c>
      <c r="BR584" s="329"/>
      <c r="BS584" s="70"/>
      <c r="BT584" s="70"/>
      <c r="BU584" s="70"/>
      <c r="BV584" s="70"/>
      <c r="BW584" s="8"/>
      <c r="BX584" s="8"/>
      <c r="BY584" s="8"/>
      <c r="BZ584" s="8"/>
      <c r="CA584" s="8"/>
      <c r="CB584" s="10"/>
    </row>
    <row r="585" spans="3:80" ht="15" customHeight="1" x14ac:dyDescent="0.25">
      <c r="C585" s="69"/>
      <c r="F585" s="167" t="str">
        <f>IF(ISBLANK(Inputs!A68),"",Inputs!A68)</f>
        <v/>
      </c>
      <c r="G585" s="167"/>
      <c r="H585" s="167" t="str">
        <f>IF(ISBLANK(Inputs!B68),"",Inputs!B68)</f>
        <v/>
      </c>
      <c r="I585" s="167"/>
      <c r="J585" s="168" t="str">
        <f>IF(ISBLANK(Inputs!K68),"",Inputs!K68)</f>
        <v/>
      </c>
      <c r="K585" s="168"/>
      <c r="L585" s="168"/>
      <c r="M585" s="168" t="str">
        <f>IF(ISBLANK(Inputs!D68),"",Inputs!D68)</f>
        <v/>
      </c>
      <c r="N585" s="168"/>
      <c r="O585" s="168"/>
      <c r="P585" s="168" t="str">
        <f>IF(ISBLANK(Inputs!F68),"",Inputs!$B$10-Inputs!F68)</f>
        <v/>
      </c>
      <c r="Q585" s="168"/>
      <c r="R585" s="168"/>
      <c r="S585" s="168" t="str">
        <f>IF(ISBLANK(Inputs!L68),"",Inputs!L68)</f>
        <v/>
      </c>
      <c r="T585" s="168"/>
      <c r="U585" s="168"/>
      <c r="V585" s="168" t="str">
        <f>IF(ISBLANK(Inputs!E68),"",Inputs!E68)</f>
        <v/>
      </c>
      <c r="W585" s="168"/>
      <c r="X585" s="168"/>
      <c r="Y585" s="168" t="str">
        <f>IF(ISBLANK(Inputs!M68),"",Inputs!M68)</f>
        <v/>
      </c>
      <c r="Z585" s="168"/>
      <c r="AA585" s="168"/>
      <c r="AB585" s="168" t="str">
        <f>IF(ISBLANK(Inputs!N68),"",Inputs!N68)</f>
        <v/>
      </c>
      <c r="AC585" s="168"/>
      <c r="AD585" s="168"/>
      <c r="AE585" s="371" t="str">
        <f>IF(ISBLANK(Inputs!A68),"",Y585)</f>
        <v/>
      </c>
      <c r="AF585" s="371"/>
      <c r="AG585" s="329" t="str">
        <f>IF(ISBLANK(Inputs!$A68),"",
IF(OR(AE585="Solved",AE585="--"),"--",
((Mat.Conc_Alpha.1*Mat.Conc_f.c*$AB585*MIN(AE585*Mat.Conc_Beta.1,$Y585))
+(Mat.Conc_Alpha.1*Mat.Conc_f.c*$V585*MAX(0,AE585*Mat.Conc_Beta.1-$Y585)))
-($J585*MIN(Mat.Rebar_f.y,(Mat.Rebar_epsilon.cl*($S585-AE585)/AE585)*Mat.PT_E.s))
-($M585*Mat.PT_f.pu*(1-Mat.PT_k*AE585/$P585))))</f>
        <v/>
      </c>
      <c r="AH585" s="329"/>
      <c r="AI585" s="167" t="str">
        <f>IF(ISBLANK(Inputs!$A68),"",
IF(ABS(AG585)&lt;=0.001,"Solved",IF(AG585&gt;0,0.85*AE585,1.15*AE585)))</f>
        <v/>
      </c>
      <c r="AJ585" s="167"/>
      <c r="AK585" s="329" t="str">
        <f>IF(ISBLANK(Inputs!$A68),"",
IF(OR(AI585="Solved",AI585="--"),"--",
((Mat.Conc_Alpha.1*Mat.Conc_f.c*$AB585*MIN(AI585*Mat.Conc_Beta.1,$Y585))
+(Mat.Conc_Alpha.1*Mat.Conc_f.c*$V585*MAX(0,AI585*Mat.Conc_Beta.1-$Y585)))
-($J585*MIN(Mat.Rebar_f.y,(Mat.Rebar_epsilon.cl*($S585-AI585)/AI585)*Mat.PT_E.s))
-($M585*Mat.PT_f.pu*(1-Mat.PT_k*AI585/$P585))))</f>
        <v/>
      </c>
      <c r="AL585" s="329"/>
      <c r="AM585" s="167" t="str">
        <f>IF(ISBLANK(Inputs!$A68),"",
IF(AK585="--","Solved",
IF(ABS(AK585)&lt;=0.001,"Solved",AI585-AK585*(AI585-AE585)/(AK585-AG585))))</f>
        <v/>
      </c>
      <c r="AN585" s="167"/>
      <c r="AO585" s="329" t="str">
        <f>IF(ISBLANK(Inputs!$A68),"",
IF(OR(AM585="Solved",AM585="--"),"--",
((Mat.Conc_Alpha.1*Mat.Conc_f.c*$AB585*MIN(AM585*Mat.Conc_Beta.1,$Y585))
+(Mat.Conc_Alpha.1*Mat.Conc_f.c*$V585*MAX(0,AM585*Mat.Conc_Beta.1-$Y585)))
-($J585*MIN(Mat.Rebar_f.y,(Mat.Rebar_epsilon.cl*($S585-AM585)/AM585)*Mat.PT_E.s))
-($M585*Mat.PT_f.pu*(1-Mat.PT_k*AM585/$P585))))</f>
        <v/>
      </c>
      <c r="AP585" s="329"/>
      <c r="AQ585" s="167" t="str">
        <f>IF(ISBLANK(Inputs!$A68),"",
IF(AO585="--","Solved",
IF(ABS(AO585)&lt;=0.001,"Solved",AM585-AO585*(AM585-AI585)/(AO585-AK585))))</f>
        <v/>
      </c>
      <c r="AR585" s="167"/>
      <c r="AS585" s="329" t="str">
        <f>IF(ISBLANK(Inputs!$A68),"",
IF(OR(AQ585="Solved",AQ585="--"),"--",
((Mat.Conc_Alpha.1*Mat.Conc_f.c*$AB585*MIN(AQ585*Mat.Conc_Beta.1,$Y585))
+(Mat.Conc_Alpha.1*Mat.Conc_f.c*$V585*MAX(0,AQ585*Mat.Conc_Beta.1-$Y585)))
-($J585*MIN(Mat.Rebar_f.y,(Mat.Rebar_epsilon.cl*($S585-AQ585)/AQ585)*Mat.PT_E.s))
-($M585*Mat.PT_f.pu*(1-Mat.PT_k*AQ585/$P585))))</f>
        <v/>
      </c>
      <c r="AT585" s="329"/>
      <c r="AU585" s="167" t="str">
        <f>IF(ISBLANK(Inputs!$A68),"",
IF(AS585="--","Solved",
IF(ABS(AS585)&lt;=0.001,"Solved",AQ585-AS585*(AQ585-AM585)/(AS585-AO585))))</f>
        <v/>
      </c>
      <c r="AV585" s="167"/>
      <c r="AW585" s="329" t="str">
        <f>IF(ISBLANK(Inputs!$A68),"",
IF(OR(AU585="Solved",AU585="--"),"--",
((Mat.Conc_Alpha.1*Mat.Conc_f.c*$AB585*MIN(AU585*Mat.Conc_Beta.1,$Y585))
+(Mat.Conc_Alpha.1*Mat.Conc_f.c*$V585*MAX(0,AU585*Mat.Conc_Beta.1-$Y585)))
-($J585*MIN(Mat.Rebar_f.y,(Mat.Rebar_epsilon.cl*($S585-AU585)/AU585)*Mat.PT_E.s))
-($M585*Mat.PT_f.pu*(1-Mat.PT_k*AU585/$P585))))</f>
        <v/>
      </c>
      <c r="AX585" s="329"/>
      <c r="AY585" s="167" t="str">
        <f>IF(ISBLANK(Inputs!$A68),"",
IF(AW585="--","Solved",
IF(ABS(AW585)&lt;=0.001,"Solved",AU585-AW585*(AU585-AQ585)/(AW585-AS585))))</f>
        <v/>
      </c>
      <c r="AZ585" s="167"/>
      <c r="BA585" s="329" t="str">
        <f>IF(ISBLANK(Inputs!$A68),"",
IF(OR(AY585="Solved",AY585="--"),"--",
((Mat.Conc_Alpha.1*Mat.Conc_f.c*$AB585*MIN(AY585*Mat.Conc_Beta.1,$Y585))
+(Mat.Conc_Alpha.1*Mat.Conc_f.c*$V585*MAX(0,AY585*Mat.Conc_Beta.1-$Y585)))
-($J585*MIN(Mat.Rebar_f.y,(Mat.Rebar_epsilon.cl*($S585-AY585)/AY585)*Mat.PT_E.s))
-($M585*Mat.PT_f.pu*(1-Mat.PT_k*AY585/$P585))))</f>
        <v/>
      </c>
      <c r="BB585" s="329"/>
      <c r="BC585" s="167" t="str">
        <f>IF(ISBLANK(Inputs!$A68),"",
IF(BA585="--","Solved",
IF(ABS(BA585)&lt;=0.001,"Solved",AY585-BA585*(AY585-AU585)/(BA585-AW585))))</f>
        <v/>
      </c>
      <c r="BD585" s="167"/>
      <c r="BE585" s="329" t="str">
        <f>IF(ISBLANK(Inputs!$A68),"",
IF(OR(BC585="Solved",BC585="--"),"--",
((Mat.Conc_Alpha.1*Mat.Conc_f.c*$AB585*MIN(BC585*Mat.Conc_Beta.1,$Y585))
+(Mat.Conc_Alpha.1*Mat.Conc_f.c*$V585*MAX(0,BC585*Mat.Conc_Beta.1-$Y585)))
-($J585*MIN(Mat.Rebar_f.y,(Mat.Rebar_epsilon.cl*($S585-BC585)/BC585)*Mat.PT_E.s))
-($M585*Mat.PT_f.pu*(1-Mat.PT_k*BC585/$P585))))</f>
        <v/>
      </c>
      <c r="BF585" s="329"/>
      <c r="BG585" s="167" t="str">
        <f>IF(ISBLANK(Inputs!$A68),"",
IF(BE585="--","Solved",
IF(ABS(BE585)&lt;=0.001,"Solved",BC585-BE585*(BC585-AY585)/(BE585-BA585))))</f>
        <v/>
      </c>
      <c r="BH585" s="167"/>
      <c r="BI585" s="329" t="str">
        <f>IF(ISBLANK(Inputs!$A68),"",
IF(OR(BG585="Solved",BG585="--"),"--",
((Mat.Conc_Alpha.1*Mat.Conc_f.c*$AB585*MIN(BG585*Mat.Conc_Beta.1,$Y585))
+(Mat.Conc_Alpha.1*Mat.Conc_f.c*$V585*MAX(0,BG585*Mat.Conc_Beta.1-$Y585)))
-($J585*MIN(Mat.Rebar_f.y,(Mat.Rebar_epsilon.cl*($S585-BG585)/BG585)*Mat.PT_E.s))
-($M585*Mat.PT_f.pu*(1-Mat.PT_k*BG585/$P585))))</f>
        <v/>
      </c>
      <c r="BJ585" s="329"/>
      <c r="BK585" s="167" t="str">
        <f>IF(ISBLANK(Inputs!$A68),"",
IF(BI585="--","Solved",
IF(ABS(BI585)&lt;=0.001,"Solved",BG585-BI585*(BG585-BC585)/(BI585-BE585))))</f>
        <v/>
      </c>
      <c r="BL585" s="167"/>
      <c r="BM585" s="329" t="str">
        <f>IF(ISBLANK(Inputs!$A68),"",
IF(OR(BK585="Solved",BK585="--"),"--",
((Mat.Conc_Alpha.1*Mat.Conc_f.c*$AB585*MIN(BK585*Mat.Conc_Beta.1,$Y585))
+(Mat.Conc_Alpha.1*Mat.Conc_f.c*$V585*MAX(0,BK585*Mat.Conc_Beta.1-$Y585)))
-($J585*MIN(Mat.Rebar_f.y,(Mat.Rebar_epsilon.cl*($S585-BK585)/BK585)*Mat.PT_E.s))
-($M585*Mat.PT_f.pu*(1-Mat.PT_k*BK585/$P585))))</f>
        <v/>
      </c>
      <c r="BN585" s="329"/>
      <c r="BO585" s="167" t="str">
        <f>IF(ISBLANK(Inputs!$A68),"",
IF(BM585="--","Solved",
IF(ABS(BM585)&lt;=0.001,"Solved",BK585-BM585*(BK585-BG585)/(BM585-BI585))))</f>
        <v/>
      </c>
      <c r="BP585" s="167"/>
      <c r="BQ585" s="329" t="str">
        <f>IF(ISBLANK(Inputs!$A68),"",
IF(OR(BO585="Solved",BO585="--"),"--",
((Mat.Conc_Alpha.1*Mat.Conc_f.c*$AB585*MIN(BO585*Mat.Conc_Beta.1,$Y585))
+(Mat.Conc_Alpha.1*Mat.Conc_f.c*$V585*MAX(0,BO585*Mat.Conc_Beta.1-$Y585)))
-($J585*MIN(Mat.Rebar_f.y,(Mat.Rebar_epsilon.cl*($S585-BO585)/BO585)*Mat.PT_E.s))
-($M585*Mat.PT_f.pu*(1-Mat.PT_k*BO585/$P585))))</f>
        <v/>
      </c>
      <c r="BR585" s="329"/>
      <c r="BS585" s="70"/>
      <c r="BT585" s="70"/>
      <c r="BU585" s="70"/>
      <c r="BV585" s="70"/>
      <c r="BW585" s="8"/>
      <c r="BX585" s="8"/>
      <c r="BY585" s="8"/>
      <c r="BZ585" s="8"/>
      <c r="CA585" s="8"/>
      <c r="CB585" s="10"/>
    </row>
    <row r="586" spans="3:80" ht="15" customHeight="1" x14ac:dyDescent="0.25">
      <c r="C586" s="69"/>
      <c r="F586" s="167" t="str">
        <f>IF(ISBLANK(Inputs!A69),"",Inputs!A69)</f>
        <v/>
      </c>
      <c r="G586" s="167"/>
      <c r="H586" s="167" t="str">
        <f>IF(ISBLANK(Inputs!B69),"",Inputs!B69)</f>
        <v/>
      </c>
      <c r="I586" s="167"/>
      <c r="J586" s="168" t="str">
        <f>IF(ISBLANK(Inputs!K69),"",Inputs!K69)</f>
        <v/>
      </c>
      <c r="K586" s="168"/>
      <c r="L586" s="168"/>
      <c r="M586" s="168" t="str">
        <f>IF(ISBLANK(Inputs!D69),"",Inputs!D69)</f>
        <v/>
      </c>
      <c r="N586" s="168"/>
      <c r="O586" s="168"/>
      <c r="P586" s="168" t="str">
        <f>IF(ISBLANK(Inputs!F69),"",Inputs!$B$10-Inputs!F69)</f>
        <v/>
      </c>
      <c r="Q586" s="168"/>
      <c r="R586" s="168"/>
      <c r="S586" s="168" t="str">
        <f>IF(ISBLANK(Inputs!L69),"",Inputs!L69)</f>
        <v/>
      </c>
      <c r="T586" s="168"/>
      <c r="U586" s="168"/>
      <c r="V586" s="168" t="str">
        <f>IF(ISBLANK(Inputs!E69),"",Inputs!E69)</f>
        <v/>
      </c>
      <c r="W586" s="168"/>
      <c r="X586" s="168"/>
      <c r="Y586" s="168" t="str">
        <f>IF(ISBLANK(Inputs!M69),"",Inputs!M69)</f>
        <v/>
      </c>
      <c r="Z586" s="168"/>
      <c r="AA586" s="168"/>
      <c r="AB586" s="168" t="str">
        <f>IF(ISBLANK(Inputs!N69),"",Inputs!N69)</f>
        <v/>
      </c>
      <c r="AC586" s="168"/>
      <c r="AD586" s="168"/>
      <c r="AE586" s="371" t="str">
        <f>IF(ISBLANK(Inputs!A69),"",Y586)</f>
        <v/>
      </c>
      <c r="AF586" s="371"/>
      <c r="AG586" s="329" t="str">
        <f>IF(ISBLANK(Inputs!$A69),"",
IF(OR(AE586="Solved",AE586="--"),"--",
((Mat.Conc_Alpha.1*Mat.Conc_f.c*$AB586*MIN(AE586*Mat.Conc_Beta.1,$Y586))
+(Mat.Conc_Alpha.1*Mat.Conc_f.c*$V586*MAX(0,AE586*Mat.Conc_Beta.1-$Y586)))
-($J586*MIN(Mat.Rebar_f.y,(Mat.Rebar_epsilon.cl*($S586-AE586)/AE586)*Mat.PT_E.s))
-($M586*Mat.PT_f.pu*(1-Mat.PT_k*AE586/$P586))))</f>
        <v/>
      </c>
      <c r="AH586" s="329"/>
      <c r="AI586" s="167" t="str">
        <f>IF(ISBLANK(Inputs!$A69),"",
IF(ABS(AG586)&lt;=0.001,"Solved",IF(AG586&gt;0,0.85*AE586,1.15*AE586)))</f>
        <v/>
      </c>
      <c r="AJ586" s="167"/>
      <c r="AK586" s="329" t="str">
        <f>IF(ISBLANK(Inputs!$A69),"",
IF(OR(AI586="Solved",AI586="--"),"--",
((Mat.Conc_Alpha.1*Mat.Conc_f.c*$AB586*MIN(AI586*Mat.Conc_Beta.1,$Y586))
+(Mat.Conc_Alpha.1*Mat.Conc_f.c*$V586*MAX(0,AI586*Mat.Conc_Beta.1-$Y586)))
-($J586*MIN(Mat.Rebar_f.y,(Mat.Rebar_epsilon.cl*($S586-AI586)/AI586)*Mat.PT_E.s))
-($M586*Mat.PT_f.pu*(1-Mat.PT_k*AI586/$P586))))</f>
        <v/>
      </c>
      <c r="AL586" s="329"/>
      <c r="AM586" s="167" t="str">
        <f>IF(ISBLANK(Inputs!$A69),"",
IF(AK586="--","Solved",
IF(ABS(AK586)&lt;=0.001,"Solved",AI586-AK586*(AI586-AE586)/(AK586-AG586))))</f>
        <v/>
      </c>
      <c r="AN586" s="167"/>
      <c r="AO586" s="329" t="str">
        <f>IF(ISBLANK(Inputs!$A69),"",
IF(OR(AM586="Solved",AM586="--"),"--",
((Mat.Conc_Alpha.1*Mat.Conc_f.c*$AB586*MIN(AM586*Mat.Conc_Beta.1,$Y586))
+(Mat.Conc_Alpha.1*Mat.Conc_f.c*$V586*MAX(0,AM586*Mat.Conc_Beta.1-$Y586)))
-($J586*MIN(Mat.Rebar_f.y,(Mat.Rebar_epsilon.cl*($S586-AM586)/AM586)*Mat.PT_E.s))
-($M586*Mat.PT_f.pu*(1-Mat.PT_k*AM586/$P586))))</f>
        <v/>
      </c>
      <c r="AP586" s="329"/>
      <c r="AQ586" s="167" t="str">
        <f>IF(ISBLANK(Inputs!$A69),"",
IF(AO586="--","Solved",
IF(ABS(AO586)&lt;=0.001,"Solved",AM586-AO586*(AM586-AI586)/(AO586-AK586))))</f>
        <v/>
      </c>
      <c r="AR586" s="167"/>
      <c r="AS586" s="329" t="str">
        <f>IF(ISBLANK(Inputs!$A69),"",
IF(OR(AQ586="Solved",AQ586="--"),"--",
((Mat.Conc_Alpha.1*Mat.Conc_f.c*$AB586*MIN(AQ586*Mat.Conc_Beta.1,$Y586))
+(Mat.Conc_Alpha.1*Mat.Conc_f.c*$V586*MAX(0,AQ586*Mat.Conc_Beta.1-$Y586)))
-($J586*MIN(Mat.Rebar_f.y,(Mat.Rebar_epsilon.cl*($S586-AQ586)/AQ586)*Mat.PT_E.s))
-($M586*Mat.PT_f.pu*(1-Mat.PT_k*AQ586/$P586))))</f>
        <v/>
      </c>
      <c r="AT586" s="329"/>
      <c r="AU586" s="167" t="str">
        <f>IF(ISBLANK(Inputs!$A69),"",
IF(AS586="--","Solved",
IF(ABS(AS586)&lt;=0.001,"Solved",AQ586-AS586*(AQ586-AM586)/(AS586-AO586))))</f>
        <v/>
      </c>
      <c r="AV586" s="167"/>
      <c r="AW586" s="329" t="str">
        <f>IF(ISBLANK(Inputs!$A69),"",
IF(OR(AU586="Solved",AU586="--"),"--",
((Mat.Conc_Alpha.1*Mat.Conc_f.c*$AB586*MIN(AU586*Mat.Conc_Beta.1,$Y586))
+(Mat.Conc_Alpha.1*Mat.Conc_f.c*$V586*MAX(0,AU586*Mat.Conc_Beta.1-$Y586)))
-($J586*MIN(Mat.Rebar_f.y,(Mat.Rebar_epsilon.cl*($S586-AU586)/AU586)*Mat.PT_E.s))
-($M586*Mat.PT_f.pu*(1-Mat.PT_k*AU586/$P586))))</f>
        <v/>
      </c>
      <c r="AX586" s="329"/>
      <c r="AY586" s="167" t="str">
        <f>IF(ISBLANK(Inputs!$A69),"",
IF(AW586="--","Solved",
IF(ABS(AW586)&lt;=0.001,"Solved",AU586-AW586*(AU586-AQ586)/(AW586-AS586))))</f>
        <v/>
      </c>
      <c r="AZ586" s="167"/>
      <c r="BA586" s="329" t="str">
        <f>IF(ISBLANK(Inputs!$A69),"",
IF(OR(AY586="Solved",AY586="--"),"--",
((Mat.Conc_Alpha.1*Mat.Conc_f.c*$AB586*MIN(AY586*Mat.Conc_Beta.1,$Y586))
+(Mat.Conc_Alpha.1*Mat.Conc_f.c*$V586*MAX(0,AY586*Mat.Conc_Beta.1-$Y586)))
-($J586*MIN(Mat.Rebar_f.y,(Mat.Rebar_epsilon.cl*($S586-AY586)/AY586)*Mat.PT_E.s))
-($M586*Mat.PT_f.pu*(1-Mat.PT_k*AY586/$P586))))</f>
        <v/>
      </c>
      <c r="BB586" s="329"/>
      <c r="BC586" s="167" t="str">
        <f>IF(ISBLANK(Inputs!$A69),"",
IF(BA586="--","Solved",
IF(ABS(BA586)&lt;=0.001,"Solved",AY586-BA586*(AY586-AU586)/(BA586-AW586))))</f>
        <v/>
      </c>
      <c r="BD586" s="167"/>
      <c r="BE586" s="329" t="str">
        <f>IF(ISBLANK(Inputs!$A69),"",
IF(OR(BC586="Solved",BC586="--"),"--",
((Mat.Conc_Alpha.1*Mat.Conc_f.c*$AB586*MIN(BC586*Mat.Conc_Beta.1,$Y586))
+(Mat.Conc_Alpha.1*Mat.Conc_f.c*$V586*MAX(0,BC586*Mat.Conc_Beta.1-$Y586)))
-($J586*MIN(Mat.Rebar_f.y,(Mat.Rebar_epsilon.cl*($S586-BC586)/BC586)*Mat.PT_E.s))
-($M586*Mat.PT_f.pu*(1-Mat.PT_k*BC586/$P586))))</f>
        <v/>
      </c>
      <c r="BF586" s="329"/>
      <c r="BG586" s="167" t="str">
        <f>IF(ISBLANK(Inputs!$A69),"",
IF(BE586="--","Solved",
IF(ABS(BE586)&lt;=0.001,"Solved",BC586-BE586*(BC586-AY586)/(BE586-BA586))))</f>
        <v/>
      </c>
      <c r="BH586" s="167"/>
      <c r="BI586" s="329" t="str">
        <f>IF(ISBLANK(Inputs!$A69),"",
IF(OR(BG586="Solved",BG586="--"),"--",
((Mat.Conc_Alpha.1*Mat.Conc_f.c*$AB586*MIN(BG586*Mat.Conc_Beta.1,$Y586))
+(Mat.Conc_Alpha.1*Mat.Conc_f.c*$V586*MAX(0,BG586*Mat.Conc_Beta.1-$Y586)))
-($J586*MIN(Mat.Rebar_f.y,(Mat.Rebar_epsilon.cl*($S586-BG586)/BG586)*Mat.PT_E.s))
-($M586*Mat.PT_f.pu*(1-Mat.PT_k*BG586/$P586))))</f>
        <v/>
      </c>
      <c r="BJ586" s="329"/>
      <c r="BK586" s="167" t="str">
        <f>IF(ISBLANK(Inputs!$A69),"",
IF(BI586="--","Solved",
IF(ABS(BI586)&lt;=0.001,"Solved",BG586-BI586*(BG586-BC586)/(BI586-BE586))))</f>
        <v/>
      </c>
      <c r="BL586" s="167"/>
      <c r="BM586" s="329" t="str">
        <f>IF(ISBLANK(Inputs!$A69),"",
IF(OR(BK586="Solved",BK586="--"),"--",
((Mat.Conc_Alpha.1*Mat.Conc_f.c*$AB586*MIN(BK586*Mat.Conc_Beta.1,$Y586))
+(Mat.Conc_Alpha.1*Mat.Conc_f.c*$V586*MAX(0,BK586*Mat.Conc_Beta.1-$Y586)))
-($J586*MIN(Mat.Rebar_f.y,(Mat.Rebar_epsilon.cl*($S586-BK586)/BK586)*Mat.PT_E.s))
-($M586*Mat.PT_f.pu*(1-Mat.PT_k*BK586/$P586))))</f>
        <v/>
      </c>
      <c r="BN586" s="329"/>
      <c r="BO586" s="167" t="str">
        <f>IF(ISBLANK(Inputs!$A69),"",
IF(BM586="--","Solved",
IF(ABS(BM586)&lt;=0.001,"Solved",BK586-BM586*(BK586-BG586)/(BM586-BI586))))</f>
        <v/>
      </c>
      <c r="BP586" s="167"/>
      <c r="BQ586" s="329" t="str">
        <f>IF(ISBLANK(Inputs!$A69),"",
IF(OR(BO586="Solved",BO586="--"),"--",
((Mat.Conc_Alpha.1*Mat.Conc_f.c*$AB586*MIN(BO586*Mat.Conc_Beta.1,$Y586))
+(Mat.Conc_Alpha.1*Mat.Conc_f.c*$V586*MAX(0,BO586*Mat.Conc_Beta.1-$Y586)))
-($J586*MIN(Mat.Rebar_f.y,(Mat.Rebar_epsilon.cl*($S586-BO586)/BO586)*Mat.PT_E.s))
-($M586*Mat.PT_f.pu*(1-Mat.PT_k*BO586/$P586))))</f>
        <v/>
      </c>
      <c r="BR586" s="329"/>
      <c r="BS586" s="70"/>
      <c r="BT586" s="70"/>
      <c r="BU586" s="70"/>
      <c r="BV586" s="70"/>
      <c r="BW586" s="8"/>
      <c r="BX586" s="8"/>
      <c r="BY586" s="8"/>
      <c r="BZ586" s="8"/>
      <c r="CA586" s="8"/>
      <c r="CB586" s="10"/>
    </row>
    <row r="587" spans="3:80" ht="15" customHeight="1" x14ac:dyDescent="0.25">
      <c r="C587" s="69"/>
      <c r="F587" s="167" t="str">
        <f>IF(ISBLANK(Inputs!A70),"",Inputs!A70)</f>
        <v/>
      </c>
      <c r="G587" s="167"/>
      <c r="H587" s="167" t="str">
        <f>IF(ISBLANK(Inputs!B70),"",Inputs!B70)</f>
        <v/>
      </c>
      <c r="I587" s="167"/>
      <c r="J587" s="168" t="str">
        <f>IF(ISBLANK(Inputs!K70),"",Inputs!K70)</f>
        <v/>
      </c>
      <c r="K587" s="168"/>
      <c r="L587" s="168"/>
      <c r="M587" s="168" t="str">
        <f>IF(ISBLANK(Inputs!D70),"",Inputs!D70)</f>
        <v/>
      </c>
      <c r="N587" s="168"/>
      <c r="O587" s="168"/>
      <c r="P587" s="168" t="str">
        <f>IF(ISBLANK(Inputs!F70),"",Inputs!$B$10-Inputs!F70)</f>
        <v/>
      </c>
      <c r="Q587" s="168"/>
      <c r="R587" s="168"/>
      <c r="S587" s="168" t="str">
        <f>IF(ISBLANK(Inputs!L70),"",Inputs!L70)</f>
        <v/>
      </c>
      <c r="T587" s="168"/>
      <c r="U587" s="168"/>
      <c r="V587" s="168" t="str">
        <f>IF(ISBLANK(Inputs!E70),"",Inputs!E70)</f>
        <v/>
      </c>
      <c r="W587" s="168"/>
      <c r="X587" s="168"/>
      <c r="Y587" s="168" t="str">
        <f>IF(ISBLANK(Inputs!M70),"",Inputs!M70)</f>
        <v/>
      </c>
      <c r="Z587" s="168"/>
      <c r="AA587" s="168"/>
      <c r="AB587" s="168" t="str">
        <f>IF(ISBLANK(Inputs!N70),"",Inputs!N70)</f>
        <v/>
      </c>
      <c r="AC587" s="168"/>
      <c r="AD587" s="168"/>
      <c r="AE587" s="371" t="str">
        <f>IF(ISBLANK(Inputs!A70),"",Y587)</f>
        <v/>
      </c>
      <c r="AF587" s="371"/>
      <c r="AG587" s="329" t="str">
        <f>IF(ISBLANK(Inputs!$A70),"",
IF(OR(AE587="Solved",AE587="--"),"--",
((Mat.Conc_Alpha.1*Mat.Conc_f.c*$AB587*MIN(AE587*Mat.Conc_Beta.1,$Y587))
+(Mat.Conc_Alpha.1*Mat.Conc_f.c*$V587*MAX(0,AE587*Mat.Conc_Beta.1-$Y587)))
-($J587*MIN(Mat.Rebar_f.y,(Mat.Rebar_epsilon.cl*($S587-AE587)/AE587)*Mat.PT_E.s))
-($M587*Mat.PT_f.pu*(1-Mat.PT_k*AE587/$P587))))</f>
        <v/>
      </c>
      <c r="AH587" s="329"/>
      <c r="AI587" s="167" t="str">
        <f>IF(ISBLANK(Inputs!$A70),"",
IF(ABS(AG587)&lt;=0.001,"Solved",IF(AG587&gt;0,0.85*AE587,1.15*AE587)))</f>
        <v/>
      </c>
      <c r="AJ587" s="167"/>
      <c r="AK587" s="329" t="str">
        <f>IF(ISBLANK(Inputs!$A70),"",
IF(OR(AI587="Solved",AI587="--"),"--",
((Mat.Conc_Alpha.1*Mat.Conc_f.c*$AB587*MIN(AI587*Mat.Conc_Beta.1,$Y587))
+(Mat.Conc_Alpha.1*Mat.Conc_f.c*$V587*MAX(0,AI587*Mat.Conc_Beta.1-$Y587)))
-($J587*MIN(Mat.Rebar_f.y,(Mat.Rebar_epsilon.cl*($S587-AI587)/AI587)*Mat.PT_E.s))
-($M587*Mat.PT_f.pu*(1-Mat.PT_k*AI587/$P587))))</f>
        <v/>
      </c>
      <c r="AL587" s="329"/>
      <c r="AM587" s="167" t="str">
        <f>IF(ISBLANK(Inputs!$A70),"",
IF(AK587="--","Solved",
IF(ABS(AK587)&lt;=0.001,"Solved",AI587-AK587*(AI587-AE587)/(AK587-AG587))))</f>
        <v/>
      </c>
      <c r="AN587" s="167"/>
      <c r="AO587" s="329" t="str">
        <f>IF(ISBLANK(Inputs!$A70),"",
IF(OR(AM587="Solved",AM587="--"),"--",
((Mat.Conc_Alpha.1*Mat.Conc_f.c*$AB587*MIN(AM587*Mat.Conc_Beta.1,$Y587))
+(Mat.Conc_Alpha.1*Mat.Conc_f.c*$V587*MAX(0,AM587*Mat.Conc_Beta.1-$Y587)))
-($J587*MIN(Mat.Rebar_f.y,(Mat.Rebar_epsilon.cl*($S587-AM587)/AM587)*Mat.PT_E.s))
-($M587*Mat.PT_f.pu*(1-Mat.PT_k*AM587/$P587))))</f>
        <v/>
      </c>
      <c r="AP587" s="329"/>
      <c r="AQ587" s="167" t="str">
        <f>IF(ISBLANK(Inputs!$A70),"",
IF(AO587="--","Solved",
IF(ABS(AO587)&lt;=0.001,"Solved",AM587-AO587*(AM587-AI587)/(AO587-AK587))))</f>
        <v/>
      </c>
      <c r="AR587" s="167"/>
      <c r="AS587" s="329" t="str">
        <f>IF(ISBLANK(Inputs!$A70),"",
IF(OR(AQ587="Solved",AQ587="--"),"--",
((Mat.Conc_Alpha.1*Mat.Conc_f.c*$AB587*MIN(AQ587*Mat.Conc_Beta.1,$Y587))
+(Mat.Conc_Alpha.1*Mat.Conc_f.c*$V587*MAX(0,AQ587*Mat.Conc_Beta.1-$Y587)))
-($J587*MIN(Mat.Rebar_f.y,(Mat.Rebar_epsilon.cl*($S587-AQ587)/AQ587)*Mat.PT_E.s))
-($M587*Mat.PT_f.pu*(1-Mat.PT_k*AQ587/$P587))))</f>
        <v/>
      </c>
      <c r="AT587" s="329"/>
      <c r="AU587" s="167" t="str">
        <f>IF(ISBLANK(Inputs!$A70),"",
IF(AS587="--","Solved",
IF(ABS(AS587)&lt;=0.001,"Solved",AQ587-AS587*(AQ587-AM587)/(AS587-AO587))))</f>
        <v/>
      </c>
      <c r="AV587" s="167"/>
      <c r="AW587" s="329" t="str">
        <f>IF(ISBLANK(Inputs!$A70),"",
IF(OR(AU587="Solved",AU587="--"),"--",
((Mat.Conc_Alpha.1*Mat.Conc_f.c*$AB587*MIN(AU587*Mat.Conc_Beta.1,$Y587))
+(Mat.Conc_Alpha.1*Mat.Conc_f.c*$V587*MAX(0,AU587*Mat.Conc_Beta.1-$Y587)))
-($J587*MIN(Mat.Rebar_f.y,(Mat.Rebar_epsilon.cl*($S587-AU587)/AU587)*Mat.PT_E.s))
-($M587*Mat.PT_f.pu*(1-Mat.PT_k*AU587/$P587))))</f>
        <v/>
      </c>
      <c r="AX587" s="329"/>
      <c r="AY587" s="167" t="str">
        <f>IF(ISBLANK(Inputs!$A70),"",
IF(AW587="--","Solved",
IF(ABS(AW587)&lt;=0.001,"Solved",AU587-AW587*(AU587-AQ587)/(AW587-AS587))))</f>
        <v/>
      </c>
      <c r="AZ587" s="167"/>
      <c r="BA587" s="329" t="str">
        <f>IF(ISBLANK(Inputs!$A70),"",
IF(OR(AY587="Solved",AY587="--"),"--",
((Mat.Conc_Alpha.1*Mat.Conc_f.c*$AB587*MIN(AY587*Mat.Conc_Beta.1,$Y587))
+(Mat.Conc_Alpha.1*Mat.Conc_f.c*$V587*MAX(0,AY587*Mat.Conc_Beta.1-$Y587)))
-($J587*MIN(Mat.Rebar_f.y,(Mat.Rebar_epsilon.cl*($S587-AY587)/AY587)*Mat.PT_E.s))
-($M587*Mat.PT_f.pu*(1-Mat.PT_k*AY587/$P587))))</f>
        <v/>
      </c>
      <c r="BB587" s="329"/>
      <c r="BC587" s="167" t="str">
        <f>IF(ISBLANK(Inputs!$A70),"",
IF(BA587="--","Solved",
IF(ABS(BA587)&lt;=0.001,"Solved",AY587-BA587*(AY587-AU587)/(BA587-AW587))))</f>
        <v/>
      </c>
      <c r="BD587" s="167"/>
      <c r="BE587" s="329" t="str">
        <f>IF(ISBLANK(Inputs!$A70),"",
IF(OR(BC587="Solved",BC587="--"),"--",
((Mat.Conc_Alpha.1*Mat.Conc_f.c*$AB587*MIN(BC587*Mat.Conc_Beta.1,$Y587))
+(Mat.Conc_Alpha.1*Mat.Conc_f.c*$V587*MAX(0,BC587*Mat.Conc_Beta.1-$Y587)))
-($J587*MIN(Mat.Rebar_f.y,(Mat.Rebar_epsilon.cl*($S587-BC587)/BC587)*Mat.PT_E.s))
-($M587*Mat.PT_f.pu*(1-Mat.PT_k*BC587/$P587))))</f>
        <v/>
      </c>
      <c r="BF587" s="329"/>
      <c r="BG587" s="167" t="str">
        <f>IF(ISBLANK(Inputs!$A70),"",
IF(BE587="--","Solved",
IF(ABS(BE587)&lt;=0.001,"Solved",BC587-BE587*(BC587-AY587)/(BE587-BA587))))</f>
        <v/>
      </c>
      <c r="BH587" s="167"/>
      <c r="BI587" s="329" t="str">
        <f>IF(ISBLANK(Inputs!$A70),"",
IF(OR(BG587="Solved",BG587="--"),"--",
((Mat.Conc_Alpha.1*Mat.Conc_f.c*$AB587*MIN(BG587*Mat.Conc_Beta.1,$Y587))
+(Mat.Conc_Alpha.1*Mat.Conc_f.c*$V587*MAX(0,BG587*Mat.Conc_Beta.1-$Y587)))
-($J587*MIN(Mat.Rebar_f.y,(Mat.Rebar_epsilon.cl*($S587-BG587)/BG587)*Mat.PT_E.s))
-($M587*Mat.PT_f.pu*(1-Mat.PT_k*BG587/$P587))))</f>
        <v/>
      </c>
      <c r="BJ587" s="329"/>
      <c r="BK587" s="167" t="str">
        <f>IF(ISBLANK(Inputs!$A70),"",
IF(BI587="--","Solved",
IF(ABS(BI587)&lt;=0.001,"Solved",BG587-BI587*(BG587-BC587)/(BI587-BE587))))</f>
        <v/>
      </c>
      <c r="BL587" s="167"/>
      <c r="BM587" s="329" t="str">
        <f>IF(ISBLANK(Inputs!$A70),"",
IF(OR(BK587="Solved",BK587="--"),"--",
((Mat.Conc_Alpha.1*Mat.Conc_f.c*$AB587*MIN(BK587*Mat.Conc_Beta.1,$Y587))
+(Mat.Conc_Alpha.1*Mat.Conc_f.c*$V587*MAX(0,BK587*Mat.Conc_Beta.1-$Y587)))
-($J587*MIN(Mat.Rebar_f.y,(Mat.Rebar_epsilon.cl*($S587-BK587)/BK587)*Mat.PT_E.s))
-($M587*Mat.PT_f.pu*(1-Mat.PT_k*BK587/$P587))))</f>
        <v/>
      </c>
      <c r="BN587" s="329"/>
      <c r="BO587" s="167" t="str">
        <f>IF(ISBLANK(Inputs!$A70),"",
IF(BM587="--","Solved",
IF(ABS(BM587)&lt;=0.001,"Solved",BK587-BM587*(BK587-BG587)/(BM587-BI587))))</f>
        <v/>
      </c>
      <c r="BP587" s="167"/>
      <c r="BQ587" s="329" t="str">
        <f>IF(ISBLANK(Inputs!$A70),"",
IF(OR(BO587="Solved",BO587="--"),"--",
((Mat.Conc_Alpha.1*Mat.Conc_f.c*$AB587*MIN(BO587*Mat.Conc_Beta.1,$Y587))
+(Mat.Conc_Alpha.1*Mat.Conc_f.c*$V587*MAX(0,BO587*Mat.Conc_Beta.1-$Y587)))
-($J587*MIN(Mat.Rebar_f.y,(Mat.Rebar_epsilon.cl*($S587-BO587)/BO587)*Mat.PT_E.s))
-($M587*Mat.PT_f.pu*(1-Mat.PT_k*BO587/$P587))))</f>
        <v/>
      </c>
      <c r="BR587" s="329"/>
      <c r="BS587" s="70"/>
      <c r="BT587" s="70"/>
      <c r="BU587" s="70"/>
      <c r="BV587" s="70"/>
      <c r="BW587" s="8"/>
      <c r="BX587" s="8"/>
      <c r="BY587" s="8"/>
      <c r="BZ587" s="8"/>
      <c r="CA587" s="8"/>
      <c r="CB587" s="10"/>
    </row>
    <row r="588" spans="3:80" ht="15" customHeight="1" x14ac:dyDescent="0.25">
      <c r="C588" s="69"/>
      <c r="F588" s="167" t="str">
        <f>IF(ISBLANK(Inputs!A71),"",Inputs!A71)</f>
        <v/>
      </c>
      <c r="G588" s="167"/>
      <c r="H588" s="167" t="str">
        <f>IF(ISBLANK(Inputs!B71),"",Inputs!B71)</f>
        <v/>
      </c>
      <c r="I588" s="167"/>
      <c r="J588" s="168" t="str">
        <f>IF(ISBLANK(Inputs!K71),"",Inputs!K71)</f>
        <v/>
      </c>
      <c r="K588" s="168"/>
      <c r="L588" s="168"/>
      <c r="M588" s="168" t="str">
        <f>IF(ISBLANK(Inputs!D71),"",Inputs!D71)</f>
        <v/>
      </c>
      <c r="N588" s="168"/>
      <c r="O588" s="168"/>
      <c r="P588" s="168" t="str">
        <f>IF(ISBLANK(Inputs!F71),"",Inputs!$B$10-Inputs!F71)</f>
        <v/>
      </c>
      <c r="Q588" s="168"/>
      <c r="R588" s="168"/>
      <c r="S588" s="168" t="str">
        <f>IF(ISBLANK(Inputs!L71),"",Inputs!L71)</f>
        <v/>
      </c>
      <c r="T588" s="168"/>
      <c r="U588" s="168"/>
      <c r="V588" s="168" t="str">
        <f>IF(ISBLANK(Inputs!E71),"",Inputs!E71)</f>
        <v/>
      </c>
      <c r="W588" s="168"/>
      <c r="X588" s="168"/>
      <c r="Y588" s="168" t="str">
        <f>IF(ISBLANK(Inputs!M71),"",Inputs!M71)</f>
        <v/>
      </c>
      <c r="Z588" s="168"/>
      <c r="AA588" s="168"/>
      <c r="AB588" s="168" t="str">
        <f>IF(ISBLANK(Inputs!N71),"",Inputs!N71)</f>
        <v/>
      </c>
      <c r="AC588" s="168"/>
      <c r="AD588" s="168"/>
      <c r="AE588" s="371" t="str">
        <f>IF(ISBLANK(Inputs!A71),"",Y588)</f>
        <v/>
      </c>
      <c r="AF588" s="371"/>
      <c r="AG588" s="329" t="str">
        <f>IF(ISBLANK(Inputs!$A71),"",
IF(OR(AE588="Solved",AE588="--"),"--",
((Mat.Conc_Alpha.1*Mat.Conc_f.c*$AB588*MIN(AE588*Mat.Conc_Beta.1,$Y588))
+(Mat.Conc_Alpha.1*Mat.Conc_f.c*$V588*MAX(0,AE588*Mat.Conc_Beta.1-$Y588)))
-($J588*MIN(Mat.Rebar_f.y,(Mat.Rebar_epsilon.cl*($S588-AE588)/AE588)*Mat.PT_E.s))
-($M588*Mat.PT_f.pu*(1-Mat.PT_k*AE588/$P588))))</f>
        <v/>
      </c>
      <c r="AH588" s="329"/>
      <c r="AI588" s="167" t="str">
        <f>IF(ISBLANK(Inputs!$A71),"",
IF(ABS(AG588)&lt;=0.001,"Solved",IF(AG588&gt;0,0.85*AE588,1.15*AE588)))</f>
        <v/>
      </c>
      <c r="AJ588" s="167"/>
      <c r="AK588" s="329" t="str">
        <f>IF(ISBLANK(Inputs!$A71),"",
IF(OR(AI588="Solved",AI588="--"),"--",
((Mat.Conc_Alpha.1*Mat.Conc_f.c*$AB588*MIN(AI588*Mat.Conc_Beta.1,$Y588))
+(Mat.Conc_Alpha.1*Mat.Conc_f.c*$V588*MAX(0,AI588*Mat.Conc_Beta.1-$Y588)))
-($J588*MIN(Mat.Rebar_f.y,(Mat.Rebar_epsilon.cl*($S588-AI588)/AI588)*Mat.PT_E.s))
-($M588*Mat.PT_f.pu*(1-Mat.PT_k*AI588/$P588))))</f>
        <v/>
      </c>
      <c r="AL588" s="329"/>
      <c r="AM588" s="167" t="str">
        <f>IF(ISBLANK(Inputs!$A71),"",
IF(AK588="--","Solved",
IF(ABS(AK588)&lt;=0.001,"Solved",AI588-AK588*(AI588-AE588)/(AK588-AG588))))</f>
        <v/>
      </c>
      <c r="AN588" s="167"/>
      <c r="AO588" s="329" t="str">
        <f>IF(ISBLANK(Inputs!$A71),"",
IF(OR(AM588="Solved",AM588="--"),"--",
((Mat.Conc_Alpha.1*Mat.Conc_f.c*$AB588*MIN(AM588*Mat.Conc_Beta.1,$Y588))
+(Mat.Conc_Alpha.1*Mat.Conc_f.c*$V588*MAX(0,AM588*Mat.Conc_Beta.1-$Y588)))
-($J588*MIN(Mat.Rebar_f.y,(Mat.Rebar_epsilon.cl*($S588-AM588)/AM588)*Mat.PT_E.s))
-($M588*Mat.PT_f.pu*(1-Mat.PT_k*AM588/$P588))))</f>
        <v/>
      </c>
      <c r="AP588" s="329"/>
      <c r="AQ588" s="167" t="str">
        <f>IF(ISBLANK(Inputs!$A71),"",
IF(AO588="--","Solved",
IF(ABS(AO588)&lt;=0.001,"Solved",AM588-AO588*(AM588-AI588)/(AO588-AK588))))</f>
        <v/>
      </c>
      <c r="AR588" s="167"/>
      <c r="AS588" s="329" t="str">
        <f>IF(ISBLANK(Inputs!$A71),"",
IF(OR(AQ588="Solved",AQ588="--"),"--",
((Mat.Conc_Alpha.1*Mat.Conc_f.c*$AB588*MIN(AQ588*Mat.Conc_Beta.1,$Y588))
+(Mat.Conc_Alpha.1*Mat.Conc_f.c*$V588*MAX(0,AQ588*Mat.Conc_Beta.1-$Y588)))
-($J588*MIN(Mat.Rebar_f.y,(Mat.Rebar_epsilon.cl*($S588-AQ588)/AQ588)*Mat.PT_E.s))
-($M588*Mat.PT_f.pu*(1-Mat.PT_k*AQ588/$P588))))</f>
        <v/>
      </c>
      <c r="AT588" s="329"/>
      <c r="AU588" s="167" t="str">
        <f>IF(ISBLANK(Inputs!$A71),"",
IF(AS588="--","Solved",
IF(ABS(AS588)&lt;=0.001,"Solved",AQ588-AS588*(AQ588-AM588)/(AS588-AO588))))</f>
        <v/>
      </c>
      <c r="AV588" s="167"/>
      <c r="AW588" s="329" t="str">
        <f>IF(ISBLANK(Inputs!$A71),"",
IF(OR(AU588="Solved",AU588="--"),"--",
((Mat.Conc_Alpha.1*Mat.Conc_f.c*$AB588*MIN(AU588*Mat.Conc_Beta.1,$Y588))
+(Mat.Conc_Alpha.1*Mat.Conc_f.c*$V588*MAX(0,AU588*Mat.Conc_Beta.1-$Y588)))
-($J588*MIN(Mat.Rebar_f.y,(Mat.Rebar_epsilon.cl*($S588-AU588)/AU588)*Mat.PT_E.s))
-($M588*Mat.PT_f.pu*(1-Mat.PT_k*AU588/$P588))))</f>
        <v/>
      </c>
      <c r="AX588" s="329"/>
      <c r="AY588" s="167" t="str">
        <f>IF(ISBLANK(Inputs!$A71),"",
IF(AW588="--","Solved",
IF(ABS(AW588)&lt;=0.001,"Solved",AU588-AW588*(AU588-AQ588)/(AW588-AS588))))</f>
        <v/>
      </c>
      <c r="AZ588" s="167"/>
      <c r="BA588" s="329" t="str">
        <f>IF(ISBLANK(Inputs!$A71),"",
IF(OR(AY588="Solved",AY588="--"),"--",
((Mat.Conc_Alpha.1*Mat.Conc_f.c*$AB588*MIN(AY588*Mat.Conc_Beta.1,$Y588))
+(Mat.Conc_Alpha.1*Mat.Conc_f.c*$V588*MAX(0,AY588*Mat.Conc_Beta.1-$Y588)))
-($J588*MIN(Mat.Rebar_f.y,(Mat.Rebar_epsilon.cl*($S588-AY588)/AY588)*Mat.PT_E.s))
-($M588*Mat.PT_f.pu*(1-Mat.PT_k*AY588/$P588))))</f>
        <v/>
      </c>
      <c r="BB588" s="329"/>
      <c r="BC588" s="167" t="str">
        <f>IF(ISBLANK(Inputs!$A71),"",
IF(BA588="--","Solved",
IF(ABS(BA588)&lt;=0.001,"Solved",AY588-BA588*(AY588-AU588)/(BA588-AW588))))</f>
        <v/>
      </c>
      <c r="BD588" s="167"/>
      <c r="BE588" s="329" t="str">
        <f>IF(ISBLANK(Inputs!$A71),"",
IF(OR(BC588="Solved",BC588="--"),"--",
((Mat.Conc_Alpha.1*Mat.Conc_f.c*$AB588*MIN(BC588*Mat.Conc_Beta.1,$Y588))
+(Mat.Conc_Alpha.1*Mat.Conc_f.c*$V588*MAX(0,BC588*Mat.Conc_Beta.1-$Y588)))
-($J588*MIN(Mat.Rebar_f.y,(Mat.Rebar_epsilon.cl*($S588-BC588)/BC588)*Mat.PT_E.s))
-($M588*Mat.PT_f.pu*(1-Mat.PT_k*BC588/$P588))))</f>
        <v/>
      </c>
      <c r="BF588" s="329"/>
      <c r="BG588" s="167" t="str">
        <f>IF(ISBLANK(Inputs!$A71),"",
IF(BE588="--","Solved",
IF(ABS(BE588)&lt;=0.001,"Solved",BC588-BE588*(BC588-AY588)/(BE588-BA588))))</f>
        <v/>
      </c>
      <c r="BH588" s="167"/>
      <c r="BI588" s="329" t="str">
        <f>IF(ISBLANK(Inputs!$A71),"",
IF(OR(BG588="Solved",BG588="--"),"--",
((Mat.Conc_Alpha.1*Mat.Conc_f.c*$AB588*MIN(BG588*Mat.Conc_Beta.1,$Y588))
+(Mat.Conc_Alpha.1*Mat.Conc_f.c*$V588*MAX(0,BG588*Mat.Conc_Beta.1-$Y588)))
-($J588*MIN(Mat.Rebar_f.y,(Mat.Rebar_epsilon.cl*($S588-BG588)/BG588)*Mat.PT_E.s))
-($M588*Mat.PT_f.pu*(1-Mat.PT_k*BG588/$P588))))</f>
        <v/>
      </c>
      <c r="BJ588" s="329"/>
      <c r="BK588" s="167" t="str">
        <f>IF(ISBLANK(Inputs!$A71),"",
IF(BI588="--","Solved",
IF(ABS(BI588)&lt;=0.001,"Solved",BG588-BI588*(BG588-BC588)/(BI588-BE588))))</f>
        <v/>
      </c>
      <c r="BL588" s="167"/>
      <c r="BM588" s="329" t="str">
        <f>IF(ISBLANK(Inputs!$A71),"",
IF(OR(BK588="Solved",BK588="--"),"--",
((Mat.Conc_Alpha.1*Mat.Conc_f.c*$AB588*MIN(BK588*Mat.Conc_Beta.1,$Y588))
+(Mat.Conc_Alpha.1*Mat.Conc_f.c*$V588*MAX(0,BK588*Mat.Conc_Beta.1-$Y588)))
-($J588*MIN(Mat.Rebar_f.y,(Mat.Rebar_epsilon.cl*($S588-BK588)/BK588)*Mat.PT_E.s))
-($M588*Mat.PT_f.pu*(1-Mat.PT_k*BK588/$P588))))</f>
        <v/>
      </c>
      <c r="BN588" s="329"/>
      <c r="BO588" s="167" t="str">
        <f>IF(ISBLANK(Inputs!$A71),"",
IF(BM588="--","Solved",
IF(ABS(BM588)&lt;=0.001,"Solved",BK588-BM588*(BK588-BG588)/(BM588-BI588))))</f>
        <v/>
      </c>
      <c r="BP588" s="167"/>
      <c r="BQ588" s="329" t="str">
        <f>IF(ISBLANK(Inputs!$A71),"",
IF(OR(BO588="Solved",BO588="--"),"--",
((Mat.Conc_Alpha.1*Mat.Conc_f.c*$AB588*MIN(BO588*Mat.Conc_Beta.1,$Y588))
+(Mat.Conc_Alpha.1*Mat.Conc_f.c*$V588*MAX(0,BO588*Mat.Conc_Beta.1-$Y588)))
-($J588*MIN(Mat.Rebar_f.y,(Mat.Rebar_epsilon.cl*($S588-BO588)/BO588)*Mat.PT_E.s))
-($M588*Mat.PT_f.pu*(1-Mat.PT_k*BO588/$P588))))</f>
        <v/>
      </c>
      <c r="BR588" s="329"/>
      <c r="BS588" s="70"/>
      <c r="BT588" s="70"/>
      <c r="BU588" s="70"/>
      <c r="BV588" s="70"/>
      <c r="BW588" s="8"/>
      <c r="BX588" s="8"/>
      <c r="BY588" s="8"/>
      <c r="BZ588" s="8"/>
      <c r="CA588" s="8"/>
      <c r="CB588" s="10"/>
    </row>
    <row r="589" spans="3:80" ht="15" customHeight="1" x14ac:dyDescent="0.25">
      <c r="C589" s="69"/>
      <c r="F589" s="167" t="str">
        <f>IF(ISBLANK(Inputs!A72),"",Inputs!A72)</f>
        <v/>
      </c>
      <c r="G589" s="167"/>
      <c r="H589" s="167" t="str">
        <f>IF(ISBLANK(Inputs!B72),"",Inputs!B72)</f>
        <v/>
      </c>
      <c r="I589" s="167"/>
      <c r="J589" s="168" t="str">
        <f>IF(ISBLANK(Inputs!K72),"",Inputs!K72)</f>
        <v/>
      </c>
      <c r="K589" s="168"/>
      <c r="L589" s="168"/>
      <c r="M589" s="168" t="str">
        <f>IF(ISBLANK(Inputs!D72),"",Inputs!D72)</f>
        <v/>
      </c>
      <c r="N589" s="168"/>
      <c r="O589" s="168"/>
      <c r="P589" s="168" t="str">
        <f>IF(ISBLANK(Inputs!F72),"",Inputs!$B$10-Inputs!F72)</f>
        <v/>
      </c>
      <c r="Q589" s="168"/>
      <c r="R589" s="168"/>
      <c r="S589" s="168" t="str">
        <f>IF(ISBLANK(Inputs!L72),"",Inputs!L72)</f>
        <v/>
      </c>
      <c r="T589" s="168"/>
      <c r="U589" s="168"/>
      <c r="V589" s="168" t="str">
        <f>IF(ISBLANK(Inputs!E72),"",Inputs!E72)</f>
        <v/>
      </c>
      <c r="W589" s="168"/>
      <c r="X589" s="168"/>
      <c r="Y589" s="168" t="str">
        <f>IF(ISBLANK(Inputs!M72),"",Inputs!M72)</f>
        <v/>
      </c>
      <c r="Z589" s="168"/>
      <c r="AA589" s="168"/>
      <c r="AB589" s="168" t="str">
        <f>IF(ISBLANK(Inputs!N72),"",Inputs!N72)</f>
        <v/>
      </c>
      <c r="AC589" s="168"/>
      <c r="AD589" s="168"/>
      <c r="AE589" s="371" t="str">
        <f>IF(ISBLANK(Inputs!A72),"",Y589)</f>
        <v/>
      </c>
      <c r="AF589" s="371"/>
      <c r="AG589" s="329" t="str">
        <f>IF(ISBLANK(Inputs!$A72),"",
IF(OR(AE589="Solved",AE589="--"),"--",
((Mat.Conc_Alpha.1*Mat.Conc_f.c*$AB589*MIN(AE589*Mat.Conc_Beta.1,$Y589))
+(Mat.Conc_Alpha.1*Mat.Conc_f.c*$V589*MAX(0,AE589*Mat.Conc_Beta.1-$Y589)))
-($J589*MIN(Mat.Rebar_f.y,(Mat.Rebar_epsilon.cl*($S589-AE589)/AE589)*Mat.PT_E.s))
-($M589*Mat.PT_f.pu*(1-Mat.PT_k*AE589/$P589))))</f>
        <v/>
      </c>
      <c r="AH589" s="329"/>
      <c r="AI589" s="167" t="str">
        <f>IF(ISBLANK(Inputs!$A72),"",
IF(ABS(AG589)&lt;=0.001,"Solved",IF(AG589&gt;0,0.85*AE589,1.15*AE589)))</f>
        <v/>
      </c>
      <c r="AJ589" s="167"/>
      <c r="AK589" s="329" t="str">
        <f>IF(ISBLANK(Inputs!$A72),"",
IF(OR(AI589="Solved",AI589="--"),"--",
((Mat.Conc_Alpha.1*Mat.Conc_f.c*$AB589*MIN(AI589*Mat.Conc_Beta.1,$Y589))
+(Mat.Conc_Alpha.1*Mat.Conc_f.c*$V589*MAX(0,AI589*Mat.Conc_Beta.1-$Y589)))
-($J589*MIN(Mat.Rebar_f.y,(Mat.Rebar_epsilon.cl*($S589-AI589)/AI589)*Mat.PT_E.s))
-($M589*Mat.PT_f.pu*(1-Mat.PT_k*AI589/$P589))))</f>
        <v/>
      </c>
      <c r="AL589" s="329"/>
      <c r="AM589" s="167" t="str">
        <f>IF(ISBLANK(Inputs!$A72),"",
IF(AK589="--","Solved",
IF(ABS(AK589)&lt;=0.001,"Solved",AI589-AK589*(AI589-AE589)/(AK589-AG589))))</f>
        <v/>
      </c>
      <c r="AN589" s="167"/>
      <c r="AO589" s="329" t="str">
        <f>IF(ISBLANK(Inputs!$A72),"",
IF(OR(AM589="Solved",AM589="--"),"--",
((Mat.Conc_Alpha.1*Mat.Conc_f.c*$AB589*MIN(AM589*Mat.Conc_Beta.1,$Y589))
+(Mat.Conc_Alpha.1*Mat.Conc_f.c*$V589*MAX(0,AM589*Mat.Conc_Beta.1-$Y589)))
-($J589*MIN(Mat.Rebar_f.y,(Mat.Rebar_epsilon.cl*($S589-AM589)/AM589)*Mat.PT_E.s))
-($M589*Mat.PT_f.pu*(1-Mat.PT_k*AM589/$P589))))</f>
        <v/>
      </c>
      <c r="AP589" s="329"/>
      <c r="AQ589" s="167" t="str">
        <f>IF(ISBLANK(Inputs!$A72),"",
IF(AO589="--","Solved",
IF(ABS(AO589)&lt;=0.001,"Solved",AM589-AO589*(AM589-AI589)/(AO589-AK589))))</f>
        <v/>
      </c>
      <c r="AR589" s="167"/>
      <c r="AS589" s="329" t="str">
        <f>IF(ISBLANK(Inputs!$A72),"",
IF(OR(AQ589="Solved",AQ589="--"),"--",
((Mat.Conc_Alpha.1*Mat.Conc_f.c*$AB589*MIN(AQ589*Mat.Conc_Beta.1,$Y589))
+(Mat.Conc_Alpha.1*Mat.Conc_f.c*$V589*MAX(0,AQ589*Mat.Conc_Beta.1-$Y589)))
-($J589*MIN(Mat.Rebar_f.y,(Mat.Rebar_epsilon.cl*($S589-AQ589)/AQ589)*Mat.PT_E.s))
-($M589*Mat.PT_f.pu*(1-Mat.PT_k*AQ589/$P589))))</f>
        <v/>
      </c>
      <c r="AT589" s="329"/>
      <c r="AU589" s="167" t="str">
        <f>IF(ISBLANK(Inputs!$A72),"",
IF(AS589="--","Solved",
IF(ABS(AS589)&lt;=0.001,"Solved",AQ589-AS589*(AQ589-AM589)/(AS589-AO589))))</f>
        <v/>
      </c>
      <c r="AV589" s="167"/>
      <c r="AW589" s="329" t="str">
        <f>IF(ISBLANK(Inputs!$A72),"",
IF(OR(AU589="Solved",AU589="--"),"--",
((Mat.Conc_Alpha.1*Mat.Conc_f.c*$AB589*MIN(AU589*Mat.Conc_Beta.1,$Y589))
+(Mat.Conc_Alpha.1*Mat.Conc_f.c*$V589*MAX(0,AU589*Mat.Conc_Beta.1-$Y589)))
-($J589*MIN(Mat.Rebar_f.y,(Mat.Rebar_epsilon.cl*($S589-AU589)/AU589)*Mat.PT_E.s))
-($M589*Mat.PT_f.pu*(1-Mat.PT_k*AU589/$P589))))</f>
        <v/>
      </c>
      <c r="AX589" s="329"/>
      <c r="AY589" s="167" t="str">
        <f>IF(ISBLANK(Inputs!$A72),"",
IF(AW589="--","Solved",
IF(ABS(AW589)&lt;=0.001,"Solved",AU589-AW589*(AU589-AQ589)/(AW589-AS589))))</f>
        <v/>
      </c>
      <c r="AZ589" s="167"/>
      <c r="BA589" s="329" t="str">
        <f>IF(ISBLANK(Inputs!$A72),"",
IF(OR(AY589="Solved",AY589="--"),"--",
((Mat.Conc_Alpha.1*Mat.Conc_f.c*$AB589*MIN(AY589*Mat.Conc_Beta.1,$Y589))
+(Mat.Conc_Alpha.1*Mat.Conc_f.c*$V589*MAX(0,AY589*Mat.Conc_Beta.1-$Y589)))
-($J589*MIN(Mat.Rebar_f.y,(Mat.Rebar_epsilon.cl*($S589-AY589)/AY589)*Mat.PT_E.s))
-($M589*Mat.PT_f.pu*(1-Mat.PT_k*AY589/$P589))))</f>
        <v/>
      </c>
      <c r="BB589" s="329"/>
      <c r="BC589" s="167" t="str">
        <f>IF(ISBLANK(Inputs!$A72),"",
IF(BA589="--","Solved",
IF(ABS(BA589)&lt;=0.001,"Solved",AY589-BA589*(AY589-AU589)/(BA589-AW589))))</f>
        <v/>
      </c>
      <c r="BD589" s="167"/>
      <c r="BE589" s="329" t="str">
        <f>IF(ISBLANK(Inputs!$A72),"",
IF(OR(BC589="Solved",BC589="--"),"--",
((Mat.Conc_Alpha.1*Mat.Conc_f.c*$AB589*MIN(BC589*Mat.Conc_Beta.1,$Y589))
+(Mat.Conc_Alpha.1*Mat.Conc_f.c*$V589*MAX(0,BC589*Mat.Conc_Beta.1-$Y589)))
-($J589*MIN(Mat.Rebar_f.y,(Mat.Rebar_epsilon.cl*($S589-BC589)/BC589)*Mat.PT_E.s))
-($M589*Mat.PT_f.pu*(1-Mat.PT_k*BC589/$P589))))</f>
        <v/>
      </c>
      <c r="BF589" s="329"/>
      <c r="BG589" s="167" t="str">
        <f>IF(ISBLANK(Inputs!$A72),"",
IF(BE589="--","Solved",
IF(ABS(BE589)&lt;=0.001,"Solved",BC589-BE589*(BC589-AY589)/(BE589-BA589))))</f>
        <v/>
      </c>
      <c r="BH589" s="167"/>
      <c r="BI589" s="329" t="str">
        <f>IF(ISBLANK(Inputs!$A72),"",
IF(OR(BG589="Solved",BG589="--"),"--",
((Mat.Conc_Alpha.1*Mat.Conc_f.c*$AB589*MIN(BG589*Mat.Conc_Beta.1,$Y589))
+(Mat.Conc_Alpha.1*Mat.Conc_f.c*$V589*MAX(0,BG589*Mat.Conc_Beta.1-$Y589)))
-($J589*MIN(Mat.Rebar_f.y,(Mat.Rebar_epsilon.cl*($S589-BG589)/BG589)*Mat.PT_E.s))
-($M589*Mat.PT_f.pu*(1-Mat.PT_k*BG589/$P589))))</f>
        <v/>
      </c>
      <c r="BJ589" s="329"/>
      <c r="BK589" s="167" t="str">
        <f>IF(ISBLANK(Inputs!$A72),"",
IF(BI589="--","Solved",
IF(ABS(BI589)&lt;=0.001,"Solved",BG589-BI589*(BG589-BC589)/(BI589-BE589))))</f>
        <v/>
      </c>
      <c r="BL589" s="167"/>
      <c r="BM589" s="329" t="str">
        <f>IF(ISBLANK(Inputs!$A72),"",
IF(OR(BK589="Solved",BK589="--"),"--",
((Mat.Conc_Alpha.1*Mat.Conc_f.c*$AB589*MIN(BK589*Mat.Conc_Beta.1,$Y589))
+(Mat.Conc_Alpha.1*Mat.Conc_f.c*$V589*MAX(0,BK589*Mat.Conc_Beta.1-$Y589)))
-($J589*MIN(Mat.Rebar_f.y,(Mat.Rebar_epsilon.cl*($S589-BK589)/BK589)*Mat.PT_E.s))
-($M589*Mat.PT_f.pu*(1-Mat.PT_k*BK589/$P589))))</f>
        <v/>
      </c>
      <c r="BN589" s="329"/>
      <c r="BO589" s="167" t="str">
        <f>IF(ISBLANK(Inputs!$A72),"",
IF(BM589="--","Solved",
IF(ABS(BM589)&lt;=0.001,"Solved",BK589-BM589*(BK589-BG589)/(BM589-BI589))))</f>
        <v/>
      </c>
      <c r="BP589" s="167"/>
      <c r="BQ589" s="329" t="str">
        <f>IF(ISBLANK(Inputs!$A72),"",
IF(OR(BO589="Solved",BO589="--"),"--",
((Mat.Conc_Alpha.1*Mat.Conc_f.c*$AB589*MIN(BO589*Mat.Conc_Beta.1,$Y589))
+(Mat.Conc_Alpha.1*Mat.Conc_f.c*$V589*MAX(0,BO589*Mat.Conc_Beta.1-$Y589)))
-($J589*MIN(Mat.Rebar_f.y,(Mat.Rebar_epsilon.cl*($S589-BO589)/BO589)*Mat.PT_E.s))
-($M589*Mat.PT_f.pu*(1-Mat.PT_k*BO589/$P589))))</f>
        <v/>
      </c>
      <c r="BR589" s="329"/>
      <c r="BS589" s="70"/>
      <c r="BT589" s="70"/>
      <c r="BU589" s="70"/>
      <c r="BV589" s="70"/>
      <c r="BW589" s="8"/>
      <c r="BX589" s="8"/>
      <c r="BY589" s="8"/>
      <c r="BZ589" s="8"/>
      <c r="CA589" s="8"/>
      <c r="CB589" s="10"/>
    </row>
    <row r="590" spans="3:80" ht="15" customHeight="1" x14ac:dyDescent="0.25">
      <c r="C590" s="69"/>
      <c r="F590" s="167" t="str">
        <f>IF(ISBLANK(Inputs!A73),"",Inputs!A73)</f>
        <v/>
      </c>
      <c r="G590" s="167"/>
      <c r="H590" s="167" t="str">
        <f>IF(ISBLANK(Inputs!B73),"",Inputs!B73)</f>
        <v/>
      </c>
      <c r="I590" s="167"/>
      <c r="J590" s="168" t="str">
        <f>IF(ISBLANK(Inputs!K73),"",Inputs!K73)</f>
        <v/>
      </c>
      <c r="K590" s="168"/>
      <c r="L590" s="168"/>
      <c r="M590" s="168" t="str">
        <f>IF(ISBLANK(Inputs!D73),"",Inputs!D73)</f>
        <v/>
      </c>
      <c r="N590" s="168"/>
      <c r="O590" s="168"/>
      <c r="P590" s="168" t="str">
        <f>IF(ISBLANK(Inputs!F73),"",Inputs!$B$10-Inputs!F73)</f>
        <v/>
      </c>
      <c r="Q590" s="168"/>
      <c r="R590" s="168"/>
      <c r="S590" s="168" t="str">
        <f>IF(ISBLANK(Inputs!L73),"",Inputs!L73)</f>
        <v/>
      </c>
      <c r="T590" s="168"/>
      <c r="U590" s="168"/>
      <c r="V590" s="168" t="str">
        <f>IF(ISBLANK(Inputs!E73),"",Inputs!E73)</f>
        <v/>
      </c>
      <c r="W590" s="168"/>
      <c r="X590" s="168"/>
      <c r="Y590" s="168" t="str">
        <f>IF(ISBLANK(Inputs!M73),"",Inputs!M73)</f>
        <v/>
      </c>
      <c r="Z590" s="168"/>
      <c r="AA590" s="168"/>
      <c r="AB590" s="168" t="str">
        <f>IF(ISBLANK(Inputs!N73),"",Inputs!N73)</f>
        <v/>
      </c>
      <c r="AC590" s="168"/>
      <c r="AD590" s="168"/>
      <c r="AE590" s="371" t="str">
        <f>IF(ISBLANK(Inputs!A73),"",Y590)</f>
        <v/>
      </c>
      <c r="AF590" s="371"/>
      <c r="AG590" s="329" t="str">
        <f>IF(ISBLANK(Inputs!$A73),"",
IF(OR(AE590="Solved",AE590="--"),"--",
((Mat.Conc_Alpha.1*Mat.Conc_f.c*$AB590*MIN(AE590*Mat.Conc_Beta.1,$Y590))
+(Mat.Conc_Alpha.1*Mat.Conc_f.c*$V590*MAX(0,AE590*Mat.Conc_Beta.1-$Y590)))
-($J590*MIN(Mat.Rebar_f.y,(Mat.Rebar_epsilon.cl*($S590-AE590)/AE590)*Mat.PT_E.s))
-($M590*Mat.PT_f.pu*(1-Mat.PT_k*AE590/$P590))))</f>
        <v/>
      </c>
      <c r="AH590" s="329"/>
      <c r="AI590" s="167" t="str">
        <f>IF(ISBLANK(Inputs!$A73),"",
IF(ABS(AG590)&lt;=0.001,"Solved",IF(AG590&gt;0,0.85*AE590,1.15*AE590)))</f>
        <v/>
      </c>
      <c r="AJ590" s="167"/>
      <c r="AK590" s="329" t="str">
        <f>IF(ISBLANK(Inputs!$A73),"",
IF(OR(AI590="Solved",AI590="--"),"--",
((Mat.Conc_Alpha.1*Mat.Conc_f.c*$AB590*MIN(AI590*Mat.Conc_Beta.1,$Y590))
+(Mat.Conc_Alpha.1*Mat.Conc_f.c*$V590*MAX(0,AI590*Mat.Conc_Beta.1-$Y590)))
-($J590*MIN(Mat.Rebar_f.y,(Mat.Rebar_epsilon.cl*($S590-AI590)/AI590)*Mat.PT_E.s))
-($M590*Mat.PT_f.pu*(1-Mat.PT_k*AI590/$P590))))</f>
        <v/>
      </c>
      <c r="AL590" s="329"/>
      <c r="AM590" s="167" t="str">
        <f>IF(ISBLANK(Inputs!$A73),"",
IF(AK590="--","Solved",
IF(ABS(AK590)&lt;=0.001,"Solved",AI590-AK590*(AI590-AE590)/(AK590-AG590))))</f>
        <v/>
      </c>
      <c r="AN590" s="167"/>
      <c r="AO590" s="329" t="str">
        <f>IF(ISBLANK(Inputs!$A73),"",
IF(OR(AM590="Solved",AM590="--"),"--",
((Mat.Conc_Alpha.1*Mat.Conc_f.c*$AB590*MIN(AM590*Mat.Conc_Beta.1,$Y590))
+(Mat.Conc_Alpha.1*Mat.Conc_f.c*$V590*MAX(0,AM590*Mat.Conc_Beta.1-$Y590)))
-($J590*MIN(Mat.Rebar_f.y,(Mat.Rebar_epsilon.cl*($S590-AM590)/AM590)*Mat.PT_E.s))
-($M590*Mat.PT_f.pu*(1-Mat.PT_k*AM590/$P590))))</f>
        <v/>
      </c>
      <c r="AP590" s="329"/>
      <c r="AQ590" s="167" t="str">
        <f>IF(ISBLANK(Inputs!$A73),"",
IF(AO590="--","Solved",
IF(ABS(AO590)&lt;=0.001,"Solved",AM590-AO590*(AM590-AI590)/(AO590-AK590))))</f>
        <v/>
      </c>
      <c r="AR590" s="167"/>
      <c r="AS590" s="329" t="str">
        <f>IF(ISBLANK(Inputs!$A73),"",
IF(OR(AQ590="Solved",AQ590="--"),"--",
((Mat.Conc_Alpha.1*Mat.Conc_f.c*$AB590*MIN(AQ590*Mat.Conc_Beta.1,$Y590))
+(Mat.Conc_Alpha.1*Mat.Conc_f.c*$V590*MAX(0,AQ590*Mat.Conc_Beta.1-$Y590)))
-($J590*MIN(Mat.Rebar_f.y,(Mat.Rebar_epsilon.cl*($S590-AQ590)/AQ590)*Mat.PT_E.s))
-($M590*Mat.PT_f.pu*(1-Mat.PT_k*AQ590/$P590))))</f>
        <v/>
      </c>
      <c r="AT590" s="329"/>
      <c r="AU590" s="167" t="str">
        <f>IF(ISBLANK(Inputs!$A73),"",
IF(AS590="--","Solved",
IF(ABS(AS590)&lt;=0.001,"Solved",AQ590-AS590*(AQ590-AM590)/(AS590-AO590))))</f>
        <v/>
      </c>
      <c r="AV590" s="167"/>
      <c r="AW590" s="329" t="str">
        <f>IF(ISBLANK(Inputs!$A73),"",
IF(OR(AU590="Solved",AU590="--"),"--",
((Mat.Conc_Alpha.1*Mat.Conc_f.c*$AB590*MIN(AU590*Mat.Conc_Beta.1,$Y590))
+(Mat.Conc_Alpha.1*Mat.Conc_f.c*$V590*MAX(0,AU590*Mat.Conc_Beta.1-$Y590)))
-($J590*MIN(Mat.Rebar_f.y,(Mat.Rebar_epsilon.cl*($S590-AU590)/AU590)*Mat.PT_E.s))
-($M590*Mat.PT_f.pu*(1-Mat.PT_k*AU590/$P590))))</f>
        <v/>
      </c>
      <c r="AX590" s="329"/>
      <c r="AY590" s="167" t="str">
        <f>IF(ISBLANK(Inputs!$A73),"",
IF(AW590="--","Solved",
IF(ABS(AW590)&lt;=0.001,"Solved",AU590-AW590*(AU590-AQ590)/(AW590-AS590))))</f>
        <v/>
      </c>
      <c r="AZ590" s="167"/>
      <c r="BA590" s="329" t="str">
        <f>IF(ISBLANK(Inputs!$A73),"",
IF(OR(AY590="Solved",AY590="--"),"--",
((Mat.Conc_Alpha.1*Mat.Conc_f.c*$AB590*MIN(AY590*Mat.Conc_Beta.1,$Y590))
+(Mat.Conc_Alpha.1*Mat.Conc_f.c*$V590*MAX(0,AY590*Mat.Conc_Beta.1-$Y590)))
-($J590*MIN(Mat.Rebar_f.y,(Mat.Rebar_epsilon.cl*($S590-AY590)/AY590)*Mat.PT_E.s))
-($M590*Mat.PT_f.pu*(1-Mat.PT_k*AY590/$P590))))</f>
        <v/>
      </c>
      <c r="BB590" s="329"/>
      <c r="BC590" s="167" t="str">
        <f>IF(ISBLANK(Inputs!$A73),"",
IF(BA590="--","Solved",
IF(ABS(BA590)&lt;=0.001,"Solved",AY590-BA590*(AY590-AU590)/(BA590-AW590))))</f>
        <v/>
      </c>
      <c r="BD590" s="167"/>
      <c r="BE590" s="329" t="str">
        <f>IF(ISBLANK(Inputs!$A73),"",
IF(OR(BC590="Solved",BC590="--"),"--",
((Mat.Conc_Alpha.1*Mat.Conc_f.c*$AB590*MIN(BC590*Mat.Conc_Beta.1,$Y590))
+(Mat.Conc_Alpha.1*Mat.Conc_f.c*$V590*MAX(0,BC590*Mat.Conc_Beta.1-$Y590)))
-($J590*MIN(Mat.Rebar_f.y,(Mat.Rebar_epsilon.cl*($S590-BC590)/BC590)*Mat.PT_E.s))
-($M590*Mat.PT_f.pu*(1-Mat.PT_k*BC590/$P590))))</f>
        <v/>
      </c>
      <c r="BF590" s="329"/>
      <c r="BG590" s="167" t="str">
        <f>IF(ISBLANK(Inputs!$A73),"",
IF(BE590="--","Solved",
IF(ABS(BE590)&lt;=0.001,"Solved",BC590-BE590*(BC590-AY590)/(BE590-BA590))))</f>
        <v/>
      </c>
      <c r="BH590" s="167"/>
      <c r="BI590" s="329" t="str">
        <f>IF(ISBLANK(Inputs!$A73),"",
IF(OR(BG590="Solved",BG590="--"),"--",
((Mat.Conc_Alpha.1*Mat.Conc_f.c*$AB590*MIN(BG590*Mat.Conc_Beta.1,$Y590))
+(Mat.Conc_Alpha.1*Mat.Conc_f.c*$V590*MAX(0,BG590*Mat.Conc_Beta.1-$Y590)))
-($J590*MIN(Mat.Rebar_f.y,(Mat.Rebar_epsilon.cl*($S590-BG590)/BG590)*Mat.PT_E.s))
-($M590*Mat.PT_f.pu*(1-Mat.PT_k*BG590/$P590))))</f>
        <v/>
      </c>
      <c r="BJ590" s="329"/>
      <c r="BK590" s="167" t="str">
        <f>IF(ISBLANK(Inputs!$A73),"",
IF(BI590="--","Solved",
IF(ABS(BI590)&lt;=0.001,"Solved",BG590-BI590*(BG590-BC590)/(BI590-BE590))))</f>
        <v/>
      </c>
      <c r="BL590" s="167"/>
      <c r="BM590" s="329" t="str">
        <f>IF(ISBLANK(Inputs!$A73),"",
IF(OR(BK590="Solved",BK590="--"),"--",
((Mat.Conc_Alpha.1*Mat.Conc_f.c*$AB590*MIN(BK590*Mat.Conc_Beta.1,$Y590))
+(Mat.Conc_Alpha.1*Mat.Conc_f.c*$V590*MAX(0,BK590*Mat.Conc_Beta.1-$Y590)))
-($J590*MIN(Mat.Rebar_f.y,(Mat.Rebar_epsilon.cl*($S590-BK590)/BK590)*Mat.PT_E.s))
-($M590*Mat.PT_f.pu*(1-Mat.PT_k*BK590/$P590))))</f>
        <v/>
      </c>
      <c r="BN590" s="329"/>
      <c r="BO590" s="167" t="str">
        <f>IF(ISBLANK(Inputs!$A73),"",
IF(BM590="--","Solved",
IF(ABS(BM590)&lt;=0.001,"Solved",BK590-BM590*(BK590-BG590)/(BM590-BI590))))</f>
        <v/>
      </c>
      <c r="BP590" s="167"/>
      <c r="BQ590" s="329" t="str">
        <f>IF(ISBLANK(Inputs!$A73),"",
IF(OR(BO590="Solved",BO590="--"),"--",
((Mat.Conc_Alpha.1*Mat.Conc_f.c*$AB590*MIN(BO590*Mat.Conc_Beta.1,$Y590))
+(Mat.Conc_Alpha.1*Mat.Conc_f.c*$V590*MAX(0,BO590*Mat.Conc_Beta.1-$Y590)))
-($J590*MIN(Mat.Rebar_f.y,(Mat.Rebar_epsilon.cl*($S590-BO590)/BO590)*Mat.PT_E.s))
-($M590*Mat.PT_f.pu*(1-Mat.PT_k*BO590/$P590))))</f>
        <v/>
      </c>
      <c r="BR590" s="329"/>
      <c r="BS590" s="70"/>
      <c r="BT590" s="70"/>
      <c r="BU590" s="70"/>
      <c r="BV590" s="70"/>
      <c r="BW590" s="8"/>
      <c r="BX590" s="8"/>
      <c r="BY590" s="8"/>
      <c r="BZ590" s="8"/>
      <c r="CA590" s="8"/>
      <c r="CB590" s="10"/>
    </row>
    <row r="591" spans="3:80" ht="15" customHeight="1" x14ac:dyDescent="0.25">
      <c r="C591" s="69"/>
      <c r="F591" s="167" t="str">
        <f>IF(ISBLANK(Inputs!A74),"",Inputs!A74)</f>
        <v/>
      </c>
      <c r="G591" s="167"/>
      <c r="H591" s="167" t="str">
        <f>IF(ISBLANK(Inputs!B74),"",Inputs!B74)</f>
        <v/>
      </c>
      <c r="I591" s="167"/>
      <c r="J591" s="168" t="str">
        <f>IF(ISBLANK(Inputs!K74),"",Inputs!K74)</f>
        <v/>
      </c>
      <c r="K591" s="168"/>
      <c r="L591" s="168"/>
      <c r="M591" s="168" t="str">
        <f>IF(ISBLANK(Inputs!D74),"",Inputs!D74)</f>
        <v/>
      </c>
      <c r="N591" s="168"/>
      <c r="O591" s="168"/>
      <c r="P591" s="168" t="str">
        <f>IF(ISBLANK(Inputs!F74),"",Inputs!$B$10-Inputs!F74)</f>
        <v/>
      </c>
      <c r="Q591" s="168"/>
      <c r="R591" s="168"/>
      <c r="S591" s="168" t="str">
        <f>IF(ISBLANK(Inputs!L74),"",Inputs!L74)</f>
        <v/>
      </c>
      <c r="T591" s="168"/>
      <c r="U591" s="168"/>
      <c r="V591" s="168" t="str">
        <f>IF(ISBLANK(Inputs!E74),"",Inputs!E74)</f>
        <v/>
      </c>
      <c r="W591" s="168"/>
      <c r="X591" s="168"/>
      <c r="Y591" s="168" t="str">
        <f>IF(ISBLANK(Inputs!M74),"",Inputs!M74)</f>
        <v/>
      </c>
      <c r="Z591" s="168"/>
      <c r="AA591" s="168"/>
      <c r="AB591" s="168" t="str">
        <f>IF(ISBLANK(Inputs!N74),"",Inputs!N74)</f>
        <v/>
      </c>
      <c r="AC591" s="168"/>
      <c r="AD591" s="168"/>
      <c r="AE591" s="371" t="str">
        <f>IF(ISBLANK(Inputs!A74),"",Y591)</f>
        <v/>
      </c>
      <c r="AF591" s="371"/>
      <c r="AG591" s="329" t="str">
        <f>IF(ISBLANK(Inputs!$A74),"",
IF(OR(AE591="Solved",AE591="--"),"--",
((Mat.Conc_Alpha.1*Mat.Conc_f.c*$AB591*MIN(AE591*Mat.Conc_Beta.1,$Y591))
+(Mat.Conc_Alpha.1*Mat.Conc_f.c*$V591*MAX(0,AE591*Mat.Conc_Beta.1-$Y591)))
-($J591*MIN(Mat.Rebar_f.y,(Mat.Rebar_epsilon.cl*($S591-AE591)/AE591)*Mat.PT_E.s))
-($M591*Mat.PT_f.pu*(1-Mat.PT_k*AE591/$P591))))</f>
        <v/>
      </c>
      <c r="AH591" s="329"/>
      <c r="AI591" s="167" t="str">
        <f>IF(ISBLANK(Inputs!$A74),"",
IF(ABS(AG591)&lt;=0.001,"Solved",IF(AG591&gt;0,0.85*AE591,1.15*AE591)))</f>
        <v/>
      </c>
      <c r="AJ591" s="167"/>
      <c r="AK591" s="329" t="str">
        <f>IF(ISBLANK(Inputs!$A74),"",
IF(OR(AI591="Solved",AI591="--"),"--",
((Mat.Conc_Alpha.1*Mat.Conc_f.c*$AB591*MIN(AI591*Mat.Conc_Beta.1,$Y591))
+(Mat.Conc_Alpha.1*Mat.Conc_f.c*$V591*MAX(0,AI591*Mat.Conc_Beta.1-$Y591)))
-($J591*MIN(Mat.Rebar_f.y,(Mat.Rebar_epsilon.cl*($S591-AI591)/AI591)*Mat.PT_E.s))
-($M591*Mat.PT_f.pu*(1-Mat.PT_k*AI591/$P591))))</f>
        <v/>
      </c>
      <c r="AL591" s="329"/>
      <c r="AM591" s="167" t="str">
        <f>IF(ISBLANK(Inputs!$A74),"",
IF(AK591="--","Solved",
IF(ABS(AK591)&lt;=0.001,"Solved",AI591-AK591*(AI591-AE591)/(AK591-AG591))))</f>
        <v/>
      </c>
      <c r="AN591" s="167"/>
      <c r="AO591" s="329" t="str">
        <f>IF(ISBLANK(Inputs!$A74),"",
IF(OR(AM591="Solved",AM591="--"),"--",
((Mat.Conc_Alpha.1*Mat.Conc_f.c*$AB591*MIN(AM591*Mat.Conc_Beta.1,$Y591))
+(Mat.Conc_Alpha.1*Mat.Conc_f.c*$V591*MAX(0,AM591*Mat.Conc_Beta.1-$Y591)))
-($J591*MIN(Mat.Rebar_f.y,(Mat.Rebar_epsilon.cl*($S591-AM591)/AM591)*Mat.PT_E.s))
-($M591*Mat.PT_f.pu*(1-Mat.PT_k*AM591/$P591))))</f>
        <v/>
      </c>
      <c r="AP591" s="329"/>
      <c r="AQ591" s="167" t="str">
        <f>IF(ISBLANK(Inputs!$A74),"",
IF(AO591="--","Solved",
IF(ABS(AO591)&lt;=0.001,"Solved",AM591-AO591*(AM591-AI591)/(AO591-AK591))))</f>
        <v/>
      </c>
      <c r="AR591" s="167"/>
      <c r="AS591" s="329" t="str">
        <f>IF(ISBLANK(Inputs!$A74),"",
IF(OR(AQ591="Solved",AQ591="--"),"--",
((Mat.Conc_Alpha.1*Mat.Conc_f.c*$AB591*MIN(AQ591*Mat.Conc_Beta.1,$Y591))
+(Mat.Conc_Alpha.1*Mat.Conc_f.c*$V591*MAX(0,AQ591*Mat.Conc_Beta.1-$Y591)))
-($J591*MIN(Mat.Rebar_f.y,(Mat.Rebar_epsilon.cl*($S591-AQ591)/AQ591)*Mat.PT_E.s))
-($M591*Mat.PT_f.pu*(1-Mat.PT_k*AQ591/$P591))))</f>
        <v/>
      </c>
      <c r="AT591" s="329"/>
      <c r="AU591" s="167" t="str">
        <f>IF(ISBLANK(Inputs!$A74),"",
IF(AS591="--","Solved",
IF(ABS(AS591)&lt;=0.001,"Solved",AQ591-AS591*(AQ591-AM591)/(AS591-AO591))))</f>
        <v/>
      </c>
      <c r="AV591" s="167"/>
      <c r="AW591" s="329" t="str">
        <f>IF(ISBLANK(Inputs!$A74),"",
IF(OR(AU591="Solved",AU591="--"),"--",
((Mat.Conc_Alpha.1*Mat.Conc_f.c*$AB591*MIN(AU591*Mat.Conc_Beta.1,$Y591))
+(Mat.Conc_Alpha.1*Mat.Conc_f.c*$V591*MAX(0,AU591*Mat.Conc_Beta.1-$Y591)))
-($J591*MIN(Mat.Rebar_f.y,(Mat.Rebar_epsilon.cl*($S591-AU591)/AU591)*Mat.PT_E.s))
-($M591*Mat.PT_f.pu*(1-Mat.PT_k*AU591/$P591))))</f>
        <v/>
      </c>
      <c r="AX591" s="329"/>
      <c r="AY591" s="167" t="str">
        <f>IF(ISBLANK(Inputs!$A74),"",
IF(AW591="--","Solved",
IF(ABS(AW591)&lt;=0.001,"Solved",AU591-AW591*(AU591-AQ591)/(AW591-AS591))))</f>
        <v/>
      </c>
      <c r="AZ591" s="167"/>
      <c r="BA591" s="329" t="str">
        <f>IF(ISBLANK(Inputs!$A74),"",
IF(OR(AY591="Solved",AY591="--"),"--",
((Mat.Conc_Alpha.1*Mat.Conc_f.c*$AB591*MIN(AY591*Mat.Conc_Beta.1,$Y591))
+(Mat.Conc_Alpha.1*Mat.Conc_f.c*$V591*MAX(0,AY591*Mat.Conc_Beta.1-$Y591)))
-($J591*MIN(Mat.Rebar_f.y,(Mat.Rebar_epsilon.cl*($S591-AY591)/AY591)*Mat.PT_E.s))
-($M591*Mat.PT_f.pu*(1-Mat.PT_k*AY591/$P591))))</f>
        <v/>
      </c>
      <c r="BB591" s="329"/>
      <c r="BC591" s="167" t="str">
        <f>IF(ISBLANK(Inputs!$A74),"",
IF(BA591="--","Solved",
IF(ABS(BA591)&lt;=0.001,"Solved",AY591-BA591*(AY591-AU591)/(BA591-AW591))))</f>
        <v/>
      </c>
      <c r="BD591" s="167"/>
      <c r="BE591" s="329" t="str">
        <f>IF(ISBLANK(Inputs!$A74),"",
IF(OR(BC591="Solved",BC591="--"),"--",
((Mat.Conc_Alpha.1*Mat.Conc_f.c*$AB591*MIN(BC591*Mat.Conc_Beta.1,$Y591))
+(Mat.Conc_Alpha.1*Mat.Conc_f.c*$V591*MAX(0,BC591*Mat.Conc_Beta.1-$Y591)))
-($J591*MIN(Mat.Rebar_f.y,(Mat.Rebar_epsilon.cl*($S591-BC591)/BC591)*Mat.PT_E.s))
-($M591*Mat.PT_f.pu*(1-Mat.PT_k*BC591/$P591))))</f>
        <v/>
      </c>
      <c r="BF591" s="329"/>
      <c r="BG591" s="167" t="str">
        <f>IF(ISBLANK(Inputs!$A74),"",
IF(BE591="--","Solved",
IF(ABS(BE591)&lt;=0.001,"Solved",BC591-BE591*(BC591-AY591)/(BE591-BA591))))</f>
        <v/>
      </c>
      <c r="BH591" s="167"/>
      <c r="BI591" s="329" t="str">
        <f>IF(ISBLANK(Inputs!$A74),"",
IF(OR(BG591="Solved",BG591="--"),"--",
((Mat.Conc_Alpha.1*Mat.Conc_f.c*$AB591*MIN(BG591*Mat.Conc_Beta.1,$Y591))
+(Mat.Conc_Alpha.1*Mat.Conc_f.c*$V591*MAX(0,BG591*Mat.Conc_Beta.1-$Y591)))
-($J591*MIN(Mat.Rebar_f.y,(Mat.Rebar_epsilon.cl*($S591-BG591)/BG591)*Mat.PT_E.s))
-($M591*Mat.PT_f.pu*(1-Mat.PT_k*BG591/$P591))))</f>
        <v/>
      </c>
      <c r="BJ591" s="329"/>
      <c r="BK591" s="167" t="str">
        <f>IF(ISBLANK(Inputs!$A74),"",
IF(BI591="--","Solved",
IF(ABS(BI591)&lt;=0.001,"Solved",BG591-BI591*(BG591-BC591)/(BI591-BE591))))</f>
        <v/>
      </c>
      <c r="BL591" s="167"/>
      <c r="BM591" s="329" t="str">
        <f>IF(ISBLANK(Inputs!$A74),"",
IF(OR(BK591="Solved",BK591="--"),"--",
((Mat.Conc_Alpha.1*Mat.Conc_f.c*$AB591*MIN(BK591*Mat.Conc_Beta.1,$Y591))
+(Mat.Conc_Alpha.1*Mat.Conc_f.c*$V591*MAX(0,BK591*Mat.Conc_Beta.1-$Y591)))
-($J591*MIN(Mat.Rebar_f.y,(Mat.Rebar_epsilon.cl*($S591-BK591)/BK591)*Mat.PT_E.s))
-($M591*Mat.PT_f.pu*(1-Mat.PT_k*BK591/$P591))))</f>
        <v/>
      </c>
      <c r="BN591" s="329"/>
      <c r="BO591" s="167" t="str">
        <f>IF(ISBLANK(Inputs!$A74),"",
IF(BM591="--","Solved",
IF(ABS(BM591)&lt;=0.001,"Solved",BK591-BM591*(BK591-BG591)/(BM591-BI591))))</f>
        <v/>
      </c>
      <c r="BP591" s="167"/>
      <c r="BQ591" s="329" t="str">
        <f>IF(ISBLANK(Inputs!$A74),"",
IF(OR(BO591="Solved",BO591="--"),"--",
((Mat.Conc_Alpha.1*Mat.Conc_f.c*$AB591*MIN(BO591*Mat.Conc_Beta.1,$Y591))
+(Mat.Conc_Alpha.1*Mat.Conc_f.c*$V591*MAX(0,BO591*Mat.Conc_Beta.1-$Y591)))
-($J591*MIN(Mat.Rebar_f.y,(Mat.Rebar_epsilon.cl*($S591-BO591)/BO591)*Mat.PT_E.s))
-($M591*Mat.PT_f.pu*(1-Mat.PT_k*BO591/$P591))))</f>
        <v/>
      </c>
      <c r="BR591" s="329"/>
      <c r="BS591" s="70"/>
      <c r="BT591" s="70"/>
      <c r="BU591" s="70"/>
      <c r="BV591" s="70"/>
      <c r="BW591" s="8"/>
      <c r="BX591" s="8"/>
      <c r="BY591" s="8"/>
      <c r="BZ591" s="8"/>
      <c r="CA591" s="8"/>
      <c r="CB591" s="10"/>
    </row>
    <row r="592" spans="3:80" ht="15" customHeight="1" x14ac:dyDescent="0.25">
      <c r="C592" s="69"/>
      <c r="F592" s="167" t="str">
        <f>IF(ISBLANK(Inputs!A75),"",Inputs!A75)</f>
        <v/>
      </c>
      <c r="G592" s="167"/>
      <c r="H592" s="167" t="str">
        <f>IF(ISBLANK(Inputs!B75),"",Inputs!B75)</f>
        <v/>
      </c>
      <c r="I592" s="167"/>
      <c r="J592" s="168" t="str">
        <f>IF(ISBLANK(Inputs!K75),"",Inputs!K75)</f>
        <v/>
      </c>
      <c r="K592" s="168"/>
      <c r="L592" s="168"/>
      <c r="M592" s="168" t="str">
        <f>IF(ISBLANK(Inputs!D75),"",Inputs!D75)</f>
        <v/>
      </c>
      <c r="N592" s="168"/>
      <c r="O592" s="168"/>
      <c r="P592" s="168" t="str">
        <f>IF(ISBLANK(Inputs!F75),"",Inputs!$B$10-Inputs!F75)</f>
        <v/>
      </c>
      <c r="Q592" s="168"/>
      <c r="R592" s="168"/>
      <c r="S592" s="168" t="str">
        <f>IF(ISBLANK(Inputs!L75),"",Inputs!L75)</f>
        <v/>
      </c>
      <c r="T592" s="168"/>
      <c r="U592" s="168"/>
      <c r="V592" s="168" t="str">
        <f>IF(ISBLANK(Inputs!E75),"",Inputs!E75)</f>
        <v/>
      </c>
      <c r="W592" s="168"/>
      <c r="X592" s="168"/>
      <c r="Y592" s="168" t="str">
        <f>IF(ISBLANK(Inputs!M75),"",Inputs!M75)</f>
        <v/>
      </c>
      <c r="Z592" s="168"/>
      <c r="AA592" s="168"/>
      <c r="AB592" s="168" t="str">
        <f>IF(ISBLANK(Inputs!N75),"",Inputs!N75)</f>
        <v/>
      </c>
      <c r="AC592" s="168"/>
      <c r="AD592" s="168"/>
      <c r="AE592" s="371" t="str">
        <f>IF(ISBLANK(Inputs!A75),"",Y592)</f>
        <v/>
      </c>
      <c r="AF592" s="371"/>
      <c r="AG592" s="329" t="str">
        <f>IF(ISBLANK(Inputs!$A75),"",
IF(OR(AE592="Solved",AE592="--"),"--",
((Mat.Conc_Alpha.1*Mat.Conc_f.c*$AB592*MIN(AE592*Mat.Conc_Beta.1,$Y592))
+(Mat.Conc_Alpha.1*Mat.Conc_f.c*$V592*MAX(0,AE592*Mat.Conc_Beta.1-$Y592)))
-($J592*MIN(Mat.Rebar_f.y,(Mat.Rebar_epsilon.cl*($S592-AE592)/AE592)*Mat.PT_E.s))
-($M592*Mat.PT_f.pu*(1-Mat.PT_k*AE592/$P592))))</f>
        <v/>
      </c>
      <c r="AH592" s="329"/>
      <c r="AI592" s="167" t="str">
        <f>IF(ISBLANK(Inputs!$A75),"",
IF(ABS(AG592)&lt;=0.001,"Solved",IF(AG592&gt;0,0.85*AE592,1.15*AE592)))</f>
        <v/>
      </c>
      <c r="AJ592" s="167"/>
      <c r="AK592" s="329" t="str">
        <f>IF(ISBLANK(Inputs!$A75),"",
IF(OR(AI592="Solved",AI592="--"),"--",
((Mat.Conc_Alpha.1*Mat.Conc_f.c*$AB592*MIN(AI592*Mat.Conc_Beta.1,$Y592))
+(Mat.Conc_Alpha.1*Mat.Conc_f.c*$V592*MAX(0,AI592*Mat.Conc_Beta.1-$Y592)))
-($J592*MIN(Mat.Rebar_f.y,(Mat.Rebar_epsilon.cl*($S592-AI592)/AI592)*Mat.PT_E.s))
-($M592*Mat.PT_f.pu*(1-Mat.PT_k*AI592/$P592))))</f>
        <v/>
      </c>
      <c r="AL592" s="329"/>
      <c r="AM592" s="167" t="str">
        <f>IF(ISBLANK(Inputs!$A75),"",
IF(AK592="--","Solved",
IF(ABS(AK592)&lt;=0.001,"Solved",AI592-AK592*(AI592-AE592)/(AK592-AG592))))</f>
        <v/>
      </c>
      <c r="AN592" s="167"/>
      <c r="AO592" s="329" t="str">
        <f>IF(ISBLANK(Inputs!$A75),"",
IF(OR(AM592="Solved",AM592="--"),"--",
((Mat.Conc_Alpha.1*Mat.Conc_f.c*$AB592*MIN(AM592*Mat.Conc_Beta.1,$Y592))
+(Mat.Conc_Alpha.1*Mat.Conc_f.c*$V592*MAX(0,AM592*Mat.Conc_Beta.1-$Y592)))
-($J592*MIN(Mat.Rebar_f.y,(Mat.Rebar_epsilon.cl*($S592-AM592)/AM592)*Mat.PT_E.s))
-($M592*Mat.PT_f.pu*(1-Mat.PT_k*AM592/$P592))))</f>
        <v/>
      </c>
      <c r="AP592" s="329"/>
      <c r="AQ592" s="167" t="str">
        <f>IF(ISBLANK(Inputs!$A75),"",
IF(AO592="--","Solved",
IF(ABS(AO592)&lt;=0.001,"Solved",AM592-AO592*(AM592-AI592)/(AO592-AK592))))</f>
        <v/>
      </c>
      <c r="AR592" s="167"/>
      <c r="AS592" s="329" t="str">
        <f>IF(ISBLANK(Inputs!$A75),"",
IF(OR(AQ592="Solved",AQ592="--"),"--",
((Mat.Conc_Alpha.1*Mat.Conc_f.c*$AB592*MIN(AQ592*Mat.Conc_Beta.1,$Y592))
+(Mat.Conc_Alpha.1*Mat.Conc_f.c*$V592*MAX(0,AQ592*Mat.Conc_Beta.1-$Y592)))
-($J592*MIN(Mat.Rebar_f.y,(Mat.Rebar_epsilon.cl*($S592-AQ592)/AQ592)*Mat.PT_E.s))
-($M592*Mat.PT_f.pu*(1-Mat.PT_k*AQ592/$P592))))</f>
        <v/>
      </c>
      <c r="AT592" s="329"/>
      <c r="AU592" s="167" t="str">
        <f>IF(ISBLANK(Inputs!$A75),"",
IF(AS592="--","Solved",
IF(ABS(AS592)&lt;=0.001,"Solved",AQ592-AS592*(AQ592-AM592)/(AS592-AO592))))</f>
        <v/>
      </c>
      <c r="AV592" s="167"/>
      <c r="AW592" s="329" t="str">
        <f>IF(ISBLANK(Inputs!$A75),"",
IF(OR(AU592="Solved",AU592="--"),"--",
((Mat.Conc_Alpha.1*Mat.Conc_f.c*$AB592*MIN(AU592*Mat.Conc_Beta.1,$Y592))
+(Mat.Conc_Alpha.1*Mat.Conc_f.c*$V592*MAX(0,AU592*Mat.Conc_Beta.1-$Y592)))
-($J592*MIN(Mat.Rebar_f.y,(Mat.Rebar_epsilon.cl*($S592-AU592)/AU592)*Mat.PT_E.s))
-($M592*Mat.PT_f.pu*(1-Mat.PT_k*AU592/$P592))))</f>
        <v/>
      </c>
      <c r="AX592" s="329"/>
      <c r="AY592" s="167" t="str">
        <f>IF(ISBLANK(Inputs!$A75),"",
IF(AW592="--","Solved",
IF(ABS(AW592)&lt;=0.001,"Solved",AU592-AW592*(AU592-AQ592)/(AW592-AS592))))</f>
        <v/>
      </c>
      <c r="AZ592" s="167"/>
      <c r="BA592" s="329" t="str">
        <f>IF(ISBLANK(Inputs!$A75),"",
IF(OR(AY592="Solved",AY592="--"),"--",
((Mat.Conc_Alpha.1*Mat.Conc_f.c*$AB592*MIN(AY592*Mat.Conc_Beta.1,$Y592))
+(Mat.Conc_Alpha.1*Mat.Conc_f.c*$V592*MAX(0,AY592*Mat.Conc_Beta.1-$Y592)))
-($J592*MIN(Mat.Rebar_f.y,(Mat.Rebar_epsilon.cl*($S592-AY592)/AY592)*Mat.PT_E.s))
-($M592*Mat.PT_f.pu*(1-Mat.PT_k*AY592/$P592))))</f>
        <v/>
      </c>
      <c r="BB592" s="329"/>
      <c r="BC592" s="167" t="str">
        <f>IF(ISBLANK(Inputs!$A75),"",
IF(BA592="--","Solved",
IF(ABS(BA592)&lt;=0.001,"Solved",AY592-BA592*(AY592-AU592)/(BA592-AW592))))</f>
        <v/>
      </c>
      <c r="BD592" s="167"/>
      <c r="BE592" s="329" t="str">
        <f>IF(ISBLANK(Inputs!$A75),"",
IF(OR(BC592="Solved",BC592="--"),"--",
((Mat.Conc_Alpha.1*Mat.Conc_f.c*$AB592*MIN(BC592*Mat.Conc_Beta.1,$Y592))
+(Mat.Conc_Alpha.1*Mat.Conc_f.c*$V592*MAX(0,BC592*Mat.Conc_Beta.1-$Y592)))
-($J592*MIN(Mat.Rebar_f.y,(Mat.Rebar_epsilon.cl*($S592-BC592)/BC592)*Mat.PT_E.s))
-($M592*Mat.PT_f.pu*(1-Mat.PT_k*BC592/$P592))))</f>
        <v/>
      </c>
      <c r="BF592" s="329"/>
      <c r="BG592" s="167" t="str">
        <f>IF(ISBLANK(Inputs!$A75),"",
IF(BE592="--","Solved",
IF(ABS(BE592)&lt;=0.001,"Solved",BC592-BE592*(BC592-AY592)/(BE592-BA592))))</f>
        <v/>
      </c>
      <c r="BH592" s="167"/>
      <c r="BI592" s="329" t="str">
        <f>IF(ISBLANK(Inputs!$A75),"",
IF(OR(BG592="Solved",BG592="--"),"--",
((Mat.Conc_Alpha.1*Mat.Conc_f.c*$AB592*MIN(BG592*Mat.Conc_Beta.1,$Y592))
+(Mat.Conc_Alpha.1*Mat.Conc_f.c*$V592*MAX(0,BG592*Mat.Conc_Beta.1-$Y592)))
-($J592*MIN(Mat.Rebar_f.y,(Mat.Rebar_epsilon.cl*($S592-BG592)/BG592)*Mat.PT_E.s))
-($M592*Mat.PT_f.pu*(1-Mat.PT_k*BG592/$P592))))</f>
        <v/>
      </c>
      <c r="BJ592" s="329"/>
      <c r="BK592" s="167" t="str">
        <f>IF(ISBLANK(Inputs!$A75),"",
IF(BI592="--","Solved",
IF(ABS(BI592)&lt;=0.001,"Solved",BG592-BI592*(BG592-BC592)/(BI592-BE592))))</f>
        <v/>
      </c>
      <c r="BL592" s="167"/>
      <c r="BM592" s="329" t="str">
        <f>IF(ISBLANK(Inputs!$A75),"",
IF(OR(BK592="Solved",BK592="--"),"--",
((Mat.Conc_Alpha.1*Mat.Conc_f.c*$AB592*MIN(BK592*Mat.Conc_Beta.1,$Y592))
+(Mat.Conc_Alpha.1*Mat.Conc_f.c*$V592*MAX(0,BK592*Mat.Conc_Beta.1-$Y592)))
-($J592*MIN(Mat.Rebar_f.y,(Mat.Rebar_epsilon.cl*($S592-BK592)/BK592)*Mat.PT_E.s))
-($M592*Mat.PT_f.pu*(1-Mat.PT_k*BK592/$P592))))</f>
        <v/>
      </c>
      <c r="BN592" s="329"/>
      <c r="BO592" s="167" t="str">
        <f>IF(ISBLANK(Inputs!$A75),"",
IF(BM592="--","Solved",
IF(ABS(BM592)&lt;=0.001,"Solved",BK592-BM592*(BK592-BG592)/(BM592-BI592))))</f>
        <v/>
      </c>
      <c r="BP592" s="167"/>
      <c r="BQ592" s="329" t="str">
        <f>IF(ISBLANK(Inputs!$A75),"",
IF(OR(BO592="Solved",BO592="--"),"--",
((Mat.Conc_Alpha.1*Mat.Conc_f.c*$AB592*MIN(BO592*Mat.Conc_Beta.1,$Y592))
+(Mat.Conc_Alpha.1*Mat.Conc_f.c*$V592*MAX(0,BO592*Mat.Conc_Beta.1-$Y592)))
-($J592*MIN(Mat.Rebar_f.y,(Mat.Rebar_epsilon.cl*($S592-BO592)/BO592)*Mat.PT_E.s))
-($M592*Mat.PT_f.pu*(1-Mat.PT_k*BO592/$P592))))</f>
        <v/>
      </c>
      <c r="BR592" s="329"/>
      <c r="BS592" s="70"/>
      <c r="BT592" s="70"/>
      <c r="BU592" s="70"/>
      <c r="BV592" s="70"/>
      <c r="BW592" s="8"/>
      <c r="BX592" s="8"/>
      <c r="BY592" s="8"/>
      <c r="BZ592" s="8"/>
      <c r="CA592" s="8"/>
      <c r="CB592" s="10"/>
    </row>
    <row r="593" spans="3:80" ht="15" customHeight="1" x14ac:dyDescent="0.25">
      <c r="C593" s="69"/>
      <c r="F593" s="167" t="str">
        <f>IF(ISBLANK(Inputs!A76),"",Inputs!A76)</f>
        <v/>
      </c>
      <c r="G593" s="167"/>
      <c r="H593" s="167" t="str">
        <f>IF(ISBLANK(Inputs!B76),"",Inputs!B76)</f>
        <v/>
      </c>
      <c r="I593" s="167"/>
      <c r="J593" s="168" t="str">
        <f>IF(ISBLANK(Inputs!K76),"",Inputs!K76)</f>
        <v/>
      </c>
      <c r="K593" s="168"/>
      <c r="L593" s="168"/>
      <c r="M593" s="168" t="str">
        <f>IF(ISBLANK(Inputs!D76),"",Inputs!D76)</f>
        <v/>
      </c>
      <c r="N593" s="168"/>
      <c r="O593" s="168"/>
      <c r="P593" s="168" t="str">
        <f>IF(ISBLANK(Inputs!F76),"",Inputs!$B$10-Inputs!F76)</f>
        <v/>
      </c>
      <c r="Q593" s="168"/>
      <c r="R593" s="168"/>
      <c r="S593" s="168" t="str">
        <f>IF(ISBLANK(Inputs!L76),"",Inputs!L76)</f>
        <v/>
      </c>
      <c r="T593" s="168"/>
      <c r="U593" s="168"/>
      <c r="V593" s="168" t="str">
        <f>IF(ISBLANK(Inputs!E76),"",Inputs!E76)</f>
        <v/>
      </c>
      <c r="W593" s="168"/>
      <c r="X593" s="168"/>
      <c r="Y593" s="168" t="str">
        <f>IF(ISBLANK(Inputs!M76),"",Inputs!M76)</f>
        <v/>
      </c>
      <c r="Z593" s="168"/>
      <c r="AA593" s="168"/>
      <c r="AB593" s="168" t="str">
        <f>IF(ISBLANK(Inputs!N76),"",Inputs!N76)</f>
        <v/>
      </c>
      <c r="AC593" s="168"/>
      <c r="AD593" s="168"/>
      <c r="AE593" s="371" t="str">
        <f>IF(ISBLANK(Inputs!A76),"",Y593)</f>
        <v/>
      </c>
      <c r="AF593" s="371"/>
      <c r="AG593" s="329" t="str">
        <f>IF(ISBLANK(Inputs!$A76),"",
IF(OR(AE593="Solved",AE593="--"),"--",
((Mat.Conc_Alpha.1*Mat.Conc_f.c*$AB593*MIN(AE593*Mat.Conc_Beta.1,$Y593))
+(Mat.Conc_Alpha.1*Mat.Conc_f.c*$V593*MAX(0,AE593*Mat.Conc_Beta.1-$Y593)))
-($J593*MIN(Mat.Rebar_f.y,(Mat.Rebar_epsilon.cl*($S593-AE593)/AE593)*Mat.PT_E.s))
-($M593*Mat.PT_f.pu*(1-Mat.PT_k*AE593/$P593))))</f>
        <v/>
      </c>
      <c r="AH593" s="329"/>
      <c r="AI593" s="167" t="str">
        <f>IF(ISBLANK(Inputs!$A76),"",
IF(ABS(AG593)&lt;=0.001,"Solved",IF(AG593&gt;0,0.85*AE593,1.15*AE593)))</f>
        <v/>
      </c>
      <c r="AJ593" s="167"/>
      <c r="AK593" s="329" t="str">
        <f>IF(ISBLANK(Inputs!$A76),"",
IF(OR(AI593="Solved",AI593="--"),"--",
((Mat.Conc_Alpha.1*Mat.Conc_f.c*$AB593*MIN(AI593*Mat.Conc_Beta.1,$Y593))
+(Mat.Conc_Alpha.1*Mat.Conc_f.c*$V593*MAX(0,AI593*Mat.Conc_Beta.1-$Y593)))
-($J593*MIN(Mat.Rebar_f.y,(Mat.Rebar_epsilon.cl*($S593-AI593)/AI593)*Mat.PT_E.s))
-($M593*Mat.PT_f.pu*(1-Mat.PT_k*AI593/$P593))))</f>
        <v/>
      </c>
      <c r="AL593" s="329"/>
      <c r="AM593" s="167" t="str">
        <f>IF(ISBLANK(Inputs!$A76),"",
IF(AK593="--","Solved",
IF(ABS(AK593)&lt;=0.001,"Solved",AI593-AK593*(AI593-AE593)/(AK593-AG593))))</f>
        <v/>
      </c>
      <c r="AN593" s="167"/>
      <c r="AO593" s="329" t="str">
        <f>IF(ISBLANK(Inputs!$A76),"",
IF(OR(AM593="Solved",AM593="--"),"--",
((Mat.Conc_Alpha.1*Mat.Conc_f.c*$AB593*MIN(AM593*Mat.Conc_Beta.1,$Y593))
+(Mat.Conc_Alpha.1*Mat.Conc_f.c*$V593*MAX(0,AM593*Mat.Conc_Beta.1-$Y593)))
-($J593*MIN(Mat.Rebar_f.y,(Mat.Rebar_epsilon.cl*($S593-AM593)/AM593)*Mat.PT_E.s))
-($M593*Mat.PT_f.pu*(1-Mat.PT_k*AM593/$P593))))</f>
        <v/>
      </c>
      <c r="AP593" s="329"/>
      <c r="AQ593" s="167" t="str">
        <f>IF(ISBLANK(Inputs!$A76),"",
IF(AO593="--","Solved",
IF(ABS(AO593)&lt;=0.001,"Solved",AM593-AO593*(AM593-AI593)/(AO593-AK593))))</f>
        <v/>
      </c>
      <c r="AR593" s="167"/>
      <c r="AS593" s="329" t="str">
        <f>IF(ISBLANK(Inputs!$A76),"",
IF(OR(AQ593="Solved",AQ593="--"),"--",
((Mat.Conc_Alpha.1*Mat.Conc_f.c*$AB593*MIN(AQ593*Mat.Conc_Beta.1,$Y593))
+(Mat.Conc_Alpha.1*Mat.Conc_f.c*$V593*MAX(0,AQ593*Mat.Conc_Beta.1-$Y593)))
-($J593*MIN(Mat.Rebar_f.y,(Mat.Rebar_epsilon.cl*($S593-AQ593)/AQ593)*Mat.PT_E.s))
-($M593*Mat.PT_f.pu*(1-Mat.PT_k*AQ593/$P593))))</f>
        <v/>
      </c>
      <c r="AT593" s="329"/>
      <c r="AU593" s="167" t="str">
        <f>IF(ISBLANK(Inputs!$A76),"",
IF(AS593="--","Solved",
IF(ABS(AS593)&lt;=0.001,"Solved",AQ593-AS593*(AQ593-AM593)/(AS593-AO593))))</f>
        <v/>
      </c>
      <c r="AV593" s="167"/>
      <c r="AW593" s="329" t="str">
        <f>IF(ISBLANK(Inputs!$A76),"",
IF(OR(AU593="Solved",AU593="--"),"--",
((Mat.Conc_Alpha.1*Mat.Conc_f.c*$AB593*MIN(AU593*Mat.Conc_Beta.1,$Y593))
+(Mat.Conc_Alpha.1*Mat.Conc_f.c*$V593*MAX(0,AU593*Mat.Conc_Beta.1-$Y593)))
-($J593*MIN(Mat.Rebar_f.y,(Mat.Rebar_epsilon.cl*($S593-AU593)/AU593)*Mat.PT_E.s))
-($M593*Mat.PT_f.pu*(1-Mat.PT_k*AU593/$P593))))</f>
        <v/>
      </c>
      <c r="AX593" s="329"/>
      <c r="AY593" s="167" t="str">
        <f>IF(ISBLANK(Inputs!$A76),"",
IF(AW593="--","Solved",
IF(ABS(AW593)&lt;=0.001,"Solved",AU593-AW593*(AU593-AQ593)/(AW593-AS593))))</f>
        <v/>
      </c>
      <c r="AZ593" s="167"/>
      <c r="BA593" s="329" t="str">
        <f>IF(ISBLANK(Inputs!$A76),"",
IF(OR(AY593="Solved",AY593="--"),"--",
((Mat.Conc_Alpha.1*Mat.Conc_f.c*$AB593*MIN(AY593*Mat.Conc_Beta.1,$Y593))
+(Mat.Conc_Alpha.1*Mat.Conc_f.c*$V593*MAX(0,AY593*Mat.Conc_Beta.1-$Y593)))
-($J593*MIN(Mat.Rebar_f.y,(Mat.Rebar_epsilon.cl*($S593-AY593)/AY593)*Mat.PT_E.s))
-($M593*Mat.PT_f.pu*(1-Mat.PT_k*AY593/$P593))))</f>
        <v/>
      </c>
      <c r="BB593" s="329"/>
      <c r="BC593" s="167" t="str">
        <f>IF(ISBLANK(Inputs!$A76),"",
IF(BA593="--","Solved",
IF(ABS(BA593)&lt;=0.001,"Solved",AY593-BA593*(AY593-AU593)/(BA593-AW593))))</f>
        <v/>
      </c>
      <c r="BD593" s="167"/>
      <c r="BE593" s="329" t="str">
        <f>IF(ISBLANK(Inputs!$A76),"",
IF(OR(BC593="Solved",BC593="--"),"--",
((Mat.Conc_Alpha.1*Mat.Conc_f.c*$AB593*MIN(BC593*Mat.Conc_Beta.1,$Y593))
+(Mat.Conc_Alpha.1*Mat.Conc_f.c*$V593*MAX(0,BC593*Mat.Conc_Beta.1-$Y593)))
-($J593*MIN(Mat.Rebar_f.y,(Mat.Rebar_epsilon.cl*($S593-BC593)/BC593)*Mat.PT_E.s))
-($M593*Mat.PT_f.pu*(1-Mat.PT_k*BC593/$P593))))</f>
        <v/>
      </c>
      <c r="BF593" s="329"/>
      <c r="BG593" s="167" t="str">
        <f>IF(ISBLANK(Inputs!$A76),"",
IF(BE593="--","Solved",
IF(ABS(BE593)&lt;=0.001,"Solved",BC593-BE593*(BC593-AY593)/(BE593-BA593))))</f>
        <v/>
      </c>
      <c r="BH593" s="167"/>
      <c r="BI593" s="329" t="str">
        <f>IF(ISBLANK(Inputs!$A76),"",
IF(OR(BG593="Solved",BG593="--"),"--",
((Mat.Conc_Alpha.1*Mat.Conc_f.c*$AB593*MIN(BG593*Mat.Conc_Beta.1,$Y593))
+(Mat.Conc_Alpha.1*Mat.Conc_f.c*$V593*MAX(0,BG593*Mat.Conc_Beta.1-$Y593)))
-($J593*MIN(Mat.Rebar_f.y,(Mat.Rebar_epsilon.cl*($S593-BG593)/BG593)*Mat.PT_E.s))
-($M593*Mat.PT_f.pu*(1-Mat.PT_k*BG593/$P593))))</f>
        <v/>
      </c>
      <c r="BJ593" s="329"/>
      <c r="BK593" s="167" t="str">
        <f>IF(ISBLANK(Inputs!$A76),"",
IF(BI593="--","Solved",
IF(ABS(BI593)&lt;=0.001,"Solved",BG593-BI593*(BG593-BC593)/(BI593-BE593))))</f>
        <v/>
      </c>
      <c r="BL593" s="167"/>
      <c r="BM593" s="329" t="str">
        <f>IF(ISBLANK(Inputs!$A76),"",
IF(OR(BK593="Solved",BK593="--"),"--",
((Mat.Conc_Alpha.1*Mat.Conc_f.c*$AB593*MIN(BK593*Mat.Conc_Beta.1,$Y593))
+(Mat.Conc_Alpha.1*Mat.Conc_f.c*$V593*MAX(0,BK593*Mat.Conc_Beta.1-$Y593)))
-($J593*MIN(Mat.Rebar_f.y,(Mat.Rebar_epsilon.cl*($S593-BK593)/BK593)*Mat.PT_E.s))
-($M593*Mat.PT_f.pu*(1-Mat.PT_k*BK593/$P593))))</f>
        <v/>
      </c>
      <c r="BN593" s="329"/>
      <c r="BO593" s="167" t="str">
        <f>IF(ISBLANK(Inputs!$A76),"",
IF(BM593="--","Solved",
IF(ABS(BM593)&lt;=0.001,"Solved",BK593-BM593*(BK593-BG593)/(BM593-BI593))))</f>
        <v/>
      </c>
      <c r="BP593" s="167"/>
      <c r="BQ593" s="329" t="str">
        <f>IF(ISBLANK(Inputs!$A76),"",
IF(OR(BO593="Solved",BO593="--"),"--",
((Mat.Conc_Alpha.1*Mat.Conc_f.c*$AB593*MIN(BO593*Mat.Conc_Beta.1,$Y593))
+(Mat.Conc_Alpha.1*Mat.Conc_f.c*$V593*MAX(0,BO593*Mat.Conc_Beta.1-$Y593)))
-($J593*MIN(Mat.Rebar_f.y,(Mat.Rebar_epsilon.cl*($S593-BO593)/BO593)*Mat.PT_E.s))
-($M593*Mat.PT_f.pu*(1-Mat.PT_k*BO593/$P593))))</f>
        <v/>
      </c>
      <c r="BR593" s="329"/>
      <c r="BS593" s="70"/>
      <c r="BT593" s="70"/>
      <c r="BU593" s="70"/>
      <c r="BV593" s="70"/>
      <c r="BW593" s="8"/>
      <c r="BX593" s="8"/>
      <c r="BY593" s="8"/>
      <c r="BZ593" s="8"/>
      <c r="CA593" s="8"/>
      <c r="CB593" s="10"/>
    </row>
    <row r="594" spans="3:80" ht="15" customHeight="1" x14ac:dyDescent="0.25">
      <c r="C594" s="69"/>
      <c r="F594" s="167" t="str">
        <f>IF(ISBLANK(Inputs!A77),"",Inputs!A77)</f>
        <v/>
      </c>
      <c r="G594" s="167"/>
      <c r="H594" s="167" t="str">
        <f>IF(ISBLANK(Inputs!B77),"",Inputs!B77)</f>
        <v/>
      </c>
      <c r="I594" s="167"/>
      <c r="J594" s="168" t="str">
        <f>IF(ISBLANK(Inputs!K77),"",Inputs!K77)</f>
        <v/>
      </c>
      <c r="K594" s="168"/>
      <c r="L594" s="168"/>
      <c r="M594" s="168" t="str">
        <f>IF(ISBLANK(Inputs!D77),"",Inputs!D77)</f>
        <v/>
      </c>
      <c r="N594" s="168"/>
      <c r="O594" s="168"/>
      <c r="P594" s="168" t="str">
        <f>IF(ISBLANK(Inputs!F77),"",Inputs!$B$10-Inputs!F77)</f>
        <v/>
      </c>
      <c r="Q594" s="168"/>
      <c r="R594" s="168"/>
      <c r="S594" s="168" t="str">
        <f>IF(ISBLANK(Inputs!L77),"",Inputs!L77)</f>
        <v/>
      </c>
      <c r="T594" s="168"/>
      <c r="U594" s="168"/>
      <c r="V594" s="168" t="str">
        <f>IF(ISBLANK(Inputs!E77),"",Inputs!E77)</f>
        <v/>
      </c>
      <c r="W594" s="168"/>
      <c r="X594" s="168"/>
      <c r="Y594" s="168" t="str">
        <f>IF(ISBLANK(Inputs!M77),"",Inputs!M77)</f>
        <v/>
      </c>
      <c r="Z594" s="168"/>
      <c r="AA594" s="168"/>
      <c r="AB594" s="168" t="str">
        <f>IF(ISBLANK(Inputs!N77),"",Inputs!N77)</f>
        <v/>
      </c>
      <c r="AC594" s="168"/>
      <c r="AD594" s="168"/>
      <c r="AE594" s="371" t="str">
        <f>IF(ISBLANK(Inputs!A77),"",Y594)</f>
        <v/>
      </c>
      <c r="AF594" s="371"/>
      <c r="AG594" s="329" t="str">
        <f>IF(ISBLANK(Inputs!$A77),"",
IF(OR(AE594="Solved",AE594="--"),"--",
((Mat.Conc_Alpha.1*Mat.Conc_f.c*$AB594*MIN(AE594*Mat.Conc_Beta.1,$Y594))
+(Mat.Conc_Alpha.1*Mat.Conc_f.c*$V594*MAX(0,AE594*Mat.Conc_Beta.1-$Y594)))
-($J594*MIN(Mat.Rebar_f.y,(Mat.Rebar_epsilon.cl*($S594-AE594)/AE594)*Mat.PT_E.s))
-($M594*Mat.PT_f.pu*(1-Mat.PT_k*AE594/$P594))))</f>
        <v/>
      </c>
      <c r="AH594" s="329"/>
      <c r="AI594" s="167" t="str">
        <f>IF(ISBLANK(Inputs!$A77),"",
IF(ABS(AG594)&lt;=0.001,"Solved",IF(AG594&gt;0,0.85*AE594,1.15*AE594)))</f>
        <v/>
      </c>
      <c r="AJ594" s="167"/>
      <c r="AK594" s="329" t="str">
        <f>IF(ISBLANK(Inputs!$A77),"",
IF(OR(AI594="Solved",AI594="--"),"--",
((Mat.Conc_Alpha.1*Mat.Conc_f.c*$AB594*MIN(AI594*Mat.Conc_Beta.1,$Y594))
+(Mat.Conc_Alpha.1*Mat.Conc_f.c*$V594*MAX(0,AI594*Mat.Conc_Beta.1-$Y594)))
-($J594*MIN(Mat.Rebar_f.y,(Mat.Rebar_epsilon.cl*($S594-AI594)/AI594)*Mat.PT_E.s))
-($M594*Mat.PT_f.pu*(1-Mat.PT_k*AI594/$P594))))</f>
        <v/>
      </c>
      <c r="AL594" s="329"/>
      <c r="AM594" s="167" t="str">
        <f>IF(ISBLANK(Inputs!$A77),"",
IF(AK594="--","Solved",
IF(ABS(AK594)&lt;=0.001,"Solved",AI594-AK594*(AI594-AE594)/(AK594-AG594))))</f>
        <v/>
      </c>
      <c r="AN594" s="167"/>
      <c r="AO594" s="329" t="str">
        <f>IF(ISBLANK(Inputs!$A77),"",
IF(OR(AM594="Solved",AM594="--"),"--",
((Mat.Conc_Alpha.1*Mat.Conc_f.c*$AB594*MIN(AM594*Mat.Conc_Beta.1,$Y594))
+(Mat.Conc_Alpha.1*Mat.Conc_f.c*$V594*MAX(0,AM594*Mat.Conc_Beta.1-$Y594)))
-($J594*MIN(Mat.Rebar_f.y,(Mat.Rebar_epsilon.cl*($S594-AM594)/AM594)*Mat.PT_E.s))
-($M594*Mat.PT_f.pu*(1-Mat.PT_k*AM594/$P594))))</f>
        <v/>
      </c>
      <c r="AP594" s="329"/>
      <c r="AQ594" s="167" t="str">
        <f>IF(ISBLANK(Inputs!$A77),"",
IF(AO594="--","Solved",
IF(ABS(AO594)&lt;=0.001,"Solved",AM594-AO594*(AM594-AI594)/(AO594-AK594))))</f>
        <v/>
      </c>
      <c r="AR594" s="167"/>
      <c r="AS594" s="329" t="str">
        <f>IF(ISBLANK(Inputs!$A77),"",
IF(OR(AQ594="Solved",AQ594="--"),"--",
((Mat.Conc_Alpha.1*Mat.Conc_f.c*$AB594*MIN(AQ594*Mat.Conc_Beta.1,$Y594))
+(Mat.Conc_Alpha.1*Mat.Conc_f.c*$V594*MAX(0,AQ594*Mat.Conc_Beta.1-$Y594)))
-($J594*MIN(Mat.Rebar_f.y,(Mat.Rebar_epsilon.cl*($S594-AQ594)/AQ594)*Mat.PT_E.s))
-($M594*Mat.PT_f.pu*(1-Mat.PT_k*AQ594/$P594))))</f>
        <v/>
      </c>
      <c r="AT594" s="329"/>
      <c r="AU594" s="167" t="str">
        <f>IF(ISBLANK(Inputs!$A77),"",
IF(AS594="--","Solved",
IF(ABS(AS594)&lt;=0.001,"Solved",AQ594-AS594*(AQ594-AM594)/(AS594-AO594))))</f>
        <v/>
      </c>
      <c r="AV594" s="167"/>
      <c r="AW594" s="329" t="str">
        <f>IF(ISBLANK(Inputs!$A77),"",
IF(OR(AU594="Solved",AU594="--"),"--",
((Mat.Conc_Alpha.1*Mat.Conc_f.c*$AB594*MIN(AU594*Mat.Conc_Beta.1,$Y594))
+(Mat.Conc_Alpha.1*Mat.Conc_f.c*$V594*MAX(0,AU594*Mat.Conc_Beta.1-$Y594)))
-($J594*MIN(Mat.Rebar_f.y,(Mat.Rebar_epsilon.cl*($S594-AU594)/AU594)*Mat.PT_E.s))
-($M594*Mat.PT_f.pu*(1-Mat.PT_k*AU594/$P594))))</f>
        <v/>
      </c>
      <c r="AX594" s="329"/>
      <c r="AY594" s="167" t="str">
        <f>IF(ISBLANK(Inputs!$A77),"",
IF(AW594="--","Solved",
IF(ABS(AW594)&lt;=0.001,"Solved",AU594-AW594*(AU594-AQ594)/(AW594-AS594))))</f>
        <v/>
      </c>
      <c r="AZ594" s="167"/>
      <c r="BA594" s="329" t="str">
        <f>IF(ISBLANK(Inputs!$A77),"",
IF(OR(AY594="Solved",AY594="--"),"--",
((Mat.Conc_Alpha.1*Mat.Conc_f.c*$AB594*MIN(AY594*Mat.Conc_Beta.1,$Y594))
+(Mat.Conc_Alpha.1*Mat.Conc_f.c*$V594*MAX(0,AY594*Mat.Conc_Beta.1-$Y594)))
-($J594*MIN(Mat.Rebar_f.y,(Mat.Rebar_epsilon.cl*($S594-AY594)/AY594)*Mat.PT_E.s))
-($M594*Mat.PT_f.pu*(1-Mat.PT_k*AY594/$P594))))</f>
        <v/>
      </c>
      <c r="BB594" s="329"/>
      <c r="BC594" s="167" t="str">
        <f>IF(ISBLANK(Inputs!$A77),"",
IF(BA594="--","Solved",
IF(ABS(BA594)&lt;=0.001,"Solved",AY594-BA594*(AY594-AU594)/(BA594-AW594))))</f>
        <v/>
      </c>
      <c r="BD594" s="167"/>
      <c r="BE594" s="329" t="str">
        <f>IF(ISBLANK(Inputs!$A77),"",
IF(OR(BC594="Solved",BC594="--"),"--",
((Mat.Conc_Alpha.1*Mat.Conc_f.c*$AB594*MIN(BC594*Mat.Conc_Beta.1,$Y594))
+(Mat.Conc_Alpha.1*Mat.Conc_f.c*$V594*MAX(0,BC594*Mat.Conc_Beta.1-$Y594)))
-($J594*MIN(Mat.Rebar_f.y,(Mat.Rebar_epsilon.cl*($S594-BC594)/BC594)*Mat.PT_E.s))
-($M594*Mat.PT_f.pu*(1-Mat.PT_k*BC594/$P594))))</f>
        <v/>
      </c>
      <c r="BF594" s="329"/>
      <c r="BG594" s="167" t="str">
        <f>IF(ISBLANK(Inputs!$A77),"",
IF(BE594="--","Solved",
IF(ABS(BE594)&lt;=0.001,"Solved",BC594-BE594*(BC594-AY594)/(BE594-BA594))))</f>
        <v/>
      </c>
      <c r="BH594" s="167"/>
      <c r="BI594" s="329" t="str">
        <f>IF(ISBLANK(Inputs!$A77),"",
IF(OR(BG594="Solved",BG594="--"),"--",
((Mat.Conc_Alpha.1*Mat.Conc_f.c*$AB594*MIN(BG594*Mat.Conc_Beta.1,$Y594))
+(Mat.Conc_Alpha.1*Mat.Conc_f.c*$V594*MAX(0,BG594*Mat.Conc_Beta.1-$Y594)))
-($J594*MIN(Mat.Rebar_f.y,(Mat.Rebar_epsilon.cl*($S594-BG594)/BG594)*Mat.PT_E.s))
-($M594*Mat.PT_f.pu*(1-Mat.PT_k*BG594/$P594))))</f>
        <v/>
      </c>
      <c r="BJ594" s="329"/>
      <c r="BK594" s="167" t="str">
        <f>IF(ISBLANK(Inputs!$A77),"",
IF(BI594="--","Solved",
IF(ABS(BI594)&lt;=0.001,"Solved",BG594-BI594*(BG594-BC594)/(BI594-BE594))))</f>
        <v/>
      </c>
      <c r="BL594" s="167"/>
      <c r="BM594" s="329" t="str">
        <f>IF(ISBLANK(Inputs!$A77),"",
IF(OR(BK594="Solved",BK594="--"),"--",
((Mat.Conc_Alpha.1*Mat.Conc_f.c*$AB594*MIN(BK594*Mat.Conc_Beta.1,$Y594))
+(Mat.Conc_Alpha.1*Mat.Conc_f.c*$V594*MAX(0,BK594*Mat.Conc_Beta.1-$Y594)))
-($J594*MIN(Mat.Rebar_f.y,(Mat.Rebar_epsilon.cl*($S594-BK594)/BK594)*Mat.PT_E.s))
-($M594*Mat.PT_f.pu*(1-Mat.PT_k*BK594/$P594))))</f>
        <v/>
      </c>
      <c r="BN594" s="329"/>
      <c r="BO594" s="167" t="str">
        <f>IF(ISBLANK(Inputs!$A77),"",
IF(BM594="--","Solved",
IF(ABS(BM594)&lt;=0.001,"Solved",BK594-BM594*(BK594-BG594)/(BM594-BI594))))</f>
        <v/>
      </c>
      <c r="BP594" s="167"/>
      <c r="BQ594" s="329" t="str">
        <f>IF(ISBLANK(Inputs!$A77),"",
IF(OR(BO594="Solved",BO594="--"),"--",
((Mat.Conc_Alpha.1*Mat.Conc_f.c*$AB594*MIN(BO594*Mat.Conc_Beta.1,$Y594))
+(Mat.Conc_Alpha.1*Mat.Conc_f.c*$V594*MAX(0,BO594*Mat.Conc_Beta.1-$Y594)))
-($J594*MIN(Mat.Rebar_f.y,(Mat.Rebar_epsilon.cl*($S594-BO594)/BO594)*Mat.PT_E.s))
-($M594*Mat.PT_f.pu*(1-Mat.PT_k*BO594/$P594))))</f>
        <v/>
      </c>
      <c r="BR594" s="329"/>
      <c r="BS594" s="70"/>
      <c r="BT594" s="70"/>
      <c r="BU594" s="70"/>
      <c r="BV594" s="70"/>
      <c r="BW594" s="8"/>
      <c r="BX594" s="8"/>
      <c r="BY594" s="8"/>
      <c r="BZ594" s="8"/>
      <c r="CA594" s="8"/>
      <c r="CB594" s="10"/>
    </row>
    <row r="595" spans="3:80" ht="15" customHeight="1" x14ac:dyDescent="0.25">
      <c r="C595" s="69"/>
      <c r="F595" s="167" t="str">
        <f>IF(ISBLANK(Inputs!A78),"",Inputs!A78)</f>
        <v/>
      </c>
      <c r="G595" s="167"/>
      <c r="H595" s="167" t="str">
        <f>IF(ISBLANK(Inputs!B78),"",Inputs!B78)</f>
        <v/>
      </c>
      <c r="I595" s="167"/>
      <c r="J595" s="168" t="str">
        <f>IF(ISBLANK(Inputs!K78),"",Inputs!K78)</f>
        <v/>
      </c>
      <c r="K595" s="168"/>
      <c r="L595" s="168"/>
      <c r="M595" s="168" t="str">
        <f>IF(ISBLANK(Inputs!D78),"",Inputs!D78)</f>
        <v/>
      </c>
      <c r="N595" s="168"/>
      <c r="O595" s="168"/>
      <c r="P595" s="168" t="str">
        <f>IF(ISBLANK(Inputs!F78),"",Inputs!$B$10-Inputs!F78)</f>
        <v/>
      </c>
      <c r="Q595" s="168"/>
      <c r="R595" s="168"/>
      <c r="S595" s="168" t="str">
        <f>IF(ISBLANK(Inputs!L78),"",Inputs!L78)</f>
        <v/>
      </c>
      <c r="T595" s="168"/>
      <c r="U595" s="168"/>
      <c r="V595" s="168" t="str">
        <f>IF(ISBLANK(Inputs!E78),"",Inputs!E78)</f>
        <v/>
      </c>
      <c r="W595" s="168"/>
      <c r="X595" s="168"/>
      <c r="Y595" s="168" t="str">
        <f>IF(ISBLANK(Inputs!M78),"",Inputs!M78)</f>
        <v/>
      </c>
      <c r="Z595" s="168"/>
      <c r="AA595" s="168"/>
      <c r="AB595" s="168" t="str">
        <f>IF(ISBLANK(Inputs!N78),"",Inputs!N78)</f>
        <v/>
      </c>
      <c r="AC595" s="168"/>
      <c r="AD595" s="168"/>
      <c r="AE595" s="371" t="str">
        <f>IF(ISBLANK(Inputs!A78),"",Y595)</f>
        <v/>
      </c>
      <c r="AF595" s="371"/>
      <c r="AG595" s="329" t="str">
        <f>IF(ISBLANK(Inputs!$A78),"",
IF(OR(AE595="Solved",AE595="--"),"--",
((Mat.Conc_Alpha.1*Mat.Conc_f.c*$AB595*MIN(AE595*Mat.Conc_Beta.1,$Y595))
+(Mat.Conc_Alpha.1*Mat.Conc_f.c*$V595*MAX(0,AE595*Mat.Conc_Beta.1-$Y595)))
-($J595*MIN(Mat.Rebar_f.y,(Mat.Rebar_epsilon.cl*($S595-AE595)/AE595)*Mat.PT_E.s))
-($M595*Mat.PT_f.pu*(1-Mat.PT_k*AE595/$P595))))</f>
        <v/>
      </c>
      <c r="AH595" s="329"/>
      <c r="AI595" s="167" t="str">
        <f>IF(ISBLANK(Inputs!$A78),"",
IF(ABS(AG595)&lt;=0.001,"Solved",IF(AG595&gt;0,0.85*AE595,1.15*AE595)))</f>
        <v/>
      </c>
      <c r="AJ595" s="167"/>
      <c r="AK595" s="329" t="str">
        <f>IF(ISBLANK(Inputs!$A78),"",
IF(OR(AI595="Solved",AI595="--"),"--",
((Mat.Conc_Alpha.1*Mat.Conc_f.c*$AB595*MIN(AI595*Mat.Conc_Beta.1,$Y595))
+(Mat.Conc_Alpha.1*Mat.Conc_f.c*$V595*MAX(0,AI595*Mat.Conc_Beta.1-$Y595)))
-($J595*MIN(Mat.Rebar_f.y,(Mat.Rebar_epsilon.cl*($S595-AI595)/AI595)*Mat.PT_E.s))
-($M595*Mat.PT_f.pu*(1-Mat.PT_k*AI595/$P595))))</f>
        <v/>
      </c>
      <c r="AL595" s="329"/>
      <c r="AM595" s="167" t="str">
        <f>IF(ISBLANK(Inputs!$A78),"",
IF(AK595="--","Solved",
IF(ABS(AK595)&lt;=0.001,"Solved",AI595-AK595*(AI595-AE595)/(AK595-AG595))))</f>
        <v/>
      </c>
      <c r="AN595" s="167"/>
      <c r="AO595" s="329" t="str">
        <f>IF(ISBLANK(Inputs!$A78),"",
IF(OR(AM595="Solved",AM595="--"),"--",
((Mat.Conc_Alpha.1*Mat.Conc_f.c*$AB595*MIN(AM595*Mat.Conc_Beta.1,$Y595))
+(Mat.Conc_Alpha.1*Mat.Conc_f.c*$V595*MAX(0,AM595*Mat.Conc_Beta.1-$Y595)))
-($J595*MIN(Mat.Rebar_f.y,(Mat.Rebar_epsilon.cl*($S595-AM595)/AM595)*Mat.PT_E.s))
-($M595*Mat.PT_f.pu*(1-Mat.PT_k*AM595/$P595))))</f>
        <v/>
      </c>
      <c r="AP595" s="329"/>
      <c r="AQ595" s="167" t="str">
        <f>IF(ISBLANK(Inputs!$A78),"",
IF(AO595="--","Solved",
IF(ABS(AO595)&lt;=0.001,"Solved",AM595-AO595*(AM595-AI595)/(AO595-AK595))))</f>
        <v/>
      </c>
      <c r="AR595" s="167"/>
      <c r="AS595" s="329" t="str">
        <f>IF(ISBLANK(Inputs!$A78),"",
IF(OR(AQ595="Solved",AQ595="--"),"--",
((Mat.Conc_Alpha.1*Mat.Conc_f.c*$AB595*MIN(AQ595*Mat.Conc_Beta.1,$Y595))
+(Mat.Conc_Alpha.1*Mat.Conc_f.c*$V595*MAX(0,AQ595*Mat.Conc_Beta.1-$Y595)))
-($J595*MIN(Mat.Rebar_f.y,(Mat.Rebar_epsilon.cl*($S595-AQ595)/AQ595)*Mat.PT_E.s))
-($M595*Mat.PT_f.pu*(1-Mat.PT_k*AQ595/$P595))))</f>
        <v/>
      </c>
      <c r="AT595" s="329"/>
      <c r="AU595" s="167" t="str">
        <f>IF(ISBLANK(Inputs!$A78),"",
IF(AS595="--","Solved",
IF(ABS(AS595)&lt;=0.001,"Solved",AQ595-AS595*(AQ595-AM595)/(AS595-AO595))))</f>
        <v/>
      </c>
      <c r="AV595" s="167"/>
      <c r="AW595" s="329" t="str">
        <f>IF(ISBLANK(Inputs!$A78),"",
IF(OR(AU595="Solved",AU595="--"),"--",
((Mat.Conc_Alpha.1*Mat.Conc_f.c*$AB595*MIN(AU595*Mat.Conc_Beta.1,$Y595))
+(Mat.Conc_Alpha.1*Mat.Conc_f.c*$V595*MAX(0,AU595*Mat.Conc_Beta.1-$Y595)))
-($J595*MIN(Mat.Rebar_f.y,(Mat.Rebar_epsilon.cl*($S595-AU595)/AU595)*Mat.PT_E.s))
-($M595*Mat.PT_f.pu*(1-Mat.PT_k*AU595/$P595))))</f>
        <v/>
      </c>
      <c r="AX595" s="329"/>
      <c r="AY595" s="167" t="str">
        <f>IF(ISBLANK(Inputs!$A78),"",
IF(AW595="--","Solved",
IF(ABS(AW595)&lt;=0.001,"Solved",AU595-AW595*(AU595-AQ595)/(AW595-AS595))))</f>
        <v/>
      </c>
      <c r="AZ595" s="167"/>
      <c r="BA595" s="329" t="str">
        <f>IF(ISBLANK(Inputs!$A78),"",
IF(OR(AY595="Solved",AY595="--"),"--",
((Mat.Conc_Alpha.1*Mat.Conc_f.c*$AB595*MIN(AY595*Mat.Conc_Beta.1,$Y595))
+(Mat.Conc_Alpha.1*Mat.Conc_f.c*$V595*MAX(0,AY595*Mat.Conc_Beta.1-$Y595)))
-($J595*MIN(Mat.Rebar_f.y,(Mat.Rebar_epsilon.cl*($S595-AY595)/AY595)*Mat.PT_E.s))
-($M595*Mat.PT_f.pu*(1-Mat.PT_k*AY595/$P595))))</f>
        <v/>
      </c>
      <c r="BB595" s="329"/>
      <c r="BC595" s="167" t="str">
        <f>IF(ISBLANK(Inputs!$A78),"",
IF(BA595="--","Solved",
IF(ABS(BA595)&lt;=0.001,"Solved",AY595-BA595*(AY595-AU595)/(BA595-AW595))))</f>
        <v/>
      </c>
      <c r="BD595" s="167"/>
      <c r="BE595" s="329" t="str">
        <f>IF(ISBLANK(Inputs!$A78),"",
IF(OR(BC595="Solved",BC595="--"),"--",
((Mat.Conc_Alpha.1*Mat.Conc_f.c*$AB595*MIN(BC595*Mat.Conc_Beta.1,$Y595))
+(Mat.Conc_Alpha.1*Mat.Conc_f.c*$V595*MAX(0,BC595*Mat.Conc_Beta.1-$Y595)))
-($J595*MIN(Mat.Rebar_f.y,(Mat.Rebar_epsilon.cl*($S595-BC595)/BC595)*Mat.PT_E.s))
-($M595*Mat.PT_f.pu*(1-Mat.PT_k*BC595/$P595))))</f>
        <v/>
      </c>
      <c r="BF595" s="329"/>
      <c r="BG595" s="167" t="str">
        <f>IF(ISBLANK(Inputs!$A78),"",
IF(BE595="--","Solved",
IF(ABS(BE595)&lt;=0.001,"Solved",BC595-BE595*(BC595-AY595)/(BE595-BA595))))</f>
        <v/>
      </c>
      <c r="BH595" s="167"/>
      <c r="BI595" s="329" t="str">
        <f>IF(ISBLANK(Inputs!$A78),"",
IF(OR(BG595="Solved",BG595="--"),"--",
((Mat.Conc_Alpha.1*Mat.Conc_f.c*$AB595*MIN(BG595*Mat.Conc_Beta.1,$Y595))
+(Mat.Conc_Alpha.1*Mat.Conc_f.c*$V595*MAX(0,BG595*Mat.Conc_Beta.1-$Y595)))
-($J595*MIN(Mat.Rebar_f.y,(Mat.Rebar_epsilon.cl*($S595-BG595)/BG595)*Mat.PT_E.s))
-($M595*Mat.PT_f.pu*(1-Mat.PT_k*BG595/$P595))))</f>
        <v/>
      </c>
      <c r="BJ595" s="329"/>
      <c r="BK595" s="167" t="str">
        <f>IF(ISBLANK(Inputs!$A78),"",
IF(BI595="--","Solved",
IF(ABS(BI595)&lt;=0.001,"Solved",BG595-BI595*(BG595-BC595)/(BI595-BE595))))</f>
        <v/>
      </c>
      <c r="BL595" s="167"/>
      <c r="BM595" s="329" t="str">
        <f>IF(ISBLANK(Inputs!$A78),"",
IF(OR(BK595="Solved",BK595="--"),"--",
((Mat.Conc_Alpha.1*Mat.Conc_f.c*$AB595*MIN(BK595*Mat.Conc_Beta.1,$Y595))
+(Mat.Conc_Alpha.1*Mat.Conc_f.c*$V595*MAX(0,BK595*Mat.Conc_Beta.1-$Y595)))
-($J595*MIN(Mat.Rebar_f.y,(Mat.Rebar_epsilon.cl*($S595-BK595)/BK595)*Mat.PT_E.s))
-($M595*Mat.PT_f.pu*(1-Mat.PT_k*BK595/$P595))))</f>
        <v/>
      </c>
      <c r="BN595" s="329"/>
      <c r="BO595" s="167" t="str">
        <f>IF(ISBLANK(Inputs!$A78),"",
IF(BM595="--","Solved",
IF(ABS(BM595)&lt;=0.001,"Solved",BK595-BM595*(BK595-BG595)/(BM595-BI595))))</f>
        <v/>
      </c>
      <c r="BP595" s="167"/>
      <c r="BQ595" s="329" t="str">
        <f>IF(ISBLANK(Inputs!$A78),"",
IF(OR(BO595="Solved",BO595="--"),"--",
((Mat.Conc_Alpha.1*Mat.Conc_f.c*$AB595*MIN(BO595*Mat.Conc_Beta.1,$Y595))
+(Mat.Conc_Alpha.1*Mat.Conc_f.c*$V595*MAX(0,BO595*Mat.Conc_Beta.1-$Y595)))
-($J595*MIN(Mat.Rebar_f.y,(Mat.Rebar_epsilon.cl*($S595-BO595)/BO595)*Mat.PT_E.s))
-($M595*Mat.PT_f.pu*(1-Mat.PT_k*BO595/$P595))))</f>
        <v/>
      </c>
      <c r="BR595" s="329"/>
      <c r="BS595" s="70"/>
      <c r="BT595" s="70"/>
      <c r="BU595" s="70"/>
      <c r="BV595" s="70"/>
      <c r="BW595" s="8"/>
      <c r="BX595" s="8"/>
      <c r="BY595" s="8"/>
      <c r="BZ595" s="8"/>
      <c r="CA595" s="8"/>
      <c r="CB595" s="10"/>
    </row>
    <row r="596" spans="3:80" ht="15" customHeight="1" x14ac:dyDescent="0.25">
      <c r="C596" s="69"/>
      <c r="F596" s="167" t="str">
        <f>IF(ISBLANK(Inputs!A79),"",Inputs!A79)</f>
        <v/>
      </c>
      <c r="G596" s="167"/>
      <c r="H596" s="167" t="str">
        <f>IF(ISBLANK(Inputs!B79),"",Inputs!B79)</f>
        <v/>
      </c>
      <c r="I596" s="167"/>
      <c r="J596" s="168" t="str">
        <f>IF(ISBLANK(Inputs!K79),"",Inputs!K79)</f>
        <v/>
      </c>
      <c r="K596" s="168"/>
      <c r="L596" s="168"/>
      <c r="M596" s="168" t="str">
        <f>IF(ISBLANK(Inputs!D79),"",Inputs!D79)</f>
        <v/>
      </c>
      <c r="N596" s="168"/>
      <c r="O596" s="168"/>
      <c r="P596" s="168" t="str">
        <f>IF(ISBLANK(Inputs!F79),"",Inputs!$B$10-Inputs!F79)</f>
        <v/>
      </c>
      <c r="Q596" s="168"/>
      <c r="R596" s="168"/>
      <c r="S596" s="168" t="str">
        <f>IF(ISBLANK(Inputs!L79),"",Inputs!L79)</f>
        <v/>
      </c>
      <c r="T596" s="168"/>
      <c r="U596" s="168"/>
      <c r="V596" s="168" t="str">
        <f>IF(ISBLANK(Inputs!E79),"",Inputs!E79)</f>
        <v/>
      </c>
      <c r="W596" s="168"/>
      <c r="X596" s="168"/>
      <c r="Y596" s="168" t="str">
        <f>IF(ISBLANK(Inputs!M79),"",Inputs!M79)</f>
        <v/>
      </c>
      <c r="Z596" s="168"/>
      <c r="AA596" s="168"/>
      <c r="AB596" s="168" t="str">
        <f>IF(ISBLANK(Inputs!N79),"",Inputs!N79)</f>
        <v/>
      </c>
      <c r="AC596" s="168"/>
      <c r="AD596" s="168"/>
      <c r="AE596" s="371" t="str">
        <f>IF(ISBLANK(Inputs!A79),"",Y596)</f>
        <v/>
      </c>
      <c r="AF596" s="371"/>
      <c r="AG596" s="329" t="str">
        <f>IF(ISBLANK(Inputs!$A79),"",
IF(OR(AE596="Solved",AE596="--"),"--",
((Mat.Conc_Alpha.1*Mat.Conc_f.c*$AB596*MIN(AE596*Mat.Conc_Beta.1,$Y596))
+(Mat.Conc_Alpha.1*Mat.Conc_f.c*$V596*MAX(0,AE596*Mat.Conc_Beta.1-$Y596)))
-($J596*MIN(Mat.Rebar_f.y,(Mat.Rebar_epsilon.cl*($S596-AE596)/AE596)*Mat.PT_E.s))
-($M596*Mat.PT_f.pu*(1-Mat.PT_k*AE596/$P596))))</f>
        <v/>
      </c>
      <c r="AH596" s="329"/>
      <c r="AI596" s="167" t="str">
        <f>IF(ISBLANK(Inputs!$A79),"",
IF(ABS(AG596)&lt;=0.001,"Solved",IF(AG596&gt;0,0.85*AE596,1.15*AE596)))</f>
        <v/>
      </c>
      <c r="AJ596" s="167"/>
      <c r="AK596" s="329" t="str">
        <f>IF(ISBLANK(Inputs!$A79),"",
IF(OR(AI596="Solved",AI596="--"),"--",
((Mat.Conc_Alpha.1*Mat.Conc_f.c*$AB596*MIN(AI596*Mat.Conc_Beta.1,$Y596))
+(Mat.Conc_Alpha.1*Mat.Conc_f.c*$V596*MAX(0,AI596*Mat.Conc_Beta.1-$Y596)))
-($J596*MIN(Mat.Rebar_f.y,(Mat.Rebar_epsilon.cl*($S596-AI596)/AI596)*Mat.PT_E.s))
-($M596*Mat.PT_f.pu*(1-Mat.PT_k*AI596/$P596))))</f>
        <v/>
      </c>
      <c r="AL596" s="329"/>
      <c r="AM596" s="167" t="str">
        <f>IF(ISBLANK(Inputs!$A79),"",
IF(AK596="--","Solved",
IF(ABS(AK596)&lt;=0.001,"Solved",AI596-AK596*(AI596-AE596)/(AK596-AG596))))</f>
        <v/>
      </c>
      <c r="AN596" s="167"/>
      <c r="AO596" s="329" t="str">
        <f>IF(ISBLANK(Inputs!$A79),"",
IF(OR(AM596="Solved",AM596="--"),"--",
((Mat.Conc_Alpha.1*Mat.Conc_f.c*$AB596*MIN(AM596*Mat.Conc_Beta.1,$Y596))
+(Mat.Conc_Alpha.1*Mat.Conc_f.c*$V596*MAX(0,AM596*Mat.Conc_Beta.1-$Y596)))
-($J596*MIN(Mat.Rebar_f.y,(Mat.Rebar_epsilon.cl*($S596-AM596)/AM596)*Mat.PT_E.s))
-($M596*Mat.PT_f.pu*(1-Mat.PT_k*AM596/$P596))))</f>
        <v/>
      </c>
      <c r="AP596" s="329"/>
      <c r="AQ596" s="167" t="str">
        <f>IF(ISBLANK(Inputs!$A79),"",
IF(AO596="--","Solved",
IF(ABS(AO596)&lt;=0.001,"Solved",AM596-AO596*(AM596-AI596)/(AO596-AK596))))</f>
        <v/>
      </c>
      <c r="AR596" s="167"/>
      <c r="AS596" s="329" t="str">
        <f>IF(ISBLANK(Inputs!$A79),"",
IF(OR(AQ596="Solved",AQ596="--"),"--",
((Mat.Conc_Alpha.1*Mat.Conc_f.c*$AB596*MIN(AQ596*Mat.Conc_Beta.1,$Y596))
+(Mat.Conc_Alpha.1*Mat.Conc_f.c*$V596*MAX(0,AQ596*Mat.Conc_Beta.1-$Y596)))
-($J596*MIN(Mat.Rebar_f.y,(Mat.Rebar_epsilon.cl*($S596-AQ596)/AQ596)*Mat.PT_E.s))
-($M596*Mat.PT_f.pu*(1-Mat.PT_k*AQ596/$P596))))</f>
        <v/>
      </c>
      <c r="AT596" s="329"/>
      <c r="AU596" s="167" t="str">
        <f>IF(ISBLANK(Inputs!$A79),"",
IF(AS596="--","Solved",
IF(ABS(AS596)&lt;=0.001,"Solved",AQ596-AS596*(AQ596-AM596)/(AS596-AO596))))</f>
        <v/>
      </c>
      <c r="AV596" s="167"/>
      <c r="AW596" s="329" t="str">
        <f>IF(ISBLANK(Inputs!$A79),"",
IF(OR(AU596="Solved",AU596="--"),"--",
((Mat.Conc_Alpha.1*Mat.Conc_f.c*$AB596*MIN(AU596*Mat.Conc_Beta.1,$Y596))
+(Mat.Conc_Alpha.1*Mat.Conc_f.c*$V596*MAX(0,AU596*Mat.Conc_Beta.1-$Y596)))
-($J596*MIN(Mat.Rebar_f.y,(Mat.Rebar_epsilon.cl*($S596-AU596)/AU596)*Mat.PT_E.s))
-($M596*Mat.PT_f.pu*(1-Mat.PT_k*AU596/$P596))))</f>
        <v/>
      </c>
      <c r="AX596" s="329"/>
      <c r="AY596" s="167" t="str">
        <f>IF(ISBLANK(Inputs!$A79),"",
IF(AW596="--","Solved",
IF(ABS(AW596)&lt;=0.001,"Solved",AU596-AW596*(AU596-AQ596)/(AW596-AS596))))</f>
        <v/>
      </c>
      <c r="AZ596" s="167"/>
      <c r="BA596" s="329" t="str">
        <f>IF(ISBLANK(Inputs!$A79),"",
IF(OR(AY596="Solved",AY596="--"),"--",
((Mat.Conc_Alpha.1*Mat.Conc_f.c*$AB596*MIN(AY596*Mat.Conc_Beta.1,$Y596))
+(Mat.Conc_Alpha.1*Mat.Conc_f.c*$V596*MAX(0,AY596*Mat.Conc_Beta.1-$Y596)))
-($J596*MIN(Mat.Rebar_f.y,(Mat.Rebar_epsilon.cl*($S596-AY596)/AY596)*Mat.PT_E.s))
-($M596*Mat.PT_f.pu*(1-Mat.PT_k*AY596/$P596))))</f>
        <v/>
      </c>
      <c r="BB596" s="329"/>
      <c r="BC596" s="167" t="str">
        <f>IF(ISBLANK(Inputs!$A79),"",
IF(BA596="--","Solved",
IF(ABS(BA596)&lt;=0.001,"Solved",AY596-BA596*(AY596-AU596)/(BA596-AW596))))</f>
        <v/>
      </c>
      <c r="BD596" s="167"/>
      <c r="BE596" s="329" t="str">
        <f>IF(ISBLANK(Inputs!$A79),"",
IF(OR(BC596="Solved",BC596="--"),"--",
((Mat.Conc_Alpha.1*Mat.Conc_f.c*$AB596*MIN(BC596*Mat.Conc_Beta.1,$Y596))
+(Mat.Conc_Alpha.1*Mat.Conc_f.c*$V596*MAX(0,BC596*Mat.Conc_Beta.1-$Y596)))
-($J596*MIN(Mat.Rebar_f.y,(Mat.Rebar_epsilon.cl*($S596-BC596)/BC596)*Mat.PT_E.s))
-($M596*Mat.PT_f.pu*(1-Mat.PT_k*BC596/$P596))))</f>
        <v/>
      </c>
      <c r="BF596" s="329"/>
      <c r="BG596" s="167" t="str">
        <f>IF(ISBLANK(Inputs!$A79),"",
IF(BE596="--","Solved",
IF(ABS(BE596)&lt;=0.001,"Solved",BC596-BE596*(BC596-AY596)/(BE596-BA596))))</f>
        <v/>
      </c>
      <c r="BH596" s="167"/>
      <c r="BI596" s="329" t="str">
        <f>IF(ISBLANK(Inputs!$A79),"",
IF(OR(BG596="Solved",BG596="--"),"--",
((Mat.Conc_Alpha.1*Mat.Conc_f.c*$AB596*MIN(BG596*Mat.Conc_Beta.1,$Y596))
+(Mat.Conc_Alpha.1*Mat.Conc_f.c*$V596*MAX(0,BG596*Mat.Conc_Beta.1-$Y596)))
-($J596*MIN(Mat.Rebar_f.y,(Mat.Rebar_epsilon.cl*($S596-BG596)/BG596)*Mat.PT_E.s))
-($M596*Mat.PT_f.pu*(1-Mat.PT_k*BG596/$P596))))</f>
        <v/>
      </c>
      <c r="BJ596" s="329"/>
      <c r="BK596" s="167" t="str">
        <f>IF(ISBLANK(Inputs!$A79),"",
IF(BI596="--","Solved",
IF(ABS(BI596)&lt;=0.001,"Solved",BG596-BI596*(BG596-BC596)/(BI596-BE596))))</f>
        <v/>
      </c>
      <c r="BL596" s="167"/>
      <c r="BM596" s="329" t="str">
        <f>IF(ISBLANK(Inputs!$A79),"",
IF(OR(BK596="Solved",BK596="--"),"--",
((Mat.Conc_Alpha.1*Mat.Conc_f.c*$AB596*MIN(BK596*Mat.Conc_Beta.1,$Y596))
+(Mat.Conc_Alpha.1*Mat.Conc_f.c*$V596*MAX(0,BK596*Mat.Conc_Beta.1-$Y596)))
-($J596*MIN(Mat.Rebar_f.y,(Mat.Rebar_epsilon.cl*($S596-BK596)/BK596)*Mat.PT_E.s))
-($M596*Mat.PT_f.pu*(1-Mat.PT_k*BK596/$P596))))</f>
        <v/>
      </c>
      <c r="BN596" s="329"/>
      <c r="BO596" s="167" t="str">
        <f>IF(ISBLANK(Inputs!$A79),"",
IF(BM596="--","Solved",
IF(ABS(BM596)&lt;=0.001,"Solved",BK596-BM596*(BK596-BG596)/(BM596-BI596))))</f>
        <v/>
      </c>
      <c r="BP596" s="167"/>
      <c r="BQ596" s="329" t="str">
        <f>IF(ISBLANK(Inputs!$A79),"",
IF(OR(BO596="Solved",BO596="--"),"--",
((Mat.Conc_Alpha.1*Mat.Conc_f.c*$AB596*MIN(BO596*Mat.Conc_Beta.1,$Y596))
+(Mat.Conc_Alpha.1*Mat.Conc_f.c*$V596*MAX(0,BO596*Mat.Conc_Beta.1-$Y596)))
-($J596*MIN(Mat.Rebar_f.y,(Mat.Rebar_epsilon.cl*($S596-BO596)/BO596)*Mat.PT_E.s))
-($M596*Mat.PT_f.pu*(1-Mat.PT_k*BO596/$P596))))</f>
        <v/>
      </c>
      <c r="BR596" s="329"/>
      <c r="BS596" s="70"/>
      <c r="BT596" s="70"/>
      <c r="BU596" s="70"/>
      <c r="BV596" s="70"/>
      <c r="BW596" s="8"/>
      <c r="BX596" s="8"/>
      <c r="BY596" s="8"/>
      <c r="BZ596" s="8"/>
      <c r="CA596" s="8"/>
      <c r="CB596" s="10"/>
    </row>
    <row r="597" spans="3:80" ht="15" customHeight="1" x14ac:dyDescent="0.25">
      <c r="C597" s="69"/>
      <c r="F597" s="167" t="str">
        <f>IF(ISBLANK(Inputs!A80),"",Inputs!A80)</f>
        <v/>
      </c>
      <c r="G597" s="167"/>
      <c r="H597" s="167" t="str">
        <f>IF(ISBLANK(Inputs!B80),"",Inputs!B80)</f>
        <v/>
      </c>
      <c r="I597" s="167"/>
      <c r="J597" s="168" t="str">
        <f>IF(ISBLANK(Inputs!K80),"",Inputs!K80)</f>
        <v/>
      </c>
      <c r="K597" s="168"/>
      <c r="L597" s="168"/>
      <c r="M597" s="168" t="str">
        <f>IF(ISBLANK(Inputs!D80),"",Inputs!D80)</f>
        <v/>
      </c>
      <c r="N597" s="168"/>
      <c r="O597" s="168"/>
      <c r="P597" s="168" t="str">
        <f>IF(ISBLANK(Inputs!F80),"",Inputs!$B$10-Inputs!F80)</f>
        <v/>
      </c>
      <c r="Q597" s="168"/>
      <c r="R597" s="168"/>
      <c r="S597" s="168" t="str">
        <f>IF(ISBLANK(Inputs!L80),"",Inputs!L80)</f>
        <v/>
      </c>
      <c r="T597" s="168"/>
      <c r="U597" s="168"/>
      <c r="V597" s="168" t="str">
        <f>IF(ISBLANK(Inputs!E80),"",Inputs!E80)</f>
        <v/>
      </c>
      <c r="W597" s="168"/>
      <c r="X597" s="168"/>
      <c r="Y597" s="168" t="str">
        <f>IF(ISBLANK(Inputs!M80),"",Inputs!M80)</f>
        <v/>
      </c>
      <c r="Z597" s="168"/>
      <c r="AA597" s="168"/>
      <c r="AB597" s="168" t="str">
        <f>IF(ISBLANK(Inputs!N80),"",Inputs!N80)</f>
        <v/>
      </c>
      <c r="AC597" s="168"/>
      <c r="AD597" s="168"/>
      <c r="AE597" s="371" t="str">
        <f>IF(ISBLANK(Inputs!A80),"",Y597)</f>
        <v/>
      </c>
      <c r="AF597" s="371"/>
      <c r="AG597" s="329" t="str">
        <f>IF(ISBLANK(Inputs!$A80),"",
IF(OR(AE597="Solved",AE597="--"),"--",
((Mat.Conc_Alpha.1*Mat.Conc_f.c*$AB597*MIN(AE597*Mat.Conc_Beta.1,$Y597))
+(Mat.Conc_Alpha.1*Mat.Conc_f.c*$V597*MAX(0,AE597*Mat.Conc_Beta.1-$Y597)))
-($J597*MIN(Mat.Rebar_f.y,(Mat.Rebar_epsilon.cl*($S597-AE597)/AE597)*Mat.PT_E.s))
-($M597*Mat.PT_f.pu*(1-Mat.PT_k*AE597/$P597))))</f>
        <v/>
      </c>
      <c r="AH597" s="329"/>
      <c r="AI597" s="167" t="str">
        <f>IF(ISBLANK(Inputs!$A80),"",
IF(ABS(AG597)&lt;=0.001,"Solved",IF(AG597&gt;0,0.85*AE597,1.15*AE597)))</f>
        <v/>
      </c>
      <c r="AJ597" s="167"/>
      <c r="AK597" s="329" t="str">
        <f>IF(ISBLANK(Inputs!$A80),"",
IF(OR(AI597="Solved",AI597="--"),"--",
((Mat.Conc_Alpha.1*Mat.Conc_f.c*$AB597*MIN(AI597*Mat.Conc_Beta.1,$Y597))
+(Mat.Conc_Alpha.1*Mat.Conc_f.c*$V597*MAX(0,AI597*Mat.Conc_Beta.1-$Y597)))
-($J597*MIN(Mat.Rebar_f.y,(Mat.Rebar_epsilon.cl*($S597-AI597)/AI597)*Mat.PT_E.s))
-($M597*Mat.PT_f.pu*(1-Mat.PT_k*AI597/$P597))))</f>
        <v/>
      </c>
      <c r="AL597" s="329"/>
      <c r="AM597" s="167" t="str">
        <f>IF(ISBLANK(Inputs!$A80),"",
IF(AK597="--","Solved",
IF(ABS(AK597)&lt;=0.001,"Solved",AI597-AK597*(AI597-AE597)/(AK597-AG597))))</f>
        <v/>
      </c>
      <c r="AN597" s="167"/>
      <c r="AO597" s="329" t="str">
        <f>IF(ISBLANK(Inputs!$A80),"",
IF(OR(AM597="Solved",AM597="--"),"--",
((Mat.Conc_Alpha.1*Mat.Conc_f.c*$AB597*MIN(AM597*Mat.Conc_Beta.1,$Y597))
+(Mat.Conc_Alpha.1*Mat.Conc_f.c*$V597*MAX(0,AM597*Mat.Conc_Beta.1-$Y597)))
-($J597*MIN(Mat.Rebar_f.y,(Mat.Rebar_epsilon.cl*($S597-AM597)/AM597)*Mat.PT_E.s))
-($M597*Mat.PT_f.pu*(1-Mat.PT_k*AM597/$P597))))</f>
        <v/>
      </c>
      <c r="AP597" s="329"/>
      <c r="AQ597" s="167" t="str">
        <f>IF(ISBLANK(Inputs!$A80),"",
IF(AO597="--","Solved",
IF(ABS(AO597)&lt;=0.001,"Solved",AM597-AO597*(AM597-AI597)/(AO597-AK597))))</f>
        <v/>
      </c>
      <c r="AR597" s="167"/>
      <c r="AS597" s="329" t="str">
        <f>IF(ISBLANK(Inputs!$A80),"",
IF(OR(AQ597="Solved",AQ597="--"),"--",
((Mat.Conc_Alpha.1*Mat.Conc_f.c*$AB597*MIN(AQ597*Mat.Conc_Beta.1,$Y597))
+(Mat.Conc_Alpha.1*Mat.Conc_f.c*$V597*MAX(0,AQ597*Mat.Conc_Beta.1-$Y597)))
-($J597*MIN(Mat.Rebar_f.y,(Mat.Rebar_epsilon.cl*($S597-AQ597)/AQ597)*Mat.PT_E.s))
-($M597*Mat.PT_f.pu*(1-Mat.PT_k*AQ597/$P597))))</f>
        <v/>
      </c>
      <c r="AT597" s="329"/>
      <c r="AU597" s="167" t="str">
        <f>IF(ISBLANK(Inputs!$A80),"",
IF(AS597="--","Solved",
IF(ABS(AS597)&lt;=0.001,"Solved",AQ597-AS597*(AQ597-AM597)/(AS597-AO597))))</f>
        <v/>
      </c>
      <c r="AV597" s="167"/>
      <c r="AW597" s="329" t="str">
        <f>IF(ISBLANK(Inputs!$A80),"",
IF(OR(AU597="Solved",AU597="--"),"--",
((Mat.Conc_Alpha.1*Mat.Conc_f.c*$AB597*MIN(AU597*Mat.Conc_Beta.1,$Y597))
+(Mat.Conc_Alpha.1*Mat.Conc_f.c*$V597*MAX(0,AU597*Mat.Conc_Beta.1-$Y597)))
-($J597*MIN(Mat.Rebar_f.y,(Mat.Rebar_epsilon.cl*($S597-AU597)/AU597)*Mat.PT_E.s))
-($M597*Mat.PT_f.pu*(1-Mat.PT_k*AU597/$P597))))</f>
        <v/>
      </c>
      <c r="AX597" s="329"/>
      <c r="AY597" s="167" t="str">
        <f>IF(ISBLANK(Inputs!$A80),"",
IF(AW597="--","Solved",
IF(ABS(AW597)&lt;=0.001,"Solved",AU597-AW597*(AU597-AQ597)/(AW597-AS597))))</f>
        <v/>
      </c>
      <c r="AZ597" s="167"/>
      <c r="BA597" s="329" t="str">
        <f>IF(ISBLANK(Inputs!$A80),"",
IF(OR(AY597="Solved",AY597="--"),"--",
((Mat.Conc_Alpha.1*Mat.Conc_f.c*$AB597*MIN(AY597*Mat.Conc_Beta.1,$Y597))
+(Mat.Conc_Alpha.1*Mat.Conc_f.c*$V597*MAX(0,AY597*Mat.Conc_Beta.1-$Y597)))
-($J597*MIN(Mat.Rebar_f.y,(Mat.Rebar_epsilon.cl*($S597-AY597)/AY597)*Mat.PT_E.s))
-($M597*Mat.PT_f.pu*(1-Mat.PT_k*AY597/$P597))))</f>
        <v/>
      </c>
      <c r="BB597" s="329"/>
      <c r="BC597" s="167" t="str">
        <f>IF(ISBLANK(Inputs!$A80),"",
IF(BA597="--","Solved",
IF(ABS(BA597)&lt;=0.001,"Solved",AY597-BA597*(AY597-AU597)/(BA597-AW597))))</f>
        <v/>
      </c>
      <c r="BD597" s="167"/>
      <c r="BE597" s="329" t="str">
        <f>IF(ISBLANK(Inputs!$A80),"",
IF(OR(BC597="Solved",BC597="--"),"--",
((Mat.Conc_Alpha.1*Mat.Conc_f.c*$AB597*MIN(BC597*Mat.Conc_Beta.1,$Y597))
+(Mat.Conc_Alpha.1*Mat.Conc_f.c*$V597*MAX(0,BC597*Mat.Conc_Beta.1-$Y597)))
-($J597*MIN(Mat.Rebar_f.y,(Mat.Rebar_epsilon.cl*($S597-BC597)/BC597)*Mat.PT_E.s))
-($M597*Mat.PT_f.pu*(1-Mat.PT_k*BC597/$P597))))</f>
        <v/>
      </c>
      <c r="BF597" s="329"/>
      <c r="BG597" s="167" t="str">
        <f>IF(ISBLANK(Inputs!$A80),"",
IF(BE597="--","Solved",
IF(ABS(BE597)&lt;=0.001,"Solved",BC597-BE597*(BC597-AY597)/(BE597-BA597))))</f>
        <v/>
      </c>
      <c r="BH597" s="167"/>
      <c r="BI597" s="329" t="str">
        <f>IF(ISBLANK(Inputs!$A80),"",
IF(OR(BG597="Solved",BG597="--"),"--",
((Mat.Conc_Alpha.1*Mat.Conc_f.c*$AB597*MIN(BG597*Mat.Conc_Beta.1,$Y597))
+(Mat.Conc_Alpha.1*Mat.Conc_f.c*$V597*MAX(0,BG597*Mat.Conc_Beta.1-$Y597)))
-($J597*MIN(Mat.Rebar_f.y,(Mat.Rebar_epsilon.cl*($S597-BG597)/BG597)*Mat.PT_E.s))
-($M597*Mat.PT_f.pu*(1-Mat.PT_k*BG597/$P597))))</f>
        <v/>
      </c>
      <c r="BJ597" s="329"/>
      <c r="BK597" s="167" t="str">
        <f>IF(ISBLANK(Inputs!$A80),"",
IF(BI597="--","Solved",
IF(ABS(BI597)&lt;=0.001,"Solved",BG597-BI597*(BG597-BC597)/(BI597-BE597))))</f>
        <v/>
      </c>
      <c r="BL597" s="167"/>
      <c r="BM597" s="329" t="str">
        <f>IF(ISBLANK(Inputs!$A80),"",
IF(OR(BK597="Solved",BK597="--"),"--",
((Mat.Conc_Alpha.1*Mat.Conc_f.c*$AB597*MIN(BK597*Mat.Conc_Beta.1,$Y597))
+(Mat.Conc_Alpha.1*Mat.Conc_f.c*$V597*MAX(0,BK597*Mat.Conc_Beta.1-$Y597)))
-($J597*MIN(Mat.Rebar_f.y,(Mat.Rebar_epsilon.cl*($S597-BK597)/BK597)*Mat.PT_E.s))
-($M597*Mat.PT_f.pu*(1-Mat.PT_k*BK597/$P597))))</f>
        <v/>
      </c>
      <c r="BN597" s="329"/>
      <c r="BO597" s="167" t="str">
        <f>IF(ISBLANK(Inputs!$A80),"",
IF(BM597="--","Solved",
IF(ABS(BM597)&lt;=0.001,"Solved",BK597-BM597*(BK597-BG597)/(BM597-BI597))))</f>
        <v/>
      </c>
      <c r="BP597" s="167"/>
      <c r="BQ597" s="329" t="str">
        <f>IF(ISBLANK(Inputs!$A80),"",
IF(OR(BO597="Solved",BO597="--"),"--",
((Mat.Conc_Alpha.1*Mat.Conc_f.c*$AB597*MIN(BO597*Mat.Conc_Beta.1,$Y597))
+(Mat.Conc_Alpha.1*Mat.Conc_f.c*$V597*MAX(0,BO597*Mat.Conc_Beta.1-$Y597)))
-($J597*MIN(Mat.Rebar_f.y,(Mat.Rebar_epsilon.cl*($S597-BO597)/BO597)*Mat.PT_E.s))
-($M597*Mat.PT_f.pu*(1-Mat.PT_k*BO597/$P597))))</f>
        <v/>
      </c>
      <c r="BR597" s="329"/>
      <c r="BS597" s="70"/>
      <c r="BT597" s="70"/>
      <c r="BU597" s="70"/>
      <c r="BV597" s="70"/>
      <c r="BW597" s="8"/>
      <c r="BX597" s="8"/>
      <c r="BY597" s="8"/>
      <c r="BZ597" s="8"/>
      <c r="CA597" s="8"/>
      <c r="CB597" s="10"/>
    </row>
    <row r="598" spans="3:80" ht="15" customHeight="1" x14ac:dyDescent="0.25">
      <c r="C598" s="69"/>
      <c r="F598" s="167" t="str">
        <f>IF(ISBLANK(Inputs!A81),"",Inputs!A81)</f>
        <v/>
      </c>
      <c r="G598" s="167"/>
      <c r="H598" s="167" t="str">
        <f>IF(ISBLANK(Inputs!B81),"",Inputs!B81)</f>
        <v/>
      </c>
      <c r="I598" s="167"/>
      <c r="J598" s="168" t="str">
        <f>IF(ISBLANK(Inputs!K81),"",Inputs!K81)</f>
        <v/>
      </c>
      <c r="K598" s="168"/>
      <c r="L598" s="168"/>
      <c r="M598" s="168" t="str">
        <f>IF(ISBLANK(Inputs!D81),"",Inputs!D81)</f>
        <v/>
      </c>
      <c r="N598" s="168"/>
      <c r="O598" s="168"/>
      <c r="P598" s="168" t="str">
        <f>IF(ISBLANK(Inputs!F81),"",Inputs!$B$10-Inputs!F81)</f>
        <v/>
      </c>
      <c r="Q598" s="168"/>
      <c r="R598" s="168"/>
      <c r="S598" s="168" t="str">
        <f>IF(ISBLANK(Inputs!L81),"",Inputs!L81)</f>
        <v/>
      </c>
      <c r="T598" s="168"/>
      <c r="U598" s="168"/>
      <c r="V598" s="168" t="str">
        <f>IF(ISBLANK(Inputs!E81),"",Inputs!E81)</f>
        <v/>
      </c>
      <c r="W598" s="168"/>
      <c r="X598" s="168"/>
      <c r="Y598" s="168" t="str">
        <f>IF(ISBLANK(Inputs!M81),"",Inputs!M81)</f>
        <v/>
      </c>
      <c r="Z598" s="168"/>
      <c r="AA598" s="168"/>
      <c r="AB598" s="168" t="str">
        <f>IF(ISBLANK(Inputs!N81),"",Inputs!N81)</f>
        <v/>
      </c>
      <c r="AC598" s="168"/>
      <c r="AD598" s="168"/>
      <c r="AE598" s="371" t="str">
        <f>IF(ISBLANK(Inputs!A81),"",Y598)</f>
        <v/>
      </c>
      <c r="AF598" s="371"/>
      <c r="AG598" s="329" t="str">
        <f>IF(ISBLANK(Inputs!$A81),"",
IF(OR(AE598="Solved",AE598="--"),"--",
((Mat.Conc_Alpha.1*Mat.Conc_f.c*$AB598*MIN(AE598*Mat.Conc_Beta.1,$Y598))
+(Mat.Conc_Alpha.1*Mat.Conc_f.c*$V598*MAX(0,AE598*Mat.Conc_Beta.1-$Y598)))
-($J598*MIN(Mat.Rebar_f.y,(Mat.Rebar_epsilon.cl*($S598-AE598)/AE598)*Mat.PT_E.s))
-($M598*Mat.PT_f.pu*(1-Mat.PT_k*AE598/$P598))))</f>
        <v/>
      </c>
      <c r="AH598" s="329"/>
      <c r="AI598" s="167" t="str">
        <f>IF(ISBLANK(Inputs!$A81),"",
IF(ABS(AG598)&lt;=0.001,"Solved",IF(AG598&gt;0,0.85*AE598,1.15*AE598)))</f>
        <v/>
      </c>
      <c r="AJ598" s="167"/>
      <c r="AK598" s="329" t="str">
        <f>IF(ISBLANK(Inputs!$A81),"",
IF(OR(AI598="Solved",AI598="--"),"--",
((Mat.Conc_Alpha.1*Mat.Conc_f.c*$AB598*MIN(AI598*Mat.Conc_Beta.1,$Y598))
+(Mat.Conc_Alpha.1*Mat.Conc_f.c*$V598*MAX(0,AI598*Mat.Conc_Beta.1-$Y598)))
-($J598*MIN(Mat.Rebar_f.y,(Mat.Rebar_epsilon.cl*($S598-AI598)/AI598)*Mat.PT_E.s))
-($M598*Mat.PT_f.pu*(1-Mat.PT_k*AI598/$P598))))</f>
        <v/>
      </c>
      <c r="AL598" s="329"/>
      <c r="AM598" s="167" t="str">
        <f>IF(ISBLANK(Inputs!$A81),"",
IF(AK598="--","Solved",
IF(ABS(AK598)&lt;=0.001,"Solved",AI598-AK598*(AI598-AE598)/(AK598-AG598))))</f>
        <v/>
      </c>
      <c r="AN598" s="167"/>
      <c r="AO598" s="329" t="str">
        <f>IF(ISBLANK(Inputs!$A81),"",
IF(OR(AM598="Solved",AM598="--"),"--",
((Mat.Conc_Alpha.1*Mat.Conc_f.c*$AB598*MIN(AM598*Mat.Conc_Beta.1,$Y598))
+(Mat.Conc_Alpha.1*Mat.Conc_f.c*$V598*MAX(0,AM598*Mat.Conc_Beta.1-$Y598)))
-($J598*MIN(Mat.Rebar_f.y,(Mat.Rebar_epsilon.cl*($S598-AM598)/AM598)*Mat.PT_E.s))
-($M598*Mat.PT_f.pu*(1-Mat.PT_k*AM598/$P598))))</f>
        <v/>
      </c>
      <c r="AP598" s="329"/>
      <c r="AQ598" s="167" t="str">
        <f>IF(ISBLANK(Inputs!$A81),"",
IF(AO598="--","Solved",
IF(ABS(AO598)&lt;=0.001,"Solved",AM598-AO598*(AM598-AI598)/(AO598-AK598))))</f>
        <v/>
      </c>
      <c r="AR598" s="167"/>
      <c r="AS598" s="329" t="str">
        <f>IF(ISBLANK(Inputs!$A81),"",
IF(OR(AQ598="Solved",AQ598="--"),"--",
((Mat.Conc_Alpha.1*Mat.Conc_f.c*$AB598*MIN(AQ598*Mat.Conc_Beta.1,$Y598))
+(Mat.Conc_Alpha.1*Mat.Conc_f.c*$V598*MAX(0,AQ598*Mat.Conc_Beta.1-$Y598)))
-($J598*MIN(Mat.Rebar_f.y,(Mat.Rebar_epsilon.cl*($S598-AQ598)/AQ598)*Mat.PT_E.s))
-($M598*Mat.PT_f.pu*(1-Mat.PT_k*AQ598/$P598))))</f>
        <v/>
      </c>
      <c r="AT598" s="329"/>
      <c r="AU598" s="167" t="str">
        <f>IF(ISBLANK(Inputs!$A81),"",
IF(AS598="--","Solved",
IF(ABS(AS598)&lt;=0.001,"Solved",AQ598-AS598*(AQ598-AM598)/(AS598-AO598))))</f>
        <v/>
      </c>
      <c r="AV598" s="167"/>
      <c r="AW598" s="329" t="str">
        <f>IF(ISBLANK(Inputs!$A81),"",
IF(OR(AU598="Solved",AU598="--"),"--",
((Mat.Conc_Alpha.1*Mat.Conc_f.c*$AB598*MIN(AU598*Mat.Conc_Beta.1,$Y598))
+(Mat.Conc_Alpha.1*Mat.Conc_f.c*$V598*MAX(0,AU598*Mat.Conc_Beta.1-$Y598)))
-($J598*MIN(Mat.Rebar_f.y,(Mat.Rebar_epsilon.cl*($S598-AU598)/AU598)*Mat.PT_E.s))
-($M598*Mat.PT_f.pu*(1-Mat.PT_k*AU598/$P598))))</f>
        <v/>
      </c>
      <c r="AX598" s="329"/>
      <c r="AY598" s="167" t="str">
        <f>IF(ISBLANK(Inputs!$A81),"",
IF(AW598="--","Solved",
IF(ABS(AW598)&lt;=0.001,"Solved",AU598-AW598*(AU598-AQ598)/(AW598-AS598))))</f>
        <v/>
      </c>
      <c r="AZ598" s="167"/>
      <c r="BA598" s="329" t="str">
        <f>IF(ISBLANK(Inputs!$A81),"",
IF(OR(AY598="Solved",AY598="--"),"--",
((Mat.Conc_Alpha.1*Mat.Conc_f.c*$AB598*MIN(AY598*Mat.Conc_Beta.1,$Y598))
+(Mat.Conc_Alpha.1*Mat.Conc_f.c*$V598*MAX(0,AY598*Mat.Conc_Beta.1-$Y598)))
-($J598*MIN(Mat.Rebar_f.y,(Mat.Rebar_epsilon.cl*($S598-AY598)/AY598)*Mat.PT_E.s))
-($M598*Mat.PT_f.pu*(1-Mat.PT_k*AY598/$P598))))</f>
        <v/>
      </c>
      <c r="BB598" s="329"/>
      <c r="BC598" s="167" t="str">
        <f>IF(ISBLANK(Inputs!$A81),"",
IF(BA598="--","Solved",
IF(ABS(BA598)&lt;=0.001,"Solved",AY598-BA598*(AY598-AU598)/(BA598-AW598))))</f>
        <v/>
      </c>
      <c r="BD598" s="167"/>
      <c r="BE598" s="329" t="str">
        <f>IF(ISBLANK(Inputs!$A81),"",
IF(OR(BC598="Solved",BC598="--"),"--",
((Mat.Conc_Alpha.1*Mat.Conc_f.c*$AB598*MIN(BC598*Mat.Conc_Beta.1,$Y598))
+(Mat.Conc_Alpha.1*Mat.Conc_f.c*$V598*MAX(0,BC598*Mat.Conc_Beta.1-$Y598)))
-($J598*MIN(Mat.Rebar_f.y,(Mat.Rebar_epsilon.cl*($S598-BC598)/BC598)*Mat.PT_E.s))
-($M598*Mat.PT_f.pu*(1-Mat.PT_k*BC598/$P598))))</f>
        <v/>
      </c>
      <c r="BF598" s="329"/>
      <c r="BG598" s="167" t="str">
        <f>IF(ISBLANK(Inputs!$A81),"",
IF(BE598="--","Solved",
IF(ABS(BE598)&lt;=0.001,"Solved",BC598-BE598*(BC598-AY598)/(BE598-BA598))))</f>
        <v/>
      </c>
      <c r="BH598" s="167"/>
      <c r="BI598" s="329" t="str">
        <f>IF(ISBLANK(Inputs!$A81),"",
IF(OR(BG598="Solved",BG598="--"),"--",
((Mat.Conc_Alpha.1*Mat.Conc_f.c*$AB598*MIN(BG598*Mat.Conc_Beta.1,$Y598))
+(Mat.Conc_Alpha.1*Mat.Conc_f.c*$V598*MAX(0,BG598*Mat.Conc_Beta.1-$Y598)))
-($J598*MIN(Mat.Rebar_f.y,(Mat.Rebar_epsilon.cl*($S598-BG598)/BG598)*Mat.PT_E.s))
-($M598*Mat.PT_f.pu*(1-Mat.PT_k*BG598/$P598))))</f>
        <v/>
      </c>
      <c r="BJ598" s="329"/>
      <c r="BK598" s="167" t="str">
        <f>IF(ISBLANK(Inputs!$A81),"",
IF(BI598="--","Solved",
IF(ABS(BI598)&lt;=0.001,"Solved",BG598-BI598*(BG598-BC598)/(BI598-BE598))))</f>
        <v/>
      </c>
      <c r="BL598" s="167"/>
      <c r="BM598" s="329" t="str">
        <f>IF(ISBLANK(Inputs!$A81),"",
IF(OR(BK598="Solved",BK598="--"),"--",
((Mat.Conc_Alpha.1*Mat.Conc_f.c*$AB598*MIN(BK598*Mat.Conc_Beta.1,$Y598))
+(Mat.Conc_Alpha.1*Mat.Conc_f.c*$V598*MAX(0,BK598*Mat.Conc_Beta.1-$Y598)))
-($J598*MIN(Mat.Rebar_f.y,(Mat.Rebar_epsilon.cl*($S598-BK598)/BK598)*Mat.PT_E.s))
-($M598*Mat.PT_f.pu*(1-Mat.PT_k*BK598/$P598))))</f>
        <v/>
      </c>
      <c r="BN598" s="329"/>
      <c r="BO598" s="167" t="str">
        <f>IF(ISBLANK(Inputs!$A81),"",
IF(BM598="--","Solved",
IF(ABS(BM598)&lt;=0.001,"Solved",BK598-BM598*(BK598-BG598)/(BM598-BI598))))</f>
        <v/>
      </c>
      <c r="BP598" s="167"/>
      <c r="BQ598" s="329" t="str">
        <f>IF(ISBLANK(Inputs!$A81),"",
IF(OR(BO598="Solved",BO598="--"),"--",
((Mat.Conc_Alpha.1*Mat.Conc_f.c*$AB598*MIN(BO598*Mat.Conc_Beta.1,$Y598))
+(Mat.Conc_Alpha.1*Mat.Conc_f.c*$V598*MAX(0,BO598*Mat.Conc_Beta.1-$Y598)))
-($J598*MIN(Mat.Rebar_f.y,(Mat.Rebar_epsilon.cl*($S598-BO598)/BO598)*Mat.PT_E.s))
-($M598*Mat.PT_f.pu*(1-Mat.PT_k*BO598/$P598))))</f>
        <v/>
      </c>
      <c r="BR598" s="329"/>
      <c r="BS598" s="70"/>
      <c r="BT598" s="70"/>
      <c r="BU598" s="70"/>
      <c r="BV598" s="70"/>
      <c r="BW598" s="8"/>
      <c r="BX598" s="8"/>
      <c r="BY598" s="8"/>
      <c r="BZ598" s="8"/>
      <c r="CA598" s="8"/>
      <c r="CB598" s="10"/>
    </row>
    <row r="599" spans="3:80" ht="15" customHeight="1" x14ac:dyDescent="0.25">
      <c r="C599" s="69"/>
      <c r="F599" s="167" t="str">
        <f>IF(ISBLANK(Inputs!A82),"",Inputs!A82)</f>
        <v/>
      </c>
      <c r="G599" s="167"/>
      <c r="H599" s="167" t="str">
        <f>IF(ISBLANK(Inputs!B82),"",Inputs!B82)</f>
        <v/>
      </c>
      <c r="I599" s="167"/>
      <c r="J599" s="168" t="str">
        <f>IF(ISBLANK(Inputs!K82),"",Inputs!K82)</f>
        <v/>
      </c>
      <c r="K599" s="168"/>
      <c r="L599" s="168"/>
      <c r="M599" s="168" t="str">
        <f>IF(ISBLANK(Inputs!D82),"",Inputs!D82)</f>
        <v/>
      </c>
      <c r="N599" s="168"/>
      <c r="O599" s="168"/>
      <c r="P599" s="168" t="str">
        <f>IF(ISBLANK(Inputs!F82),"",Inputs!$B$10-Inputs!F82)</f>
        <v/>
      </c>
      <c r="Q599" s="168"/>
      <c r="R599" s="168"/>
      <c r="S599" s="168" t="str">
        <f>IF(ISBLANK(Inputs!L82),"",Inputs!L82)</f>
        <v/>
      </c>
      <c r="T599" s="168"/>
      <c r="U599" s="168"/>
      <c r="V599" s="168" t="str">
        <f>IF(ISBLANK(Inputs!E82),"",Inputs!E82)</f>
        <v/>
      </c>
      <c r="W599" s="168"/>
      <c r="X599" s="168"/>
      <c r="Y599" s="168" t="str">
        <f>IF(ISBLANK(Inputs!M82),"",Inputs!M82)</f>
        <v/>
      </c>
      <c r="Z599" s="168"/>
      <c r="AA599" s="168"/>
      <c r="AB599" s="168" t="str">
        <f>IF(ISBLANK(Inputs!N82),"",Inputs!N82)</f>
        <v/>
      </c>
      <c r="AC599" s="168"/>
      <c r="AD599" s="168"/>
      <c r="AE599" s="371" t="str">
        <f>IF(ISBLANK(Inputs!A82),"",Y599)</f>
        <v/>
      </c>
      <c r="AF599" s="371"/>
      <c r="AG599" s="329" t="str">
        <f>IF(ISBLANK(Inputs!$A82),"",
IF(OR(AE599="Solved",AE599="--"),"--",
((Mat.Conc_Alpha.1*Mat.Conc_f.c*$AB599*MIN(AE599*Mat.Conc_Beta.1,$Y599))
+(Mat.Conc_Alpha.1*Mat.Conc_f.c*$V599*MAX(0,AE599*Mat.Conc_Beta.1-$Y599)))
-($J599*MIN(Mat.Rebar_f.y,(Mat.Rebar_epsilon.cl*($S599-AE599)/AE599)*Mat.PT_E.s))
-($M599*Mat.PT_f.pu*(1-Mat.PT_k*AE599/$P599))))</f>
        <v/>
      </c>
      <c r="AH599" s="329"/>
      <c r="AI599" s="167" t="str">
        <f>IF(ISBLANK(Inputs!$A82),"",
IF(ABS(AG599)&lt;=0.001,"Solved",IF(AG599&gt;0,0.85*AE599,1.15*AE599)))</f>
        <v/>
      </c>
      <c r="AJ599" s="167"/>
      <c r="AK599" s="329" t="str">
        <f>IF(ISBLANK(Inputs!$A82),"",
IF(OR(AI599="Solved",AI599="--"),"--",
((Mat.Conc_Alpha.1*Mat.Conc_f.c*$AB599*MIN(AI599*Mat.Conc_Beta.1,$Y599))
+(Mat.Conc_Alpha.1*Mat.Conc_f.c*$V599*MAX(0,AI599*Mat.Conc_Beta.1-$Y599)))
-($J599*MIN(Mat.Rebar_f.y,(Mat.Rebar_epsilon.cl*($S599-AI599)/AI599)*Mat.PT_E.s))
-($M599*Mat.PT_f.pu*(1-Mat.PT_k*AI599/$P599))))</f>
        <v/>
      </c>
      <c r="AL599" s="329"/>
      <c r="AM599" s="167" t="str">
        <f>IF(ISBLANK(Inputs!$A82),"",
IF(AK599="--","Solved",
IF(ABS(AK599)&lt;=0.001,"Solved",AI599-AK599*(AI599-AE599)/(AK599-AG599))))</f>
        <v/>
      </c>
      <c r="AN599" s="167"/>
      <c r="AO599" s="329" t="str">
        <f>IF(ISBLANK(Inputs!$A82),"",
IF(OR(AM599="Solved",AM599="--"),"--",
((Mat.Conc_Alpha.1*Mat.Conc_f.c*$AB599*MIN(AM599*Mat.Conc_Beta.1,$Y599))
+(Mat.Conc_Alpha.1*Mat.Conc_f.c*$V599*MAX(0,AM599*Mat.Conc_Beta.1-$Y599)))
-($J599*MIN(Mat.Rebar_f.y,(Mat.Rebar_epsilon.cl*($S599-AM599)/AM599)*Mat.PT_E.s))
-($M599*Mat.PT_f.pu*(1-Mat.PT_k*AM599/$P599))))</f>
        <v/>
      </c>
      <c r="AP599" s="329"/>
      <c r="AQ599" s="167" t="str">
        <f>IF(ISBLANK(Inputs!$A82),"",
IF(AO599="--","Solved",
IF(ABS(AO599)&lt;=0.001,"Solved",AM599-AO599*(AM599-AI599)/(AO599-AK599))))</f>
        <v/>
      </c>
      <c r="AR599" s="167"/>
      <c r="AS599" s="329" t="str">
        <f>IF(ISBLANK(Inputs!$A82),"",
IF(OR(AQ599="Solved",AQ599="--"),"--",
((Mat.Conc_Alpha.1*Mat.Conc_f.c*$AB599*MIN(AQ599*Mat.Conc_Beta.1,$Y599))
+(Mat.Conc_Alpha.1*Mat.Conc_f.c*$V599*MAX(0,AQ599*Mat.Conc_Beta.1-$Y599)))
-($J599*MIN(Mat.Rebar_f.y,(Mat.Rebar_epsilon.cl*($S599-AQ599)/AQ599)*Mat.PT_E.s))
-($M599*Mat.PT_f.pu*(1-Mat.PT_k*AQ599/$P599))))</f>
        <v/>
      </c>
      <c r="AT599" s="329"/>
      <c r="AU599" s="167" t="str">
        <f>IF(ISBLANK(Inputs!$A82),"",
IF(AS599="--","Solved",
IF(ABS(AS599)&lt;=0.001,"Solved",AQ599-AS599*(AQ599-AM599)/(AS599-AO599))))</f>
        <v/>
      </c>
      <c r="AV599" s="167"/>
      <c r="AW599" s="329" t="str">
        <f>IF(ISBLANK(Inputs!$A82),"",
IF(OR(AU599="Solved",AU599="--"),"--",
((Mat.Conc_Alpha.1*Mat.Conc_f.c*$AB599*MIN(AU599*Mat.Conc_Beta.1,$Y599))
+(Mat.Conc_Alpha.1*Mat.Conc_f.c*$V599*MAX(0,AU599*Mat.Conc_Beta.1-$Y599)))
-($J599*MIN(Mat.Rebar_f.y,(Mat.Rebar_epsilon.cl*($S599-AU599)/AU599)*Mat.PT_E.s))
-($M599*Mat.PT_f.pu*(1-Mat.PT_k*AU599/$P599))))</f>
        <v/>
      </c>
      <c r="AX599" s="329"/>
      <c r="AY599" s="167" t="str">
        <f>IF(ISBLANK(Inputs!$A82),"",
IF(AW599="--","Solved",
IF(ABS(AW599)&lt;=0.001,"Solved",AU599-AW599*(AU599-AQ599)/(AW599-AS599))))</f>
        <v/>
      </c>
      <c r="AZ599" s="167"/>
      <c r="BA599" s="329" t="str">
        <f>IF(ISBLANK(Inputs!$A82),"",
IF(OR(AY599="Solved",AY599="--"),"--",
((Mat.Conc_Alpha.1*Mat.Conc_f.c*$AB599*MIN(AY599*Mat.Conc_Beta.1,$Y599))
+(Mat.Conc_Alpha.1*Mat.Conc_f.c*$V599*MAX(0,AY599*Mat.Conc_Beta.1-$Y599)))
-($J599*MIN(Mat.Rebar_f.y,(Mat.Rebar_epsilon.cl*($S599-AY599)/AY599)*Mat.PT_E.s))
-($M599*Mat.PT_f.pu*(1-Mat.PT_k*AY599/$P599))))</f>
        <v/>
      </c>
      <c r="BB599" s="329"/>
      <c r="BC599" s="167" t="str">
        <f>IF(ISBLANK(Inputs!$A82),"",
IF(BA599="--","Solved",
IF(ABS(BA599)&lt;=0.001,"Solved",AY599-BA599*(AY599-AU599)/(BA599-AW599))))</f>
        <v/>
      </c>
      <c r="BD599" s="167"/>
      <c r="BE599" s="329" t="str">
        <f>IF(ISBLANK(Inputs!$A82),"",
IF(OR(BC599="Solved",BC599="--"),"--",
((Mat.Conc_Alpha.1*Mat.Conc_f.c*$AB599*MIN(BC599*Mat.Conc_Beta.1,$Y599))
+(Mat.Conc_Alpha.1*Mat.Conc_f.c*$V599*MAX(0,BC599*Mat.Conc_Beta.1-$Y599)))
-($J599*MIN(Mat.Rebar_f.y,(Mat.Rebar_epsilon.cl*($S599-BC599)/BC599)*Mat.PT_E.s))
-($M599*Mat.PT_f.pu*(1-Mat.PT_k*BC599/$P599))))</f>
        <v/>
      </c>
      <c r="BF599" s="329"/>
      <c r="BG599" s="167" t="str">
        <f>IF(ISBLANK(Inputs!$A82),"",
IF(BE599="--","Solved",
IF(ABS(BE599)&lt;=0.001,"Solved",BC599-BE599*(BC599-AY599)/(BE599-BA599))))</f>
        <v/>
      </c>
      <c r="BH599" s="167"/>
      <c r="BI599" s="329" t="str">
        <f>IF(ISBLANK(Inputs!$A82),"",
IF(OR(BG599="Solved",BG599="--"),"--",
((Mat.Conc_Alpha.1*Mat.Conc_f.c*$AB599*MIN(BG599*Mat.Conc_Beta.1,$Y599))
+(Mat.Conc_Alpha.1*Mat.Conc_f.c*$V599*MAX(0,BG599*Mat.Conc_Beta.1-$Y599)))
-($J599*MIN(Mat.Rebar_f.y,(Mat.Rebar_epsilon.cl*($S599-BG599)/BG599)*Mat.PT_E.s))
-($M599*Mat.PT_f.pu*(1-Mat.PT_k*BG599/$P599))))</f>
        <v/>
      </c>
      <c r="BJ599" s="329"/>
      <c r="BK599" s="167" t="str">
        <f>IF(ISBLANK(Inputs!$A82),"",
IF(BI599="--","Solved",
IF(ABS(BI599)&lt;=0.001,"Solved",BG599-BI599*(BG599-BC599)/(BI599-BE599))))</f>
        <v/>
      </c>
      <c r="BL599" s="167"/>
      <c r="BM599" s="329" t="str">
        <f>IF(ISBLANK(Inputs!$A82),"",
IF(OR(BK599="Solved",BK599="--"),"--",
((Mat.Conc_Alpha.1*Mat.Conc_f.c*$AB599*MIN(BK599*Mat.Conc_Beta.1,$Y599))
+(Mat.Conc_Alpha.1*Mat.Conc_f.c*$V599*MAX(0,BK599*Mat.Conc_Beta.1-$Y599)))
-($J599*MIN(Mat.Rebar_f.y,(Mat.Rebar_epsilon.cl*($S599-BK599)/BK599)*Mat.PT_E.s))
-($M599*Mat.PT_f.pu*(1-Mat.PT_k*BK599/$P599))))</f>
        <v/>
      </c>
      <c r="BN599" s="329"/>
      <c r="BO599" s="167" t="str">
        <f>IF(ISBLANK(Inputs!$A82),"",
IF(BM599="--","Solved",
IF(ABS(BM599)&lt;=0.001,"Solved",BK599-BM599*(BK599-BG599)/(BM599-BI599))))</f>
        <v/>
      </c>
      <c r="BP599" s="167"/>
      <c r="BQ599" s="329" t="str">
        <f>IF(ISBLANK(Inputs!$A82),"",
IF(OR(BO599="Solved",BO599="--"),"--",
((Mat.Conc_Alpha.1*Mat.Conc_f.c*$AB599*MIN(BO599*Mat.Conc_Beta.1,$Y599))
+(Mat.Conc_Alpha.1*Mat.Conc_f.c*$V599*MAX(0,BO599*Mat.Conc_Beta.1-$Y599)))
-($J599*MIN(Mat.Rebar_f.y,(Mat.Rebar_epsilon.cl*($S599-BO599)/BO599)*Mat.PT_E.s))
-($M599*Mat.PT_f.pu*(1-Mat.PT_k*BO599/$P599))))</f>
        <v/>
      </c>
      <c r="BR599" s="329"/>
      <c r="BS599" s="70"/>
      <c r="BT599" s="70"/>
      <c r="BU599" s="70"/>
      <c r="BV599" s="70"/>
      <c r="BW599" s="8"/>
      <c r="BX599" s="8"/>
      <c r="BY599" s="8"/>
      <c r="BZ599" s="8"/>
      <c r="CA599" s="8"/>
      <c r="CB599" s="10"/>
    </row>
    <row r="600" spans="3:80" ht="15" customHeight="1" x14ac:dyDescent="0.25">
      <c r="C600" s="69"/>
      <c r="F600" s="167" t="str">
        <f>IF(ISBLANK(Inputs!A83),"",Inputs!A83)</f>
        <v/>
      </c>
      <c r="G600" s="167"/>
      <c r="H600" s="167" t="str">
        <f>IF(ISBLANK(Inputs!B83),"",Inputs!B83)</f>
        <v/>
      </c>
      <c r="I600" s="167"/>
      <c r="J600" s="168" t="str">
        <f>IF(ISBLANK(Inputs!K83),"",Inputs!K83)</f>
        <v/>
      </c>
      <c r="K600" s="168"/>
      <c r="L600" s="168"/>
      <c r="M600" s="168" t="str">
        <f>IF(ISBLANK(Inputs!D83),"",Inputs!D83)</f>
        <v/>
      </c>
      <c r="N600" s="168"/>
      <c r="O600" s="168"/>
      <c r="P600" s="168" t="str">
        <f>IF(ISBLANK(Inputs!F83),"",Inputs!$B$10-Inputs!F83)</f>
        <v/>
      </c>
      <c r="Q600" s="168"/>
      <c r="R600" s="168"/>
      <c r="S600" s="168" t="str">
        <f>IF(ISBLANK(Inputs!L83),"",Inputs!L83)</f>
        <v/>
      </c>
      <c r="T600" s="168"/>
      <c r="U600" s="168"/>
      <c r="V600" s="168" t="str">
        <f>IF(ISBLANK(Inputs!E83),"",Inputs!E83)</f>
        <v/>
      </c>
      <c r="W600" s="168"/>
      <c r="X600" s="168"/>
      <c r="Y600" s="168" t="str">
        <f>IF(ISBLANK(Inputs!M83),"",Inputs!M83)</f>
        <v/>
      </c>
      <c r="Z600" s="168"/>
      <c r="AA600" s="168"/>
      <c r="AB600" s="168" t="str">
        <f>IF(ISBLANK(Inputs!N83),"",Inputs!N83)</f>
        <v/>
      </c>
      <c r="AC600" s="168"/>
      <c r="AD600" s="168"/>
      <c r="AE600" s="371" t="str">
        <f>IF(ISBLANK(Inputs!A83),"",Y600)</f>
        <v/>
      </c>
      <c r="AF600" s="371"/>
      <c r="AG600" s="329" t="str">
        <f>IF(ISBLANK(Inputs!$A83),"",
IF(OR(AE600="Solved",AE600="--"),"--",
((Mat.Conc_Alpha.1*Mat.Conc_f.c*$AB600*MIN(AE600*Mat.Conc_Beta.1,$Y600))
+(Mat.Conc_Alpha.1*Mat.Conc_f.c*$V600*MAX(0,AE600*Mat.Conc_Beta.1-$Y600)))
-($J600*MIN(Mat.Rebar_f.y,(Mat.Rebar_epsilon.cl*($S600-AE600)/AE600)*Mat.PT_E.s))
-($M600*Mat.PT_f.pu*(1-Mat.PT_k*AE600/$P600))))</f>
        <v/>
      </c>
      <c r="AH600" s="329"/>
      <c r="AI600" s="167" t="str">
        <f>IF(ISBLANK(Inputs!$A83),"",
IF(ABS(AG600)&lt;=0.001,"Solved",IF(AG600&gt;0,0.85*AE600,1.15*AE600)))</f>
        <v/>
      </c>
      <c r="AJ600" s="167"/>
      <c r="AK600" s="329" t="str">
        <f>IF(ISBLANK(Inputs!$A83),"",
IF(OR(AI600="Solved",AI600="--"),"--",
((Mat.Conc_Alpha.1*Mat.Conc_f.c*$AB600*MIN(AI600*Mat.Conc_Beta.1,$Y600))
+(Mat.Conc_Alpha.1*Mat.Conc_f.c*$V600*MAX(0,AI600*Mat.Conc_Beta.1-$Y600)))
-($J600*MIN(Mat.Rebar_f.y,(Mat.Rebar_epsilon.cl*($S600-AI600)/AI600)*Mat.PT_E.s))
-($M600*Mat.PT_f.pu*(1-Mat.PT_k*AI600/$P600))))</f>
        <v/>
      </c>
      <c r="AL600" s="329"/>
      <c r="AM600" s="167" t="str">
        <f>IF(ISBLANK(Inputs!$A83),"",
IF(AK600="--","Solved",
IF(ABS(AK600)&lt;=0.001,"Solved",AI600-AK600*(AI600-AE600)/(AK600-AG600))))</f>
        <v/>
      </c>
      <c r="AN600" s="167"/>
      <c r="AO600" s="329" t="str">
        <f>IF(ISBLANK(Inputs!$A83),"",
IF(OR(AM600="Solved",AM600="--"),"--",
((Mat.Conc_Alpha.1*Mat.Conc_f.c*$AB600*MIN(AM600*Mat.Conc_Beta.1,$Y600))
+(Mat.Conc_Alpha.1*Mat.Conc_f.c*$V600*MAX(0,AM600*Mat.Conc_Beta.1-$Y600)))
-($J600*MIN(Mat.Rebar_f.y,(Mat.Rebar_epsilon.cl*($S600-AM600)/AM600)*Mat.PT_E.s))
-($M600*Mat.PT_f.pu*(1-Mat.PT_k*AM600/$P600))))</f>
        <v/>
      </c>
      <c r="AP600" s="329"/>
      <c r="AQ600" s="167" t="str">
        <f>IF(ISBLANK(Inputs!$A83),"",
IF(AO600="--","Solved",
IF(ABS(AO600)&lt;=0.001,"Solved",AM600-AO600*(AM600-AI600)/(AO600-AK600))))</f>
        <v/>
      </c>
      <c r="AR600" s="167"/>
      <c r="AS600" s="329" t="str">
        <f>IF(ISBLANK(Inputs!$A83),"",
IF(OR(AQ600="Solved",AQ600="--"),"--",
((Mat.Conc_Alpha.1*Mat.Conc_f.c*$AB600*MIN(AQ600*Mat.Conc_Beta.1,$Y600))
+(Mat.Conc_Alpha.1*Mat.Conc_f.c*$V600*MAX(0,AQ600*Mat.Conc_Beta.1-$Y600)))
-($J600*MIN(Mat.Rebar_f.y,(Mat.Rebar_epsilon.cl*($S600-AQ600)/AQ600)*Mat.PT_E.s))
-($M600*Mat.PT_f.pu*(1-Mat.PT_k*AQ600/$P600))))</f>
        <v/>
      </c>
      <c r="AT600" s="329"/>
      <c r="AU600" s="167" t="str">
        <f>IF(ISBLANK(Inputs!$A83),"",
IF(AS600="--","Solved",
IF(ABS(AS600)&lt;=0.001,"Solved",AQ600-AS600*(AQ600-AM600)/(AS600-AO600))))</f>
        <v/>
      </c>
      <c r="AV600" s="167"/>
      <c r="AW600" s="329" t="str">
        <f>IF(ISBLANK(Inputs!$A83),"",
IF(OR(AU600="Solved",AU600="--"),"--",
((Mat.Conc_Alpha.1*Mat.Conc_f.c*$AB600*MIN(AU600*Mat.Conc_Beta.1,$Y600))
+(Mat.Conc_Alpha.1*Mat.Conc_f.c*$V600*MAX(0,AU600*Mat.Conc_Beta.1-$Y600)))
-($J600*MIN(Mat.Rebar_f.y,(Mat.Rebar_epsilon.cl*($S600-AU600)/AU600)*Mat.PT_E.s))
-($M600*Mat.PT_f.pu*(1-Mat.PT_k*AU600/$P600))))</f>
        <v/>
      </c>
      <c r="AX600" s="329"/>
      <c r="AY600" s="167" t="str">
        <f>IF(ISBLANK(Inputs!$A83),"",
IF(AW600="--","Solved",
IF(ABS(AW600)&lt;=0.001,"Solved",AU600-AW600*(AU600-AQ600)/(AW600-AS600))))</f>
        <v/>
      </c>
      <c r="AZ600" s="167"/>
      <c r="BA600" s="329" t="str">
        <f>IF(ISBLANK(Inputs!$A83),"",
IF(OR(AY600="Solved",AY600="--"),"--",
((Mat.Conc_Alpha.1*Mat.Conc_f.c*$AB600*MIN(AY600*Mat.Conc_Beta.1,$Y600))
+(Mat.Conc_Alpha.1*Mat.Conc_f.c*$V600*MAX(0,AY600*Mat.Conc_Beta.1-$Y600)))
-($J600*MIN(Mat.Rebar_f.y,(Mat.Rebar_epsilon.cl*($S600-AY600)/AY600)*Mat.PT_E.s))
-($M600*Mat.PT_f.pu*(1-Mat.PT_k*AY600/$P600))))</f>
        <v/>
      </c>
      <c r="BB600" s="329"/>
      <c r="BC600" s="167" t="str">
        <f>IF(ISBLANK(Inputs!$A83),"",
IF(BA600="--","Solved",
IF(ABS(BA600)&lt;=0.001,"Solved",AY600-BA600*(AY600-AU600)/(BA600-AW600))))</f>
        <v/>
      </c>
      <c r="BD600" s="167"/>
      <c r="BE600" s="329" t="str">
        <f>IF(ISBLANK(Inputs!$A83),"",
IF(OR(BC600="Solved",BC600="--"),"--",
((Mat.Conc_Alpha.1*Mat.Conc_f.c*$AB600*MIN(BC600*Mat.Conc_Beta.1,$Y600))
+(Mat.Conc_Alpha.1*Mat.Conc_f.c*$V600*MAX(0,BC600*Mat.Conc_Beta.1-$Y600)))
-($J600*MIN(Mat.Rebar_f.y,(Mat.Rebar_epsilon.cl*($S600-BC600)/BC600)*Mat.PT_E.s))
-($M600*Mat.PT_f.pu*(1-Mat.PT_k*BC600/$P600))))</f>
        <v/>
      </c>
      <c r="BF600" s="329"/>
      <c r="BG600" s="167" t="str">
        <f>IF(ISBLANK(Inputs!$A83),"",
IF(BE600="--","Solved",
IF(ABS(BE600)&lt;=0.001,"Solved",BC600-BE600*(BC600-AY600)/(BE600-BA600))))</f>
        <v/>
      </c>
      <c r="BH600" s="167"/>
      <c r="BI600" s="329" t="str">
        <f>IF(ISBLANK(Inputs!$A83),"",
IF(OR(BG600="Solved",BG600="--"),"--",
((Mat.Conc_Alpha.1*Mat.Conc_f.c*$AB600*MIN(BG600*Mat.Conc_Beta.1,$Y600))
+(Mat.Conc_Alpha.1*Mat.Conc_f.c*$V600*MAX(0,BG600*Mat.Conc_Beta.1-$Y600)))
-($J600*MIN(Mat.Rebar_f.y,(Mat.Rebar_epsilon.cl*($S600-BG600)/BG600)*Mat.PT_E.s))
-($M600*Mat.PT_f.pu*(1-Mat.PT_k*BG600/$P600))))</f>
        <v/>
      </c>
      <c r="BJ600" s="329"/>
      <c r="BK600" s="167" t="str">
        <f>IF(ISBLANK(Inputs!$A83),"",
IF(BI600="--","Solved",
IF(ABS(BI600)&lt;=0.001,"Solved",BG600-BI600*(BG600-BC600)/(BI600-BE600))))</f>
        <v/>
      </c>
      <c r="BL600" s="167"/>
      <c r="BM600" s="329" t="str">
        <f>IF(ISBLANK(Inputs!$A83),"",
IF(OR(BK600="Solved",BK600="--"),"--",
((Mat.Conc_Alpha.1*Mat.Conc_f.c*$AB600*MIN(BK600*Mat.Conc_Beta.1,$Y600))
+(Mat.Conc_Alpha.1*Mat.Conc_f.c*$V600*MAX(0,BK600*Mat.Conc_Beta.1-$Y600)))
-($J600*MIN(Mat.Rebar_f.y,(Mat.Rebar_epsilon.cl*($S600-BK600)/BK600)*Mat.PT_E.s))
-($M600*Mat.PT_f.pu*(1-Mat.PT_k*BK600/$P600))))</f>
        <v/>
      </c>
      <c r="BN600" s="329"/>
      <c r="BO600" s="167" t="str">
        <f>IF(ISBLANK(Inputs!$A83),"",
IF(BM600="--","Solved",
IF(ABS(BM600)&lt;=0.001,"Solved",BK600-BM600*(BK600-BG600)/(BM600-BI600))))</f>
        <v/>
      </c>
      <c r="BP600" s="167"/>
      <c r="BQ600" s="329" t="str">
        <f>IF(ISBLANK(Inputs!$A83),"",
IF(OR(BO600="Solved",BO600="--"),"--",
((Mat.Conc_Alpha.1*Mat.Conc_f.c*$AB600*MIN(BO600*Mat.Conc_Beta.1,$Y600))
+(Mat.Conc_Alpha.1*Mat.Conc_f.c*$V600*MAX(0,BO600*Mat.Conc_Beta.1-$Y600)))
-($J600*MIN(Mat.Rebar_f.y,(Mat.Rebar_epsilon.cl*($S600-BO600)/BO600)*Mat.PT_E.s))
-($M600*Mat.PT_f.pu*(1-Mat.PT_k*BO600/$P600))))</f>
        <v/>
      </c>
      <c r="BR600" s="329"/>
      <c r="BS600" s="70"/>
      <c r="BT600" s="70"/>
      <c r="BU600" s="70"/>
      <c r="BV600" s="70"/>
      <c r="BW600" s="8"/>
      <c r="BX600" s="8"/>
      <c r="BY600" s="8"/>
      <c r="BZ600" s="8"/>
      <c r="CA600" s="8"/>
      <c r="CB600" s="10"/>
    </row>
    <row r="601" spans="3:80" ht="15" customHeight="1" x14ac:dyDescent="0.25">
      <c r="C601" s="69"/>
      <c r="F601" s="167" t="str">
        <f>IF(ISBLANK(Inputs!A84),"",Inputs!A84)</f>
        <v/>
      </c>
      <c r="G601" s="167"/>
      <c r="H601" s="167" t="str">
        <f>IF(ISBLANK(Inputs!B84),"",Inputs!B84)</f>
        <v/>
      </c>
      <c r="I601" s="167"/>
      <c r="J601" s="168" t="str">
        <f>IF(ISBLANK(Inputs!K84),"",Inputs!K84)</f>
        <v/>
      </c>
      <c r="K601" s="168"/>
      <c r="L601" s="168"/>
      <c r="M601" s="168" t="str">
        <f>IF(ISBLANK(Inputs!D84),"",Inputs!D84)</f>
        <v/>
      </c>
      <c r="N601" s="168"/>
      <c r="O601" s="168"/>
      <c r="P601" s="168" t="str">
        <f>IF(ISBLANK(Inputs!F84),"",Inputs!$B$10-Inputs!F84)</f>
        <v/>
      </c>
      <c r="Q601" s="168"/>
      <c r="R601" s="168"/>
      <c r="S601" s="168" t="str">
        <f>IF(ISBLANK(Inputs!L84),"",Inputs!L84)</f>
        <v/>
      </c>
      <c r="T601" s="168"/>
      <c r="U601" s="168"/>
      <c r="V601" s="168" t="str">
        <f>IF(ISBLANK(Inputs!E84),"",Inputs!E84)</f>
        <v/>
      </c>
      <c r="W601" s="168"/>
      <c r="X601" s="168"/>
      <c r="Y601" s="168" t="str">
        <f>IF(ISBLANK(Inputs!M84),"",Inputs!M84)</f>
        <v/>
      </c>
      <c r="Z601" s="168"/>
      <c r="AA601" s="168"/>
      <c r="AB601" s="168" t="str">
        <f>IF(ISBLANK(Inputs!N84),"",Inputs!N84)</f>
        <v/>
      </c>
      <c r="AC601" s="168"/>
      <c r="AD601" s="168"/>
      <c r="AE601" s="371" t="str">
        <f>IF(ISBLANK(Inputs!A84),"",Y601)</f>
        <v/>
      </c>
      <c r="AF601" s="371"/>
      <c r="AG601" s="329" t="str">
        <f>IF(ISBLANK(Inputs!$A84),"",
IF(OR(AE601="Solved",AE601="--"),"--",
((Mat.Conc_Alpha.1*Mat.Conc_f.c*$AB601*MIN(AE601*Mat.Conc_Beta.1,$Y601))
+(Mat.Conc_Alpha.1*Mat.Conc_f.c*$V601*MAX(0,AE601*Mat.Conc_Beta.1-$Y601)))
-($J601*MIN(Mat.Rebar_f.y,(Mat.Rebar_epsilon.cl*($S601-AE601)/AE601)*Mat.PT_E.s))
-($M601*Mat.PT_f.pu*(1-Mat.PT_k*AE601/$P601))))</f>
        <v/>
      </c>
      <c r="AH601" s="329"/>
      <c r="AI601" s="167" t="str">
        <f>IF(ISBLANK(Inputs!$A84),"",
IF(ABS(AG601)&lt;=0.001,"Solved",IF(AG601&gt;0,0.85*AE601,1.15*AE601)))</f>
        <v/>
      </c>
      <c r="AJ601" s="167"/>
      <c r="AK601" s="329" t="str">
        <f>IF(ISBLANK(Inputs!$A84),"",
IF(OR(AI601="Solved",AI601="--"),"--",
((Mat.Conc_Alpha.1*Mat.Conc_f.c*$AB601*MIN(AI601*Mat.Conc_Beta.1,$Y601))
+(Mat.Conc_Alpha.1*Mat.Conc_f.c*$V601*MAX(0,AI601*Mat.Conc_Beta.1-$Y601)))
-($J601*MIN(Mat.Rebar_f.y,(Mat.Rebar_epsilon.cl*($S601-AI601)/AI601)*Mat.PT_E.s))
-($M601*Mat.PT_f.pu*(1-Mat.PT_k*AI601/$P601))))</f>
        <v/>
      </c>
      <c r="AL601" s="329"/>
      <c r="AM601" s="167" t="str">
        <f>IF(ISBLANK(Inputs!$A84),"",
IF(AK601="--","Solved",
IF(ABS(AK601)&lt;=0.001,"Solved",AI601-AK601*(AI601-AE601)/(AK601-AG601))))</f>
        <v/>
      </c>
      <c r="AN601" s="167"/>
      <c r="AO601" s="329" t="str">
        <f>IF(ISBLANK(Inputs!$A84),"",
IF(OR(AM601="Solved",AM601="--"),"--",
((Mat.Conc_Alpha.1*Mat.Conc_f.c*$AB601*MIN(AM601*Mat.Conc_Beta.1,$Y601))
+(Mat.Conc_Alpha.1*Mat.Conc_f.c*$V601*MAX(0,AM601*Mat.Conc_Beta.1-$Y601)))
-($J601*MIN(Mat.Rebar_f.y,(Mat.Rebar_epsilon.cl*($S601-AM601)/AM601)*Mat.PT_E.s))
-($M601*Mat.PT_f.pu*(1-Mat.PT_k*AM601/$P601))))</f>
        <v/>
      </c>
      <c r="AP601" s="329"/>
      <c r="AQ601" s="167" t="str">
        <f>IF(ISBLANK(Inputs!$A84),"",
IF(AO601="--","Solved",
IF(ABS(AO601)&lt;=0.001,"Solved",AM601-AO601*(AM601-AI601)/(AO601-AK601))))</f>
        <v/>
      </c>
      <c r="AR601" s="167"/>
      <c r="AS601" s="329" t="str">
        <f>IF(ISBLANK(Inputs!$A84),"",
IF(OR(AQ601="Solved",AQ601="--"),"--",
((Mat.Conc_Alpha.1*Mat.Conc_f.c*$AB601*MIN(AQ601*Mat.Conc_Beta.1,$Y601))
+(Mat.Conc_Alpha.1*Mat.Conc_f.c*$V601*MAX(0,AQ601*Mat.Conc_Beta.1-$Y601)))
-($J601*MIN(Mat.Rebar_f.y,(Mat.Rebar_epsilon.cl*($S601-AQ601)/AQ601)*Mat.PT_E.s))
-($M601*Mat.PT_f.pu*(1-Mat.PT_k*AQ601/$P601))))</f>
        <v/>
      </c>
      <c r="AT601" s="329"/>
      <c r="AU601" s="167" t="str">
        <f>IF(ISBLANK(Inputs!$A84),"",
IF(AS601="--","Solved",
IF(ABS(AS601)&lt;=0.001,"Solved",AQ601-AS601*(AQ601-AM601)/(AS601-AO601))))</f>
        <v/>
      </c>
      <c r="AV601" s="167"/>
      <c r="AW601" s="329" t="str">
        <f>IF(ISBLANK(Inputs!$A84),"",
IF(OR(AU601="Solved",AU601="--"),"--",
((Mat.Conc_Alpha.1*Mat.Conc_f.c*$AB601*MIN(AU601*Mat.Conc_Beta.1,$Y601))
+(Mat.Conc_Alpha.1*Mat.Conc_f.c*$V601*MAX(0,AU601*Mat.Conc_Beta.1-$Y601)))
-($J601*MIN(Mat.Rebar_f.y,(Mat.Rebar_epsilon.cl*($S601-AU601)/AU601)*Mat.PT_E.s))
-($M601*Mat.PT_f.pu*(1-Mat.PT_k*AU601/$P601))))</f>
        <v/>
      </c>
      <c r="AX601" s="329"/>
      <c r="AY601" s="167" t="str">
        <f>IF(ISBLANK(Inputs!$A84),"",
IF(AW601="--","Solved",
IF(ABS(AW601)&lt;=0.001,"Solved",AU601-AW601*(AU601-AQ601)/(AW601-AS601))))</f>
        <v/>
      </c>
      <c r="AZ601" s="167"/>
      <c r="BA601" s="329" t="str">
        <f>IF(ISBLANK(Inputs!$A84),"",
IF(OR(AY601="Solved",AY601="--"),"--",
((Mat.Conc_Alpha.1*Mat.Conc_f.c*$AB601*MIN(AY601*Mat.Conc_Beta.1,$Y601))
+(Mat.Conc_Alpha.1*Mat.Conc_f.c*$V601*MAX(0,AY601*Mat.Conc_Beta.1-$Y601)))
-($J601*MIN(Mat.Rebar_f.y,(Mat.Rebar_epsilon.cl*($S601-AY601)/AY601)*Mat.PT_E.s))
-($M601*Mat.PT_f.pu*(1-Mat.PT_k*AY601/$P601))))</f>
        <v/>
      </c>
      <c r="BB601" s="329"/>
      <c r="BC601" s="167" t="str">
        <f>IF(ISBLANK(Inputs!$A84),"",
IF(BA601="--","Solved",
IF(ABS(BA601)&lt;=0.001,"Solved",AY601-BA601*(AY601-AU601)/(BA601-AW601))))</f>
        <v/>
      </c>
      <c r="BD601" s="167"/>
      <c r="BE601" s="329" t="str">
        <f>IF(ISBLANK(Inputs!$A84),"",
IF(OR(BC601="Solved",BC601="--"),"--",
((Mat.Conc_Alpha.1*Mat.Conc_f.c*$AB601*MIN(BC601*Mat.Conc_Beta.1,$Y601))
+(Mat.Conc_Alpha.1*Mat.Conc_f.c*$V601*MAX(0,BC601*Mat.Conc_Beta.1-$Y601)))
-($J601*MIN(Mat.Rebar_f.y,(Mat.Rebar_epsilon.cl*($S601-BC601)/BC601)*Mat.PT_E.s))
-($M601*Mat.PT_f.pu*(1-Mat.PT_k*BC601/$P601))))</f>
        <v/>
      </c>
      <c r="BF601" s="329"/>
      <c r="BG601" s="167" t="str">
        <f>IF(ISBLANK(Inputs!$A84),"",
IF(BE601="--","Solved",
IF(ABS(BE601)&lt;=0.001,"Solved",BC601-BE601*(BC601-AY601)/(BE601-BA601))))</f>
        <v/>
      </c>
      <c r="BH601" s="167"/>
      <c r="BI601" s="329" t="str">
        <f>IF(ISBLANK(Inputs!$A84),"",
IF(OR(BG601="Solved",BG601="--"),"--",
((Mat.Conc_Alpha.1*Mat.Conc_f.c*$AB601*MIN(BG601*Mat.Conc_Beta.1,$Y601))
+(Mat.Conc_Alpha.1*Mat.Conc_f.c*$V601*MAX(0,BG601*Mat.Conc_Beta.1-$Y601)))
-($J601*MIN(Mat.Rebar_f.y,(Mat.Rebar_epsilon.cl*($S601-BG601)/BG601)*Mat.PT_E.s))
-($M601*Mat.PT_f.pu*(1-Mat.PT_k*BG601/$P601))))</f>
        <v/>
      </c>
      <c r="BJ601" s="329"/>
      <c r="BK601" s="167" t="str">
        <f>IF(ISBLANK(Inputs!$A84),"",
IF(BI601="--","Solved",
IF(ABS(BI601)&lt;=0.001,"Solved",BG601-BI601*(BG601-BC601)/(BI601-BE601))))</f>
        <v/>
      </c>
      <c r="BL601" s="167"/>
      <c r="BM601" s="329" t="str">
        <f>IF(ISBLANK(Inputs!$A84),"",
IF(OR(BK601="Solved",BK601="--"),"--",
((Mat.Conc_Alpha.1*Mat.Conc_f.c*$AB601*MIN(BK601*Mat.Conc_Beta.1,$Y601))
+(Mat.Conc_Alpha.1*Mat.Conc_f.c*$V601*MAX(0,BK601*Mat.Conc_Beta.1-$Y601)))
-($J601*MIN(Mat.Rebar_f.y,(Mat.Rebar_epsilon.cl*($S601-BK601)/BK601)*Mat.PT_E.s))
-($M601*Mat.PT_f.pu*(1-Mat.PT_k*BK601/$P601))))</f>
        <v/>
      </c>
      <c r="BN601" s="329"/>
      <c r="BO601" s="167" t="str">
        <f>IF(ISBLANK(Inputs!$A84),"",
IF(BM601="--","Solved",
IF(ABS(BM601)&lt;=0.001,"Solved",BK601-BM601*(BK601-BG601)/(BM601-BI601))))</f>
        <v/>
      </c>
      <c r="BP601" s="167"/>
      <c r="BQ601" s="329" t="str">
        <f>IF(ISBLANK(Inputs!$A84),"",
IF(OR(BO601="Solved",BO601="--"),"--",
((Mat.Conc_Alpha.1*Mat.Conc_f.c*$AB601*MIN(BO601*Mat.Conc_Beta.1,$Y601))
+(Mat.Conc_Alpha.1*Mat.Conc_f.c*$V601*MAX(0,BO601*Mat.Conc_Beta.1-$Y601)))
-($J601*MIN(Mat.Rebar_f.y,(Mat.Rebar_epsilon.cl*($S601-BO601)/BO601)*Mat.PT_E.s))
-($M601*Mat.PT_f.pu*(1-Mat.PT_k*BO601/$P601))))</f>
        <v/>
      </c>
      <c r="BR601" s="329"/>
      <c r="BS601" s="70"/>
      <c r="BT601" s="70"/>
      <c r="BU601" s="70"/>
      <c r="BV601" s="70"/>
      <c r="BW601" s="8"/>
      <c r="BX601" s="8"/>
      <c r="BY601" s="8"/>
      <c r="BZ601" s="8"/>
      <c r="CA601" s="8"/>
      <c r="CB601" s="10"/>
    </row>
    <row r="602" spans="3:80" ht="15" customHeight="1" x14ac:dyDescent="0.25">
      <c r="C602" s="69"/>
      <c r="F602" s="167" t="str">
        <f>IF(ISBLANK(Inputs!A85),"",Inputs!A85)</f>
        <v/>
      </c>
      <c r="G602" s="167"/>
      <c r="H602" s="167" t="str">
        <f>IF(ISBLANK(Inputs!B85),"",Inputs!B85)</f>
        <v/>
      </c>
      <c r="I602" s="167"/>
      <c r="J602" s="168" t="str">
        <f>IF(ISBLANK(Inputs!K85),"",Inputs!K85)</f>
        <v/>
      </c>
      <c r="K602" s="168"/>
      <c r="L602" s="168"/>
      <c r="M602" s="168" t="str">
        <f>IF(ISBLANK(Inputs!D85),"",Inputs!D85)</f>
        <v/>
      </c>
      <c r="N602" s="168"/>
      <c r="O602" s="168"/>
      <c r="P602" s="168" t="str">
        <f>IF(ISBLANK(Inputs!F85),"",Inputs!$B$10-Inputs!F85)</f>
        <v/>
      </c>
      <c r="Q602" s="168"/>
      <c r="R602" s="168"/>
      <c r="S602" s="168" t="str">
        <f>IF(ISBLANK(Inputs!L85),"",Inputs!L85)</f>
        <v/>
      </c>
      <c r="T602" s="168"/>
      <c r="U602" s="168"/>
      <c r="V602" s="168" t="str">
        <f>IF(ISBLANK(Inputs!E85),"",Inputs!E85)</f>
        <v/>
      </c>
      <c r="W602" s="168"/>
      <c r="X602" s="168"/>
      <c r="Y602" s="168" t="str">
        <f>IF(ISBLANK(Inputs!M85),"",Inputs!M85)</f>
        <v/>
      </c>
      <c r="Z602" s="168"/>
      <c r="AA602" s="168"/>
      <c r="AB602" s="168" t="str">
        <f>IF(ISBLANK(Inputs!N85),"",Inputs!N85)</f>
        <v/>
      </c>
      <c r="AC602" s="168"/>
      <c r="AD602" s="168"/>
      <c r="AE602" s="371" t="str">
        <f>IF(ISBLANK(Inputs!A85),"",Y602)</f>
        <v/>
      </c>
      <c r="AF602" s="371"/>
      <c r="AG602" s="329" t="str">
        <f>IF(ISBLANK(Inputs!$A85),"",
IF(OR(AE602="Solved",AE602="--"),"--",
((Mat.Conc_Alpha.1*Mat.Conc_f.c*$AB602*MIN(AE602*Mat.Conc_Beta.1,$Y602))
+(Mat.Conc_Alpha.1*Mat.Conc_f.c*$V602*MAX(0,AE602*Mat.Conc_Beta.1-$Y602)))
-($J602*MIN(Mat.Rebar_f.y,(Mat.Rebar_epsilon.cl*($S602-AE602)/AE602)*Mat.PT_E.s))
-($M602*Mat.PT_f.pu*(1-Mat.PT_k*AE602/$P602))))</f>
        <v/>
      </c>
      <c r="AH602" s="329"/>
      <c r="AI602" s="167" t="str">
        <f>IF(ISBLANK(Inputs!$A85),"",
IF(ABS(AG602)&lt;=0.001,"Solved",IF(AG602&gt;0,0.85*AE602,1.15*AE602)))</f>
        <v/>
      </c>
      <c r="AJ602" s="167"/>
      <c r="AK602" s="329" t="str">
        <f>IF(ISBLANK(Inputs!$A85),"",
IF(OR(AI602="Solved",AI602="--"),"--",
((Mat.Conc_Alpha.1*Mat.Conc_f.c*$AB602*MIN(AI602*Mat.Conc_Beta.1,$Y602))
+(Mat.Conc_Alpha.1*Mat.Conc_f.c*$V602*MAX(0,AI602*Mat.Conc_Beta.1-$Y602)))
-($J602*MIN(Mat.Rebar_f.y,(Mat.Rebar_epsilon.cl*($S602-AI602)/AI602)*Mat.PT_E.s))
-($M602*Mat.PT_f.pu*(1-Mat.PT_k*AI602/$P602))))</f>
        <v/>
      </c>
      <c r="AL602" s="329"/>
      <c r="AM602" s="167" t="str">
        <f>IF(ISBLANK(Inputs!$A85),"",
IF(AK602="--","Solved",
IF(ABS(AK602)&lt;=0.001,"Solved",AI602-AK602*(AI602-AE602)/(AK602-AG602))))</f>
        <v/>
      </c>
      <c r="AN602" s="167"/>
      <c r="AO602" s="329" t="str">
        <f>IF(ISBLANK(Inputs!$A85),"",
IF(OR(AM602="Solved",AM602="--"),"--",
((Mat.Conc_Alpha.1*Mat.Conc_f.c*$AB602*MIN(AM602*Mat.Conc_Beta.1,$Y602))
+(Mat.Conc_Alpha.1*Mat.Conc_f.c*$V602*MAX(0,AM602*Mat.Conc_Beta.1-$Y602)))
-($J602*MIN(Mat.Rebar_f.y,(Mat.Rebar_epsilon.cl*($S602-AM602)/AM602)*Mat.PT_E.s))
-($M602*Mat.PT_f.pu*(1-Mat.PT_k*AM602/$P602))))</f>
        <v/>
      </c>
      <c r="AP602" s="329"/>
      <c r="AQ602" s="167" t="str">
        <f>IF(ISBLANK(Inputs!$A85),"",
IF(AO602="--","Solved",
IF(ABS(AO602)&lt;=0.001,"Solved",AM602-AO602*(AM602-AI602)/(AO602-AK602))))</f>
        <v/>
      </c>
      <c r="AR602" s="167"/>
      <c r="AS602" s="329" t="str">
        <f>IF(ISBLANK(Inputs!$A85),"",
IF(OR(AQ602="Solved",AQ602="--"),"--",
((Mat.Conc_Alpha.1*Mat.Conc_f.c*$AB602*MIN(AQ602*Mat.Conc_Beta.1,$Y602))
+(Mat.Conc_Alpha.1*Mat.Conc_f.c*$V602*MAX(0,AQ602*Mat.Conc_Beta.1-$Y602)))
-($J602*MIN(Mat.Rebar_f.y,(Mat.Rebar_epsilon.cl*($S602-AQ602)/AQ602)*Mat.PT_E.s))
-($M602*Mat.PT_f.pu*(1-Mat.PT_k*AQ602/$P602))))</f>
        <v/>
      </c>
      <c r="AT602" s="329"/>
      <c r="AU602" s="167" t="str">
        <f>IF(ISBLANK(Inputs!$A85),"",
IF(AS602="--","Solved",
IF(ABS(AS602)&lt;=0.001,"Solved",AQ602-AS602*(AQ602-AM602)/(AS602-AO602))))</f>
        <v/>
      </c>
      <c r="AV602" s="167"/>
      <c r="AW602" s="329" t="str">
        <f>IF(ISBLANK(Inputs!$A85),"",
IF(OR(AU602="Solved",AU602="--"),"--",
((Mat.Conc_Alpha.1*Mat.Conc_f.c*$AB602*MIN(AU602*Mat.Conc_Beta.1,$Y602))
+(Mat.Conc_Alpha.1*Mat.Conc_f.c*$V602*MAX(0,AU602*Mat.Conc_Beta.1-$Y602)))
-($J602*MIN(Mat.Rebar_f.y,(Mat.Rebar_epsilon.cl*($S602-AU602)/AU602)*Mat.PT_E.s))
-($M602*Mat.PT_f.pu*(1-Mat.PT_k*AU602/$P602))))</f>
        <v/>
      </c>
      <c r="AX602" s="329"/>
      <c r="AY602" s="167" t="str">
        <f>IF(ISBLANK(Inputs!$A85),"",
IF(AW602="--","Solved",
IF(ABS(AW602)&lt;=0.001,"Solved",AU602-AW602*(AU602-AQ602)/(AW602-AS602))))</f>
        <v/>
      </c>
      <c r="AZ602" s="167"/>
      <c r="BA602" s="329" t="str">
        <f>IF(ISBLANK(Inputs!$A85),"",
IF(OR(AY602="Solved",AY602="--"),"--",
((Mat.Conc_Alpha.1*Mat.Conc_f.c*$AB602*MIN(AY602*Mat.Conc_Beta.1,$Y602))
+(Mat.Conc_Alpha.1*Mat.Conc_f.c*$V602*MAX(0,AY602*Mat.Conc_Beta.1-$Y602)))
-($J602*MIN(Mat.Rebar_f.y,(Mat.Rebar_epsilon.cl*($S602-AY602)/AY602)*Mat.PT_E.s))
-($M602*Mat.PT_f.pu*(1-Mat.PT_k*AY602/$P602))))</f>
        <v/>
      </c>
      <c r="BB602" s="329"/>
      <c r="BC602" s="167" t="str">
        <f>IF(ISBLANK(Inputs!$A85),"",
IF(BA602="--","Solved",
IF(ABS(BA602)&lt;=0.001,"Solved",AY602-BA602*(AY602-AU602)/(BA602-AW602))))</f>
        <v/>
      </c>
      <c r="BD602" s="167"/>
      <c r="BE602" s="329" t="str">
        <f>IF(ISBLANK(Inputs!$A85),"",
IF(OR(BC602="Solved",BC602="--"),"--",
((Mat.Conc_Alpha.1*Mat.Conc_f.c*$AB602*MIN(BC602*Mat.Conc_Beta.1,$Y602))
+(Mat.Conc_Alpha.1*Mat.Conc_f.c*$V602*MAX(0,BC602*Mat.Conc_Beta.1-$Y602)))
-($J602*MIN(Mat.Rebar_f.y,(Mat.Rebar_epsilon.cl*($S602-BC602)/BC602)*Mat.PT_E.s))
-($M602*Mat.PT_f.pu*(1-Mat.PT_k*BC602/$P602))))</f>
        <v/>
      </c>
      <c r="BF602" s="329"/>
      <c r="BG602" s="167" t="str">
        <f>IF(ISBLANK(Inputs!$A85),"",
IF(BE602="--","Solved",
IF(ABS(BE602)&lt;=0.001,"Solved",BC602-BE602*(BC602-AY602)/(BE602-BA602))))</f>
        <v/>
      </c>
      <c r="BH602" s="167"/>
      <c r="BI602" s="329" t="str">
        <f>IF(ISBLANK(Inputs!$A85),"",
IF(OR(BG602="Solved",BG602="--"),"--",
((Mat.Conc_Alpha.1*Mat.Conc_f.c*$AB602*MIN(BG602*Mat.Conc_Beta.1,$Y602))
+(Mat.Conc_Alpha.1*Mat.Conc_f.c*$V602*MAX(0,BG602*Mat.Conc_Beta.1-$Y602)))
-($J602*MIN(Mat.Rebar_f.y,(Mat.Rebar_epsilon.cl*($S602-BG602)/BG602)*Mat.PT_E.s))
-($M602*Mat.PT_f.pu*(1-Mat.PT_k*BG602/$P602))))</f>
        <v/>
      </c>
      <c r="BJ602" s="329"/>
      <c r="BK602" s="167" t="str">
        <f>IF(ISBLANK(Inputs!$A85),"",
IF(BI602="--","Solved",
IF(ABS(BI602)&lt;=0.001,"Solved",BG602-BI602*(BG602-BC602)/(BI602-BE602))))</f>
        <v/>
      </c>
      <c r="BL602" s="167"/>
      <c r="BM602" s="329" t="str">
        <f>IF(ISBLANK(Inputs!$A85),"",
IF(OR(BK602="Solved",BK602="--"),"--",
((Mat.Conc_Alpha.1*Mat.Conc_f.c*$AB602*MIN(BK602*Mat.Conc_Beta.1,$Y602))
+(Mat.Conc_Alpha.1*Mat.Conc_f.c*$V602*MAX(0,BK602*Mat.Conc_Beta.1-$Y602)))
-($J602*MIN(Mat.Rebar_f.y,(Mat.Rebar_epsilon.cl*($S602-BK602)/BK602)*Mat.PT_E.s))
-($M602*Mat.PT_f.pu*(1-Mat.PT_k*BK602/$P602))))</f>
        <v/>
      </c>
      <c r="BN602" s="329"/>
      <c r="BO602" s="167" t="str">
        <f>IF(ISBLANK(Inputs!$A85),"",
IF(BM602="--","Solved",
IF(ABS(BM602)&lt;=0.001,"Solved",BK602-BM602*(BK602-BG602)/(BM602-BI602))))</f>
        <v/>
      </c>
      <c r="BP602" s="167"/>
      <c r="BQ602" s="329" t="str">
        <f>IF(ISBLANK(Inputs!$A85),"",
IF(OR(BO602="Solved",BO602="--"),"--",
((Mat.Conc_Alpha.1*Mat.Conc_f.c*$AB602*MIN(BO602*Mat.Conc_Beta.1,$Y602))
+(Mat.Conc_Alpha.1*Mat.Conc_f.c*$V602*MAX(0,BO602*Mat.Conc_Beta.1-$Y602)))
-($J602*MIN(Mat.Rebar_f.y,(Mat.Rebar_epsilon.cl*($S602-BO602)/BO602)*Mat.PT_E.s))
-($M602*Mat.PT_f.pu*(1-Mat.PT_k*BO602/$P602))))</f>
        <v/>
      </c>
      <c r="BR602" s="329"/>
      <c r="BS602" s="70"/>
      <c r="BT602" s="70"/>
      <c r="BU602" s="70"/>
      <c r="BV602" s="70"/>
      <c r="BW602" s="8"/>
      <c r="BX602" s="8"/>
      <c r="BY602" s="8"/>
      <c r="BZ602" s="8"/>
      <c r="CA602" s="8"/>
      <c r="CB602" s="10"/>
    </row>
    <row r="603" spans="3:80" ht="15" customHeight="1" x14ac:dyDescent="0.25">
      <c r="C603" s="69"/>
      <c r="F603" s="167" t="str">
        <f>IF(ISBLANK(Inputs!A86),"",Inputs!A86)</f>
        <v/>
      </c>
      <c r="G603" s="167"/>
      <c r="H603" s="167" t="str">
        <f>IF(ISBLANK(Inputs!B86),"",Inputs!B86)</f>
        <v/>
      </c>
      <c r="I603" s="167"/>
      <c r="J603" s="168" t="str">
        <f>IF(ISBLANK(Inputs!K86),"",Inputs!K86)</f>
        <v/>
      </c>
      <c r="K603" s="168"/>
      <c r="L603" s="168"/>
      <c r="M603" s="168" t="str">
        <f>IF(ISBLANK(Inputs!D86),"",Inputs!D86)</f>
        <v/>
      </c>
      <c r="N603" s="168"/>
      <c r="O603" s="168"/>
      <c r="P603" s="168" t="str">
        <f>IF(ISBLANK(Inputs!F86),"",Inputs!$B$10-Inputs!F86)</f>
        <v/>
      </c>
      <c r="Q603" s="168"/>
      <c r="R603" s="168"/>
      <c r="S603" s="168" t="str">
        <f>IF(ISBLANK(Inputs!L86),"",Inputs!L86)</f>
        <v/>
      </c>
      <c r="T603" s="168"/>
      <c r="U603" s="168"/>
      <c r="V603" s="168" t="str">
        <f>IF(ISBLANK(Inputs!E86),"",Inputs!E86)</f>
        <v/>
      </c>
      <c r="W603" s="168"/>
      <c r="X603" s="168"/>
      <c r="Y603" s="168" t="str">
        <f>IF(ISBLANK(Inputs!M86),"",Inputs!M86)</f>
        <v/>
      </c>
      <c r="Z603" s="168"/>
      <c r="AA603" s="168"/>
      <c r="AB603" s="168" t="str">
        <f>IF(ISBLANK(Inputs!N86),"",Inputs!N86)</f>
        <v/>
      </c>
      <c r="AC603" s="168"/>
      <c r="AD603" s="168"/>
      <c r="AE603" s="371" t="str">
        <f>IF(ISBLANK(Inputs!A86),"",Y603)</f>
        <v/>
      </c>
      <c r="AF603" s="371"/>
      <c r="AG603" s="329" t="str">
        <f>IF(ISBLANK(Inputs!$A86),"",
IF(OR(AE603="Solved",AE603="--"),"--",
((Mat.Conc_Alpha.1*Mat.Conc_f.c*$AB603*MIN(AE603*Mat.Conc_Beta.1,$Y603))
+(Mat.Conc_Alpha.1*Mat.Conc_f.c*$V603*MAX(0,AE603*Mat.Conc_Beta.1-$Y603)))
-($J603*MIN(Mat.Rebar_f.y,(Mat.Rebar_epsilon.cl*($S603-AE603)/AE603)*Mat.PT_E.s))
-($M603*Mat.PT_f.pu*(1-Mat.PT_k*AE603/$P603))))</f>
        <v/>
      </c>
      <c r="AH603" s="329"/>
      <c r="AI603" s="167" t="str">
        <f>IF(ISBLANK(Inputs!$A86),"",
IF(ABS(AG603)&lt;=0.001,"Solved",IF(AG603&gt;0,0.85*AE603,1.15*AE603)))</f>
        <v/>
      </c>
      <c r="AJ603" s="167"/>
      <c r="AK603" s="329" t="str">
        <f>IF(ISBLANK(Inputs!$A86),"",
IF(OR(AI603="Solved",AI603="--"),"--",
((Mat.Conc_Alpha.1*Mat.Conc_f.c*$AB603*MIN(AI603*Mat.Conc_Beta.1,$Y603))
+(Mat.Conc_Alpha.1*Mat.Conc_f.c*$V603*MAX(0,AI603*Mat.Conc_Beta.1-$Y603)))
-($J603*MIN(Mat.Rebar_f.y,(Mat.Rebar_epsilon.cl*($S603-AI603)/AI603)*Mat.PT_E.s))
-($M603*Mat.PT_f.pu*(1-Mat.PT_k*AI603/$P603))))</f>
        <v/>
      </c>
      <c r="AL603" s="329"/>
      <c r="AM603" s="167" t="str">
        <f>IF(ISBLANK(Inputs!$A86),"",
IF(AK603="--","Solved",
IF(ABS(AK603)&lt;=0.001,"Solved",AI603-AK603*(AI603-AE603)/(AK603-AG603))))</f>
        <v/>
      </c>
      <c r="AN603" s="167"/>
      <c r="AO603" s="329" t="str">
        <f>IF(ISBLANK(Inputs!$A86),"",
IF(OR(AM603="Solved",AM603="--"),"--",
((Mat.Conc_Alpha.1*Mat.Conc_f.c*$AB603*MIN(AM603*Mat.Conc_Beta.1,$Y603))
+(Mat.Conc_Alpha.1*Mat.Conc_f.c*$V603*MAX(0,AM603*Mat.Conc_Beta.1-$Y603)))
-($J603*MIN(Mat.Rebar_f.y,(Mat.Rebar_epsilon.cl*($S603-AM603)/AM603)*Mat.PT_E.s))
-($M603*Mat.PT_f.pu*(1-Mat.PT_k*AM603/$P603))))</f>
        <v/>
      </c>
      <c r="AP603" s="329"/>
      <c r="AQ603" s="167" t="str">
        <f>IF(ISBLANK(Inputs!$A86),"",
IF(AO603="--","Solved",
IF(ABS(AO603)&lt;=0.001,"Solved",AM603-AO603*(AM603-AI603)/(AO603-AK603))))</f>
        <v/>
      </c>
      <c r="AR603" s="167"/>
      <c r="AS603" s="329" t="str">
        <f>IF(ISBLANK(Inputs!$A86),"",
IF(OR(AQ603="Solved",AQ603="--"),"--",
((Mat.Conc_Alpha.1*Mat.Conc_f.c*$AB603*MIN(AQ603*Mat.Conc_Beta.1,$Y603))
+(Mat.Conc_Alpha.1*Mat.Conc_f.c*$V603*MAX(0,AQ603*Mat.Conc_Beta.1-$Y603)))
-($J603*MIN(Mat.Rebar_f.y,(Mat.Rebar_epsilon.cl*($S603-AQ603)/AQ603)*Mat.PT_E.s))
-($M603*Mat.PT_f.pu*(1-Mat.PT_k*AQ603/$P603))))</f>
        <v/>
      </c>
      <c r="AT603" s="329"/>
      <c r="AU603" s="167" t="str">
        <f>IF(ISBLANK(Inputs!$A86),"",
IF(AS603="--","Solved",
IF(ABS(AS603)&lt;=0.001,"Solved",AQ603-AS603*(AQ603-AM603)/(AS603-AO603))))</f>
        <v/>
      </c>
      <c r="AV603" s="167"/>
      <c r="AW603" s="329" t="str">
        <f>IF(ISBLANK(Inputs!$A86),"",
IF(OR(AU603="Solved",AU603="--"),"--",
((Mat.Conc_Alpha.1*Mat.Conc_f.c*$AB603*MIN(AU603*Mat.Conc_Beta.1,$Y603))
+(Mat.Conc_Alpha.1*Mat.Conc_f.c*$V603*MAX(0,AU603*Mat.Conc_Beta.1-$Y603)))
-($J603*MIN(Mat.Rebar_f.y,(Mat.Rebar_epsilon.cl*($S603-AU603)/AU603)*Mat.PT_E.s))
-($M603*Mat.PT_f.pu*(1-Mat.PT_k*AU603/$P603))))</f>
        <v/>
      </c>
      <c r="AX603" s="329"/>
      <c r="AY603" s="167" t="str">
        <f>IF(ISBLANK(Inputs!$A86),"",
IF(AW603="--","Solved",
IF(ABS(AW603)&lt;=0.001,"Solved",AU603-AW603*(AU603-AQ603)/(AW603-AS603))))</f>
        <v/>
      </c>
      <c r="AZ603" s="167"/>
      <c r="BA603" s="329" t="str">
        <f>IF(ISBLANK(Inputs!$A86),"",
IF(OR(AY603="Solved",AY603="--"),"--",
((Mat.Conc_Alpha.1*Mat.Conc_f.c*$AB603*MIN(AY603*Mat.Conc_Beta.1,$Y603))
+(Mat.Conc_Alpha.1*Mat.Conc_f.c*$V603*MAX(0,AY603*Mat.Conc_Beta.1-$Y603)))
-($J603*MIN(Mat.Rebar_f.y,(Mat.Rebar_epsilon.cl*($S603-AY603)/AY603)*Mat.PT_E.s))
-($M603*Mat.PT_f.pu*(1-Mat.PT_k*AY603/$P603))))</f>
        <v/>
      </c>
      <c r="BB603" s="329"/>
      <c r="BC603" s="167" t="str">
        <f>IF(ISBLANK(Inputs!$A86),"",
IF(BA603="--","Solved",
IF(ABS(BA603)&lt;=0.001,"Solved",AY603-BA603*(AY603-AU603)/(BA603-AW603))))</f>
        <v/>
      </c>
      <c r="BD603" s="167"/>
      <c r="BE603" s="329" t="str">
        <f>IF(ISBLANK(Inputs!$A86),"",
IF(OR(BC603="Solved",BC603="--"),"--",
((Mat.Conc_Alpha.1*Mat.Conc_f.c*$AB603*MIN(BC603*Mat.Conc_Beta.1,$Y603))
+(Mat.Conc_Alpha.1*Mat.Conc_f.c*$V603*MAX(0,BC603*Mat.Conc_Beta.1-$Y603)))
-($J603*MIN(Mat.Rebar_f.y,(Mat.Rebar_epsilon.cl*($S603-BC603)/BC603)*Mat.PT_E.s))
-($M603*Mat.PT_f.pu*(1-Mat.PT_k*BC603/$P603))))</f>
        <v/>
      </c>
      <c r="BF603" s="329"/>
      <c r="BG603" s="167" t="str">
        <f>IF(ISBLANK(Inputs!$A86),"",
IF(BE603="--","Solved",
IF(ABS(BE603)&lt;=0.001,"Solved",BC603-BE603*(BC603-AY603)/(BE603-BA603))))</f>
        <v/>
      </c>
      <c r="BH603" s="167"/>
      <c r="BI603" s="329" t="str">
        <f>IF(ISBLANK(Inputs!$A86),"",
IF(OR(BG603="Solved",BG603="--"),"--",
((Mat.Conc_Alpha.1*Mat.Conc_f.c*$AB603*MIN(BG603*Mat.Conc_Beta.1,$Y603))
+(Mat.Conc_Alpha.1*Mat.Conc_f.c*$V603*MAX(0,BG603*Mat.Conc_Beta.1-$Y603)))
-($J603*MIN(Mat.Rebar_f.y,(Mat.Rebar_epsilon.cl*($S603-BG603)/BG603)*Mat.PT_E.s))
-($M603*Mat.PT_f.pu*(1-Mat.PT_k*BG603/$P603))))</f>
        <v/>
      </c>
      <c r="BJ603" s="329"/>
      <c r="BK603" s="167" t="str">
        <f>IF(ISBLANK(Inputs!$A86),"",
IF(BI603="--","Solved",
IF(ABS(BI603)&lt;=0.001,"Solved",BG603-BI603*(BG603-BC603)/(BI603-BE603))))</f>
        <v/>
      </c>
      <c r="BL603" s="167"/>
      <c r="BM603" s="329" t="str">
        <f>IF(ISBLANK(Inputs!$A86),"",
IF(OR(BK603="Solved",BK603="--"),"--",
((Mat.Conc_Alpha.1*Mat.Conc_f.c*$AB603*MIN(BK603*Mat.Conc_Beta.1,$Y603))
+(Mat.Conc_Alpha.1*Mat.Conc_f.c*$V603*MAX(0,BK603*Mat.Conc_Beta.1-$Y603)))
-($J603*MIN(Mat.Rebar_f.y,(Mat.Rebar_epsilon.cl*($S603-BK603)/BK603)*Mat.PT_E.s))
-($M603*Mat.PT_f.pu*(1-Mat.PT_k*BK603/$P603))))</f>
        <v/>
      </c>
      <c r="BN603" s="329"/>
      <c r="BO603" s="167" t="str">
        <f>IF(ISBLANK(Inputs!$A86),"",
IF(BM603="--","Solved",
IF(ABS(BM603)&lt;=0.001,"Solved",BK603-BM603*(BK603-BG603)/(BM603-BI603))))</f>
        <v/>
      </c>
      <c r="BP603" s="167"/>
      <c r="BQ603" s="329" t="str">
        <f>IF(ISBLANK(Inputs!$A86),"",
IF(OR(BO603="Solved",BO603="--"),"--",
((Mat.Conc_Alpha.1*Mat.Conc_f.c*$AB603*MIN(BO603*Mat.Conc_Beta.1,$Y603))
+(Mat.Conc_Alpha.1*Mat.Conc_f.c*$V603*MAX(0,BO603*Mat.Conc_Beta.1-$Y603)))
-($J603*MIN(Mat.Rebar_f.y,(Mat.Rebar_epsilon.cl*($S603-BO603)/BO603)*Mat.PT_E.s))
-($M603*Mat.PT_f.pu*(1-Mat.PT_k*BO603/$P603))))</f>
        <v/>
      </c>
      <c r="BR603" s="329"/>
      <c r="BS603" s="70"/>
      <c r="BT603" s="70"/>
      <c r="BU603" s="70"/>
      <c r="BV603" s="70"/>
      <c r="BW603" s="8"/>
      <c r="BX603" s="8"/>
      <c r="BY603" s="8"/>
      <c r="BZ603" s="8"/>
      <c r="CA603" s="8"/>
      <c r="CB603" s="10"/>
    </row>
    <row r="604" spans="3:80" ht="15" customHeight="1" x14ac:dyDescent="0.25">
      <c r="C604" s="69"/>
      <c r="F604" s="167" t="str">
        <f>IF(ISBLANK(Inputs!A87),"",Inputs!A87)</f>
        <v/>
      </c>
      <c r="G604" s="167"/>
      <c r="H604" s="167" t="str">
        <f>IF(ISBLANK(Inputs!B87),"",Inputs!B87)</f>
        <v/>
      </c>
      <c r="I604" s="167"/>
      <c r="J604" s="168" t="str">
        <f>IF(ISBLANK(Inputs!K87),"",Inputs!K87)</f>
        <v/>
      </c>
      <c r="K604" s="168"/>
      <c r="L604" s="168"/>
      <c r="M604" s="168" t="str">
        <f>IF(ISBLANK(Inputs!D87),"",Inputs!D87)</f>
        <v/>
      </c>
      <c r="N604" s="168"/>
      <c r="O604" s="168"/>
      <c r="P604" s="168" t="str">
        <f>IF(ISBLANK(Inputs!F87),"",Inputs!$B$10-Inputs!F87)</f>
        <v/>
      </c>
      <c r="Q604" s="168"/>
      <c r="R604" s="168"/>
      <c r="S604" s="168" t="str">
        <f>IF(ISBLANK(Inputs!L87),"",Inputs!L87)</f>
        <v/>
      </c>
      <c r="T604" s="168"/>
      <c r="U604" s="168"/>
      <c r="V604" s="168" t="str">
        <f>IF(ISBLANK(Inputs!E87),"",Inputs!E87)</f>
        <v/>
      </c>
      <c r="W604" s="168"/>
      <c r="X604" s="168"/>
      <c r="Y604" s="168" t="str">
        <f>IF(ISBLANK(Inputs!M87),"",Inputs!M87)</f>
        <v/>
      </c>
      <c r="Z604" s="168"/>
      <c r="AA604" s="168"/>
      <c r="AB604" s="168" t="str">
        <f>IF(ISBLANK(Inputs!N87),"",Inputs!N87)</f>
        <v/>
      </c>
      <c r="AC604" s="168"/>
      <c r="AD604" s="168"/>
      <c r="AE604" s="371" t="str">
        <f>IF(ISBLANK(Inputs!A87),"",Y604)</f>
        <v/>
      </c>
      <c r="AF604" s="371"/>
      <c r="AG604" s="329" t="str">
        <f>IF(ISBLANK(Inputs!$A87),"",
IF(OR(AE604="Solved",AE604="--"),"--",
((Mat.Conc_Alpha.1*Mat.Conc_f.c*$AB604*MIN(AE604*Mat.Conc_Beta.1,$Y604))
+(Mat.Conc_Alpha.1*Mat.Conc_f.c*$V604*MAX(0,AE604*Mat.Conc_Beta.1-$Y604)))
-($J604*MIN(Mat.Rebar_f.y,(Mat.Rebar_epsilon.cl*($S604-AE604)/AE604)*Mat.PT_E.s))
-($M604*Mat.PT_f.pu*(1-Mat.PT_k*AE604/$P604))))</f>
        <v/>
      </c>
      <c r="AH604" s="329"/>
      <c r="AI604" s="167" t="str">
        <f>IF(ISBLANK(Inputs!$A87),"",
IF(ABS(AG604)&lt;=0.001,"Solved",IF(AG604&gt;0,0.85*AE604,1.15*AE604)))</f>
        <v/>
      </c>
      <c r="AJ604" s="167"/>
      <c r="AK604" s="329" t="str">
        <f>IF(ISBLANK(Inputs!$A87),"",
IF(OR(AI604="Solved",AI604="--"),"--",
((Mat.Conc_Alpha.1*Mat.Conc_f.c*$AB604*MIN(AI604*Mat.Conc_Beta.1,$Y604))
+(Mat.Conc_Alpha.1*Mat.Conc_f.c*$V604*MAX(0,AI604*Mat.Conc_Beta.1-$Y604)))
-($J604*MIN(Mat.Rebar_f.y,(Mat.Rebar_epsilon.cl*($S604-AI604)/AI604)*Mat.PT_E.s))
-($M604*Mat.PT_f.pu*(1-Mat.PT_k*AI604/$P604))))</f>
        <v/>
      </c>
      <c r="AL604" s="329"/>
      <c r="AM604" s="167" t="str">
        <f>IF(ISBLANK(Inputs!$A87),"",
IF(AK604="--","Solved",
IF(ABS(AK604)&lt;=0.001,"Solved",AI604-AK604*(AI604-AE604)/(AK604-AG604))))</f>
        <v/>
      </c>
      <c r="AN604" s="167"/>
      <c r="AO604" s="329" t="str">
        <f>IF(ISBLANK(Inputs!$A87),"",
IF(OR(AM604="Solved",AM604="--"),"--",
((Mat.Conc_Alpha.1*Mat.Conc_f.c*$AB604*MIN(AM604*Mat.Conc_Beta.1,$Y604))
+(Mat.Conc_Alpha.1*Mat.Conc_f.c*$V604*MAX(0,AM604*Mat.Conc_Beta.1-$Y604)))
-($J604*MIN(Mat.Rebar_f.y,(Mat.Rebar_epsilon.cl*($S604-AM604)/AM604)*Mat.PT_E.s))
-($M604*Mat.PT_f.pu*(1-Mat.PT_k*AM604/$P604))))</f>
        <v/>
      </c>
      <c r="AP604" s="329"/>
      <c r="AQ604" s="167" t="str">
        <f>IF(ISBLANK(Inputs!$A87),"",
IF(AO604="--","Solved",
IF(ABS(AO604)&lt;=0.001,"Solved",AM604-AO604*(AM604-AI604)/(AO604-AK604))))</f>
        <v/>
      </c>
      <c r="AR604" s="167"/>
      <c r="AS604" s="329" t="str">
        <f>IF(ISBLANK(Inputs!$A87),"",
IF(OR(AQ604="Solved",AQ604="--"),"--",
((Mat.Conc_Alpha.1*Mat.Conc_f.c*$AB604*MIN(AQ604*Mat.Conc_Beta.1,$Y604))
+(Mat.Conc_Alpha.1*Mat.Conc_f.c*$V604*MAX(0,AQ604*Mat.Conc_Beta.1-$Y604)))
-($J604*MIN(Mat.Rebar_f.y,(Mat.Rebar_epsilon.cl*($S604-AQ604)/AQ604)*Mat.PT_E.s))
-($M604*Mat.PT_f.pu*(1-Mat.PT_k*AQ604/$P604))))</f>
        <v/>
      </c>
      <c r="AT604" s="329"/>
      <c r="AU604" s="167" t="str">
        <f>IF(ISBLANK(Inputs!$A87),"",
IF(AS604="--","Solved",
IF(ABS(AS604)&lt;=0.001,"Solved",AQ604-AS604*(AQ604-AM604)/(AS604-AO604))))</f>
        <v/>
      </c>
      <c r="AV604" s="167"/>
      <c r="AW604" s="329" t="str">
        <f>IF(ISBLANK(Inputs!$A87),"",
IF(OR(AU604="Solved",AU604="--"),"--",
((Mat.Conc_Alpha.1*Mat.Conc_f.c*$AB604*MIN(AU604*Mat.Conc_Beta.1,$Y604))
+(Mat.Conc_Alpha.1*Mat.Conc_f.c*$V604*MAX(0,AU604*Mat.Conc_Beta.1-$Y604)))
-($J604*MIN(Mat.Rebar_f.y,(Mat.Rebar_epsilon.cl*($S604-AU604)/AU604)*Mat.PT_E.s))
-($M604*Mat.PT_f.pu*(1-Mat.PT_k*AU604/$P604))))</f>
        <v/>
      </c>
      <c r="AX604" s="329"/>
      <c r="AY604" s="167" t="str">
        <f>IF(ISBLANK(Inputs!$A87),"",
IF(AW604="--","Solved",
IF(ABS(AW604)&lt;=0.001,"Solved",AU604-AW604*(AU604-AQ604)/(AW604-AS604))))</f>
        <v/>
      </c>
      <c r="AZ604" s="167"/>
      <c r="BA604" s="329" t="str">
        <f>IF(ISBLANK(Inputs!$A87),"",
IF(OR(AY604="Solved",AY604="--"),"--",
((Mat.Conc_Alpha.1*Mat.Conc_f.c*$AB604*MIN(AY604*Mat.Conc_Beta.1,$Y604))
+(Mat.Conc_Alpha.1*Mat.Conc_f.c*$V604*MAX(0,AY604*Mat.Conc_Beta.1-$Y604)))
-($J604*MIN(Mat.Rebar_f.y,(Mat.Rebar_epsilon.cl*($S604-AY604)/AY604)*Mat.PT_E.s))
-($M604*Mat.PT_f.pu*(1-Mat.PT_k*AY604/$P604))))</f>
        <v/>
      </c>
      <c r="BB604" s="329"/>
      <c r="BC604" s="167" t="str">
        <f>IF(ISBLANK(Inputs!$A87),"",
IF(BA604="--","Solved",
IF(ABS(BA604)&lt;=0.001,"Solved",AY604-BA604*(AY604-AU604)/(BA604-AW604))))</f>
        <v/>
      </c>
      <c r="BD604" s="167"/>
      <c r="BE604" s="329" t="str">
        <f>IF(ISBLANK(Inputs!$A87),"",
IF(OR(BC604="Solved",BC604="--"),"--",
((Mat.Conc_Alpha.1*Mat.Conc_f.c*$AB604*MIN(BC604*Mat.Conc_Beta.1,$Y604))
+(Mat.Conc_Alpha.1*Mat.Conc_f.c*$V604*MAX(0,BC604*Mat.Conc_Beta.1-$Y604)))
-($J604*MIN(Mat.Rebar_f.y,(Mat.Rebar_epsilon.cl*($S604-BC604)/BC604)*Mat.PT_E.s))
-($M604*Mat.PT_f.pu*(1-Mat.PT_k*BC604/$P604))))</f>
        <v/>
      </c>
      <c r="BF604" s="329"/>
      <c r="BG604" s="167" t="str">
        <f>IF(ISBLANK(Inputs!$A87),"",
IF(BE604="--","Solved",
IF(ABS(BE604)&lt;=0.001,"Solved",BC604-BE604*(BC604-AY604)/(BE604-BA604))))</f>
        <v/>
      </c>
      <c r="BH604" s="167"/>
      <c r="BI604" s="329" t="str">
        <f>IF(ISBLANK(Inputs!$A87),"",
IF(OR(BG604="Solved",BG604="--"),"--",
((Mat.Conc_Alpha.1*Mat.Conc_f.c*$AB604*MIN(BG604*Mat.Conc_Beta.1,$Y604))
+(Mat.Conc_Alpha.1*Mat.Conc_f.c*$V604*MAX(0,BG604*Mat.Conc_Beta.1-$Y604)))
-($J604*MIN(Mat.Rebar_f.y,(Mat.Rebar_epsilon.cl*($S604-BG604)/BG604)*Mat.PT_E.s))
-($M604*Mat.PT_f.pu*(1-Mat.PT_k*BG604/$P604))))</f>
        <v/>
      </c>
      <c r="BJ604" s="329"/>
      <c r="BK604" s="167" t="str">
        <f>IF(ISBLANK(Inputs!$A87),"",
IF(BI604="--","Solved",
IF(ABS(BI604)&lt;=0.001,"Solved",BG604-BI604*(BG604-BC604)/(BI604-BE604))))</f>
        <v/>
      </c>
      <c r="BL604" s="167"/>
      <c r="BM604" s="329" t="str">
        <f>IF(ISBLANK(Inputs!$A87),"",
IF(OR(BK604="Solved",BK604="--"),"--",
((Mat.Conc_Alpha.1*Mat.Conc_f.c*$AB604*MIN(BK604*Mat.Conc_Beta.1,$Y604))
+(Mat.Conc_Alpha.1*Mat.Conc_f.c*$V604*MAX(0,BK604*Mat.Conc_Beta.1-$Y604)))
-($J604*MIN(Mat.Rebar_f.y,(Mat.Rebar_epsilon.cl*($S604-BK604)/BK604)*Mat.PT_E.s))
-($M604*Mat.PT_f.pu*(1-Mat.PT_k*BK604/$P604))))</f>
        <v/>
      </c>
      <c r="BN604" s="329"/>
      <c r="BO604" s="167" t="str">
        <f>IF(ISBLANK(Inputs!$A87),"",
IF(BM604="--","Solved",
IF(ABS(BM604)&lt;=0.001,"Solved",BK604-BM604*(BK604-BG604)/(BM604-BI604))))</f>
        <v/>
      </c>
      <c r="BP604" s="167"/>
      <c r="BQ604" s="329" t="str">
        <f>IF(ISBLANK(Inputs!$A87),"",
IF(OR(BO604="Solved",BO604="--"),"--",
((Mat.Conc_Alpha.1*Mat.Conc_f.c*$AB604*MIN(BO604*Mat.Conc_Beta.1,$Y604))
+(Mat.Conc_Alpha.1*Mat.Conc_f.c*$V604*MAX(0,BO604*Mat.Conc_Beta.1-$Y604)))
-($J604*MIN(Mat.Rebar_f.y,(Mat.Rebar_epsilon.cl*($S604-BO604)/BO604)*Mat.PT_E.s))
-($M604*Mat.PT_f.pu*(1-Mat.PT_k*BO604/$P604))))</f>
        <v/>
      </c>
      <c r="BR604" s="329"/>
      <c r="BS604" s="70"/>
      <c r="BT604" s="70"/>
      <c r="BU604" s="70"/>
      <c r="BV604" s="70"/>
      <c r="BW604" s="8"/>
      <c r="BX604" s="8"/>
      <c r="BY604" s="8"/>
      <c r="BZ604" s="8"/>
      <c r="CA604" s="8"/>
      <c r="CB604" s="10"/>
    </row>
    <row r="605" spans="3:80" ht="15" customHeight="1" x14ac:dyDescent="0.25">
      <c r="C605" s="69"/>
      <c r="F605" s="167" t="str">
        <f>IF(ISBLANK(Inputs!A88),"",Inputs!A88)</f>
        <v/>
      </c>
      <c r="G605" s="167"/>
      <c r="H605" s="167" t="str">
        <f>IF(ISBLANK(Inputs!B88),"",Inputs!B88)</f>
        <v/>
      </c>
      <c r="I605" s="167"/>
      <c r="J605" s="168" t="str">
        <f>IF(ISBLANK(Inputs!K88),"",Inputs!K88)</f>
        <v/>
      </c>
      <c r="K605" s="168"/>
      <c r="L605" s="168"/>
      <c r="M605" s="168" t="str">
        <f>IF(ISBLANK(Inputs!D88),"",Inputs!D88)</f>
        <v/>
      </c>
      <c r="N605" s="168"/>
      <c r="O605" s="168"/>
      <c r="P605" s="168" t="str">
        <f>IF(ISBLANK(Inputs!F88),"",Inputs!$B$10-Inputs!F88)</f>
        <v/>
      </c>
      <c r="Q605" s="168"/>
      <c r="R605" s="168"/>
      <c r="S605" s="168" t="str">
        <f>IF(ISBLANK(Inputs!L88),"",Inputs!L88)</f>
        <v/>
      </c>
      <c r="T605" s="168"/>
      <c r="U605" s="168"/>
      <c r="V605" s="168" t="str">
        <f>IF(ISBLANK(Inputs!E88),"",Inputs!E88)</f>
        <v/>
      </c>
      <c r="W605" s="168"/>
      <c r="X605" s="168"/>
      <c r="Y605" s="168" t="str">
        <f>IF(ISBLANK(Inputs!M88),"",Inputs!M88)</f>
        <v/>
      </c>
      <c r="Z605" s="168"/>
      <c r="AA605" s="168"/>
      <c r="AB605" s="168" t="str">
        <f>IF(ISBLANK(Inputs!N88),"",Inputs!N88)</f>
        <v/>
      </c>
      <c r="AC605" s="168"/>
      <c r="AD605" s="168"/>
      <c r="AE605" s="371" t="str">
        <f>IF(ISBLANK(Inputs!A88),"",Y605)</f>
        <v/>
      </c>
      <c r="AF605" s="371"/>
      <c r="AG605" s="329" t="str">
        <f>IF(ISBLANK(Inputs!$A88),"",
IF(OR(AE605="Solved",AE605="--"),"--",
((Mat.Conc_Alpha.1*Mat.Conc_f.c*$AB605*MIN(AE605*Mat.Conc_Beta.1,$Y605))
+(Mat.Conc_Alpha.1*Mat.Conc_f.c*$V605*MAX(0,AE605*Mat.Conc_Beta.1-$Y605)))
-($J605*MIN(Mat.Rebar_f.y,(Mat.Rebar_epsilon.cl*($S605-AE605)/AE605)*Mat.PT_E.s))
-($M605*Mat.PT_f.pu*(1-Mat.PT_k*AE605/$P605))))</f>
        <v/>
      </c>
      <c r="AH605" s="329"/>
      <c r="AI605" s="167" t="str">
        <f>IF(ISBLANK(Inputs!$A88),"",
IF(ABS(AG605)&lt;=0.001,"Solved",IF(AG605&gt;0,0.85*AE605,1.15*AE605)))</f>
        <v/>
      </c>
      <c r="AJ605" s="167"/>
      <c r="AK605" s="329" t="str">
        <f>IF(ISBLANK(Inputs!$A88),"",
IF(OR(AI605="Solved",AI605="--"),"--",
((Mat.Conc_Alpha.1*Mat.Conc_f.c*$AB605*MIN(AI605*Mat.Conc_Beta.1,$Y605))
+(Mat.Conc_Alpha.1*Mat.Conc_f.c*$V605*MAX(0,AI605*Mat.Conc_Beta.1-$Y605)))
-($J605*MIN(Mat.Rebar_f.y,(Mat.Rebar_epsilon.cl*($S605-AI605)/AI605)*Mat.PT_E.s))
-($M605*Mat.PT_f.pu*(1-Mat.PT_k*AI605/$P605))))</f>
        <v/>
      </c>
      <c r="AL605" s="329"/>
      <c r="AM605" s="167" t="str">
        <f>IF(ISBLANK(Inputs!$A88),"",
IF(AK605="--","Solved",
IF(ABS(AK605)&lt;=0.001,"Solved",AI605-AK605*(AI605-AE605)/(AK605-AG605))))</f>
        <v/>
      </c>
      <c r="AN605" s="167"/>
      <c r="AO605" s="329" t="str">
        <f>IF(ISBLANK(Inputs!$A88),"",
IF(OR(AM605="Solved",AM605="--"),"--",
((Mat.Conc_Alpha.1*Mat.Conc_f.c*$AB605*MIN(AM605*Mat.Conc_Beta.1,$Y605))
+(Mat.Conc_Alpha.1*Mat.Conc_f.c*$V605*MAX(0,AM605*Mat.Conc_Beta.1-$Y605)))
-($J605*MIN(Mat.Rebar_f.y,(Mat.Rebar_epsilon.cl*($S605-AM605)/AM605)*Mat.PT_E.s))
-($M605*Mat.PT_f.pu*(1-Mat.PT_k*AM605/$P605))))</f>
        <v/>
      </c>
      <c r="AP605" s="329"/>
      <c r="AQ605" s="167" t="str">
        <f>IF(ISBLANK(Inputs!$A88),"",
IF(AO605="--","Solved",
IF(ABS(AO605)&lt;=0.001,"Solved",AM605-AO605*(AM605-AI605)/(AO605-AK605))))</f>
        <v/>
      </c>
      <c r="AR605" s="167"/>
      <c r="AS605" s="329" t="str">
        <f>IF(ISBLANK(Inputs!$A88),"",
IF(OR(AQ605="Solved",AQ605="--"),"--",
((Mat.Conc_Alpha.1*Mat.Conc_f.c*$AB605*MIN(AQ605*Mat.Conc_Beta.1,$Y605))
+(Mat.Conc_Alpha.1*Mat.Conc_f.c*$V605*MAX(0,AQ605*Mat.Conc_Beta.1-$Y605)))
-($J605*MIN(Mat.Rebar_f.y,(Mat.Rebar_epsilon.cl*($S605-AQ605)/AQ605)*Mat.PT_E.s))
-($M605*Mat.PT_f.pu*(1-Mat.PT_k*AQ605/$P605))))</f>
        <v/>
      </c>
      <c r="AT605" s="329"/>
      <c r="AU605" s="167" t="str">
        <f>IF(ISBLANK(Inputs!$A88),"",
IF(AS605="--","Solved",
IF(ABS(AS605)&lt;=0.001,"Solved",AQ605-AS605*(AQ605-AM605)/(AS605-AO605))))</f>
        <v/>
      </c>
      <c r="AV605" s="167"/>
      <c r="AW605" s="329" t="str">
        <f>IF(ISBLANK(Inputs!$A88),"",
IF(OR(AU605="Solved",AU605="--"),"--",
((Mat.Conc_Alpha.1*Mat.Conc_f.c*$AB605*MIN(AU605*Mat.Conc_Beta.1,$Y605))
+(Mat.Conc_Alpha.1*Mat.Conc_f.c*$V605*MAX(0,AU605*Mat.Conc_Beta.1-$Y605)))
-($J605*MIN(Mat.Rebar_f.y,(Mat.Rebar_epsilon.cl*($S605-AU605)/AU605)*Mat.PT_E.s))
-($M605*Mat.PT_f.pu*(1-Mat.PT_k*AU605/$P605))))</f>
        <v/>
      </c>
      <c r="AX605" s="329"/>
      <c r="AY605" s="167" t="str">
        <f>IF(ISBLANK(Inputs!$A88),"",
IF(AW605="--","Solved",
IF(ABS(AW605)&lt;=0.001,"Solved",AU605-AW605*(AU605-AQ605)/(AW605-AS605))))</f>
        <v/>
      </c>
      <c r="AZ605" s="167"/>
      <c r="BA605" s="329" t="str">
        <f>IF(ISBLANK(Inputs!$A88),"",
IF(OR(AY605="Solved",AY605="--"),"--",
((Mat.Conc_Alpha.1*Mat.Conc_f.c*$AB605*MIN(AY605*Mat.Conc_Beta.1,$Y605))
+(Mat.Conc_Alpha.1*Mat.Conc_f.c*$V605*MAX(0,AY605*Mat.Conc_Beta.1-$Y605)))
-($J605*MIN(Mat.Rebar_f.y,(Mat.Rebar_epsilon.cl*($S605-AY605)/AY605)*Mat.PT_E.s))
-($M605*Mat.PT_f.pu*(1-Mat.PT_k*AY605/$P605))))</f>
        <v/>
      </c>
      <c r="BB605" s="329"/>
      <c r="BC605" s="167" t="str">
        <f>IF(ISBLANK(Inputs!$A88),"",
IF(BA605="--","Solved",
IF(ABS(BA605)&lt;=0.001,"Solved",AY605-BA605*(AY605-AU605)/(BA605-AW605))))</f>
        <v/>
      </c>
      <c r="BD605" s="167"/>
      <c r="BE605" s="329" t="str">
        <f>IF(ISBLANK(Inputs!$A88),"",
IF(OR(BC605="Solved",BC605="--"),"--",
((Mat.Conc_Alpha.1*Mat.Conc_f.c*$AB605*MIN(BC605*Mat.Conc_Beta.1,$Y605))
+(Mat.Conc_Alpha.1*Mat.Conc_f.c*$V605*MAX(0,BC605*Mat.Conc_Beta.1-$Y605)))
-($J605*MIN(Mat.Rebar_f.y,(Mat.Rebar_epsilon.cl*($S605-BC605)/BC605)*Mat.PT_E.s))
-($M605*Mat.PT_f.pu*(1-Mat.PT_k*BC605/$P605))))</f>
        <v/>
      </c>
      <c r="BF605" s="329"/>
      <c r="BG605" s="167" t="str">
        <f>IF(ISBLANK(Inputs!$A88),"",
IF(BE605="--","Solved",
IF(ABS(BE605)&lt;=0.001,"Solved",BC605-BE605*(BC605-AY605)/(BE605-BA605))))</f>
        <v/>
      </c>
      <c r="BH605" s="167"/>
      <c r="BI605" s="329" t="str">
        <f>IF(ISBLANK(Inputs!$A88),"",
IF(OR(BG605="Solved",BG605="--"),"--",
((Mat.Conc_Alpha.1*Mat.Conc_f.c*$AB605*MIN(BG605*Mat.Conc_Beta.1,$Y605))
+(Mat.Conc_Alpha.1*Mat.Conc_f.c*$V605*MAX(0,BG605*Mat.Conc_Beta.1-$Y605)))
-($J605*MIN(Mat.Rebar_f.y,(Mat.Rebar_epsilon.cl*($S605-BG605)/BG605)*Mat.PT_E.s))
-($M605*Mat.PT_f.pu*(1-Mat.PT_k*BG605/$P605))))</f>
        <v/>
      </c>
      <c r="BJ605" s="329"/>
      <c r="BK605" s="167" t="str">
        <f>IF(ISBLANK(Inputs!$A88),"",
IF(BI605="--","Solved",
IF(ABS(BI605)&lt;=0.001,"Solved",BG605-BI605*(BG605-BC605)/(BI605-BE605))))</f>
        <v/>
      </c>
      <c r="BL605" s="167"/>
      <c r="BM605" s="329" t="str">
        <f>IF(ISBLANK(Inputs!$A88),"",
IF(OR(BK605="Solved",BK605="--"),"--",
((Mat.Conc_Alpha.1*Mat.Conc_f.c*$AB605*MIN(BK605*Mat.Conc_Beta.1,$Y605))
+(Mat.Conc_Alpha.1*Mat.Conc_f.c*$V605*MAX(0,BK605*Mat.Conc_Beta.1-$Y605)))
-($J605*MIN(Mat.Rebar_f.y,(Mat.Rebar_epsilon.cl*($S605-BK605)/BK605)*Mat.PT_E.s))
-($M605*Mat.PT_f.pu*(1-Mat.PT_k*BK605/$P605))))</f>
        <v/>
      </c>
      <c r="BN605" s="329"/>
      <c r="BO605" s="167" t="str">
        <f>IF(ISBLANK(Inputs!$A88),"",
IF(BM605="--","Solved",
IF(ABS(BM605)&lt;=0.001,"Solved",BK605-BM605*(BK605-BG605)/(BM605-BI605))))</f>
        <v/>
      </c>
      <c r="BP605" s="167"/>
      <c r="BQ605" s="329" t="str">
        <f>IF(ISBLANK(Inputs!$A88),"",
IF(OR(BO605="Solved",BO605="--"),"--",
((Mat.Conc_Alpha.1*Mat.Conc_f.c*$AB605*MIN(BO605*Mat.Conc_Beta.1,$Y605))
+(Mat.Conc_Alpha.1*Mat.Conc_f.c*$V605*MAX(0,BO605*Mat.Conc_Beta.1-$Y605)))
-($J605*MIN(Mat.Rebar_f.y,(Mat.Rebar_epsilon.cl*($S605-BO605)/BO605)*Mat.PT_E.s))
-($M605*Mat.PT_f.pu*(1-Mat.PT_k*BO605/$P605))))</f>
        <v/>
      </c>
      <c r="BR605" s="329"/>
      <c r="BS605" s="70"/>
      <c r="BT605" s="70"/>
      <c r="BU605" s="70"/>
      <c r="BV605" s="70"/>
      <c r="BW605" s="8"/>
      <c r="BX605" s="8"/>
      <c r="BY605" s="8"/>
      <c r="BZ605" s="8"/>
      <c r="CA605" s="8"/>
      <c r="CB605" s="10"/>
    </row>
    <row r="606" spans="3:80" ht="15" customHeight="1" x14ac:dyDescent="0.25">
      <c r="C606" s="69"/>
      <c r="F606" s="167" t="str">
        <f>IF(ISBLANK(Inputs!A89),"",Inputs!A89)</f>
        <v/>
      </c>
      <c r="G606" s="167"/>
      <c r="H606" s="167" t="str">
        <f>IF(ISBLANK(Inputs!B89),"",Inputs!B89)</f>
        <v/>
      </c>
      <c r="I606" s="167"/>
      <c r="J606" s="168" t="str">
        <f>IF(ISBLANK(Inputs!K89),"",Inputs!K89)</f>
        <v/>
      </c>
      <c r="K606" s="168"/>
      <c r="L606" s="168"/>
      <c r="M606" s="168" t="str">
        <f>IF(ISBLANK(Inputs!D89),"",Inputs!D89)</f>
        <v/>
      </c>
      <c r="N606" s="168"/>
      <c r="O606" s="168"/>
      <c r="P606" s="168" t="str">
        <f>IF(ISBLANK(Inputs!F89),"",Inputs!$B$10-Inputs!F89)</f>
        <v/>
      </c>
      <c r="Q606" s="168"/>
      <c r="R606" s="168"/>
      <c r="S606" s="168" t="str">
        <f>IF(ISBLANK(Inputs!L89),"",Inputs!L89)</f>
        <v/>
      </c>
      <c r="T606" s="168"/>
      <c r="U606" s="168"/>
      <c r="V606" s="168" t="str">
        <f>IF(ISBLANK(Inputs!E89),"",Inputs!E89)</f>
        <v/>
      </c>
      <c r="W606" s="168"/>
      <c r="X606" s="168"/>
      <c r="Y606" s="168" t="str">
        <f>IF(ISBLANK(Inputs!M89),"",Inputs!M89)</f>
        <v/>
      </c>
      <c r="Z606" s="168"/>
      <c r="AA606" s="168"/>
      <c r="AB606" s="168" t="str">
        <f>IF(ISBLANK(Inputs!N89),"",Inputs!N89)</f>
        <v/>
      </c>
      <c r="AC606" s="168"/>
      <c r="AD606" s="168"/>
      <c r="AE606" s="371" t="str">
        <f>IF(ISBLANK(Inputs!A89),"",Y606)</f>
        <v/>
      </c>
      <c r="AF606" s="371"/>
      <c r="AG606" s="329" t="str">
        <f>IF(ISBLANK(Inputs!$A89),"",
IF(OR(AE606="Solved",AE606="--"),"--",
((Mat.Conc_Alpha.1*Mat.Conc_f.c*$AB606*MIN(AE606*Mat.Conc_Beta.1,$Y606))
+(Mat.Conc_Alpha.1*Mat.Conc_f.c*$V606*MAX(0,AE606*Mat.Conc_Beta.1-$Y606)))
-($J606*MIN(Mat.Rebar_f.y,(Mat.Rebar_epsilon.cl*($S606-AE606)/AE606)*Mat.PT_E.s))
-($M606*Mat.PT_f.pu*(1-Mat.PT_k*AE606/$P606))))</f>
        <v/>
      </c>
      <c r="AH606" s="329"/>
      <c r="AI606" s="167" t="str">
        <f>IF(ISBLANK(Inputs!$A89),"",
IF(ABS(AG606)&lt;=0.001,"Solved",IF(AG606&gt;0,0.85*AE606,1.15*AE606)))</f>
        <v/>
      </c>
      <c r="AJ606" s="167"/>
      <c r="AK606" s="329" t="str">
        <f>IF(ISBLANK(Inputs!$A89),"",
IF(OR(AI606="Solved",AI606="--"),"--",
((Mat.Conc_Alpha.1*Mat.Conc_f.c*$AB606*MIN(AI606*Mat.Conc_Beta.1,$Y606))
+(Mat.Conc_Alpha.1*Mat.Conc_f.c*$V606*MAX(0,AI606*Mat.Conc_Beta.1-$Y606)))
-($J606*MIN(Mat.Rebar_f.y,(Mat.Rebar_epsilon.cl*($S606-AI606)/AI606)*Mat.PT_E.s))
-($M606*Mat.PT_f.pu*(1-Mat.PT_k*AI606/$P606))))</f>
        <v/>
      </c>
      <c r="AL606" s="329"/>
      <c r="AM606" s="167" t="str">
        <f>IF(ISBLANK(Inputs!$A89),"",
IF(AK606="--","Solved",
IF(ABS(AK606)&lt;=0.001,"Solved",AI606-AK606*(AI606-AE606)/(AK606-AG606))))</f>
        <v/>
      </c>
      <c r="AN606" s="167"/>
      <c r="AO606" s="329" t="str">
        <f>IF(ISBLANK(Inputs!$A89),"",
IF(OR(AM606="Solved",AM606="--"),"--",
((Mat.Conc_Alpha.1*Mat.Conc_f.c*$AB606*MIN(AM606*Mat.Conc_Beta.1,$Y606))
+(Mat.Conc_Alpha.1*Mat.Conc_f.c*$V606*MAX(0,AM606*Mat.Conc_Beta.1-$Y606)))
-($J606*MIN(Mat.Rebar_f.y,(Mat.Rebar_epsilon.cl*($S606-AM606)/AM606)*Mat.PT_E.s))
-($M606*Mat.PT_f.pu*(1-Mat.PT_k*AM606/$P606))))</f>
        <v/>
      </c>
      <c r="AP606" s="329"/>
      <c r="AQ606" s="167" t="str">
        <f>IF(ISBLANK(Inputs!$A89),"",
IF(AO606="--","Solved",
IF(ABS(AO606)&lt;=0.001,"Solved",AM606-AO606*(AM606-AI606)/(AO606-AK606))))</f>
        <v/>
      </c>
      <c r="AR606" s="167"/>
      <c r="AS606" s="329" t="str">
        <f>IF(ISBLANK(Inputs!$A89),"",
IF(OR(AQ606="Solved",AQ606="--"),"--",
((Mat.Conc_Alpha.1*Mat.Conc_f.c*$AB606*MIN(AQ606*Mat.Conc_Beta.1,$Y606))
+(Mat.Conc_Alpha.1*Mat.Conc_f.c*$V606*MAX(0,AQ606*Mat.Conc_Beta.1-$Y606)))
-($J606*MIN(Mat.Rebar_f.y,(Mat.Rebar_epsilon.cl*($S606-AQ606)/AQ606)*Mat.PT_E.s))
-($M606*Mat.PT_f.pu*(1-Mat.PT_k*AQ606/$P606))))</f>
        <v/>
      </c>
      <c r="AT606" s="329"/>
      <c r="AU606" s="167" t="str">
        <f>IF(ISBLANK(Inputs!$A89),"",
IF(AS606="--","Solved",
IF(ABS(AS606)&lt;=0.001,"Solved",AQ606-AS606*(AQ606-AM606)/(AS606-AO606))))</f>
        <v/>
      </c>
      <c r="AV606" s="167"/>
      <c r="AW606" s="329" t="str">
        <f>IF(ISBLANK(Inputs!$A89),"",
IF(OR(AU606="Solved",AU606="--"),"--",
((Mat.Conc_Alpha.1*Mat.Conc_f.c*$AB606*MIN(AU606*Mat.Conc_Beta.1,$Y606))
+(Mat.Conc_Alpha.1*Mat.Conc_f.c*$V606*MAX(0,AU606*Mat.Conc_Beta.1-$Y606)))
-($J606*MIN(Mat.Rebar_f.y,(Mat.Rebar_epsilon.cl*($S606-AU606)/AU606)*Mat.PT_E.s))
-($M606*Mat.PT_f.pu*(1-Mat.PT_k*AU606/$P606))))</f>
        <v/>
      </c>
      <c r="AX606" s="329"/>
      <c r="AY606" s="167" t="str">
        <f>IF(ISBLANK(Inputs!$A89),"",
IF(AW606="--","Solved",
IF(ABS(AW606)&lt;=0.001,"Solved",AU606-AW606*(AU606-AQ606)/(AW606-AS606))))</f>
        <v/>
      </c>
      <c r="AZ606" s="167"/>
      <c r="BA606" s="329" t="str">
        <f>IF(ISBLANK(Inputs!$A89),"",
IF(OR(AY606="Solved",AY606="--"),"--",
((Mat.Conc_Alpha.1*Mat.Conc_f.c*$AB606*MIN(AY606*Mat.Conc_Beta.1,$Y606))
+(Mat.Conc_Alpha.1*Mat.Conc_f.c*$V606*MAX(0,AY606*Mat.Conc_Beta.1-$Y606)))
-($J606*MIN(Mat.Rebar_f.y,(Mat.Rebar_epsilon.cl*($S606-AY606)/AY606)*Mat.PT_E.s))
-($M606*Mat.PT_f.pu*(1-Mat.PT_k*AY606/$P606))))</f>
        <v/>
      </c>
      <c r="BB606" s="329"/>
      <c r="BC606" s="167" t="str">
        <f>IF(ISBLANK(Inputs!$A89),"",
IF(BA606="--","Solved",
IF(ABS(BA606)&lt;=0.001,"Solved",AY606-BA606*(AY606-AU606)/(BA606-AW606))))</f>
        <v/>
      </c>
      <c r="BD606" s="167"/>
      <c r="BE606" s="329" t="str">
        <f>IF(ISBLANK(Inputs!$A89),"",
IF(OR(BC606="Solved",BC606="--"),"--",
((Mat.Conc_Alpha.1*Mat.Conc_f.c*$AB606*MIN(BC606*Mat.Conc_Beta.1,$Y606))
+(Mat.Conc_Alpha.1*Mat.Conc_f.c*$V606*MAX(0,BC606*Mat.Conc_Beta.1-$Y606)))
-($J606*MIN(Mat.Rebar_f.y,(Mat.Rebar_epsilon.cl*($S606-BC606)/BC606)*Mat.PT_E.s))
-($M606*Mat.PT_f.pu*(1-Mat.PT_k*BC606/$P606))))</f>
        <v/>
      </c>
      <c r="BF606" s="329"/>
      <c r="BG606" s="167" t="str">
        <f>IF(ISBLANK(Inputs!$A89),"",
IF(BE606="--","Solved",
IF(ABS(BE606)&lt;=0.001,"Solved",BC606-BE606*(BC606-AY606)/(BE606-BA606))))</f>
        <v/>
      </c>
      <c r="BH606" s="167"/>
      <c r="BI606" s="329" t="str">
        <f>IF(ISBLANK(Inputs!$A89),"",
IF(OR(BG606="Solved",BG606="--"),"--",
((Mat.Conc_Alpha.1*Mat.Conc_f.c*$AB606*MIN(BG606*Mat.Conc_Beta.1,$Y606))
+(Mat.Conc_Alpha.1*Mat.Conc_f.c*$V606*MAX(0,BG606*Mat.Conc_Beta.1-$Y606)))
-($J606*MIN(Mat.Rebar_f.y,(Mat.Rebar_epsilon.cl*($S606-BG606)/BG606)*Mat.PT_E.s))
-($M606*Mat.PT_f.pu*(1-Mat.PT_k*BG606/$P606))))</f>
        <v/>
      </c>
      <c r="BJ606" s="329"/>
      <c r="BK606" s="167" t="str">
        <f>IF(ISBLANK(Inputs!$A89),"",
IF(BI606="--","Solved",
IF(ABS(BI606)&lt;=0.001,"Solved",BG606-BI606*(BG606-BC606)/(BI606-BE606))))</f>
        <v/>
      </c>
      <c r="BL606" s="167"/>
      <c r="BM606" s="329" t="str">
        <f>IF(ISBLANK(Inputs!$A89),"",
IF(OR(BK606="Solved",BK606="--"),"--",
((Mat.Conc_Alpha.1*Mat.Conc_f.c*$AB606*MIN(BK606*Mat.Conc_Beta.1,$Y606))
+(Mat.Conc_Alpha.1*Mat.Conc_f.c*$V606*MAX(0,BK606*Mat.Conc_Beta.1-$Y606)))
-($J606*MIN(Mat.Rebar_f.y,(Mat.Rebar_epsilon.cl*($S606-BK606)/BK606)*Mat.PT_E.s))
-($M606*Mat.PT_f.pu*(1-Mat.PT_k*BK606/$P606))))</f>
        <v/>
      </c>
      <c r="BN606" s="329"/>
      <c r="BO606" s="167" t="str">
        <f>IF(ISBLANK(Inputs!$A89),"",
IF(BM606="--","Solved",
IF(ABS(BM606)&lt;=0.001,"Solved",BK606-BM606*(BK606-BG606)/(BM606-BI606))))</f>
        <v/>
      </c>
      <c r="BP606" s="167"/>
      <c r="BQ606" s="329" t="str">
        <f>IF(ISBLANK(Inputs!$A89),"",
IF(OR(BO606="Solved",BO606="--"),"--",
((Mat.Conc_Alpha.1*Mat.Conc_f.c*$AB606*MIN(BO606*Mat.Conc_Beta.1,$Y606))
+(Mat.Conc_Alpha.1*Mat.Conc_f.c*$V606*MAX(0,BO606*Mat.Conc_Beta.1-$Y606)))
-($J606*MIN(Mat.Rebar_f.y,(Mat.Rebar_epsilon.cl*($S606-BO606)/BO606)*Mat.PT_E.s))
-($M606*Mat.PT_f.pu*(1-Mat.PT_k*BO606/$P606))))</f>
        <v/>
      </c>
      <c r="BR606" s="329"/>
      <c r="BS606" s="70"/>
      <c r="BT606" s="70"/>
      <c r="BU606" s="70"/>
      <c r="BV606" s="70"/>
      <c r="BW606" s="8"/>
      <c r="BX606" s="8"/>
      <c r="BY606" s="8"/>
      <c r="BZ606" s="8"/>
      <c r="CA606" s="8"/>
      <c r="CB606" s="10"/>
    </row>
    <row r="607" spans="3:80" ht="15" customHeight="1" x14ac:dyDescent="0.25">
      <c r="C607" s="69"/>
      <c r="F607" s="167" t="str">
        <f>IF(ISBLANK(Inputs!A90),"",Inputs!A90)</f>
        <v/>
      </c>
      <c r="G607" s="167"/>
      <c r="H607" s="167" t="str">
        <f>IF(ISBLANK(Inputs!B90),"",Inputs!B90)</f>
        <v/>
      </c>
      <c r="I607" s="167"/>
      <c r="J607" s="168" t="str">
        <f>IF(ISBLANK(Inputs!K90),"",Inputs!K90)</f>
        <v/>
      </c>
      <c r="K607" s="168"/>
      <c r="L607" s="168"/>
      <c r="M607" s="168" t="str">
        <f>IF(ISBLANK(Inputs!D90),"",Inputs!D90)</f>
        <v/>
      </c>
      <c r="N607" s="168"/>
      <c r="O607" s="168"/>
      <c r="P607" s="168" t="str">
        <f>IF(ISBLANK(Inputs!F90),"",Inputs!$B$10-Inputs!F90)</f>
        <v/>
      </c>
      <c r="Q607" s="168"/>
      <c r="R607" s="168"/>
      <c r="S607" s="168" t="str">
        <f>IF(ISBLANK(Inputs!L90),"",Inputs!L90)</f>
        <v/>
      </c>
      <c r="T607" s="168"/>
      <c r="U607" s="168"/>
      <c r="V607" s="168" t="str">
        <f>IF(ISBLANK(Inputs!E90),"",Inputs!E90)</f>
        <v/>
      </c>
      <c r="W607" s="168"/>
      <c r="X607" s="168"/>
      <c r="Y607" s="168" t="str">
        <f>IF(ISBLANK(Inputs!M90),"",Inputs!M90)</f>
        <v/>
      </c>
      <c r="Z607" s="168"/>
      <c r="AA607" s="168"/>
      <c r="AB607" s="168" t="str">
        <f>IF(ISBLANK(Inputs!N90),"",Inputs!N90)</f>
        <v/>
      </c>
      <c r="AC607" s="168"/>
      <c r="AD607" s="168"/>
      <c r="AE607" s="371" t="str">
        <f>IF(ISBLANK(Inputs!A90),"",Y607)</f>
        <v/>
      </c>
      <c r="AF607" s="371"/>
      <c r="AG607" s="329" t="str">
        <f>IF(ISBLANK(Inputs!$A90),"",
IF(OR(AE607="Solved",AE607="--"),"--",
((Mat.Conc_Alpha.1*Mat.Conc_f.c*$AB607*MIN(AE607*Mat.Conc_Beta.1,$Y607))
+(Mat.Conc_Alpha.1*Mat.Conc_f.c*$V607*MAX(0,AE607*Mat.Conc_Beta.1-$Y607)))
-($J607*MIN(Mat.Rebar_f.y,(Mat.Rebar_epsilon.cl*($S607-AE607)/AE607)*Mat.PT_E.s))
-($M607*Mat.PT_f.pu*(1-Mat.PT_k*AE607/$P607))))</f>
        <v/>
      </c>
      <c r="AH607" s="329"/>
      <c r="AI607" s="167" t="str">
        <f>IF(ISBLANK(Inputs!$A90),"",
IF(ABS(AG607)&lt;=0.001,"Solved",IF(AG607&gt;0,0.85*AE607,1.15*AE607)))</f>
        <v/>
      </c>
      <c r="AJ607" s="167"/>
      <c r="AK607" s="329" t="str">
        <f>IF(ISBLANK(Inputs!$A90),"",
IF(OR(AI607="Solved",AI607="--"),"--",
((Mat.Conc_Alpha.1*Mat.Conc_f.c*$AB607*MIN(AI607*Mat.Conc_Beta.1,$Y607))
+(Mat.Conc_Alpha.1*Mat.Conc_f.c*$V607*MAX(0,AI607*Mat.Conc_Beta.1-$Y607)))
-($J607*MIN(Mat.Rebar_f.y,(Mat.Rebar_epsilon.cl*($S607-AI607)/AI607)*Mat.PT_E.s))
-($M607*Mat.PT_f.pu*(1-Mat.PT_k*AI607/$P607))))</f>
        <v/>
      </c>
      <c r="AL607" s="329"/>
      <c r="AM607" s="167" t="str">
        <f>IF(ISBLANK(Inputs!$A90),"",
IF(AK607="--","Solved",
IF(ABS(AK607)&lt;=0.001,"Solved",AI607-AK607*(AI607-AE607)/(AK607-AG607))))</f>
        <v/>
      </c>
      <c r="AN607" s="167"/>
      <c r="AO607" s="329" t="str">
        <f>IF(ISBLANK(Inputs!$A90),"",
IF(OR(AM607="Solved",AM607="--"),"--",
((Mat.Conc_Alpha.1*Mat.Conc_f.c*$AB607*MIN(AM607*Mat.Conc_Beta.1,$Y607))
+(Mat.Conc_Alpha.1*Mat.Conc_f.c*$V607*MAX(0,AM607*Mat.Conc_Beta.1-$Y607)))
-($J607*MIN(Mat.Rebar_f.y,(Mat.Rebar_epsilon.cl*($S607-AM607)/AM607)*Mat.PT_E.s))
-($M607*Mat.PT_f.pu*(1-Mat.PT_k*AM607/$P607))))</f>
        <v/>
      </c>
      <c r="AP607" s="329"/>
      <c r="AQ607" s="167" t="str">
        <f>IF(ISBLANK(Inputs!$A90),"",
IF(AO607="--","Solved",
IF(ABS(AO607)&lt;=0.001,"Solved",AM607-AO607*(AM607-AI607)/(AO607-AK607))))</f>
        <v/>
      </c>
      <c r="AR607" s="167"/>
      <c r="AS607" s="329" t="str">
        <f>IF(ISBLANK(Inputs!$A90),"",
IF(OR(AQ607="Solved",AQ607="--"),"--",
((Mat.Conc_Alpha.1*Mat.Conc_f.c*$AB607*MIN(AQ607*Mat.Conc_Beta.1,$Y607))
+(Mat.Conc_Alpha.1*Mat.Conc_f.c*$V607*MAX(0,AQ607*Mat.Conc_Beta.1-$Y607)))
-($J607*MIN(Mat.Rebar_f.y,(Mat.Rebar_epsilon.cl*($S607-AQ607)/AQ607)*Mat.PT_E.s))
-($M607*Mat.PT_f.pu*(1-Mat.PT_k*AQ607/$P607))))</f>
        <v/>
      </c>
      <c r="AT607" s="329"/>
      <c r="AU607" s="167" t="str">
        <f>IF(ISBLANK(Inputs!$A90),"",
IF(AS607="--","Solved",
IF(ABS(AS607)&lt;=0.001,"Solved",AQ607-AS607*(AQ607-AM607)/(AS607-AO607))))</f>
        <v/>
      </c>
      <c r="AV607" s="167"/>
      <c r="AW607" s="329" t="str">
        <f>IF(ISBLANK(Inputs!$A90),"",
IF(OR(AU607="Solved",AU607="--"),"--",
((Mat.Conc_Alpha.1*Mat.Conc_f.c*$AB607*MIN(AU607*Mat.Conc_Beta.1,$Y607))
+(Mat.Conc_Alpha.1*Mat.Conc_f.c*$V607*MAX(0,AU607*Mat.Conc_Beta.1-$Y607)))
-($J607*MIN(Mat.Rebar_f.y,(Mat.Rebar_epsilon.cl*($S607-AU607)/AU607)*Mat.PT_E.s))
-($M607*Mat.PT_f.pu*(1-Mat.PT_k*AU607/$P607))))</f>
        <v/>
      </c>
      <c r="AX607" s="329"/>
      <c r="AY607" s="167" t="str">
        <f>IF(ISBLANK(Inputs!$A90),"",
IF(AW607="--","Solved",
IF(ABS(AW607)&lt;=0.001,"Solved",AU607-AW607*(AU607-AQ607)/(AW607-AS607))))</f>
        <v/>
      </c>
      <c r="AZ607" s="167"/>
      <c r="BA607" s="329" t="str">
        <f>IF(ISBLANK(Inputs!$A90),"",
IF(OR(AY607="Solved",AY607="--"),"--",
((Mat.Conc_Alpha.1*Mat.Conc_f.c*$AB607*MIN(AY607*Mat.Conc_Beta.1,$Y607))
+(Mat.Conc_Alpha.1*Mat.Conc_f.c*$V607*MAX(0,AY607*Mat.Conc_Beta.1-$Y607)))
-($J607*MIN(Mat.Rebar_f.y,(Mat.Rebar_epsilon.cl*($S607-AY607)/AY607)*Mat.PT_E.s))
-($M607*Mat.PT_f.pu*(1-Mat.PT_k*AY607/$P607))))</f>
        <v/>
      </c>
      <c r="BB607" s="329"/>
      <c r="BC607" s="167" t="str">
        <f>IF(ISBLANK(Inputs!$A90),"",
IF(BA607="--","Solved",
IF(ABS(BA607)&lt;=0.001,"Solved",AY607-BA607*(AY607-AU607)/(BA607-AW607))))</f>
        <v/>
      </c>
      <c r="BD607" s="167"/>
      <c r="BE607" s="329" t="str">
        <f>IF(ISBLANK(Inputs!$A90),"",
IF(OR(BC607="Solved",BC607="--"),"--",
((Mat.Conc_Alpha.1*Mat.Conc_f.c*$AB607*MIN(BC607*Mat.Conc_Beta.1,$Y607))
+(Mat.Conc_Alpha.1*Mat.Conc_f.c*$V607*MAX(0,BC607*Mat.Conc_Beta.1-$Y607)))
-($J607*MIN(Mat.Rebar_f.y,(Mat.Rebar_epsilon.cl*($S607-BC607)/BC607)*Mat.PT_E.s))
-($M607*Mat.PT_f.pu*(1-Mat.PT_k*BC607/$P607))))</f>
        <v/>
      </c>
      <c r="BF607" s="329"/>
      <c r="BG607" s="167" t="str">
        <f>IF(ISBLANK(Inputs!$A90),"",
IF(BE607="--","Solved",
IF(ABS(BE607)&lt;=0.001,"Solved",BC607-BE607*(BC607-AY607)/(BE607-BA607))))</f>
        <v/>
      </c>
      <c r="BH607" s="167"/>
      <c r="BI607" s="329" t="str">
        <f>IF(ISBLANK(Inputs!$A90),"",
IF(OR(BG607="Solved",BG607="--"),"--",
((Mat.Conc_Alpha.1*Mat.Conc_f.c*$AB607*MIN(BG607*Mat.Conc_Beta.1,$Y607))
+(Mat.Conc_Alpha.1*Mat.Conc_f.c*$V607*MAX(0,BG607*Mat.Conc_Beta.1-$Y607)))
-($J607*MIN(Mat.Rebar_f.y,(Mat.Rebar_epsilon.cl*($S607-BG607)/BG607)*Mat.PT_E.s))
-($M607*Mat.PT_f.pu*(1-Mat.PT_k*BG607/$P607))))</f>
        <v/>
      </c>
      <c r="BJ607" s="329"/>
      <c r="BK607" s="167" t="str">
        <f>IF(ISBLANK(Inputs!$A90),"",
IF(BI607="--","Solved",
IF(ABS(BI607)&lt;=0.001,"Solved",BG607-BI607*(BG607-BC607)/(BI607-BE607))))</f>
        <v/>
      </c>
      <c r="BL607" s="167"/>
      <c r="BM607" s="329" t="str">
        <f>IF(ISBLANK(Inputs!$A90),"",
IF(OR(BK607="Solved",BK607="--"),"--",
((Mat.Conc_Alpha.1*Mat.Conc_f.c*$AB607*MIN(BK607*Mat.Conc_Beta.1,$Y607))
+(Mat.Conc_Alpha.1*Mat.Conc_f.c*$V607*MAX(0,BK607*Mat.Conc_Beta.1-$Y607)))
-($J607*MIN(Mat.Rebar_f.y,(Mat.Rebar_epsilon.cl*($S607-BK607)/BK607)*Mat.PT_E.s))
-($M607*Mat.PT_f.pu*(1-Mat.PT_k*BK607/$P607))))</f>
        <v/>
      </c>
      <c r="BN607" s="329"/>
      <c r="BO607" s="167" t="str">
        <f>IF(ISBLANK(Inputs!$A90),"",
IF(BM607="--","Solved",
IF(ABS(BM607)&lt;=0.001,"Solved",BK607-BM607*(BK607-BG607)/(BM607-BI607))))</f>
        <v/>
      </c>
      <c r="BP607" s="167"/>
      <c r="BQ607" s="329" t="str">
        <f>IF(ISBLANK(Inputs!$A90),"",
IF(OR(BO607="Solved",BO607="--"),"--",
((Mat.Conc_Alpha.1*Mat.Conc_f.c*$AB607*MIN(BO607*Mat.Conc_Beta.1,$Y607))
+(Mat.Conc_Alpha.1*Mat.Conc_f.c*$V607*MAX(0,BO607*Mat.Conc_Beta.1-$Y607)))
-($J607*MIN(Mat.Rebar_f.y,(Mat.Rebar_epsilon.cl*($S607-BO607)/BO607)*Mat.PT_E.s))
-($M607*Mat.PT_f.pu*(1-Mat.PT_k*BO607/$P607))))</f>
        <v/>
      </c>
      <c r="BR607" s="329"/>
      <c r="BS607" s="70"/>
      <c r="BT607" s="70"/>
      <c r="BU607" s="70"/>
      <c r="BV607" s="70"/>
      <c r="BW607" s="8"/>
      <c r="BX607" s="8"/>
      <c r="BY607" s="8"/>
      <c r="BZ607" s="8"/>
      <c r="CA607" s="8"/>
      <c r="CB607" s="10"/>
    </row>
    <row r="608" spans="3:80" ht="15" customHeight="1" x14ac:dyDescent="0.25">
      <c r="C608" s="69"/>
      <c r="F608" s="167" t="str">
        <f>IF(ISBLANK(Inputs!A91),"",Inputs!A91)</f>
        <v/>
      </c>
      <c r="G608" s="167"/>
      <c r="H608" s="167" t="str">
        <f>IF(ISBLANK(Inputs!B91),"",Inputs!B91)</f>
        <v/>
      </c>
      <c r="I608" s="167"/>
      <c r="J608" s="168" t="str">
        <f>IF(ISBLANK(Inputs!K91),"",Inputs!K91)</f>
        <v/>
      </c>
      <c r="K608" s="168"/>
      <c r="L608" s="168"/>
      <c r="M608" s="168" t="str">
        <f>IF(ISBLANK(Inputs!D91),"",Inputs!D91)</f>
        <v/>
      </c>
      <c r="N608" s="168"/>
      <c r="O608" s="168"/>
      <c r="P608" s="168" t="str">
        <f>IF(ISBLANK(Inputs!F91),"",Inputs!$B$10-Inputs!F91)</f>
        <v/>
      </c>
      <c r="Q608" s="168"/>
      <c r="R608" s="168"/>
      <c r="S608" s="168" t="str">
        <f>IF(ISBLANK(Inputs!L91),"",Inputs!L91)</f>
        <v/>
      </c>
      <c r="T608" s="168"/>
      <c r="U608" s="168"/>
      <c r="V608" s="168" t="str">
        <f>IF(ISBLANK(Inputs!E91),"",Inputs!E91)</f>
        <v/>
      </c>
      <c r="W608" s="168"/>
      <c r="X608" s="168"/>
      <c r="Y608" s="168" t="str">
        <f>IF(ISBLANK(Inputs!M91),"",Inputs!M91)</f>
        <v/>
      </c>
      <c r="Z608" s="168"/>
      <c r="AA608" s="168"/>
      <c r="AB608" s="168" t="str">
        <f>IF(ISBLANK(Inputs!N91),"",Inputs!N91)</f>
        <v/>
      </c>
      <c r="AC608" s="168"/>
      <c r="AD608" s="168"/>
      <c r="AE608" s="371" t="str">
        <f>IF(ISBLANK(Inputs!A91),"",Y608)</f>
        <v/>
      </c>
      <c r="AF608" s="371"/>
      <c r="AG608" s="329" t="str">
        <f>IF(ISBLANK(Inputs!$A91),"",
IF(OR(AE608="Solved",AE608="--"),"--",
((Mat.Conc_Alpha.1*Mat.Conc_f.c*$AB608*MIN(AE608*Mat.Conc_Beta.1,$Y608))
+(Mat.Conc_Alpha.1*Mat.Conc_f.c*$V608*MAX(0,AE608*Mat.Conc_Beta.1-$Y608)))
-($J608*MIN(Mat.Rebar_f.y,(Mat.Rebar_epsilon.cl*($S608-AE608)/AE608)*Mat.PT_E.s))
-($M608*Mat.PT_f.pu*(1-Mat.PT_k*AE608/$P608))))</f>
        <v/>
      </c>
      <c r="AH608" s="329"/>
      <c r="AI608" s="167" t="str">
        <f>IF(ISBLANK(Inputs!$A91),"",
IF(ABS(AG608)&lt;=0.001,"Solved",IF(AG608&gt;0,0.85*AE608,1.15*AE608)))</f>
        <v/>
      </c>
      <c r="AJ608" s="167"/>
      <c r="AK608" s="329" t="str">
        <f>IF(ISBLANK(Inputs!$A91),"",
IF(OR(AI608="Solved",AI608="--"),"--",
((Mat.Conc_Alpha.1*Mat.Conc_f.c*$AB608*MIN(AI608*Mat.Conc_Beta.1,$Y608))
+(Mat.Conc_Alpha.1*Mat.Conc_f.c*$V608*MAX(0,AI608*Mat.Conc_Beta.1-$Y608)))
-($J608*MIN(Mat.Rebar_f.y,(Mat.Rebar_epsilon.cl*($S608-AI608)/AI608)*Mat.PT_E.s))
-($M608*Mat.PT_f.pu*(1-Mat.PT_k*AI608/$P608))))</f>
        <v/>
      </c>
      <c r="AL608" s="329"/>
      <c r="AM608" s="167" t="str">
        <f>IF(ISBLANK(Inputs!$A91),"",
IF(AK608="--","Solved",
IF(ABS(AK608)&lt;=0.001,"Solved",AI608-AK608*(AI608-AE608)/(AK608-AG608))))</f>
        <v/>
      </c>
      <c r="AN608" s="167"/>
      <c r="AO608" s="329" t="str">
        <f>IF(ISBLANK(Inputs!$A91),"",
IF(OR(AM608="Solved",AM608="--"),"--",
((Mat.Conc_Alpha.1*Mat.Conc_f.c*$AB608*MIN(AM608*Mat.Conc_Beta.1,$Y608))
+(Mat.Conc_Alpha.1*Mat.Conc_f.c*$V608*MAX(0,AM608*Mat.Conc_Beta.1-$Y608)))
-($J608*MIN(Mat.Rebar_f.y,(Mat.Rebar_epsilon.cl*($S608-AM608)/AM608)*Mat.PT_E.s))
-($M608*Mat.PT_f.pu*(1-Mat.PT_k*AM608/$P608))))</f>
        <v/>
      </c>
      <c r="AP608" s="329"/>
      <c r="AQ608" s="167" t="str">
        <f>IF(ISBLANK(Inputs!$A91),"",
IF(AO608="--","Solved",
IF(ABS(AO608)&lt;=0.001,"Solved",AM608-AO608*(AM608-AI608)/(AO608-AK608))))</f>
        <v/>
      </c>
      <c r="AR608" s="167"/>
      <c r="AS608" s="329" t="str">
        <f>IF(ISBLANK(Inputs!$A91),"",
IF(OR(AQ608="Solved",AQ608="--"),"--",
((Mat.Conc_Alpha.1*Mat.Conc_f.c*$AB608*MIN(AQ608*Mat.Conc_Beta.1,$Y608))
+(Mat.Conc_Alpha.1*Mat.Conc_f.c*$V608*MAX(0,AQ608*Mat.Conc_Beta.1-$Y608)))
-($J608*MIN(Mat.Rebar_f.y,(Mat.Rebar_epsilon.cl*($S608-AQ608)/AQ608)*Mat.PT_E.s))
-($M608*Mat.PT_f.pu*(1-Mat.PT_k*AQ608/$P608))))</f>
        <v/>
      </c>
      <c r="AT608" s="329"/>
      <c r="AU608" s="167" t="str">
        <f>IF(ISBLANK(Inputs!$A91),"",
IF(AS608="--","Solved",
IF(ABS(AS608)&lt;=0.001,"Solved",AQ608-AS608*(AQ608-AM608)/(AS608-AO608))))</f>
        <v/>
      </c>
      <c r="AV608" s="167"/>
      <c r="AW608" s="329" t="str">
        <f>IF(ISBLANK(Inputs!$A91),"",
IF(OR(AU608="Solved",AU608="--"),"--",
((Mat.Conc_Alpha.1*Mat.Conc_f.c*$AB608*MIN(AU608*Mat.Conc_Beta.1,$Y608))
+(Mat.Conc_Alpha.1*Mat.Conc_f.c*$V608*MAX(0,AU608*Mat.Conc_Beta.1-$Y608)))
-($J608*MIN(Mat.Rebar_f.y,(Mat.Rebar_epsilon.cl*($S608-AU608)/AU608)*Mat.PT_E.s))
-($M608*Mat.PT_f.pu*(1-Mat.PT_k*AU608/$P608))))</f>
        <v/>
      </c>
      <c r="AX608" s="329"/>
      <c r="AY608" s="167" t="str">
        <f>IF(ISBLANK(Inputs!$A91),"",
IF(AW608="--","Solved",
IF(ABS(AW608)&lt;=0.001,"Solved",AU608-AW608*(AU608-AQ608)/(AW608-AS608))))</f>
        <v/>
      </c>
      <c r="AZ608" s="167"/>
      <c r="BA608" s="329" t="str">
        <f>IF(ISBLANK(Inputs!$A91),"",
IF(OR(AY608="Solved",AY608="--"),"--",
((Mat.Conc_Alpha.1*Mat.Conc_f.c*$AB608*MIN(AY608*Mat.Conc_Beta.1,$Y608))
+(Mat.Conc_Alpha.1*Mat.Conc_f.c*$V608*MAX(0,AY608*Mat.Conc_Beta.1-$Y608)))
-($J608*MIN(Mat.Rebar_f.y,(Mat.Rebar_epsilon.cl*($S608-AY608)/AY608)*Mat.PT_E.s))
-($M608*Mat.PT_f.pu*(1-Mat.PT_k*AY608/$P608))))</f>
        <v/>
      </c>
      <c r="BB608" s="329"/>
      <c r="BC608" s="167" t="str">
        <f>IF(ISBLANK(Inputs!$A91),"",
IF(BA608="--","Solved",
IF(ABS(BA608)&lt;=0.001,"Solved",AY608-BA608*(AY608-AU608)/(BA608-AW608))))</f>
        <v/>
      </c>
      <c r="BD608" s="167"/>
      <c r="BE608" s="329" t="str">
        <f>IF(ISBLANK(Inputs!$A91),"",
IF(OR(BC608="Solved",BC608="--"),"--",
((Mat.Conc_Alpha.1*Mat.Conc_f.c*$AB608*MIN(BC608*Mat.Conc_Beta.1,$Y608))
+(Mat.Conc_Alpha.1*Mat.Conc_f.c*$V608*MAX(0,BC608*Mat.Conc_Beta.1-$Y608)))
-($J608*MIN(Mat.Rebar_f.y,(Mat.Rebar_epsilon.cl*($S608-BC608)/BC608)*Mat.PT_E.s))
-($M608*Mat.PT_f.pu*(1-Mat.PT_k*BC608/$P608))))</f>
        <v/>
      </c>
      <c r="BF608" s="329"/>
      <c r="BG608" s="167" t="str">
        <f>IF(ISBLANK(Inputs!$A91),"",
IF(BE608="--","Solved",
IF(ABS(BE608)&lt;=0.001,"Solved",BC608-BE608*(BC608-AY608)/(BE608-BA608))))</f>
        <v/>
      </c>
      <c r="BH608" s="167"/>
      <c r="BI608" s="329" t="str">
        <f>IF(ISBLANK(Inputs!$A91),"",
IF(OR(BG608="Solved",BG608="--"),"--",
((Mat.Conc_Alpha.1*Mat.Conc_f.c*$AB608*MIN(BG608*Mat.Conc_Beta.1,$Y608))
+(Mat.Conc_Alpha.1*Mat.Conc_f.c*$V608*MAX(0,BG608*Mat.Conc_Beta.1-$Y608)))
-($J608*MIN(Mat.Rebar_f.y,(Mat.Rebar_epsilon.cl*($S608-BG608)/BG608)*Mat.PT_E.s))
-($M608*Mat.PT_f.pu*(1-Mat.PT_k*BG608/$P608))))</f>
        <v/>
      </c>
      <c r="BJ608" s="329"/>
      <c r="BK608" s="167" t="str">
        <f>IF(ISBLANK(Inputs!$A91),"",
IF(BI608="--","Solved",
IF(ABS(BI608)&lt;=0.001,"Solved",BG608-BI608*(BG608-BC608)/(BI608-BE608))))</f>
        <v/>
      </c>
      <c r="BL608" s="167"/>
      <c r="BM608" s="329" t="str">
        <f>IF(ISBLANK(Inputs!$A91),"",
IF(OR(BK608="Solved",BK608="--"),"--",
((Mat.Conc_Alpha.1*Mat.Conc_f.c*$AB608*MIN(BK608*Mat.Conc_Beta.1,$Y608))
+(Mat.Conc_Alpha.1*Mat.Conc_f.c*$V608*MAX(0,BK608*Mat.Conc_Beta.1-$Y608)))
-($J608*MIN(Mat.Rebar_f.y,(Mat.Rebar_epsilon.cl*($S608-BK608)/BK608)*Mat.PT_E.s))
-($M608*Mat.PT_f.pu*(1-Mat.PT_k*BK608/$P608))))</f>
        <v/>
      </c>
      <c r="BN608" s="329"/>
      <c r="BO608" s="167" t="str">
        <f>IF(ISBLANK(Inputs!$A91),"",
IF(BM608="--","Solved",
IF(ABS(BM608)&lt;=0.001,"Solved",BK608-BM608*(BK608-BG608)/(BM608-BI608))))</f>
        <v/>
      </c>
      <c r="BP608" s="167"/>
      <c r="BQ608" s="329" t="str">
        <f>IF(ISBLANK(Inputs!$A91),"",
IF(OR(BO608="Solved",BO608="--"),"--",
((Mat.Conc_Alpha.1*Mat.Conc_f.c*$AB608*MIN(BO608*Mat.Conc_Beta.1,$Y608))
+(Mat.Conc_Alpha.1*Mat.Conc_f.c*$V608*MAX(0,BO608*Mat.Conc_Beta.1-$Y608)))
-($J608*MIN(Mat.Rebar_f.y,(Mat.Rebar_epsilon.cl*($S608-BO608)/BO608)*Mat.PT_E.s))
-($M608*Mat.PT_f.pu*(1-Mat.PT_k*BO608/$P608))))</f>
        <v/>
      </c>
      <c r="BR608" s="329"/>
      <c r="BS608" s="70"/>
      <c r="BT608" s="70"/>
      <c r="BU608" s="70"/>
      <c r="BV608" s="70"/>
      <c r="BW608" s="8"/>
      <c r="BX608" s="8"/>
      <c r="BY608" s="8"/>
      <c r="BZ608" s="8"/>
      <c r="CA608" s="8"/>
      <c r="CB608" s="10"/>
    </row>
    <row r="609" spans="3:80" ht="15" customHeight="1" x14ac:dyDescent="0.25">
      <c r="C609" s="69"/>
      <c r="F609" s="167" t="str">
        <f>IF(ISBLANK(Inputs!A92),"",Inputs!A92)</f>
        <v/>
      </c>
      <c r="G609" s="167"/>
      <c r="H609" s="167" t="str">
        <f>IF(ISBLANK(Inputs!B92),"",Inputs!B92)</f>
        <v/>
      </c>
      <c r="I609" s="167"/>
      <c r="J609" s="168" t="str">
        <f>IF(ISBLANK(Inputs!K92),"",Inputs!K92)</f>
        <v/>
      </c>
      <c r="K609" s="168"/>
      <c r="L609" s="168"/>
      <c r="M609" s="168" t="str">
        <f>IF(ISBLANK(Inputs!D92),"",Inputs!D92)</f>
        <v/>
      </c>
      <c r="N609" s="168"/>
      <c r="O609" s="168"/>
      <c r="P609" s="168" t="str">
        <f>IF(ISBLANK(Inputs!F92),"",Inputs!$B$10-Inputs!F92)</f>
        <v/>
      </c>
      <c r="Q609" s="168"/>
      <c r="R609" s="168"/>
      <c r="S609" s="168" t="str">
        <f>IF(ISBLANK(Inputs!L92),"",Inputs!L92)</f>
        <v/>
      </c>
      <c r="T609" s="168"/>
      <c r="U609" s="168"/>
      <c r="V609" s="168" t="str">
        <f>IF(ISBLANK(Inputs!E92),"",Inputs!E92)</f>
        <v/>
      </c>
      <c r="W609" s="168"/>
      <c r="X609" s="168"/>
      <c r="Y609" s="168" t="str">
        <f>IF(ISBLANK(Inputs!M92),"",Inputs!M92)</f>
        <v/>
      </c>
      <c r="Z609" s="168"/>
      <c r="AA609" s="168"/>
      <c r="AB609" s="168" t="str">
        <f>IF(ISBLANK(Inputs!N92),"",Inputs!N92)</f>
        <v/>
      </c>
      <c r="AC609" s="168"/>
      <c r="AD609" s="168"/>
      <c r="AE609" s="371" t="str">
        <f>IF(ISBLANK(Inputs!A92),"",Y609)</f>
        <v/>
      </c>
      <c r="AF609" s="371"/>
      <c r="AG609" s="329" t="str">
        <f>IF(ISBLANK(Inputs!$A92),"",
IF(OR(AE609="Solved",AE609="--"),"--",
((Mat.Conc_Alpha.1*Mat.Conc_f.c*$AB609*MIN(AE609*Mat.Conc_Beta.1,$Y609))
+(Mat.Conc_Alpha.1*Mat.Conc_f.c*$V609*MAX(0,AE609*Mat.Conc_Beta.1-$Y609)))
-($J609*MIN(Mat.Rebar_f.y,(Mat.Rebar_epsilon.cl*($S609-AE609)/AE609)*Mat.PT_E.s))
-($M609*Mat.PT_f.pu*(1-Mat.PT_k*AE609/$P609))))</f>
        <v/>
      </c>
      <c r="AH609" s="329"/>
      <c r="AI609" s="167" t="str">
        <f>IF(ISBLANK(Inputs!$A92),"",
IF(ABS(AG609)&lt;=0.001,"Solved",IF(AG609&gt;0,0.85*AE609,1.15*AE609)))</f>
        <v/>
      </c>
      <c r="AJ609" s="167"/>
      <c r="AK609" s="329" t="str">
        <f>IF(ISBLANK(Inputs!$A92),"",
IF(OR(AI609="Solved",AI609="--"),"--",
((Mat.Conc_Alpha.1*Mat.Conc_f.c*$AB609*MIN(AI609*Mat.Conc_Beta.1,$Y609))
+(Mat.Conc_Alpha.1*Mat.Conc_f.c*$V609*MAX(0,AI609*Mat.Conc_Beta.1-$Y609)))
-($J609*MIN(Mat.Rebar_f.y,(Mat.Rebar_epsilon.cl*($S609-AI609)/AI609)*Mat.PT_E.s))
-($M609*Mat.PT_f.pu*(1-Mat.PT_k*AI609/$P609))))</f>
        <v/>
      </c>
      <c r="AL609" s="329"/>
      <c r="AM609" s="167" t="str">
        <f>IF(ISBLANK(Inputs!$A92),"",
IF(AK609="--","Solved",
IF(ABS(AK609)&lt;=0.001,"Solved",AI609-AK609*(AI609-AE609)/(AK609-AG609))))</f>
        <v/>
      </c>
      <c r="AN609" s="167"/>
      <c r="AO609" s="329" t="str">
        <f>IF(ISBLANK(Inputs!$A92),"",
IF(OR(AM609="Solved",AM609="--"),"--",
((Mat.Conc_Alpha.1*Mat.Conc_f.c*$AB609*MIN(AM609*Mat.Conc_Beta.1,$Y609))
+(Mat.Conc_Alpha.1*Mat.Conc_f.c*$V609*MAX(0,AM609*Mat.Conc_Beta.1-$Y609)))
-($J609*MIN(Mat.Rebar_f.y,(Mat.Rebar_epsilon.cl*($S609-AM609)/AM609)*Mat.PT_E.s))
-($M609*Mat.PT_f.pu*(1-Mat.PT_k*AM609/$P609))))</f>
        <v/>
      </c>
      <c r="AP609" s="329"/>
      <c r="AQ609" s="167" t="str">
        <f>IF(ISBLANK(Inputs!$A92),"",
IF(AO609="--","Solved",
IF(ABS(AO609)&lt;=0.001,"Solved",AM609-AO609*(AM609-AI609)/(AO609-AK609))))</f>
        <v/>
      </c>
      <c r="AR609" s="167"/>
      <c r="AS609" s="329" t="str">
        <f>IF(ISBLANK(Inputs!$A92),"",
IF(OR(AQ609="Solved",AQ609="--"),"--",
((Mat.Conc_Alpha.1*Mat.Conc_f.c*$AB609*MIN(AQ609*Mat.Conc_Beta.1,$Y609))
+(Mat.Conc_Alpha.1*Mat.Conc_f.c*$V609*MAX(0,AQ609*Mat.Conc_Beta.1-$Y609)))
-($J609*MIN(Mat.Rebar_f.y,(Mat.Rebar_epsilon.cl*($S609-AQ609)/AQ609)*Mat.PT_E.s))
-($M609*Mat.PT_f.pu*(1-Mat.PT_k*AQ609/$P609))))</f>
        <v/>
      </c>
      <c r="AT609" s="329"/>
      <c r="AU609" s="167" t="str">
        <f>IF(ISBLANK(Inputs!$A92),"",
IF(AS609="--","Solved",
IF(ABS(AS609)&lt;=0.001,"Solved",AQ609-AS609*(AQ609-AM609)/(AS609-AO609))))</f>
        <v/>
      </c>
      <c r="AV609" s="167"/>
      <c r="AW609" s="329" t="str">
        <f>IF(ISBLANK(Inputs!$A92),"",
IF(OR(AU609="Solved",AU609="--"),"--",
((Mat.Conc_Alpha.1*Mat.Conc_f.c*$AB609*MIN(AU609*Mat.Conc_Beta.1,$Y609))
+(Mat.Conc_Alpha.1*Mat.Conc_f.c*$V609*MAX(0,AU609*Mat.Conc_Beta.1-$Y609)))
-($J609*MIN(Mat.Rebar_f.y,(Mat.Rebar_epsilon.cl*($S609-AU609)/AU609)*Mat.PT_E.s))
-($M609*Mat.PT_f.pu*(1-Mat.PT_k*AU609/$P609))))</f>
        <v/>
      </c>
      <c r="AX609" s="329"/>
      <c r="AY609" s="167" t="str">
        <f>IF(ISBLANK(Inputs!$A92),"",
IF(AW609="--","Solved",
IF(ABS(AW609)&lt;=0.001,"Solved",AU609-AW609*(AU609-AQ609)/(AW609-AS609))))</f>
        <v/>
      </c>
      <c r="AZ609" s="167"/>
      <c r="BA609" s="329" t="str">
        <f>IF(ISBLANK(Inputs!$A92),"",
IF(OR(AY609="Solved",AY609="--"),"--",
((Mat.Conc_Alpha.1*Mat.Conc_f.c*$AB609*MIN(AY609*Mat.Conc_Beta.1,$Y609))
+(Mat.Conc_Alpha.1*Mat.Conc_f.c*$V609*MAX(0,AY609*Mat.Conc_Beta.1-$Y609)))
-($J609*MIN(Mat.Rebar_f.y,(Mat.Rebar_epsilon.cl*($S609-AY609)/AY609)*Mat.PT_E.s))
-($M609*Mat.PT_f.pu*(1-Mat.PT_k*AY609/$P609))))</f>
        <v/>
      </c>
      <c r="BB609" s="329"/>
      <c r="BC609" s="167" t="str">
        <f>IF(ISBLANK(Inputs!$A92),"",
IF(BA609="--","Solved",
IF(ABS(BA609)&lt;=0.001,"Solved",AY609-BA609*(AY609-AU609)/(BA609-AW609))))</f>
        <v/>
      </c>
      <c r="BD609" s="167"/>
      <c r="BE609" s="329" t="str">
        <f>IF(ISBLANK(Inputs!$A92),"",
IF(OR(BC609="Solved",BC609="--"),"--",
((Mat.Conc_Alpha.1*Mat.Conc_f.c*$AB609*MIN(BC609*Mat.Conc_Beta.1,$Y609))
+(Mat.Conc_Alpha.1*Mat.Conc_f.c*$V609*MAX(0,BC609*Mat.Conc_Beta.1-$Y609)))
-($J609*MIN(Mat.Rebar_f.y,(Mat.Rebar_epsilon.cl*($S609-BC609)/BC609)*Mat.PT_E.s))
-($M609*Mat.PT_f.pu*(1-Mat.PT_k*BC609/$P609))))</f>
        <v/>
      </c>
      <c r="BF609" s="329"/>
      <c r="BG609" s="167" t="str">
        <f>IF(ISBLANK(Inputs!$A92),"",
IF(BE609="--","Solved",
IF(ABS(BE609)&lt;=0.001,"Solved",BC609-BE609*(BC609-AY609)/(BE609-BA609))))</f>
        <v/>
      </c>
      <c r="BH609" s="167"/>
      <c r="BI609" s="329" t="str">
        <f>IF(ISBLANK(Inputs!$A92),"",
IF(OR(BG609="Solved",BG609="--"),"--",
((Mat.Conc_Alpha.1*Mat.Conc_f.c*$AB609*MIN(BG609*Mat.Conc_Beta.1,$Y609))
+(Mat.Conc_Alpha.1*Mat.Conc_f.c*$V609*MAX(0,BG609*Mat.Conc_Beta.1-$Y609)))
-($J609*MIN(Mat.Rebar_f.y,(Mat.Rebar_epsilon.cl*($S609-BG609)/BG609)*Mat.PT_E.s))
-($M609*Mat.PT_f.pu*(1-Mat.PT_k*BG609/$P609))))</f>
        <v/>
      </c>
      <c r="BJ609" s="329"/>
      <c r="BK609" s="167" t="str">
        <f>IF(ISBLANK(Inputs!$A92),"",
IF(BI609="--","Solved",
IF(ABS(BI609)&lt;=0.001,"Solved",BG609-BI609*(BG609-BC609)/(BI609-BE609))))</f>
        <v/>
      </c>
      <c r="BL609" s="167"/>
      <c r="BM609" s="329" t="str">
        <f>IF(ISBLANK(Inputs!$A92),"",
IF(OR(BK609="Solved",BK609="--"),"--",
((Mat.Conc_Alpha.1*Mat.Conc_f.c*$AB609*MIN(BK609*Mat.Conc_Beta.1,$Y609))
+(Mat.Conc_Alpha.1*Mat.Conc_f.c*$V609*MAX(0,BK609*Mat.Conc_Beta.1-$Y609)))
-($J609*MIN(Mat.Rebar_f.y,(Mat.Rebar_epsilon.cl*($S609-BK609)/BK609)*Mat.PT_E.s))
-($M609*Mat.PT_f.pu*(1-Mat.PT_k*BK609/$P609))))</f>
        <v/>
      </c>
      <c r="BN609" s="329"/>
      <c r="BO609" s="167" t="str">
        <f>IF(ISBLANK(Inputs!$A92),"",
IF(BM609="--","Solved",
IF(ABS(BM609)&lt;=0.001,"Solved",BK609-BM609*(BK609-BG609)/(BM609-BI609))))</f>
        <v/>
      </c>
      <c r="BP609" s="167"/>
      <c r="BQ609" s="329" t="str">
        <f>IF(ISBLANK(Inputs!$A92),"",
IF(OR(BO609="Solved",BO609="--"),"--",
((Mat.Conc_Alpha.1*Mat.Conc_f.c*$AB609*MIN(BO609*Mat.Conc_Beta.1,$Y609))
+(Mat.Conc_Alpha.1*Mat.Conc_f.c*$V609*MAX(0,BO609*Mat.Conc_Beta.1-$Y609)))
-($J609*MIN(Mat.Rebar_f.y,(Mat.Rebar_epsilon.cl*($S609-BO609)/BO609)*Mat.PT_E.s))
-($M609*Mat.PT_f.pu*(1-Mat.PT_k*BO609/$P609))))</f>
        <v/>
      </c>
      <c r="BR609" s="329"/>
      <c r="BS609" s="70"/>
      <c r="BT609" s="70"/>
      <c r="BU609" s="70"/>
      <c r="BV609" s="70"/>
      <c r="BW609" s="8"/>
      <c r="BX609" s="8"/>
      <c r="BY609" s="8"/>
      <c r="BZ609" s="8"/>
      <c r="CA609" s="8"/>
      <c r="CB609" s="10"/>
    </row>
    <row r="610" spans="3:80" ht="15" customHeight="1" x14ac:dyDescent="0.25">
      <c r="C610" s="69"/>
      <c r="F610" s="167" t="str">
        <f>IF(ISBLANK(Inputs!A93),"",Inputs!A93)</f>
        <v/>
      </c>
      <c r="G610" s="167"/>
      <c r="H610" s="167" t="str">
        <f>IF(ISBLANK(Inputs!B93),"",Inputs!B93)</f>
        <v/>
      </c>
      <c r="I610" s="167"/>
      <c r="J610" s="168" t="str">
        <f>IF(ISBLANK(Inputs!K93),"",Inputs!K93)</f>
        <v/>
      </c>
      <c r="K610" s="168"/>
      <c r="L610" s="168"/>
      <c r="M610" s="168" t="str">
        <f>IF(ISBLANK(Inputs!D93),"",Inputs!D93)</f>
        <v/>
      </c>
      <c r="N610" s="168"/>
      <c r="O610" s="168"/>
      <c r="P610" s="168" t="str">
        <f>IF(ISBLANK(Inputs!F93),"",Inputs!$B$10-Inputs!F93)</f>
        <v/>
      </c>
      <c r="Q610" s="168"/>
      <c r="R610" s="168"/>
      <c r="S610" s="168" t="str">
        <f>IF(ISBLANK(Inputs!L93),"",Inputs!L93)</f>
        <v/>
      </c>
      <c r="T610" s="168"/>
      <c r="U610" s="168"/>
      <c r="V610" s="168" t="str">
        <f>IF(ISBLANK(Inputs!E93),"",Inputs!E93)</f>
        <v/>
      </c>
      <c r="W610" s="168"/>
      <c r="X610" s="168"/>
      <c r="Y610" s="168" t="str">
        <f>IF(ISBLANK(Inputs!M93),"",Inputs!M93)</f>
        <v/>
      </c>
      <c r="Z610" s="168"/>
      <c r="AA610" s="168"/>
      <c r="AB610" s="168" t="str">
        <f>IF(ISBLANK(Inputs!N93),"",Inputs!N93)</f>
        <v/>
      </c>
      <c r="AC610" s="168"/>
      <c r="AD610" s="168"/>
      <c r="AE610" s="371" t="str">
        <f>IF(ISBLANK(Inputs!A93),"",Y610)</f>
        <v/>
      </c>
      <c r="AF610" s="371"/>
      <c r="AG610" s="329" t="str">
        <f>IF(ISBLANK(Inputs!$A93),"",
IF(OR(AE610="Solved",AE610="--"),"--",
((Mat.Conc_Alpha.1*Mat.Conc_f.c*$AB610*MIN(AE610*Mat.Conc_Beta.1,$Y610))
+(Mat.Conc_Alpha.1*Mat.Conc_f.c*$V610*MAX(0,AE610*Mat.Conc_Beta.1-$Y610)))
-($J610*MIN(Mat.Rebar_f.y,(Mat.Rebar_epsilon.cl*($S610-AE610)/AE610)*Mat.PT_E.s))
-($M610*Mat.PT_f.pu*(1-Mat.PT_k*AE610/$P610))))</f>
        <v/>
      </c>
      <c r="AH610" s="329"/>
      <c r="AI610" s="167" t="str">
        <f>IF(ISBLANK(Inputs!$A93),"",
IF(ABS(AG610)&lt;=0.001,"Solved",IF(AG610&gt;0,0.85*AE610,1.15*AE610)))</f>
        <v/>
      </c>
      <c r="AJ610" s="167"/>
      <c r="AK610" s="329" t="str">
        <f>IF(ISBLANK(Inputs!$A93),"",
IF(OR(AI610="Solved",AI610="--"),"--",
((Mat.Conc_Alpha.1*Mat.Conc_f.c*$AB610*MIN(AI610*Mat.Conc_Beta.1,$Y610))
+(Mat.Conc_Alpha.1*Mat.Conc_f.c*$V610*MAX(0,AI610*Mat.Conc_Beta.1-$Y610)))
-($J610*MIN(Mat.Rebar_f.y,(Mat.Rebar_epsilon.cl*($S610-AI610)/AI610)*Mat.PT_E.s))
-($M610*Mat.PT_f.pu*(1-Mat.PT_k*AI610/$P610))))</f>
        <v/>
      </c>
      <c r="AL610" s="329"/>
      <c r="AM610" s="167" t="str">
        <f>IF(ISBLANK(Inputs!$A93),"",
IF(AK610="--","Solved",
IF(ABS(AK610)&lt;=0.001,"Solved",AI610-AK610*(AI610-AE610)/(AK610-AG610))))</f>
        <v/>
      </c>
      <c r="AN610" s="167"/>
      <c r="AO610" s="329" t="str">
        <f>IF(ISBLANK(Inputs!$A93),"",
IF(OR(AM610="Solved",AM610="--"),"--",
((Mat.Conc_Alpha.1*Mat.Conc_f.c*$AB610*MIN(AM610*Mat.Conc_Beta.1,$Y610))
+(Mat.Conc_Alpha.1*Mat.Conc_f.c*$V610*MAX(0,AM610*Mat.Conc_Beta.1-$Y610)))
-($J610*MIN(Mat.Rebar_f.y,(Mat.Rebar_epsilon.cl*($S610-AM610)/AM610)*Mat.PT_E.s))
-($M610*Mat.PT_f.pu*(1-Mat.PT_k*AM610/$P610))))</f>
        <v/>
      </c>
      <c r="AP610" s="329"/>
      <c r="AQ610" s="167" t="str">
        <f>IF(ISBLANK(Inputs!$A93),"",
IF(AO610="--","Solved",
IF(ABS(AO610)&lt;=0.001,"Solved",AM610-AO610*(AM610-AI610)/(AO610-AK610))))</f>
        <v/>
      </c>
      <c r="AR610" s="167"/>
      <c r="AS610" s="329" t="str">
        <f>IF(ISBLANK(Inputs!$A93),"",
IF(OR(AQ610="Solved",AQ610="--"),"--",
((Mat.Conc_Alpha.1*Mat.Conc_f.c*$AB610*MIN(AQ610*Mat.Conc_Beta.1,$Y610))
+(Mat.Conc_Alpha.1*Mat.Conc_f.c*$V610*MAX(0,AQ610*Mat.Conc_Beta.1-$Y610)))
-($J610*MIN(Mat.Rebar_f.y,(Mat.Rebar_epsilon.cl*($S610-AQ610)/AQ610)*Mat.PT_E.s))
-($M610*Mat.PT_f.pu*(1-Mat.PT_k*AQ610/$P610))))</f>
        <v/>
      </c>
      <c r="AT610" s="329"/>
      <c r="AU610" s="167" t="str">
        <f>IF(ISBLANK(Inputs!$A93),"",
IF(AS610="--","Solved",
IF(ABS(AS610)&lt;=0.001,"Solved",AQ610-AS610*(AQ610-AM610)/(AS610-AO610))))</f>
        <v/>
      </c>
      <c r="AV610" s="167"/>
      <c r="AW610" s="329" t="str">
        <f>IF(ISBLANK(Inputs!$A93),"",
IF(OR(AU610="Solved",AU610="--"),"--",
((Mat.Conc_Alpha.1*Mat.Conc_f.c*$AB610*MIN(AU610*Mat.Conc_Beta.1,$Y610))
+(Mat.Conc_Alpha.1*Mat.Conc_f.c*$V610*MAX(0,AU610*Mat.Conc_Beta.1-$Y610)))
-($J610*MIN(Mat.Rebar_f.y,(Mat.Rebar_epsilon.cl*($S610-AU610)/AU610)*Mat.PT_E.s))
-($M610*Mat.PT_f.pu*(1-Mat.PT_k*AU610/$P610))))</f>
        <v/>
      </c>
      <c r="AX610" s="329"/>
      <c r="AY610" s="167" t="str">
        <f>IF(ISBLANK(Inputs!$A93),"",
IF(AW610="--","Solved",
IF(ABS(AW610)&lt;=0.001,"Solved",AU610-AW610*(AU610-AQ610)/(AW610-AS610))))</f>
        <v/>
      </c>
      <c r="AZ610" s="167"/>
      <c r="BA610" s="329" t="str">
        <f>IF(ISBLANK(Inputs!$A93),"",
IF(OR(AY610="Solved",AY610="--"),"--",
((Mat.Conc_Alpha.1*Mat.Conc_f.c*$AB610*MIN(AY610*Mat.Conc_Beta.1,$Y610))
+(Mat.Conc_Alpha.1*Mat.Conc_f.c*$V610*MAX(0,AY610*Mat.Conc_Beta.1-$Y610)))
-($J610*MIN(Mat.Rebar_f.y,(Mat.Rebar_epsilon.cl*($S610-AY610)/AY610)*Mat.PT_E.s))
-($M610*Mat.PT_f.pu*(1-Mat.PT_k*AY610/$P610))))</f>
        <v/>
      </c>
      <c r="BB610" s="329"/>
      <c r="BC610" s="167" t="str">
        <f>IF(ISBLANK(Inputs!$A93),"",
IF(BA610="--","Solved",
IF(ABS(BA610)&lt;=0.001,"Solved",AY610-BA610*(AY610-AU610)/(BA610-AW610))))</f>
        <v/>
      </c>
      <c r="BD610" s="167"/>
      <c r="BE610" s="329" t="str">
        <f>IF(ISBLANK(Inputs!$A93),"",
IF(OR(BC610="Solved",BC610="--"),"--",
((Mat.Conc_Alpha.1*Mat.Conc_f.c*$AB610*MIN(BC610*Mat.Conc_Beta.1,$Y610))
+(Mat.Conc_Alpha.1*Mat.Conc_f.c*$V610*MAX(0,BC610*Mat.Conc_Beta.1-$Y610)))
-($J610*MIN(Mat.Rebar_f.y,(Mat.Rebar_epsilon.cl*($S610-BC610)/BC610)*Mat.PT_E.s))
-($M610*Mat.PT_f.pu*(1-Mat.PT_k*BC610/$P610))))</f>
        <v/>
      </c>
      <c r="BF610" s="329"/>
      <c r="BG610" s="167" t="str">
        <f>IF(ISBLANK(Inputs!$A93),"",
IF(BE610="--","Solved",
IF(ABS(BE610)&lt;=0.001,"Solved",BC610-BE610*(BC610-AY610)/(BE610-BA610))))</f>
        <v/>
      </c>
      <c r="BH610" s="167"/>
      <c r="BI610" s="329" t="str">
        <f>IF(ISBLANK(Inputs!$A93),"",
IF(OR(BG610="Solved",BG610="--"),"--",
((Mat.Conc_Alpha.1*Mat.Conc_f.c*$AB610*MIN(BG610*Mat.Conc_Beta.1,$Y610))
+(Mat.Conc_Alpha.1*Mat.Conc_f.c*$V610*MAX(0,BG610*Mat.Conc_Beta.1-$Y610)))
-($J610*MIN(Mat.Rebar_f.y,(Mat.Rebar_epsilon.cl*($S610-BG610)/BG610)*Mat.PT_E.s))
-($M610*Mat.PT_f.pu*(1-Mat.PT_k*BG610/$P610))))</f>
        <v/>
      </c>
      <c r="BJ610" s="329"/>
      <c r="BK610" s="167" t="str">
        <f>IF(ISBLANK(Inputs!$A93),"",
IF(BI610="--","Solved",
IF(ABS(BI610)&lt;=0.001,"Solved",BG610-BI610*(BG610-BC610)/(BI610-BE610))))</f>
        <v/>
      </c>
      <c r="BL610" s="167"/>
      <c r="BM610" s="329" t="str">
        <f>IF(ISBLANK(Inputs!$A93),"",
IF(OR(BK610="Solved",BK610="--"),"--",
((Mat.Conc_Alpha.1*Mat.Conc_f.c*$AB610*MIN(BK610*Mat.Conc_Beta.1,$Y610))
+(Mat.Conc_Alpha.1*Mat.Conc_f.c*$V610*MAX(0,BK610*Mat.Conc_Beta.1-$Y610)))
-($J610*MIN(Mat.Rebar_f.y,(Mat.Rebar_epsilon.cl*($S610-BK610)/BK610)*Mat.PT_E.s))
-($M610*Mat.PT_f.pu*(1-Mat.PT_k*BK610/$P610))))</f>
        <v/>
      </c>
      <c r="BN610" s="329"/>
      <c r="BO610" s="167" t="str">
        <f>IF(ISBLANK(Inputs!$A93),"",
IF(BM610="--","Solved",
IF(ABS(BM610)&lt;=0.001,"Solved",BK610-BM610*(BK610-BG610)/(BM610-BI610))))</f>
        <v/>
      </c>
      <c r="BP610" s="167"/>
      <c r="BQ610" s="329" t="str">
        <f>IF(ISBLANK(Inputs!$A93),"",
IF(OR(BO610="Solved",BO610="--"),"--",
((Mat.Conc_Alpha.1*Mat.Conc_f.c*$AB610*MIN(BO610*Mat.Conc_Beta.1,$Y610))
+(Mat.Conc_Alpha.1*Mat.Conc_f.c*$V610*MAX(0,BO610*Mat.Conc_Beta.1-$Y610)))
-($J610*MIN(Mat.Rebar_f.y,(Mat.Rebar_epsilon.cl*($S610-BO610)/BO610)*Mat.PT_E.s))
-($M610*Mat.PT_f.pu*(1-Mat.PT_k*BO610/$P610))))</f>
        <v/>
      </c>
      <c r="BR610" s="329"/>
      <c r="BS610" s="70"/>
      <c r="BT610" s="70"/>
      <c r="BU610" s="70"/>
      <c r="BV610" s="70"/>
      <c r="BW610" s="8"/>
      <c r="BX610" s="8"/>
      <c r="BY610" s="8"/>
      <c r="BZ610" s="8"/>
      <c r="CA610" s="8"/>
      <c r="CB610" s="10"/>
    </row>
    <row r="611" spans="3:80" ht="15" customHeight="1" x14ac:dyDescent="0.25">
      <c r="C611" s="69"/>
      <c r="F611" s="167" t="str">
        <f>IF(ISBLANK(Inputs!A94),"",Inputs!A94)</f>
        <v/>
      </c>
      <c r="G611" s="167"/>
      <c r="H611" s="167" t="str">
        <f>IF(ISBLANK(Inputs!B94),"",Inputs!B94)</f>
        <v/>
      </c>
      <c r="I611" s="167"/>
      <c r="J611" s="168" t="str">
        <f>IF(ISBLANK(Inputs!K94),"",Inputs!K94)</f>
        <v/>
      </c>
      <c r="K611" s="168"/>
      <c r="L611" s="168"/>
      <c r="M611" s="168" t="str">
        <f>IF(ISBLANK(Inputs!D94),"",Inputs!D94)</f>
        <v/>
      </c>
      <c r="N611" s="168"/>
      <c r="O611" s="168"/>
      <c r="P611" s="168" t="str">
        <f>IF(ISBLANK(Inputs!F94),"",Inputs!$B$10-Inputs!F94)</f>
        <v/>
      </c>
      <c r="Q611" s="168"/>
      <c r="R611" s="168"/>
      <c r="S611" s="168" t="str">
        <f>IF(ISBLANK(Inputs!L94),"",Inputs!L94)</f>
        <v/>
      </c>
      <c r="T611" s="168"/>
      <c r="U611" s="168"/>
      <c r="V611" s="168" t="str">
        <f>IF(ISBLANK(Inputs!E94),"",Inputs!E94)</f>
        <v/>
      </c>
      <c r="W611" s="168"/>
      <c r="X611" s="168"/>
      <c r="Y611" s="168" t="str">
        <f>IF(ISBLANK(Inputs!M94),"",Inputs!M94)</f>
        <v/>
      </c>
      <c r="Z611" s="168"/>
      <c r="AA611" s="168"/>
      <c r="AB611" s="168" t="str">
        <f>IF(ISBLANK(Inputs!N94),"",Inputs!N94)</f>
        <v/>
      </c>
      <c r="AC611" s="168"/>
      <c r="AD611" s="168"/>
      <c r="AE611" s="371" t="str">
        <f>IF(ISBLANK(Inputs!A94),"",Y611)</f>
        <v/>
      </c>
      <c r="AF611" s="371"/>
      <c r="AG611" s="329" t="str">
        <f>IF(ISBLANK(Inputs!$A94),"",
IF(OR(AE611="Solved",AE611="--"),"--",
((Mat.Conc_Alpha.1*Mat.Conc_f.c*$AB611*MIN(AE611*Mat.Conc_Beta.1,$Y611))
+(Mat.Conc_Alpha.1*Mat.Conc_f.c*$V611*MAX(0,AE611*Mat.Conc_Beta.1-$Y611)))
-($J611*MIN(Mat.Rebar_f.y,(Mat.Rebar_epsilon.cl*($S611-AE611)/AE611)*Mat.PT_E.s))
-($M611*Mat.PT_f.pu*(1-Mat.PT_k*AE611/$P611))))</f>
        <v/>
      </c>
      <c r="AH611" s="329"/>
      <c r="AI611" s="167" t="str">
        <f>IF(ISBLANK(Inputs!$A94),"",
IF(ABS(AG611)&lt;=0.001,"Solved",IF(AG611&gt;0,0.85*AE611,1.15*AE611)))</f>
        <v/>
      </c>
      <c r="AJ611" s="167"/>
      <c r="AK611" s="329" t="str">
        <f>IF(ISBLANK(Inputs!$A94),"",
IF(OR(AI611="Solved",AI611="--"),"--",
((Mat.Conc_Alpha.1*Mat.Conc_f.c*$AB611*MIN(AI611*Mat.Conc_Beta.1,$Y611))
+(Mat.Conc_Alpha.1*Mat.Conc_f.c*$V611*MAX(0,AI611*Mat.Conc_Beta.1-$Y611)))
-($J611*MIN(Mat.Rebar_f.y,(Mat.Rebar_epsilon.cl*($S611-AI611)/AI611)*Mat.PT_E.s))
-($M611*Mat.PT_f.pu*(1-Mat.PT_k*AI611/$P611))))</f>
        <v/>
      </c>
      <c r="AL611" s="329"/>
      <c r="AM611" s="167" t="str">
        <f>IF(ISBLANK(Inputs!$A94),"",
IF(AK611="--","Solved",
IF(ABS(AK611)&lt;=0.001,"Solved",AI611-AK611*(AI611-AE611)/(AK611-AG611))))</f>
        <v/>
      </c>
      <c r="AN611" s="167"/>
      <c r="AO611" s="329" t="str">
        <f>IF(ISBLANK(Inputs!$A94),"",
IF(OR(AM611="Solved",AM611="--"),"--",
((Mat.Conc_Alpha.1*Mat.Conc_f.c*$AB611*MIN(AM611*Mat.Conc_Beta.1,$Y611))
+(Mat.Conc_Alpha.1*Mat.Conc_f.c*$V611*MAX(0,AM611*Mat.Conc_Beta.1-$Y611)))
-($J611*MIN(Mat.Rebar_f.y,(Mat.Rebar_epsilon.cl*($S611-AM611)/AM611)*Mat.PT_E.s))
-($M611*Mat.PT_f.pu*(1-Mat.PT_k*AM611/$P611))))</f>
        <v/>
      </c>
      <c r="AP611" s="329"/>
      <c r="AQ611" s="167" t="str">
        <f>IF(ISBLANK(Inputs!$A94),"",
IF(AO611="--","Solved",
IF(ABS(AO611)&lt;=0.001,"Solved",AM611-AO611*(AM611-AI611)/(AO611-AK611))))</f>
        <v/>
      </c>
      <c r="AR611" s="167"/>
      <c r="AS611" s="329" t="str">
        <f>IF(ISBLANK(Inputs!$A94),"",
IF(OR(AQ611="Solved",AQ611="--"),"--",
((Mat.Conc_Alpha.1*Mat.Conc_f.c*$AB611*MIN(AQ611*Mat.Conc_Beta.1,$Y611))
+(Mat.Conc_Alpha.1*Mat.Conc_f.c*$V611*MAX(0,AQ611*Mat.Conc_Beta.1-$Y611)))
-($J611*MIN(Mat.Rebar_f.y,(Mat.Rebar_epsilon.cl*($S611-AQ611)/AQ611)*Mat.PT_E.s))
-($M611*Mat.PT_f.pu*(1-Mat.PT_k*AQ611/$P611))))</f>
        <v/>
      </c>
      <c r="AT611" s="329"/>
      <c r="AU611" s="167" t="str">
        <f>IF(ISBLANK(Inputs!$A94),"",
IF(AS611="--","Solved",
IF(ABS(AS611)&lt;=0.001,"Solved",AQ611-AS611*(AQ611-AM611)/(AS611-AO611))))</f>
        <v/>
      </c>
      <c r="AV611" s="167"/>
      <c r="AW611" s="329" t="str">
        <f>IF(ISBLANK(Inputs!$A94),"",
IF(OR(AU611="Solved",AU611="--"),"--",
((Mat.Conc_Alpha.1*Mat.Conc_f.c*$AB611*MIN(AU611*Mat.Conc_Beta.1,$Y611))
+(Mat.Conc_Alpha.1*Mat.Conc_f.c*$V611*MAX(0,AU611*Mat.Conc_Beta.1-$Y611)))
-($J611*MIN(Mat.Rebar_f.y,(Mat.Rebar_epsilon.cl*($S611-AU611)/AU611)*Mat.PT_E.s))
-($M611*Mat.PT_f.pu*(1-Mat.PT_k*AU611/$P611))))</f>
        <v/>
      </c>
      <c r="AX611" s="329"/>
      <c r="AY611" s="167" t="str">
        <f>IF(ISBLANK(Inputs!$A94),"",
IF(AW611="--","Solved",
IF(ABS(AW611)&lt;=0.001,"Solved",AU611-AW611*(AU611-AQ611)/(AW611-AS611))))</f>
        <v/>
      </c>
      <c r="AZ611" s="167"/>
      <c r="BA611" s="329" t="str">
        <f>IF(ISBLANK(Inputs!$A94),"",
IF(OR(AY611="Solved",AY611="--"),"--",
((Mat.Conc_Alpha.1*Mat.Conc_f.c*$AB611*MIN(AY611*Mat.Conc_Beta.1,$Y611))
+(Mat.Conc_Alpha.1*Mat.Conc_f.c*$V611*MAX(0,AY611*Mat.Conc_Beta.1-$Y611)))
-($J611*MIN(Mat.Rebar_f.y,(Mat.Rebar_epsilon.cl*($S611-AY611)/AY611)*Mat.PT_E.s))
-($M611*Mat.PT_f.pu*(1-Mat.PT_k*AY611/$P611))))</f>
        <v/>
      </c>
      <c r="BB611" s="329"/>
      <c r="BC611" s="167" t="str">
        <f>IF(ISBLANK(Inputs!$A94),"",
IF(BA611="--","Solved",
IF(ABS(BA611)&lt;=0.001,"Solved",AY611-BA611*(AY611-AU611)/(BA611-AW611))))</f>
        <v/>
      </c>
      <c r="BD611" s="167"/>
      <c r="BE611" s="329" t="str">
        <f>IF(ISBLANK(Inputs!$A94),"",
IF(OR(BC611="Solved",BC611="--"),"--",
((Mat.Conc_Alpha.1*Mat.Conc_f.c*$AB611*MIN(BC611*Mat.Conc_Beta.1,$Y611))
+(Mat.Conc_Alpha.1*Mat.Conc_f.c*$V611*MAX(0,BC611*Mat.Conc_Beta.1-$Y611)))
-($J611*MIN(Mat.Rebar_f.y,(Mat.Rebar_epsilon.cl*($S611-BC611)/BC611)*Mat.PT_E.s))
-($M611*Mat.PT_f.pu*(1-Mat.PT_k*BC611/$P611))))</f>
        <v/>
      </c>
      <c r="BF611" s="329"/>
      <c r="BG611" s="167" t="str">
        <f>IF(ISBLANK(Inputs!$A94),"",
IF(BE611="--","Solved",
IF(ABS(BE611)&lt;=0.001,"Solved",BC611-BE611*(BC611-AY611)/(BE611-BA611))))</f>
        <v/>
      </c>
      <c r="BH611" s="167"/>
      <c r="BI611" s="329" t="str">
        <f>IF(ISBLANK(Inputs!$A94),"",
IF(OR(BG611="Solved",BG611="--"),"--",
((Mat.Conc_Alpha.1*Mat.Conc_f.c*$AB611*MIN(BG611*Mat.Conc_Beta.1,$Y611))
+(Mat.Conc_Alpha.1*Mat.Conc_f.c*$V611*MAX(0,BG611*Mat.Conc_Beta.1-$Y611)))
-($J611*MIN(Mat.Rebar_f.y,(Mat.Rebar_epsilon.cl*($S611-BG611)/BG611)*Mat.PT_E.s))
-($M611*Mat.PT_f.pu*(1-Mat.PT_k*BG611/$P611))))</f>
        <v/>
      </c>
      <c r="BJ611" s="329"/>
      <c r="BK611" s="167" t="str">
        <f>IF(ISBLANK(Inputs!$A94),"",
IF(BI611="--","Solved",
IF(ABS(BI611)&lt;=0.001,"Solved",BG611-BI611*(BG611-BC611)/(BI611-BE611))))</f>
        <v/>
      </c>
      <c r="BL611" s="167"/>
      <c r="BM611" s="329" t="str">
        <f>IF(ISBLANK(Inputs!$A94),"",
IF(OR(BK611="Solved",BK611="--"),"--",
((Mat.Conc_Alpha.1*Mat.Conc_f.c*$AB611*MIN(BK611*Mat.Conc_Beta.1,$Y611))
+(Mat.Conc_Alpha.1*Mat.Conc_f.c*$V611*MAX(0,BK611*Mat.Conc_Beta.1-$Y611)))
-($J611*MIN(Mat.Rebar_f.y,(Mat.Rebar_epsilon.cl*($S611-BK611)/BK611)*Mat.PT_E.s))
-($M611*Mat.PT_f.pu*(1-Mat.PT_k*BK611/$P611))))</f>
        <v/>
      </c>
      <c r="BN611" s="329"/>
      <c r="BO611" s="167" t="str">
        <f>IF(ISBLANK(Inputs!$A94),"",
IF(BM611="--","Solved",
IF(ABS(BM611)&lt;=0.001,"Solved",BK611-BM611*(BK611-BG611)/(BM611-BI611))))</f>
        <v/>
      </c>
      <c r="BP611" s="167"/>
      <c r="BQ611" s="329" t="str">
        <f>IF(ISBLANK(Inputs!$A94),"",
IF(OR(BO611="Solved",BO611="--"),"--",
((Mat.Conc_Alpha.1*Mat.Conc_f.c*$AB611*MIN(BO611*Mat.Conc_Beta.1,$Y611))
+(Mat.Conc_Alpha.1*Mat.Conc_f.c*$V611*MAX(0,BO611*Mat.Conc_Beta.1-$Y611)))
-($J611*MIN(Mat.Rebar_f.y,(Mat.Rebar_epsilon.cl*($S611-BO611)/BO611)*Mat.PT_E.s))
-($M611*Mat.PT_f.pu*(1-Mat.PT_k*BO611/$P611))))</f>
        <v/>
      </c>
      <c r="BR611" s="329"/>
      <c r="BS611" s="70"/>
      <c r="BT611" s="70"/>
      <c r="BU611" s="70"/>
      <c r="BV611" s="70"/>
      <c r="BW611" s="8"/>
      <c r="BX611" s="8"/>
      <c r="BY611" s="8"/>
      <c r="BZ611" s="8"/>
      <c r="CA611" s="8"/>
      <c r="CB611" s="10"/>
    </row>
    <row r="612" spans="3:80" ht="15" customHeight="1" x14ac:dyDescent="0.25">
      <c r="C612" s="69"/>
      <c r="F612" s="167" t="str">
        <f>IF(ISBLANK(Inputs!A95),"",Inputs!A95)</f>
        <v/>
      </c>
      <c r="G612" s="167"/>
      <c r="H612" s="167" t="str">
        <f>IF(ISBLANK(Inputs!B95),"",Inputs!B95)</f>
        <v/>
      </c>
      <c r="I612" s="167"/>
      <c r="J612" s="168" t="str">
        <f>IF(ISBLANK(Inputs!K95),"",Inputs!K95)</f>
        <v/>
      </c>
      <c r="K612" s="168"/>
      <c r="L612" s="168"/>
      <c r="M612" s="168" t="str">
        <f>IF(ISBLANK(Inputs!D95),"",Inputs!D95)</f>
        <v/>
      </c>
      <c r="N612" s="168"/>
      <c r="O612" s="168"/>
      <c r="P612" s="168" t="str">
        <f>IF(ISBLANK(Inputs!F95),"",Inputs!$B$10-Inputs!F95)</f>
        <v/>
      </c>
      <c r="Q612" s="168"/>
      <c r="R612" s="168"/>
      <c r="S612" s="168" t="str">
        <f>IF(ISBLANK(Inputs!L95),"",Inputs!L95)</f>
        <v/>
      </c>
      <c r="T612" s="168"/>
      <c r="U612" s="168"/>
      <c r="V612" s="168" t="str">
        <f>IF(ISBLANK(Inputs!E95),"",Inputs!E95)</f>
        <v/>
      </c>
      <c r="W612" s="168"/>
      <c r="X612" s="168"/>
      <c r="Y612" s="168" t="str">
        <f>IF(ISBLANK(Inputs!M95),"",Inputs!M95)</f>
        <v/>
      </c>
      <c r="Z612" s="168"/>
      <c r="AA612" s="168"/>
      <c r="AB612" s="168" t="str">
        <f>IF(ISBLANK(Inputs!N95),"",Inputs!N95)</f>
        <v/>
      </c>
      <c r="AC612" s="168"/>
      <c r="AD612" s="168"/>
      <c r="AE612" s="371" t="str">
        <f>IF(ISBLANK(Inputs!A95),"",Y612)</f>
        <v/>
      </c>
      <c r="AF612" s="371"/>
      <c r="AG612" s="329" t="str">
        <f>IF(ISBLANK(Inputs!$A95),"",
IF(OR(AE612="Solved",AE612="--"),"--",
((Mat.Conc_Alpha.1*Mat.Conc_f.c*$AB612*MIN(AE612*Mat.Conc_Beta.1,$Y612))
+(Mat.Conc_Alpha.1*Mat.Conc_f.c*$V612*MAX(0,AE612*Mat.Conc_Beta.1-$Y612)))
-($J612*MIN(Mat.Rebar_f.y,(Mat.Rebar_epsilon.cl*($S612-AE612)/AE612)*Mat.PT_E.s))
-($M612*Mat.PT_f.pu*(1-Mat.PT_k*AE612/$P612))))</f>
        <v/>
      </c>
      <c r="AH612" s="329"/>
      <c r="AI612" s="167" t="str">
        <f>IF(ISBLANK(Inputs!$A95),"",
IF(ABS(AG612)&lt;=0.001,"Solved",IF(AG612&gt;0,0.85*AE612,1.15*AE612)))</f>
        <v/>
      </c>
      <c r="AJ612" s="167"/>
      <c r="AK612" s="329" t="str">
        <f>IF(ISBLANK(Inputs!$A95),"",
IF(OR(AI612="Solved",AI612="--"),"--",
((Mat.Conc_Alpha.1*Mat.Conc_f.c*$AB612*MIN(AI612*Mat.Conc_Beta.1,$Y612))
+(Mat.Conc_Alpha.1*Mat.Conc_f.c*$V612*MAX(0,AI612*Mat.Conc_Beta.1-$Y612)))
-($J612*MIN(Mat.Rebar_f.y,(Mat.Rebar_epsilon.cl*($S612-AI612)/AI612)*Mat.PT_E.s))
-($M612*Mat.PT_f.pu*(1-Mat.PT_k*AI612/$P612))))</f>
        <v/>
      </c>
      <c r="AL612" s="329"/>
      <c r="AM612" s="167" t="str">
        <f>IF(ISBLANK(Inputs!$A95),"",
IF(AK612="--","Solved",
IF(ABS(AK612)&lt;=0.001,"Solved",AI612-AK612*(AI612-AE612)/(AK612-AG612))))</f>
        <v/>
      </c>
      <c r="AN612" s="167"/>
      <c r="AO612" s="329" t="str">
        <f>IF(ISBLANK(Inputs!$A95),"",
IF(OR(AM612="Solved",AM612="--"),"--",
((Mat.Conc_Alpha.1*Mat.Conc_f.c*$AB612*MIN(AM612*Mat.Conc_Beta.1,$Y612))
+(Mat.Conc_Alpha.1*Mat.Conc_f.c*$V612*MAX(0,AM612*Mat.Conc_Beta.1-$Y612)))
-($J612*MIN(Mat.Rebar_f.y,(Mat.Rebar_epsilon.cl*($S612-AM612)/AM612)*Mat.PT_E.s))
-($M612*Mat.PT_f.pu*(1-Mat.PT_k*AM612/$P612))))</f>
        <v/>
      </c>
      <c r="AP612" s="329"/>
      <c r="AQ612" s="167" t="str">
        <f>IF(ISBLANK(Inputs!$A95),"",
IF(AO612="--","Solved",
IF(ABS(AO612)&lt;=0.001,"Solved",AM612-AO612*(AM612-AI612)/(AO612-AK612))))</f>
        <v/>
      </c>
      <c r="AR612" s="167"/>
      <c r="AS612" s="329" t="str">
        <f>IF(ISBLANK(Inputs!$A95),"",
IF(OR(AQ612="Solved",AQ612="--"),"--",
((Mat.Conc_Alpha.1*Mat.Conc_f.c*$AB612*MIN(AQ612*Mat.Conc_Beta.1,$Y612))
+(Mat.Conc_Alpha.1*Mat.Conc_f.c*$V612*MAX(0,AQ612*Mat.Conc_Beta.1-$Y612)))
-($J612*MIN(Mat.Rebar_f.y,(Mat.Rebar_epsilon.cl*($S612-AQ612)/AQ612)*Mat.PT_E.s))
-($M612*Mat.PT_f.pu*(1-Mat.PT_k*AQ612/$P612))))</f>
        <v/>
      </c>
      <c r="AT612" s="329"/>
      <c r="AU612" s="167" t="str">
        <f>IF(ISBLANK(Inputs!$A95),"",
IF(AS612="--","Solved",
IF(ABS(AS612)&lt;=0.001,"Solved",AQ612-AS612*(AQ612-AM612)/(AS612-AO612))))</f>
        <v/>
      </c>
      <c r="AV612" s="167"/>
      <c r="AW612" s="329" t="str">
        <f>IF(ISBLANK(Inputs!$A95),"",
IF(OR(AU612="Solved",AU612="--"),"--",
((Mat.Conc_Alpha.1*Mat.Conc_f.c*$AB612*MIN(AU612*Mat.Conc_Beta.1,$Y612))
+(Mat.Conc_Alpha.1*Mat.Conc_f.c*$V612*MAX(0,AU612*Mat.Conc_Beta.1-$Y612)))
-($J612*MIN(Mat.Rebar_f.y,(Mat.Rebar_epsilon.cl*($S612-AU612)/AU612)*Mat.PT_E.s))
-($M612*Mat.PT_f.pu*(1-Mat.PT_k*AU612/$P612))))</f>
        <v/>
      </c>
      <c r="AX612" s="329"/>
      <c r="AY612" s="167" t="str">
        <f>IF(ISBLANK(Inputs!$A95),"",
IF(AW612="--","Solved",
IF(ABS(AW612)&lt;=0.001,"Solved",AU612-AW612*(AU612-AQ612)/(AW612-AS612))))</f>
        <v/>
      </c>
      <c r="AZ612" s="167"/>
      <c r="BA612" s="329" t="str">
        <f>IF(ISBLANK(Inputs!$A95),"",
IF(OR(AY612="Solved",AY612="--"),"--",
((Mat.Conc_Alpha.1*Mat.Conc_f.c*$AB612*MIN(AY612*Mat.Conc_Beta.1,$Y612))
+(Mat.Conc_Alpha.1*Mat.Conc_f.c*$V612*MAX(0,AY612*Mat.Conc_Beta.1-$Y612)))
-($J612*MIN(Mat.Rebar_f.y,(Mat.Rebar_epsilon.cl*($S612-AY612)/AY612)*Mat.PT_E.s))
-($M612*Mat.PT_f.pu*(1-Mat.PT_k*AY612/$P612))))</f>
        <v/>
      </c>
      <c r="BB612" s="329"/>
      <c r="BC612" s="167" t="str">
        <f>IF(ISBLANK(Inputs!$A95),"",
IF(BA612="--","Solved",
IF(ABS(BA612)&lt;=0.001,"Solved",AY612-BA612*(AY612-AU612)/(BA612-AW612))))</f>
        <v/>
      </c>
      <c r="BD612" s="167"/>
      <c r="BE612" s="329" t="str">
        <f>IF(ISBLANK(Inputs!$A95),"",
IF(OR(BC612="Solved",BC612="--"),"--",
((Mat.Conc_Alpha.1*Mat.Conc_f.c*$AB612*MIN(BC612*Mat.Conc_Beta.1,$Y612))
+(Mat.Conc_Alpha.1*Mat.Conc_f.c*$V612*MAX(0,BC612*Mat.Conc_Beta.1-$Y612)))
-($J612*MIN(Mat.Rebar_f.y,(Mat.Rebar_epsilon.cl*($S612-BC612)/BC612)*Mat.PT_E.s))
-($M612*Mat.PT_f.pu*(1-Mat.PT_k*BC612/$P612))))</f>
        <v/>
      </c>
      <c r="BF612" s="329"/>
      <c r="BG612" s="167" t="str">
        <f>IF(ISBLANK(Inputs!$A95),"",
IF(BE612="--","Solved",
IF(ABS(BE612)&lt;=0.001,"Solved",BC612-BE612*(BC612-AY612)/(BE612-BA612))))</f>
        <v/>
      </c>
      <c r="BH612" s="167"/>
      <c r="BI612" s="329" t="str">
        <f>IF(ISBLANK(Inputs!$A95),"",
IF(OR(BG612="Solved",BG612="--"),"--",
((Mat.Conc_Alpha.1*Mat.Conc_f.c*$AB612*MIN(BG612*Mat.Conc_Beta.1,$Y612))
+(Mat.Conc_Alpha.1*Mat.Conc_f.c*$V612*MAX(0,BG612*Mat.Conc_Beta.1-$Y612)))
-($J612*MIN(Mat.Rebar_f.y,(Mat.Rebar_epsilon.cl*($S612-BG612)/BG612)*Mat.PT_E.s))
-($M612*Mat.PT_f.pu*(1-Mat.PT_k*BG612/$P612))))</f>
        <v/>
      </c>
      <c r="BJ612" s="329"/>
      <c r="BK612" s="167" t="str">
        <f>IF(ISBLANK(Inputs!$A95),"",
IF(BI612="--","Solved",
IF(ABS(BI612)&lt;=0.001,"Solved",BG612-BI612*(BG612-BC612)/(BI612-BE612))))</f>
        <v/>
      </c>
      <c r="BL612" s="167"/>
      <c r="BM612" s="329" t="str">
        <f>IF(ISBLANK(Inputs!$A95),"",
IF(OR(BK612="Solved",BK612="--"),"--",
((Mat.Conc_Alpha.1*Mat.Conc_f.c*$AB612*MIN(BK612*Mat.Conc_Beta.1,$Y612))
+(Mat.Conc_Alpha.1*Mat.Conc_f.c*$V612*MAX(0,BK612*Mat.Conc_Beta.1-$Y612)))
-($J612*MIN(Mat.Rebar_f.y,(Mat.Rebar_epsilon.cl*($S612-BK612)/BK612)*Mat.PT_E.s))
-($M612*Mat.PT_f.pu*(1-Mat.PT_k*BK612/$P612))))</f>
        <v/>
      </c>
      <c r="BN612" s="329"/>
      <c r="BO612" s="167" t="str">
        <f>IF(ISBLANK(Inputs!$A95),"",
IF(BM612="--","Solved",
IF(ABS(BM612)&lt;=0.001,"Solved",BK612-BM612*(BK612-BG612)/(BM612-BI612))))</f>
        <v/>
      </c>
      <c r="BP612" s="167"/>
      <c r="BQ612" s="329" t="str">
        <f>IF(ISBLANK(Inputs!$A95),"",
IF(OR(BO612="Solved",BO612="--"),"--",
((Mat.Conc_Alpha.1*Mat.Conc_f.c*$AB612*MIN(BO612*Mat.Conc_Beta.1,$Y612))
+(Mat.Conc_Alpha.1*Mat.Conc_f.c*$V612*MAX(0,BO612*Mat.Conc_Beta.1-$Y612)))
-($J612*MIN(Mat.Rebar_f.y,(Mat.Rebar_epsilon.cl*($S612-BO612)/BO612)*Mat.PT_E.s))
-($M612*Mat.PT_f.pu*(1-Mat.PT_k*BO612/$P612))))</f>
        <v/>
      </c>
      <c r="BR612" s="329"/>
      <c r="BS612" s="70"/>
      <c r="BT612" s="70"/>
      <c r="BU612" s="70"/>
      <c r="BV612" s="70"/>
      <c r="BW612" s="8"/>
      <c r="BX612" s="8"/>
      <c r="BY612" s="8"/>
      <c r="BZ612" s="8"/>
      <c r="CA612" s="8"/>
      <c r="CB612" s="10"/>
    </row>
    <row r="613" spans="3:80" ht="15" customHeight="1" x14ac:dyDescent="0.25">
      <c r="C613" s="69"/>
      <c r="F613" s="167" t="str">
        <f>IF(ISBLANK(Inputs!A96),"",Inputs!A96)</f>
        <v/>
      </c>
      <c r="G613" s="167"/>
      <c r="H613" s="167" t="str">
        <f>IF(ISBLANK(Inputs!B96),"",Inputs!B96)</f>
        <v/>
      </c>
      <c r="I613" s="167"/>
      <c r="J613" s="168" t="str">
        <f>IF(ISBLANK(Inputs!K96),"",Inputs!K96)</f>
        <v/>
      </c>
      <c r="K613" s="168"/>
      <c r="L613" s="168"/>
      <c r="M613" s="168" t="str">
        <f>IF(ISBLANK(Inputs!D96),"",Inputs!D96)</f>
        <v/>
      </c>
      <c r="N613" s="168"/>
      <c r="O613" s="168"/>
      <c r="P613" s="168" t="str">
        <f>IF(ISBLANK(Inputs!F96),"",Inputs!$B$10-Inputs!F96)</f>
        <v/>
      </c>
      <c r="Q613" s="168"/>
      <c r="R613" s="168"/>
      <c r="S613" s="168" t="str">
        <f>IF(ISBLANK(Inputs!L96),"",Inputs!L96)</f>
        <v/>
      </c>
      <c r="T613" s="168"/>
      <c r="U613" s="168"/>
      <c r="V613" s="168" t="str">
        <f>IF(ISBLANK(Inputs!E96),"",Inputs!E96)</f>
        <v/>
      </c>
      <c r="W613" s="168"/>
      <c r="X613" s="168"/>
      <c r="Y613" s="168" t="str">
        <f>IF(ISBLANK(Inputs!M96),"",Inputs!M96)</f>
        <v/>
      </c>
      <c r="Z613" s="168"/>
      <c r="AA613" s="168"/>
      <c r="AB613" s="168" t="str">
        <f>IF(ISBLANK(Inputs!N96),"",Inputs!N96)</f>
        <v/>
      </c>
      <c r="AC613" s="168"/>
      <c r="AD613" s="168"/>
      <c r="AE613" s="371" t="str">
        <f>IF(ISBLANK(Inputs!A96),"",Y613)</f>
        <v/>
      </c>
      <c r="AF613" s="371"/>
      <c r="AG613" s="329" t="str">
        <f>IF(ISBLANK(Inputs!$A96),"",
IF(OR(AE613="Solved",AE613="--"),"--",
((Mat.Conc_Alpha.1*Mat.Conc_f.c*$AB613*MIN(AE613*Mat.Conc_Beta.1,$Y613))
+(Mat.Conc_Alpha.1*Mat.Conc_f.c*$V613*MAX(0,AE613*Mat.Conc_Beta.1-$Y613)))
-($J613*MIN(Mat.Rebar_f.y,(Mat.Rebar_epsilon.cl*($S613-AE613)/AE613)*Mat.PT_E.s))
-($M613*Mat.PT_f.pu*(1-Mat.PT_k*AE613/$P613))))</f>
        <v/>
      </c>
      <c r="AH613" s="329"/>
      <c r="AI613" s="167" t="str">
        <f>IF(ISBLANK(Inputs!$A96),"",
IF(ABS(AG613)&lt;=0.001,"Solved",IF(AG613&gt;0,0.85*AE613,1.15*AE613)))</f>
        <v/>
      </c>
      <c r="AJ613" s="167"/>
      <c r="AK613" s="329" t="str">
        <f>IF(ISBLANK(Inputs!$A96),"",
IF(OR(AI613="Solved",AI613="--"),"--",
((Mat.Conc_Alpha.1*Mat.Conc_f.c*$AB613*MIN(AI613*Mat.Conc_Beta.1,$Y613))
+(Mat.Conc_Alpha.1*Mat.Conc_f.c*$V613*MAX(0,AI613*Mat.Conc_Beta.1-$Y613)))
-($J613*MIN(Mat.Rebar_f.y,(Mat.Rebar_epsilon.cl*($S613-AI613)/AI613)*Mat.PT_E.s))
-($M613*Mat.PT_f.pu*(1-Mat.PT_k*AI613/$P613))))</f>
        <v/>
      </c>
      <c r="AL613" s="329"/>
      <c r="AM613" s="167" t="str">
        <f>IF(ISBLANK(Inputs!$A96),"",
IF(AK613="--","Solved",
IF(ABS(AK613)&lt;=0.001,"Solved",AI613-AK613*(AI613-AE613)/(AK613-AG613))))</f>
        <v/>
      </c>
      <c r="AN613" s="167"/>
      <c r="AO613" s="329" t="str">
        <f>IF(ISBLANK(Inputs!$A96),"",
IF(OR(AM613="Solved",AM613="--"),"--",
((Mat.Conc_Alpha.1*Mat.Conc_f.c*$AB613*MIN(AM613*Mat.Conc_Beta.1,$Y613))
+(Mat.Conc_Alpha.1*Mat.Conc_f.c*$V613*MAX(0,AM613*Mat.Conc_Beta.1-$Y613)))
-($J613*MIN(Mat.Rebar_f.y,(Mat.Rebar_epsilon.cl*($S613-AM613)/AM613)*Mat.PT_E.s))
-($M613*Mat.PT_f.pu*(1-Mat.PT_k*AM613/$P613))))</f>
        <v/>
      </c>
      <c r="AP613" s="329"/>
      <c r="AQ613" s="167" t="str">
        <f>IF(ISBLANK(Inputs!$A96),"",
IF(AO613="--","Solved",
IF(ABS(AO613)&lt;=0.001,"Solved",AM613-AO613*(AM613-AI613)/(AO613-AK613))))</f>
        <v/>
      </c>
      <c r="AR613" s="167"/>
      <c r="AS613" s="329" t="str">
        <f>IF(ISBLANK(Inputs!$A96),"",
IF(OR(AQ613="Solved",AQ613="--"),"--",
((Mat.Conc_Alpha.1*Mat.Conc_f.c*$AB613*MIN(AQ613*Mat.Conc_Beta.1,$Y613))
+(Mat.Conc_Alpha.1*Mat.Conc_f.c*$V613*MAX(0,AQ613*Mat.Conc_Beta.1-$Y613)))
-($J613*MIN(Mat.Rebar_f.y,(Mat.Rebar_epsilon.cl*($S613-AQ613)/AQ613)*Mat.PT_E.s))
-($M613*Mat.PT_f.pu*(1-Mat.PT_k*AQ613/$P613))))</f>
        <v/>
      </c>
      <c r="AT613" s="329"/>
      <c r="AU613" s="167" t="str">
        <f>IF(ISBLANK(Inputs!$A96),"",
IF(AS613="--","Solved",
IF(ABS(AS613)&lt;=0.001,"Solved",AQ613-AS613*(AQ613-AM613)/(AS613-AO613))))</f>
        <v/>
      </c>
      <c r="AV613" s="167"/>
      <c r="AW613" s="329" t="str">
        <f>IF(ISBLANK(Inputs!$A96),"",
IF(OR(AU613="Solved",AU613="--"),"--",
((Mat.Conc_Alpha.1*Mat.Conc_f.c*$AB613*MIN(AU613*Mat.Conc_Beta.1,$Y613))
+(Mat.Conc_Alpha.1*Mat.Conc_f.c*$V613*MAX(0,AU613*Mat.Conc_Beta.1-$Y613)))
-($J613*MIN(Mat.Rebar_f.y,(Mat.Rebar_epsilon.cl*($S613-AU613)/AU613)*Mat.PT_E.s))
-($M613*Mat.PT_f.pu*(1-Mat.PT_k*AU613/$P613))))</f>
        <v/>
      </c>
      <c r="AX613" s="329"/>
      <c r="AY613" s="167" t="str">
        <f>IF(ISBLANK(Inputs!$A96),"",
IF(AW613="--","Solved",
IF(ABS(AW613)&lt;=0.001,"Solved",AU613-AW613*(AU613-AQ613)/(AW613-AS613))))</f>
        <v/>
      </c>
      <c r="AZ613" s="167"/>
      <c r="BA613" s="329" t="str">
        <f>IF(ISBLANK(Inputs!$A96),"",
IF(OR(AY613="Solved",AY613="--"),"--",
((Mat.Conc_Alpha.1*Mat.Conc_f.c*$AB613*MIN(AY613*Mat.Conc_Beta.1,$Y613))
+(Mat.Conc_Alpha.1*Mat.Conc_f.c*$V613*MAX(0,AY613*Mat.Conc_Beta.1-$Y613)))
-($J613*MIN(Mat.Rebar_f.y,(Mat.Rebar_epsilon.cl*($S613-AY613)/AY613)*Mat.PT_E.s))
-($M613*Mat.PT_f.pu*(1-Mat.PT_k*AY613/$P613))))</f>
        <v/>
      </c>
      <c r="BB613" s="329"/>
      <c r="BC613" s="167" t="str">
        <f>IF(ISBLANK(Inputs!$A96),"",
IF(BA613="--","Solved",
IF(ABS(BA613)&lt;=0.001,"Solved",AY613-BA613*(AY613-AU613)/(BA613-AW613))))</f>
        <v/>
      </c>
      <c r="BD613" s="167"/>
      <c r="BE613" s="329" t="str">
        <f>IF(ISBLANK(Inputs!$A96),"",
IF(OR(BC613="Solved",BC613="--"),"--",
((Mat.Conc_Alpha.1*Mat.Conc_f.c*$AB613*MIN(BC613*Mat.Conc_Beta.1,$Y613))
+(Mat.Conc_Alpha.1*Mat.Conc_f.c*$V613*MAX(0,BC613*Mat.Conc_Beta.1-$Y613)))
-($J613*MIN(Mat.Rebar_f.y,(Mat.Rebar_epsilon.cl*($S613-BC613)/BC613)*Mat.PT_E.s))
-($M613*Mat.PT_f.pu*(1-Mat.PT_k*BC613/$P613))))</f>
        <v/>
      </c>
      <c r="BF613" s="329"/>
      <c r="BG613" s="167" t="str">
        <f>IF(ISBLANK(Inputs!$A96),"",
IF(BE613="--","Solved",
IF(ABS(BE613)&lt;=0.001,"Solved",BC613-BE613*(BC613-AY613)/(BE613-BA613))))</f>
        <v/>
      </c>
      <c r="BH613" s="167"/>
      <c r="BI613" s="329" t="str">
        <f>IF(ISBLANK(Inputs!$A96),"",
IF(OR(BG613="Solved",BG613="--"),"--",
((Mat.Conc_Alpha.1*Mat.Conc_f.c*$AB613*MIN(BG613*Mat.Conc_Beta.1,$Y613))
+(Mat.Conc_Alpha.1*Mat.Conc_f.c*$V613*MAX(0,BG613*Mat.Conc_Beta.1-$Y613)))
-($J613*MIN(Mat.Rebar_f.y,(Mat.Rebar_epsilon.cl*($S613-BG613)/BG613)*Mat.PT_E.s))
-($M613*Mat.PT_f.pu*(1-Mat.PT_k*BG613/$P613))))</f>
        <v/>
      </c>
      <c r="BJ613" s="329"/>
      <c r="BK613" s="167" t="str">
        <f>IF(ISBLANK(Inputs!$A96),"",
IF(BI613="--","Solved",
IF(ABS(BI613)&lt;=0.001,"Solved",BG613-BI613*(BG613-BC613)/(BI613-BE613))))</f>
        <v/>
      </c>
      <c r="BL613" s="167"/>
      <c r="BM613" s="329" t="str">
        <f>IF(ISBLANK(Inputs!$A96),"",
IF(OR(BK613="Solved",BK613="--"),"--",
((Mat.Conc_Alpha.1*Mat.Conc_f.c*$AB613*MIN(BK613*Mat.Conc_Beta.1,$Y613))
+(Mat.Conc_Alpha.1*Mat.Conc_f.c*$V613*MAX(0,BK613*Mat.Conc_Beta.1-$Y613)))
-($J613*MIN(Mat.Rebar_f.y,(Mat.Rebar_epsilon.cl*($S613-BK613)/BK613)*Mat.PT_E.s))
-($M613*Mat.PT_f.pu*(1-Mat.PT_k*BK613/$P613))))</f>
        <v/>
      </c>
      <c r="BN613" s="329"/>
      <c r="BO613" s="167" t="str">
        <f>IF(ISBLANK(Inputs!$A96),"",
IF(BM613="--","Solved",
IF(ABS(BM613)&lt;=0.001,"Solved",BK613-BM613*(BK613-BG613)/(BM613-BI613))))</f>
        <v/>
      </c>
      <c r="BP613" s="167"/>
      <c r="BQ613" s="329" t="str">
        <f>IF(ISBLANK(Inputs!$A96),"",
IF(OR(BO613="Solved",BO613="--"),"--",
((Mat.Conc_Alpha.1*Mat.Conc_f.c*$AB613*MIN(BO613*Mat.Conc_Beta.1,$Y613))
+(Mat.Conc_Alpha.1*Mat.Conc_f.c*$V613*MAX(0,BO613*Mat.Conc_Beta.1-$Y613)))
-($J613*MIN(Mat.Rebar_f.y,(Mat.Rebar_epsilon.cl*($S613-BO613)/BO613)*Mat.PT_E.s))
-($M613*Mat.PT_f.pu*(1-Mat.PT_k*BO613/$P613))))</f>
        <v/>
      </c>
      <c r="BR613" s="329"/>
      <c r="BS613" s="70"/>
      <c r="BT613" s="70"/>
      <c r="BU613" s="70"/>
      <c r="BV613" s="70"/>
      <c r="BW613" s="8"/>
      <c r="BX613" s="8"/>
      <c r="BY613" s="8"/>
      <c r="BZ613" s="8"/>
      <c r="CA613" s="8"/>
      <c r="CB613" s="10"/>
    </row>
    <row r="614" spans="3:80" ht="15" customHeight="1" x14ac:dyDescent="0.25">
      <c r="C614" s="69"/>
      <c r="F614" s="167" t="str">
        <f>IF(ISBLANK(Inputs!A97),"",Inputs!A97)</f>
        <v/>
      </c>
      <c r="G614" s="167"/>
      <c r="H614" s="167" t="str">
        <f>IF(ISBLANK(Inputs!B97),"",Inputs!B97)</f>
        <v/>
      </c>
      <c r="I614" s="167"/>
      <c r="J614" s="168" t="str">
        <f>IF(ISBLANK(Inputs!K97),"",Inputs!K97)</f>
        <v/>
      </c>
      <c r="K614" s="168"/>
      <c r="L614" s="168"/>
      <c r="M614" s="168" t="str">
        <f>IF(ISBLANK(Inputs!D97),"",Inputs!D97)</f>
        <v/>
      </c>
      <c r="N614" s="168"/>
      <c r="O614" s="168"/>
      <c r="P614" s="168" t="str">
        <f>IF(ISBLANK(Inputs!F97),"",Inputs!$B$10-Inputs!F97)</f>
        <v/>
      </c>
      <c r="Q614" s="168"/>
      <c r="R614" s="168"/>
      <c r="S614" s="168" t="str">
        <f>IF(ISBLANK(Inputs!L97),"",Inputs!L97)</f>
        <v/>
      </c>
      <c r="T614" s="168"/>
      <c r="U614" s="168"/>
      <c r="V614" s="168" t="str">
        <f>IF(ISBLANK(Inputs!E97),"",Inputs!E97)</f>
        <v/>
      </c>
      <c r="W614" s="168"/>
      <c r="X614" s="168"/>
      <c r="Y614" s="168" t="str">
        <f>IF(ISBLANK(Inputs!M97),"",Inputs!M97)</f>
        <v/>
      </c>
      <c r="Z614" s="168"/>
      <c r="AA614" s="168"/>
      <c r="AB614" s="168" t="str">
        <f>IF(ISBLANK(Inputs!N97),"",Inputs!N97)</f>
        <v/>
      </c>
      <c r="AC614" s="168"/>
      <c r="AD614" s="168"/>
      <c r="AE614" s="371" t="str">
        <f>IF(ISBLANK(Inputs!A97),"",Y614)</f>
        <v/>
      </c>
      <c r="AF614" s="371"/>
      <c r="AG614" s="329" t="str">
        <f>IF(ISBLANK(Inputs!$A97),"",
IF(OR(AE614="Solved",AE614="--"),"--",
((Mat.Conc_Alpha.1*Mat.Conc_f.c*$AB614*MIN(AE614*Mat.Conc_Beta.1,$Y614))
+(Mat.Conc_Alpha.1*Mat.Conc_f.c*$V614*MAX(0,AE614*Mat.Conc_Beta.1-$Y614)))
-($J614*MIN(Mat.Rebar_f.y,(Mat.Rebar_epsilon.cl*($S614-AE614)/AE614)*Mat.PT_E.s))
-($M614*Mat.PT_f.pu*(1-Mat.PT_k*AE614/$P614))))</f>
        <v/>
      </c>
      <c r="AH614" s="329"/>
      <c r="AI614" s="167" t="str">
        <f>IF(ISBLANK(Inputs!$A97),"",
IF(ABS(AG614)&lt;=0.001,"Solved",IF(AG614&gt;0,0.85*AE614,1.15*AE614)))</f>
        <v/>
      </c>
      <c r="AJ614" s="167"/>
      <c r="AK614" s="329" t="str">
        <f>IF(ISBLANK(Inputs!$A97),"",
IF(OR(AI614="Solved",AI614="--"),"--",
((Mat.Conc_Alpha.1*Mat.Conc_f.c*$AB614*MIN(AI614*Mat.Conc_Beta.1,$Y614))
+(Mat.Conc_Alpha.1*Mat.Conc_f.c*$V614*MAX(0,AI614*Mat.Conc_Beta.1-$Y614)))
-($J614*MIN(Mat.Rebar_f.y,(Mat.Rebar_epsilon.cl*($S614-AI614)/AI614)*Mat.PT_E.s))
-($M614*Mat.PT_f.pu*(1-Mat.PT_k*AI614/$P614))))</f>
        <v/>
      </c>
      <c r="AL614" s="329"/>
      <c r="AM614" s="167" t="str">
        <f>IF(ISBLANK(Inputs!$A97),"",
IF(AK614="--","Solved",
IF(ABS(AK614)&lt;=0.001,"Solved",AI614-AK614*(AI614-AE614)/(AK614-AG614))))</f>
        <v/>
      </c>
      <c r="AN614" s="167"/>
      <c r="AO614" s="329" t="str">
        <f>IF(ISBLANK(Inputs!$A97),"",
IF(OR(AM614="Solved",AM614="--"),"--",
((Mat.Conc_Alpha.1*Mat.Conc_f.c*$AB614*MIN(AM614*Mat.Conc_Beta.1,$Y614))
+(Mat.Conc_Alpha.1*Mat.Conc_f.c*$V614*MAX(0,AM614*Mat.Conc_Beta.1-$Y614)))
-($J614*MIN(Mat.Rebar_f.y,(Mat.Rebar_epsilon.cl*($S614-AM614)/AM614)*Mat.PT_E.s))
-($M614*Mat.PT_f.pu*(1-Mat.PT_k*AM614/$P614))))</f>
        <v/>
      </c>
      <c r="AP614" s="329"/>
      <c r="AQ614" s="167" t="str">
        <f>IF(ISBLANK(Inputs!$A97),"",
IF(AO614="--","Solved",
IF(ABS(AO614)&lt;=0.001,"Solved",AM614-AO614*(AM614-AI614)/(AO614-AK614))))</f>
        <v/>
      </c>
      <c r="AR614" s="167"/>
      <c r="AS614" s="329" t="str">
        <f>IF(ISBLANK(Inputs!$A97),"",
IF(OR(AQ614="Solved",AQ614="--"),"--",
((Mat.Conc_Alpha.1*Mat.Conc_f.c*$AB614*MIN(AQ614*Mat.Conc_Beta.1,$Y614))
+(Mat.Conc_Alpha.1*Mat.Conc_f.c*$V614*MAX(0,AQ614*Mat.Conc_Beta.1-$Y614)))
-($J614*MIN(Mat.Rebar_f.y,(Mat.Rebar_epsilon.cl*($S614-AQ614)/AQ614)*Mat.PT_E.s))
-($M614*Mat.PT_f.pu*(1-Mat.PT_k*AQ614/$P614))))</f>
        <v/>
      </c>
      <c r="AT614" s="329"/>
      <c r="AU614" s="167" t="str">
        <f>IF(ISBLANK(Inputs!$A97),"",
IF(AS614="--","Solved",
IF(ABS(AS614)&lt;=0.001,"Solved",AQ614-AS614*(AQ614-AM614)/(AS614-AO614))))</f>
        <v/>
      </c>
      <c r="AV614" s="167"/>
      <c r="AW614" s="329" t="str">
        <f>IF(ISBLANK(Inputs!$A97),"",
IF(OR(AU614="Solved",AU614="--"),"--",
((Mat.Conc_Alpha.1*Mat.Conc_f.c*$AB614*MIN(AU614*Mat.Conc_Beta.1,$Y614))
+(Mat.Conc_Alpha.1*Mat.Conc_f.c*$V614*MAX(0,AU614*Mat.Conc_Beta.1-$Y614)))
-($J614*MIN(Mat.Rebar_f.y,(Mat.Rebar_epsilon.cl*($S614-AU614)/AU614)*Mat.PT_E.s))
-($M614*Mat.PT_f.pu*(1-Mat.PT_k*AU614/$P614))))</f>
        <v/>
      </c>
      <c r="AX614" s="329"/>
      <c r="AY614" s="167" t="str">
        <f>IF(ISBLANK(Inputs!$A97),"",
IF(AW614="--","Solved",
IF(ABS(AW614)&lt;=0.001,"Solved",AU614-AW614*(AU614-AQ614)/(AW614-AS614))))</f>
        <v/>
      </c>
      <c r="AZ614" s="167"/>
      <c r="BA614" s="329" t="str">
        <f>IF(ISBLANK(Inputs!$A97),"",
IF(OR(AY614="Solved",AY614="--"),"--",
((Mat.Conc_Alpha.1*Mat.Conc_f.c*$AB614*MIN(AY614*Mat.Conc_Beta.1,$Y614))
+(Mat.Conc_Alpha.1*Mat.Conc_f.c*$V614*MAX(0,AY614*Mat.Conc_Beta.1-$Y614)))
-($J614*MIN(Mat.Rebar_f.y,(Mat.Rebar_epsilon.cl*($S614-AY614)/AY614)*Mat.PT_E.s))
-($M614*Mat.PT_f.pu*(1-Mat.PT_k*AY614/$P614))))</f>
        <v/>
      </c>
      <c r="BB614" s="329"/>
      <c r="BC614" s="167" t="str">
        <f>IF(ISBLANK(Inputs!$A97),"",
IF(BA614="--","Solved",
IF(ABS(BA614)&lt;=0.001,"Solved",AY614-BA614*(AY614-AU614)/(BA614-AW614))))</f>
        <v/>
      </c>
      <c r="BD614" s="167"/>
      <c r="BE614" s="329" t="str">
        <f>IF(ISBLANK(Inputs!$A97),"",
IF(OR(BC614="Solved",BC614="--"),"--",
((Mat.Conc_Alpha.1*Mat.Conc_f.c*$AB614*MIN(BC614*Mat.Conc_Beta.1,$Y614))
+(Mat.Conc_Alpha.1*Mat.Conc_f.c*$V614*MAX(0,BC614*Mat.Conc_Beta.1-$Y614)))
-($J614*MIN(Mat.Rebar_f.y,(Mat.Rebar_epsilon.cl*($S614-BC614)/BC614)*Mat.PT_E.s))
-($M614*Mat.PT_f.pu*(1-Mat.PT_k*BC614/$P614))))</f>
        <v/>
      </c>
      <c r="BF614" s="329"/>
      <c r="BG614" s="167" t="str">
        <f>IF(ISBLANK(Inputs!$A97),"",
IF(BE614="--","Solved",
IF(ABS(BE614)&lt;=0.001,"Solved",BC614-BE614*(BC614-AY614)/(BE614-BA614))))</f>
        <v/>
      </c>
      <c r="BH614" s="167"/>
      <c r="BI614" s="329" t="str">
        <f>IF(ISBLANK(Inputs!$A97),"",
IF(OR(BG614="Solved",BG614="--"),"--",
((Mat.Conc_Alpha.1*Mat.Conc_f.c*$AB614*MIN(BG614*Mat.Conc_Beta.1,$Y614))
+(Mat.Conc_Alpha.1*Mat.Conc_f.c*$V614*MAX(0,BG614*Mat.Conc_Beta.1-$Y614)))
-($J614*MIN(Mat.Rebar_f.y,(Mat.Rebar_epsilon.cl*($S614-BG614)/BG614)*Mat.PT_E.s))
-($M614*Mat.PT_f.pu*(1-Mat.PT_k*BG614/$P614))))</f>
        <v/>
      </c>
      <c r="BJ614" s="329"/>
      <c r="BK614" s="167" t="str">
        <f>IF(ISBLANK(Inputs!$A97),"",
IF(BI614="--","Solved",
IF(ABS(BI614)&lt;=0.001,"Solved",BG614-BI614*(BG614-BC614)/(BI614-BE614))))</f>
        <v/>
      </c>
      <c r="BL614" s="167"/>
      <c r="BM614" s="329" t="str">
        <f>IF(ISBLANK(Inputs!$A97),"",
IF(OR(BK614="Solved",BK614="--"),"--",
((Mat.Conc_Alpha.1*Mat.Conc_f.c*$AB614*MIN(BK614*Mat.Conc_Beta.1,$Y614))
+(Mat.Conc_Alpha.1*Mat.Conc_f.c*$V614*MAX(0,BK614*Mat.Conc_Beta.1-$Y614)))
-($J614*MIN(Mat.Rebar_f.y,(Mat.Rebar_epsilon.cl*($S614-BK614)/BK614)*Mat.PT_E.s))
-($M614*Mat.PT_f.pu*(1-Mat.PT_k*BK614/$P614))))</f>
        <v/>
      </c>
      <c r="BN614" s="329"/>
      <c r="BO614" s="167" t="str">
        <f>IF(ISBLANK(Inputs!$A97),"",
IF(BM614="--","Solved",
IF(ABS(BM614)&lt;=0.001,"Solved",BK614-BM614*(BK614-BG614)/(BM614-BI614))))</f>
        <v/>
      </c>
      <c r="BP614" s="167"/>
      <c r="BQ614" s="329" t="str">
        <f>IF(ISBLANK(Inputs!$A97),"",
IF(OR(BO614="Solved",BO614="--"),"--",
((Mat.Conc_Alpha.1*Mat.Conc_f.c*$AB614*MIN(BO614*Mat.Conc_Beta.1,$Y614))
+(Mat.Conc_Alpha.1*Mat.Conc_f.c*$V614*MAX(0,BO614*Mat.Conc_Beta.1-$Y614)))
-($J614*MIN(Mat.Rebar_f.y,(Mat.Rebar_epsilon.cl*($S614-BO614)/BO614)*Mat.PT_E.s))
-($M614*Mat.PT_f.pu*(1-Mat.PT_k*BO614/$P614))))</f>
        <v/>
      </c>
      <c r="BR614" s="329"/>
      <c r="BS614" s="70"/>
      <c r="BT614" s="70"/>
      <c r="BU614" s="70"/>
      <c r="BV614" s="70"/>
      <c r="BW614" s="8"/>
      <c r="BX614" s="8"/>
      <c r="BY614" s="8"/>
      <c r="BZ614" s="8"/>
      <c r="CA614" s="8"/>
      <c r="CB614" s="10"/>
    </row>
    <row r="615" spans="3:80" ht="15" customHeight="1" x14ac:dyDescent="0.25">
      <c r="C615" s="69"/>
      <c r="F615" s="167" t="str">
        <f>IF(ISBLANK(Inputs!A98),"",Inputs!A98)</f>
        <v/>
      </c>
      <c r="G615" s="167"/>
      <c r="H615" s="167" t="str">
        <f>IF(ISBLANK(Inputs!B98),"",Inputs!B98)</f>
        <v/>
      </c>
      <c r="I615" s="167"/>
      <c r="J615" s="168" t="str">
        <f>IF(ISBLANK(Inputs!K98),"",Inputs!K98)</f>
        <v/>
      </c>
      <c r="K615" s="168"/>
      <c r="L615" s="168"/>
      <c r="M615" s="168" t="str">
        <f>IF(ISBLANK(Inputs!D98),"",Inputs!D98)</f>
        <v/>
      </c>
      <c r="N615" s="168"/>
      <c r="O615" s="168"/>
      <c r="P615" s="168" t="str">
        <f>IF(ISBLANK(Inputs!F98),"",Inputs!$B$10-Inputs!F98)</f>
        <v/>
      </c>
      <c r="Q615" s="168"/>
      <c r="R615" s="168"/>
      <c r="S615" s="168" t="str">
        <f>IF(ISBLANK(Inputs!L98),"",Inputs!L98)</f>
        <v/>
      </c>
      <c r="T615" s="168"/>
      <c r="U615" s="168"/>
      <c r="V615" s="168" t="str">
        <f>IF(ISBLANK(Inputs!E98),"",Inputs!E98)</f>
        <v/>
      </c>
      <c r="W615" s="168"/>
      <c r="X615" s="168"/>
      <c r="Y615" s="168" t="str">
        <f>IF(ISBLANK(Inputs!M98),"",Inputs!M98)</f>
        <v/>
      </c>
      <c r="Z615" s="168"/>
      <c r="AA615" s="168"/>
      <c r="AB615" s="168" t="str">
        <f>IF(ISBLANK(Inputs!N98),"",Inputs!N98)</f>
        <v/>
      </c>
      <c r="AC615" s="168"/>
      <c r="AD615" s="168"/>
      <c r="AE615" s="371" t="str">
        <f>IF(ISBLANK(Inputs!A98),"",Y615)</f>
        <v/>
      </c>
      <c r="AF615" s="371"/>
      <c r="AG615" s="329" t="str">
        <f>IF(ISBLANK(Inputs!$A98),"",
IF(OR(AE615="Solved",AE615="--"),"--",
((Mat.Conc_Alpha.1*Mat.Conc_f.c*$AB615*MIN(AE615*Mat.Conc_Beta.1,$Y615))
+(Mat.Conc_Alpha.1*Mat.Conc_f.c*$V615*MAX(0,AE615*Mat.Conc_Beta.1-$Y615)))
-($J615*MIN(Mat.Rebar_f.y,(Mat.Rebar_epsilon.cl*($S615-AE615)/AE615)*Mat.PT_E.s))
-($M615*Mat.PT_f.pu*(1-Mat.PT_k*AE615/$P615))))</f>
        <v/>
      </c>
      <c r="AH615" s="329"/>
      <c r="AI615" s="167" t="str">
        <f>IF(ISBLANK(Inputs!$A98),"",
IF(ABS(AG615)&lt;=0.001,"Solved",IF(AG615&gt;0,0.85*AE615,1.15*AE615)))</f>
        <v/>
      </c>
      <c r="AJ615" s="167"/>
      <c r="AK615" s="329" t="str">
        <f>IF(ISBLANK(Inputs!$A98),"",
IF(OR(AI615="Solved",AI615="--"),"--",
((Mat.Conc_Alpha.1*Mat.Conc_f.c*$AB615*MIN(AI615*Mat.Conc_Beta.1,$Y615))
+(Mat.Conc_Alpha.1*Mat.Conc_f.c*$V615*MAX(0,AI615*Mat.Conc_Beta.1-$Y615)))
-($J615*MIN(Mat.Rebar_f.y,(Mat.Rebar_epsilon.cl*($S615-AI615)/AI615)*Mat.PT_E.s))
-($M615*Mat.PT_f.pu*(1-Mat.PT_k*AI615/$P615))))</f>
        <v/>
      </c>
      <c r="AL615" s="329"/>
      <c r="AM615" s="167" t="str">
        <f>IF(ISBLANK(Inputs!$A98),"",
IF(AK615="--","Solved",
IF(ABS(AK615)&lt;=0.001,"Solved",AI615-AK615*(AI615-AE615)/(AK615-AG615))))</f>
        <v/>
      </c>
      <c r="AN615" s="167"/>
      <c r="AO615" s="329" t="str">
        <f>IF(ISBLANK(Inputs!$A98),"",
IF(OR(AM615="Solved",AM615="--"),"--",
((Mat.Conc_Alpha.1*Mat.Conc_f.c*$AB615*MIN(AM615*Mat.Conc_Beta.1,$Y615))
+(Mat.Conc_Alpha.1*Mat.Conc_f.c*$V615*MAX(0,AM615*Mat.Conc_Beta.1-$Y615)))
-($J615*MIN(Mat.Rebar_f.y,(Mat.Rebar_epsilon.cl*($S615-AM615)/AM615)*Mat.PT_E.s))
-($M615*Mat.PT_f.pu*(1-Mat.PT_k*AM615/$P615))))</f>
        <v/>
      </c>
      <c r="AP615" s="329"/>
      <c r="AQ615" s="167" t="str">
        <f>IF(ISBLANK(Inputs!$A98),"",
IF(AO615="--","Solved",
IF(ABS(AO615)&lt;=0.001,"Solved",AM615-AO615*(AM615-AI615)/(AO615-AK615))))</f>
        <v/>
      </c>
      <c r="AR615" s="167"/>
      <c r="AS615" s="329" t="str">
        <f>IF(ISBLANK(Inputs!$A98),"",
IF(OR(AQ615="Solved",AQ615="--"),"--",
((Mat.Conc_Alpha.1*Mat.Conc_f.c*$AB615*MIN(AQ615*Mat.Conc_Beta.1,$Y615))
+(Mat.Conc_Alpha.1*Mat.Conc_f.c*$V615*MAX(0,AQ615*Mat.Conc_Beta.1-$Y615)))
-($J615*MIN(Mat.Rebar_f.y,(Mat.Rebar_epsilon.cl*($S615-AQ615)/AQ615)*Mat.PT_E.s))
-($M615*Mat.PT_f.pu*(1-Mat.PT_k*AQ615/$P615))))</f>
        <v/>
      </c>
      <c r="AT615" s="329"/>
      <c r="AU615" s="167" t="str">
        <f>IF(ISBLANK(Inputs!$A98),"",
IF(AS615="--","Solved",
IF(ABS(AS615)&lt;=0.001,"Solved",AQ615-AS615*(AQ615-AM615)/(AS615-AO615))))</f>
        <v/>
      </c>
      <c r="AV615" s="167"/>
      <c r="AW615" s="329" t="str">
        <f>IF(ISBLANK(Inputs!$A98),"",
IF(OR(AU615="Solved",AU615="--"),"--",
((Mat.Conc_Alpha.1*Mat.Conc_f.c*$AB615*MIN(AU615*Mat.Conc_Beta.1,$Y615))
+(Mat.Conc_Alpha.1*Mat.Conc_f.c*$V615*MAX(0,AU615*Mat.Conc_Beta.1-$Y615)))
-($J615*MIN(Mat.Rebar_f.y,(Mat.Rebar_epsilon.cl*($S615-AU615)/AU615)*Mat.PT_E.s))
-($M615*Mat.PT_f.pu*(1-Mat.PT_k*AU615/$P615))))</f>
        <v/>
      </c>
      <c r="AX615" s="329"/>
      <c r="AY615" s="167" t="str">
        <f>IF(ISBLANK(Inputs!$A98),"",
IF(AW615="--","Solved",
IF(ABS(AW615)&lt;=0.001,"Solved",AU615-AW615*(AU615-AQ615)/(AW615-AS615))))</f>
        <v/>
      </c>
      <c r="AZ615" s="167"/>
      <c r="BA615" s="329" t="str">
        <f>IF(ISBLANK(Inputs!$A98),"",
IF(OR(AY615="Solved",AY615="--"),"--",
((Mat.Conc_Alpha.1*Mat.Conc_f.c*$AB615*MIN(AY615*Mat.Conc_Beta.1,$Y615))
+(Mat.Conc_Alpha.1*Mat.Conc_f.c*$V615*MAX(0,AY615*Mat.Conc_Beta.1-$Y615)))
-($J615*MIN(Mat.Rebar_f.y,(Mat.Rebar_epsilon.cl*($S615-AY615)/AY615)*Mat.PT_E.s))
-($M615*Mat.PT_f.pu*(1-Mat.PT_k*AY615/$P615))))</f>
        <v/>
      </c>
      <c r="BB615" s="329"/>
      <c r="BC615" s="167" t="str">
        <f>IF(ISBLANK(Inputs!$A98),"",
IF(BA615="--","Solved",
IF(ABS(BA615)&lt;=0.001,"Solved",AY615-BA615*(AY615-AU615)/(BA615-AW615))))</f>
        <v/>
      </c>
      <c r="BD615" s="167"/>
      <c r="BE615" s="329" t="str">
        <f>IF(ISBLANK(Inputs!$A98),"",
IF(OR(BC615="Solved",BC615="--"),"--",
((Mat.Conc_Alpha.1*Mat.Conc_f.c*$AB615*MIN(BC615*Mat.Conc_Beta.1,$Y615))
+(Mat.Conc_Alpha.1*Mat.Conc_f.c*$V615*MAX(0,BC615*Mat.Conc_Beta.1-$Y615)))
-($J615*MIN(Mat.Rebar_f.y,(Mat.Rebar_epsilon.cl*($S615-BC615)/BC615)*Mat.PT_E.s))
-($M615*Mat.PT_f.pu*(1-Mat.PT_k*BC615/$P615))))</f>
        <v/>
      </c>
      <c r="BF615" s="329"/>
      <c r="BG615" s="167" t="str">
        <f>IF(ISBLANK(Inputs!$A98),"",
IF(BE615="--","Solved",
IF(ABS(BE615)&lt;=0.001,"Solved",BC615-BE615*(BC615-AY615)/(BE615-BA615))))</f>
        <v/>
      </c>
      <c r="BH615" s="167"/>
      <c r="BI615" s="329" t="str">
        <f>IF(ISBLANK(Inputs!$A98),"",
IF(OR(BG615="Solved",BG615="--"),"--",
((Mat.Conc_Alpha.1*Mat.Conc_f.c*$AB615*MIN(BG615*Mat.Conc_Beta.1,$Y615))
+(Mat.Conc_Alpha.1*Mat.Conc_f.c*$V615*MAX(0,BG615*Mat.Conc_Beta.1-$Y615)))
-($J615*MIN(Mat.Rebar_f.y,(Mat.Rebar_epsilon.cl*($S615-BG615)/BG615)*Mat.PT_E.s))
-($M615*Mat.PT_f.pu*(1-Mat.PT_k*BG615/$P615))))</f>
        <v/>
      </c>
      <c r="BJ615" s="329"/>
      <c r="BK615" s="167" t="str">
        <f>IF(ISBLANK(Inputs!$A98),"",
IF(BI615="--","Solved",
IF(ABS(BI615)&lt;=0.001,"Solved",BG615-BI615*(BG615-BC615)/(BI615-BE615))))</f>
        <v/>
      </c>
      <c r="BL615" s="167"/>
      <c r="BM615" s="329" t="str">
        <f>IF(ISBLANK(Inputs!$A98),"",
IF(OR(BK615="Solved",BK615="--"),"--",
((Mat.Conc_Alpha.1*Mat.Conc_f.c*$AB615*MIN(BK615*Mat.Conc_Beta.1,$Y615))
+(Mat.Conc_Alpha.1*Mat.Conc_f.c*$V615*MAX(0,BK615*Mat.Conc_Beta.1-$Y615)))
-($J615*MIN(Mat.Rebar_f.y,(Mat.Rebar_epsilon.cl*($S615-BK615)/BK615)*Mat.PT_E.s))
-($M615*Mat.PT_f.pu*(1-Mat.PT_k*BK615/$P615))))</f>
        <v/>
      </c>
      <c r="BN615" s="329"/>
      <c r="BO615" s="167" t="str">
        <f>IF(ISBLANK(Inputs!$A98),"",
IF(BM615="--","Solved",
IF(ABS(BM615)&lt;=0.001,"Solved",BK615-BM615*(BK615-BG615)/(BM615-BI615))))</f>
        <v/>
      </c>
      <c r="BP615" s="167"/>
      <c r="BQ615" s="329" t="str">
        <f>IF(ISBLANK(Inputs!$A98),"",
IF(OR(BO615="Solved",BO615="--"),"--",
((Mat.Conc_Alpha.1*Mat.Conc_f.c*$AB615*MIN(BO615*Mat.Conc_Beta.1,$Y615))
+(Mat.Conc_Alpha.1*Mat.Conc_f.c*$V615*MAX(0,BO615*Mat.Conc_Beta.1-$Y615)))
-($J615*MIN(Mat.Rebar_f.y,(Mat.Rebar_epsilon.cl*($S615-BO615)/BO615)*Mat.PT_E.s))
-($M615*Mat.PT_f.pu*(1-Mat.PT_k*BO615/$P615))))</f>
        <v/>
      </c>
      <c r="BR615" s="329"/>
      <c r="BS615" s="70"/>
      <c r="BT615" s="70"/>
      <c r="BU615" s="70"/>
      <c r="BV615" s="70"/>
      <c r="BW615" s="8"/>
      <c r="BX615" s="8"/>
      <c r="BY615" s="8"/>
      <c r="BZ615" s="8"/>
      <c r="CA615" s="8"/>
      <c r="CB615" s="10"/>
    </row>
    <row r="616" spans="3:80" ht="15" customHeight="1" x14ac:dyDescent="0.25">
      <c r="C616" s="69"/>
      <c r="F616" s="167" t="str">
        <f>IF(ISBLANK(Inputs!A99),"",Inputs!A99)</f>
        <v/>
      </c>
      <c r="G616" s="167"/>
      <c r="H616" s="167" t="str">
        <f>IF(ISBLANK(Inputs!B99),"",Inputs!B99)</f>
        <v/>
      </c>
      <c r="I616" s="167"/>
      <c r="J616" s="168" t="str">
        <f>IF(ISBLANK(Inputs!K99),"",Inputs!K99)</f>
        <v/>
      </c>
      <c r="K616" s="168"/>
      <c r="L616" s="168"/>
      <c r="M616" s="168" t="str">
        <f>IF(ISBLANK(Inputs!D99),"",Inputs!D99)</f>
        <v/>
      </c>
      <c r="N616" s="168"/>
      <c r="O616" s="168"/>
      <c r="P616" s="168" t="str">
        <f>IF(ISBLANK(Inputs!F99),"",Inputs!$B$10-Inputs!F99)</f>
        <v/>
      </c>
      <c r="Q616" s="168"/>
      <c r="R616" s="168"/>
      <c r="S616" s="168" t="str">
        <f>IF(ISBLANK(Inputs!L99),"",Inputs!L99)</f>
        <v/>
      </c>
      <c r="T616" s="168"/>
      <c r="U616" s="168"/>
      <c r="V616" s="168" t="str">
        <f>IF(ISBLANK(Inputs!E99),"",Inputs!E99)</f>
        <v/>
      </c>
      <c r="W616" s="168"/>
      <c r="X616" s="168"/>
      <c r="Y616" s="168" t="str">
        <f>IF(ISBLANK(Inputs!M99),"",Inputs!M99)</f>
        <v/>
      </c>
      <c r="Z616" s="168"/>
      <c r="AA616" s="168"/>
      <c r="AB616" s="168" t="str">
        <f>IF(ISBLANK(Inputs!N99),"",Inputs!N99)</f>
        <v/>
      </c>
      <c r="AC616" s="168"/>
      <c r="AD616" s="168"/>
      <c r="AE616" s="371" t="str">
        <f>IF(ISBLANK(Inputs!A99),"",Y616)</f>
        <v/>
      </c>
      <c r="AF616" s="371"/>
      <c r="AG616" s="329" t="str">
        <f>IF(ISBLANK(Inputs!$A99),"",
IF(OR(AE616="Solved",AE616="--"),"--",
((Mat.Conc_Alpha.1*Mat.Conc_f.c*$AB616*MIN(AE616*Mat.Conc_Beta.1,$Y616))
+(Mat.Conc_Alpha.1*Mat.Conc_f.c*$V616*MAX(0,AE616*Mat.Conc_Beta.1-$Y616)))
-($J616*MIN(Mat.Rebar_f.y,(Mat.Rebar_epsilon.cl*($S616-AE616)/AE616)*Mat.PT_E.s))
-($M616*Mat.PT_f.pu*(1-Mat.PT_k*AE616/$P616))))</f>
        <v/>
      </c>
      <c r="AH616" s="329"/>
      <c r="AI616" s="167" t="str">
        <f>IF(ISBLANK(Inputs!$A99),"",
IF(ABS(AG616)&lt;=0.001,"Solved",IF(AG616&gt;0,0.85*AE616,1.15*AE616)))</f>
        <v/>
      </c>
      <c r="AJ616" s="167"/>
      <c r="AK616" s="329" t="str">
        <f>IF(ISBLANK(Inputs!$A99),"",
IF(OR(AI616="Solved",AI616="--"),"--",
((Mat.Conc_Alpha.1*Mat.Conc_f.c*$AB616*MIN(AI616*Mat.Conc_Beta.1,$Y616))
+(Mat.Conc_Alpha.1*Mat.Conc_f.c*$V616*MAX(0,AI616*Mat.Conc_Beta.1-$Y616)))
-($J616*MIN(Mat.Rebar_f.y,(Mat.Rebar_epsilon.cl*($S616-AI616)/AI616)*Mat.PT_E.s))
-($M616*Mat.PT_f.pu*(1-Mat.PT_k*AI616/$P616))))</f>
        <v/>
      </c>
      <c r="AL616" s="329"/>
      <c r="AM616" s="167" t="str">
        <f>IF(ISBLANK(Inputs!$A99),"",
IF(AK616="--","Solved",
IF(ABS(AK616)&lt;=0.001,"Solved",AI616-AK616*(AI616-AE616)/(AK616-AG616))))</f>
        <v/>
      </c>
      <c r="AN616" s="167"/>
      <c r="AO616" s="329" t="str">
        <f>IF(ISBLANK(Inputs!$A99),"",
IF(OR(AM616="Solved",AM616="--"),"--",
((Mat.Conc_Alpha.1*Mat.Conc_f.c*$AB616*MIN(AM616*Mat.Conc_Beta.1,$Y616))
+(Mat.Conc_Alpha.1*Mat.Conc_f.c*$V616*MAX(0,AM616*Mat.Conc_Beta.1-$Y616)))
-($J616*MIN(Mat.Rebar_f.y,(Mat.Rebar_epsilon.cl*($S616-AM616)/AM616)*Mat.PT_E.s))
-($M616*Mat.PT_f.pu*(1-Mat.PT_k*AM616/$P616))))</f>
        <v/>
      </c>
      <c r="AP616" s="329"/>
      <c r="AQ616" s="167" t="str">
        <f>IF(ISBLANK(Inputs!$A99),"",
IF(AO616="--","Solved",
IF(ABS(AO616)&lt;=0.001,"Solved",AM616-AO616*(AM616-AI616)/(AO616-AK616))))</f>
        <v/>
      </c>
      <c r="AR616" s="167"/>
      <c r="AS616" s="329" t="str">
        <f>IF(ISBLANK(Inputs!$A99),"",
IF(OR(AQ616="Solved",AQ616="--"),"--",
((Mat.Conc_Alpha.1*Mat.Conc_f.c*$AB616*MIN(AQ616*Mat.Conc_Beta.1,$Y616))
+(Mat.Conc_Alpha.1*Mat.Conc_f.c*$V616*MAX(0,AQ616*Mat.Conc_Beta.1-$Y616)))
-($J616*MIN(Mat.Rebar_f.y,(Mat.Rebar_epsilon.cl*($S616-AQ616)/AQ616)*Mat.PT_E.s))
-($M616*Mat.PT_f.pu*(1-Mat.PT_k*AQ616/$P616))))</f>
        <v/>
      </c>
      <c r="AT616" s="329"/>
      <c r="AU616" s="167" t="str">
        <f>IF(ISBLANK(Inputs!$A99),"",
IF(AS616="--","Solved",
IF(ABS(AS616)&lt;=0.001,"Solved",AQ616-AS616*(AQ616-AM616)/(AS616-AO616))))</f>
        <v/>
      </c>
      <c r="AV616" s="167"/>
      <c r="AW616" s="329" t="str">
        <f>IF(ISBLANK(Inputs!$A99),"",
IF(OR(AU616="Solved",AU616="--"),"--",
((Mat.Conc_Alpha.1*Mat.Conc_f.c*$AB616*MIN(AU616*Mat.Conc_Beta.1,$Y616))
+(Mat.Conc_Alpha.1*Mat.Conc_f.c*$V616*MAX(0,AU616*Mat.Conc_Beta.1-$Y616)))
-($J616*MIN(Mat.Rebar_f.y,(Mat.Rebar_epsilon.cl*($S616-AU616)/AU616)*Mat.PT_E.s))
-($M616*Mat.PT_f.pu*(1-Mat.PT_k*AU616/$P616))))</f>
        <v/>
      </c>
      <c r="AX616" s="329"/>
      <c r="AY616" s="167" t="str">
        <f>IF(ISBLANK(Inputs!$A99),"",
IF(AW616="--","Solved",
IF(ABS(AW616)&lt;=0.001,"Solved",AU616-AW616*(AU616-AQ616)/(AW616-AS616))))</f>
        <v/>
      </c>
      <c r="AZ616" s="167"/>
      <c r="BA616" s="329" t="str">
        <f>IF(ISBLANK(Inputs!$A99),"",
IF(OR(AY616="Solved",AY616="--"),"--",
((Mat.Conc_Alpha.1*Mat.Conc_f.c*$AB616*MIN(AY616*Mat.Conc_Beta.1,$Y616))
+(Mat.Conc_Alpha.1*Mat.Conc_f.c*$V616*MAX(0,AY616*Mat.Conc_Beta.1-$Y616)))
-($J616*MIN(Mat.Rebar_f.y,(Mat.Rebar_epsilon.cl*($S616-AY616)/AY616)*Mat.PT_E.s))
-($M616*Mat.PT_f.pu*(1-Mat.PT_k*AY616/$P616))))</f>
        <v/>
      </c>
      <c r="BB616" s="329"/>
      <c r="BC616" s="167" t="str">
        <f>IF(ISBLANK(Inputs!$A99),"",
IF(BA616="--","Solved",
IF(ABS(BA616)&lt;=0.001,"Solved",AY616-BA616*(AY616-AU616)/(BA616-AW616))))</f>
        <v/>
      </c>
      <c r="BD616" s="167"/>
      <c r="BE616" s="329" t="str">
        <f>IF(ISBLANK(Inputs!$A99),"",
IF(OR(BC616="Solved",BC616="--"),"--",
((Mat.Conc_Alpha.1*Mat.Conc_f.c*$AB616*MIN(BC616*Mat.Conc_Beta.1,$Y616))
+(Mat.Conc_Alpha.1*Mat.Conc_f.c*$V616*MAX(0,BC616*Mat.Conc_Beta.1-$Y616)))
-($J616*MIN(Mat.Rebar_f.y,(Mat.Rebar_epsilon.cl*($S616-BC616)/BC616)*Mat.PT_E.s))
-($M616*Mat.PT_f.pu*(1-Mat.PT_k*BC616/$P616))))</f>
        <v/>
      </c>
      <c r="BF616" s="329"/>
      <c r="BG616" s="167" t="str">
        <f>IF(ISBLANK(Inputs!$A99),"",
IF(BE616="--","Solved",
IF(ABS(BE616)&lt;=0.001,"Solved",BC616-BE616*(BC616-AY616)/(BE616-BA616))))</f>
        <v/>
      </c>
      <c r="BH616" s="167"/>
      <c r="BI616" s="329" t="str">
        <f>IF(ISBLANK(Inputs!$A99),"",
IF(OR(BG616="Solved",BG616="--"),"--",
((Mat.Conc_Alpha.1*Mat.Conc_f.c*$AB616*MIN(BG616*Mat.Conc_Beta.1,$Y616))
+(Mat.Conc_Alpha.1*Mat.Conc_f.c*$V616*MAX(0,BG616*Mat.Conc_Beta.1-$Y616)))
-($J616*MIN(Mat.Rebar_f.y,(Mat.Rebar_epsilon.cl*($S616-BG616)/BG616)*Mat.PT_E.s))
-($M616*Mat.PT_f.pu*(1-Mat.PT_k*BG616/$P616))))</f>
        <v/>
      </c>
      <c r="BJ616" s="329"/>
      <c r="BK616" s="167" t="str">
        <f>IF(ISBLANK(Inputs!$A99),"",
IF(BI616="--","Solved",
IF(ABS(BI616)&lt;=0.001,"Solved",BG616-BI616*(BG616-BC616)/(BI616-BE616))))</f>
        <v/>
      </c>
      <c r="BL616" s="167"/>
      <c r="BM616" s="329" t="str">
        <f>IF(ISBLANK(Inputs!$A99),"",
IF(OR(BK616="Solved",BK616="--"),"--",
((Mat.Conc_Alpha.1*Mat.Conc_f.c*$AB616*MIN(BK616*Mat.Conc_Beta.1,$Y616))
+(Mat.Conc_Alpha.1*Mat.Conc_f.c*$V616*MAX(0,BK616*Mat.Conc_Beta.1-$Y616)))
-($J616*MIN(Mat.Rebar_f.y,(Mat.Rebar_epsilon.cl*($S616-BK616)/BK616)*Mat.PT_E.s))
-($M616*Mat.PT_f.pu*(1-Mat.PT_k*BK616/$P616))))</f>
        <v/>
      </c>
      <c r="BN616" s="329"/>
      <c r="BO616" s="167" t="str">
        <f>IF(ISBLANK(Inputs!$A99),"",
IF(BM616="--","Solved",
IF(ABS(BM616)&lt;=0.001,"Solved",BK616-BM616*(BK616-BG616)/(BM616-BI616))))</f>
        <v/>
      </c>
      <c r="BP616" s="167"/>
      <c r="BQ616" s="329" t="str">
        <f>IF(ISBLANK(Inputs!$A99),"",
IF(OR(BO616="Solved",BO616="--"),"--",
((Mat.Conc_Alpha.1*Mat.Conc_f.c*$AB616*MIN(BO616*Mat.Conc_Beta.1,$Y616))
+(Mat.Conc_Alpha.1*Mat.Conc_f.c*$V616*MAX(0,BO616*Mat.Conc_Beta.1-$Y616)))
-($J616*MIN(Mat.Rebar_f.y,(Mat.Rebar_epsilon.cl*($S616-BO616)/BO616)*Mat.PT_E.s))
-($M616*Mat.PT_f.pu*(1-Mat.PT_k*BO616/$P616))))</f>
        <v/>
      </c>
      <c r="BR616" s="329"/>
      <c r="BS616" s="70"/>
      <c r="BT616" s="70"/>
      <c r="BU616" s="70"/>
      <c r="BV616" s="70"/>
      <c r="BW616" s="8"/>
      <c r="BX616" s="8"/>
      <c r="BY616" s="8"/>
      <c r="BZ616" s="8"/>
      <c r="CA616" s="8"/>
      <c r="CB616" s="10"/>
    </row>
    <row r="617" spans="3:80" ht="15" customHeight="1" x14ac:dyDescent="0.25">
      <c r="C617" s="69"/>
      <c r="F617" s="167" t="str">
        <f>IF(ISBLANK(Inputs!A100),"",Inputs!A100)</f>
        <v/>
      </c>
      <c r="G617" s="167"/>
      <c r="H617" s="167" t="str">
        <f>IF(ISBLANK(Inputs!B100),"",Inputs!B100)</f>
        <v/>
      </c>
      <c r="I617" s="167"/>
      <c r="J617" s="168" t="str">
        <f>IF(ISBLANK(Inputs!K100),"",Inputs!K100)</f>
        <v/>
      </c>
      <c r="K617" s="168"/>
      <c r="L617" s="168"/>
      <c r="M617" s="168" t="str">
        <f>IF(ISBLANK(Inputs!D100),"",Inputs!D100)</f>
        <v/>
      </c>
      <c r="N617" s="168"/>
      <c r="O617" s="168"/>
      <c r="P617" s="168" t="str">
        <f>IF(ISBLANK(Inputs!F100),"",Inputs!$B$10-Inputs!F100)</f>
        <v/>
      </c>
      <c r="Q617" s="168"/>
      <c r="R617" s="168"/>
      <c r="S617" s="168" t="str">
        <f>IF(ISBLANK(Inputs!L100),"",Inputs!L100)</f>
        <v/>
      </c>
      <c r="T617" s="168"/>
      <c r="U617" s="168"/>
      <c r="V617" s="168" t="str">
        <f>IF(ISBLANK(Inputs!E100),"",Inputs!E100)</f>
        <v/>
      </c>
      <c r="W617" s="168"/>
      <c r="X617" s="168"/>
      <c r="Y617" s="168" t="str">
        <f>IF(ISBLANK(Inputs!M100),"",Inputs!M100)</f>
        <v/>
      </c>
      <c r="Z617" s="168"/>
      <c r="AA617" s="168"/>
      <c r="AB617" s="168" t="str">
        <f>IF(ISBLANK(Inputs!N100),"",Inputs!N100)</f>
        <v/>
      </c>
      <c r="AC617" s="168"/>
      <c r="AD617" s="168"/>
      <c r="AE617" s="371" t="str">
        <f>IF(ISBLANK(Inputs!A100),"",Y617)</f>
        <v/>
      </c>
      <c r="AF617" s="371"/>
      <c r="AG617" s="329" t="str">
        <f>IF(ISBLANK(Inputs!$A100),"",
IF(OR(AE617="Solved",AE617="--"),"--",
((Mat.Conc_Alpha.1*Mat.Conc_f.c*$AB617*MIN(AE617*Mat.Conc_Beta.1,$Y617))
+(Mat.Conc_Alpha.1*Mat.Conc_f.c*$V617*MAX(0,AE617*Mat.Conc_Beta.1-$Y617)))
-($J617*MIN(Mat.Rebar_f.y,(Mat.Rebar_epsilon.cl*($S617-AE617)/AE617)*Mat.PT_E.s))
-($M617*Mat.PT_f.pu*(1-Mat.PT_k*AE617/$P617))))</f>
        <v/>
      </c>
      <c r="AH617" s="329"/>
      <c r="AI617" s="167" t="str">
        <f>IF(ISBLANK(Inputs!$A100),"",
IF(ABS(AG617)&lt;=0.001,"Solved",IF(AG617&gt;0,0.85*AE617,1.15*AE617)))</f>
        <v/>
      </c>
      <c r="AJ617" s="167"/>
      <c r="AK617" s="329" t="str">
        <f>IF(ISBLANK(Inputs!$A100),"",
IF(OR(AI617="Solved",AI617="--"),"--",
((Mat.Conc_Alpha.1*Mat.Conc_f.c*$AB617*MIN(AI617*Mat.Conc_Beta.1,$Y617))
+(Mat.Conc_Alpha.1*Mat.Conc_f.c*$V617*MAX(0,AI617*Mat.Conc_Beta.1-$Y617)))
-($J617*MIN(Mat.Rebar_f.y,(Mat.Rebar_epsilon.cl*($S617-AI617)/AI617)*Mat.PT_E.s))
-($M617*Mat.PT_f.pu*(1-Mat.PT_k*AI617/$P617))))</f>
        <v/>
      </c>
      <c r="AL617" s="329"/>
      <c r="AM617" s="167" t="str">
        <f>IF(ISBLANK(Inputs!$A100),"",
IF(AK617="--","Solved",
IF(ABS(AK617)&lt;=0.001,"Solved",AI617-AK617*(AI617-AE617)/(AK617-AG617))))</f>
        <v/>
      </c>
      <c r="AN617" s="167"/>
      <c r="AO617" s="329" t="str">
        <f>IF(ISBLANK(Inputs!$A100),"",
IF(OR(AM617="Solved",AM617="--"),"--",
((Mat.Conc_Alpha.1*Mat.Conc_f.c*$AB617*MIN(AM617*Mat.Conc_Beta.1,$Y617))
+(Mat.Conc_Alpha.1*Mat.Conc_f.c*$V617*MAX(0,AM617*Mat.Conc_Beta.1-$Y617)))
-($J617*MIN(Mat.Rebar_f.y,(Mat.Rebar_epsilon.cl*($S617-AM617)/AM617)*Mat.PT_E.s))
-($M617*Mat.PT_f.pu*(1-Mat.PT_k*AM617/$P617))))</f>
        <v/>
      </c>
      <c r="AP617" s="329"/>
      <c r="AQ617" s="167" t="str">
        <f>IF(ISBLANK(Inputs!$A100),"",
IF(AO617="--","Solved",
IF(ABS(AO617)&lt;=0.001,"Solved",AM617-AO617*(AM617-AI617)/(AO617-AK617))))</f>
        <v/>
      </c>
      <c r="AR617" s="167"/>
      <c r="AS617" s="329" t="str">
        <f>IF(ISBLANK(Inputs!$A100),"",
IF(OR(AQ617="Solved",AQ617="--"),"--",
((Mat.Conc_Alpha.1*Mat.Conc_f.c*$AB617*MIN(AQ617*Mat.Conc_Beta.1,$Y617))
+(Mat.Conc_Alpha.1*Mat.Conc_f.c*$V617*MAX(0,AQ617*Mat.Conc_Beta.1-$Y617)))
-($J617*MIN(Mat.Rebar_f.y,(Mat.Rebar_epsilon.cl*($S617-AQ617)/AQ617)*Mat.PT_E.s))
-($M617*Mat.PT_f.pu*(1-Mat.PT_k*AQ617/$P617))))</f>
        <v/>
      </c>
      <c r="AT617" s="329"/>
      <c r="AU617" s="167" t="str">
        <f>IF(ISBLANK(Inputs!$A100),"",
IF(AS617="--","Solved",
IF(ABS(AS617)&lt;=0.001,"Solved",AQ617-AS617*(AQ617-AM617)/(AS617-AO617))))</f>
        <v/>
      </c>
      <c r="AV617" s="167"/>
      <c r="AW617" s="329" t="str">
        <f>IF(ISBLANK(Inputs!$A100),"",
IF(OR(AU617="Solved",AU617="--"),"--",
((Mat.Conc_Alpha.1*Mat.Conc_f.c*$AB617*MIN(AU617*Mat.Conc_Beta.1,$Y617))
+(Mat.Conc_Alpha.1*Mat.Conc_f.c*$V617*MAX(0,AU617*Mat.Conc_Beta.1-$Y617)))
-($J617*MIN(Mat.Rebar_f.y,(Mat.Rebar_epsilon.cl*($S617-AU617)/AU617)*Mat.PT_E.s))
-($M617*Mat.PT_f.pu*(1-Mat.PT_k*AU617/$P617))))</f>
        <v/>
      </c>
      <c r="AX617" s="329"/>
      <c r="AY617" s="167" t="str">
        <f>IF(ISBLANK(Inputs!$A100),"",
IF(AW617="--","Solved",
IF(ABS(AW617)&lt;=0.001,"Solved",AU617-AW617*(AU617-AQ617)/(AW617-AS617))))</f>
        <v/>
      </c>
      <c r="AZ617" s="167"/>
      <c r="BA617" s="329" t="str">
        <f>IF(ISBLANK(Inputs!$A100),"",
IF(OR(AY617="Solved",AY617="--"),"--",
((Mat.Conc_Alpha.1*Mat.Conc_f.c*$AB617*MIN(AY617*Mat.Conc_Beta.1,$Y617))
+(Mat.Conc_Alpha.1*Mat.Conc_f.c*$V617*MAX(0,AY617*Mat.Conc_Beta.1-$Y617)))
-($J617*MIN(Mat.Rebar_f.y,(Mat.Rebar_epsilon.cl*($S617-AY617)/AY617)*Mat.PT_E.s))
-($M617*Mat.PT_f.pu*(1-Mat.PT_k*AY617/$P617))))</f>
        <v/>
      </c>
      <c r="BB617" s="329"/>
      <c r="BC617" s="167" t="str">
        <f>IF(ISBLANK(Inputs!$A100),"",
IF(BA617="--","Solved",
IF(ABS(BA617)&lt;=0.001,"Solved",AY617-BA617*(AY617-AU617)/(BA617-AW617))))</f>
        <v/>
      </c>
      <c r="BD617" s="167"/>
      <c r="BE617" s="329" t="str">
        <f>IF(ISBLANK(Inputs!$A100),"",
IF(OR(BC617="Solved",BC617="--"),"--",
((Mat.Conc_Alpha.1*Mat.Conc_f.c*$AB617*MIN(BC617*Mat.Conc_Beta.1,$Y617))
+(Mat.Conc_Alpha.1*Mat.Conc_f.c*$V617*MAX(0,BC617*Mat.Conc_Beta.1-$Y617)))
-($J617*MIN(Mat.Rebar_f.y,(Mat.Rebar_epsilon.cl*($S617-BC617)/BC617)*Mat.PT_E.s))
-($M617*Mat.PT_f.pu*(1-Mat.PT_k*BC617/$P617))))</f>
        <v/>
      </c>
      <c r="BF617" s="329"/>
      <c r="BG617" s="167" t="str">
        <f>IF(ISBLANK(Inputs!$A100),"",
IF(BE617="--","Solved",
IF(ABS(BE617)&lt;=0.001,"Solved",BC617-BE617*(BC617-AY617)/(BE617-BA617))))</f>
        <v/>
      </c>
      <c r="BH617" s="167"/>
      <c r="BI617" s="329" t="str">
        <f>IF(ISBLANK(Inputs!$A100),"",
IF(OR(BG617="Solved",BG617="--"),"--",
((Mat.Conc_Alpha.1*Mat.Conc_f.c*$AB617*MIN(BG617*Mat.Conc_Beta.1,$Y617))
+(Mat.Conc_Alpha.1*Mat.Conc_f.c*$V617*MAX(0,BG617*Mat.Conc_Beta.1-$Y617)))
-($J617*MIN(Mat.Rebar_f.y,(Mat.Rebar_epsilon.cl*($S617-BG617)/BG617)*Mat.PT_E.s))
-($M617*Mat.PT_f.pu*(1-Mat.PT_k*BG617/$P617))))</f>
        <v/>
      </c>
      <c r="BJ617" s="329"/>
      <c r="BK617" s="167" t="str">
        <f>IF(ISBLANK(Inputs!$A100),"",
IF(BI617="--","Solved",
IF(ABS(BI617)&lt;=0.001,"Solved",BG617-BI617*(BG617-BC617)/(BI617-BE617))))</f>
        <v/>
      </c>
      <c r="BL617" s="167"/>
      <c r="BM617" s="329" t="str">
        <f>IF(ISBLANK(Inputs!$A100),"",
IF(OR(BK617="Solved",BK617="--"),"--",
((Mat.Conc_Alpha.1*Mat.Conc_f.c*$AB617*MIN(BK617*Mat.Conc_Beta.1,$Y617))
+(Mat.Conc_Alpha.1*Mat.Conc_f.c*$V617*MAX(0,BK617*Mat.Conc_Beta.1-$Y617)))
-($J617*MIN(Mat.Rebar_f.y,(Mat.Rebar_epsilon.cl*($S617-BK617)/BK617)*Mat.PT_E.s))
-($M617*Mat.PT_f.pu*(1-Mat.PT_k*BK617/$P617))))</f>
        <v/>
      </c>
      <c r="BN617" s="329"/>
      <c r="BO617" s="167" t="str">
        <f>IF(ISBLANK(Inputs!$A100),"",
IF(BM617="--","Solved",
IF(ABS(BM617)&lt;=0.001,"Solved",BK617-BM617*(BK617-BG617)/(BM617-BI617))))</f>
        <v/>
      </c>
      <c r="BP617" s="167"/>
      <c r="BQ617" s="329" t="str">
        <f>IF(ISBLANK(Inputs!$A100),"",
IF(OR(BO617="Solved",BO617="--"),"--",
((Mat.Conc_Alpha.1*Mat.Conc_f.c*$AB617*MIN(BO617*Mat.Conc_Beta.1,$Y617))
+(Mat.Conc_Alpha.1*Mat.Conc_f.c*$V617*MAX(0,BO617*Mat.Conc_Beta.1-$Y617)))
-($J617*MIN(Mat.Rebar_f.y,(Mat.Rebar_epsilon.cl*($S617-BO617)/BO617)*Mat.PT_E.s))
-($M617*Mat.PT_f.pu*(1-Mat.PT_k*BO617/$P617))))</f>
        <v/>
      </c>
      <c r="BR617" s="329"/>
      <c r="BS617" s="70"/>
      <c r="BT617" s="70"/>
      <c r="BU617" s="70"/>
      <c r="BV617" s="70"/>
      <c r="BW617" s="8"/>
      <c r="BX617" s="8"/>
      <c r="BY617" s="8"/>
      <c r="BZ617" s="8"/>
      <c r="CA617" s="8"/>
      <c r="CB617" s="10"/>
    </row>
    <row r="618" spans="3:80" ht="15" customHeight="1" x14ac:dyDescent="0.25">
      <c r="C618" s="69"/>
      <c r="F618" s="167" t="str">
        <f>IF(ISBLANK(Inputs!A101),"",Inputs!A101)</f>
        <v/>
      </c>
      <c r="G618" s="167"/>
      <c r="H618" s="167" t="str">
        <f>IF(ISBLANK(Inputs!B101),"",Inputs!B101)</f>
        <v/>
      </c>
      <c r="I618" s="167"/>
      <c r="J618" s="168" t="str">
        <f>IF(ISBLANK(Inputs!K101),"",Inputs!K101)</f>
        <v/>
      </c>
      <c r="K618" s="168"/>
      <c r="L618" s="168"/>
      <c r="M618" s="168" t="str">
        <f>IF(ISBLANK(Inputs!D101),"",Inputs!D101)</f>
        <v/>
      </c>
      <c r="N618" s="168"/>
      <c r="O618" s="168"/>
      <c r="P618" s="168" t="str">
        <f>IF(ISBLANK(Inputs!F101),"",Inputs!$B$10-Inputs!F101)</f>
        <v/>
      </c>
      <c r="Q618" s="168"/>
      <c r="R618" s="168"/>
      <c r="S618" s="168" t="str">
        <f>IF(ISBLANK(Inputs!L101),"",Inputs!L101)</f>
        <v/>
      </c>
      <c r="T618" s="168"/>
      <c r="U618" s="168"/>
      <c r="V618" s="168" t="str">
        <f>IF(ISBLANK(Inputs!E101),"",Inputs!E101)</f>
        <v/>
      </c>
      <c r="W618" s="168"/>
      <c r="X618" s="168"/>
      <c r="Y618" s="168" t="str">
        <f>IF(ISBLANK(Inputs!M101),"",Inputs!M101)</f>
        <v/>
      </c>
      <c r="Z618" s="168"/>
      <c r="AA618" s="168"/>
      <c r="AB618" s="168" t="str">
        <f>IF(ISBLANK(Inputs!N101),"",Inputs!N101)</f>
        <v/>
      </c>
      <c r="AC618" s="168"/>
      <c r="AD618" s="168"/>
      <c r="AE618" s="371" t="str">
        <f>IF(ISBLANK(Inputs!A101),"",Y618)</f>
        <v/>
      </c>
      <c r="AF618" s="371"/>
      <c r="AG618" s="329" t="str">
        <f>IF(ISBLANK(Inputs!$A101),"",
IF(OR(AE618="Solved",AE618="--"),"--",
((Mat.Conc_Alpha.1*Mat.Conc_f.c*$AB618*MIN(AE618*Mat.Conc_Beta.1,$Y618))
+(Mat.Conc_Alpha.1*Mat.Conc_f.c*$V618*MAX(0,AE618*Mat.Conc_Beta.1-$Y618)))
-($J618*MIN(Mat.Rebar_f.y,(Mat.Rebar_epsilon.cl*($S618-AE618)/AE618)*Mat.PT_E.s))
-($M618*Mat.PT_f.pu*(1-Mat.PT_k*AE618/$P618))))</f>
        <v/>
      </c>
      <c r="AH618" s="329"/>
      <c r="AI618" s="167" t="str">
        <f>IF(ISBLANK(Inputs!$A101),"",
IF(ABS(AG618)&lt;=0.001,"Solved",IF(AG618&gt;0,0.85*AE618,1.15*AE618)))</f>
        <v/>
      </c>
      <c r="AJ618" s="167"/>
      <c r="AK618" s="329" t="str">
        <f>IF(ISBLANK(Inputs!$A101),"",
IF(OR(AI618="Solved",AI618="--"),"--",
((Mat.Conc_Alpha.1*Mat.Conc_f.c*$AB618*MIN(AI618*Mat.Conc_Beta.1,$Y618))
+(Mat.Conc_Alpha.1*Mat.Conc_f.c*$V618*MAX(0,AI618*Mat.Conc_Beta.1-$Y618)))
-($J618*MIN(Mat.Rebar_f.y,(Mat.Rebar_epsilon.cl*($S618-AI618)/AI618)*Mat.PT_E.s))
-($M618*Mat.PT_f.pu*(1-Mat.PT_k*AI618/$P618))))</f>
        <v/>
      </c>
      <c r="AL618" s="329"/>
      <c r="AM618" s="167" t="str">
        <f>IF(ISBLANK(Inputs!$A101),"",
IF(AK618="--","Solved",
IF(ABS(AK618)&lt;=0.001,"Solved",AI618-AK618*(AI618-AE618)/(AK618-AG618))))</f>
        <v/>
      </c>
      <c r="AN618" s="167"/>
      <c r="AO618" s="329" t="str">
        <f>IF(ISBLANK(Inputs!$A101),"",
IF(OR(AM618="Solved",AM618="--"),"--",
((Mat.Conc_Alpha.1*Mat.Conc_f.c*$AB618*MIN(AM618*Mat.Conc_Beta.1,$Y618))
+(Mat.Conc_Alpha.1*Mat.Conc_f.c*$V618*MAX(0,AM618*Mat.Conc_Beta.1-$Y618)))
-($J618*MIN(Mat.Rebar_f.y,(Mat.Rebar_epsilon.cl*($S618-AM618)/AM618)*Mat.PT_E.s))
-($M618*Mat.PT_f.pu*(1-Mat.PT_k*AM618/$P618))))</f>
        <v/>
      </c>
      <c r="AP618" s="329"/>
      <c r="AQ618" s="167" t="str">
        <f>IF(ISBLANK(Inputs!$A101),"",
IF(AO618="--","Solved",
IF(ABS(AO618)&lt;=0.001,"Solved",AM618-AO618*(AM618-AI618)/(AO618-AK618))))</f>
        <v/>
      </c>
      <c r="AR618" s="167"/>
      <c r="AS618" s="329" t="str">
        <f>IF(ISBLANK(Inputs!$A101),"",
IF(OR(AQ618="Solved",AQ618="--"),"--",
((Mat.Conc_Alpha.1*Mat.Conc_f.c*$AB618*MIN(AQ618*Mat.Conc_Beta.1,$Y618))
+(Mat.Conc_Alpha.1*Mat.Conc_f.c*$V618*MAX(0,AQ618*Mat.Conc_Beta.1-$Y618)))
-($J618*MIN(Mat.Rebar_f.y,(Mat.Rebar_epsilon.cl*($S618-AQ618)/AQ618)*Mat.PT_E.s))
-($M618*Mat.PT_f.pu*(1-Mat.PT_k*AQ618/$P618))))</f>
        <v/>
      </c>
      <c r="AT618" s="329"/>
      <c r="AU618" s="167" t="str">
        <f>IF(ISBLANK(Inputs!$A101),"",
IF(AS618="--","Solved",
IF(ABS(AS618)&lt;=0.001,"Solved",AQ618-AS618*(AQ618-AM618)/(AS618-AO618))))</f>
        <v/>
      </c>
      <c r="AV618" s="167"/>
      <c r="AW618" s="329" t="str">
        <f>IF(ISBLANK(Inputs!$A101),"",
IF(OR(AU618="Solved",AU618="--"),"--",
((Mat.Conc_Alpha.1*Mat.Conc_f.c*$AB618*MIN(AU618*Mat.Conc_Beta.1,$Y618))
+(Mat.Conc_Alpha.1*Mat.Conc_f.c*$V618*MAX(0,AU618*Mat.Conc_Beta.1-$Y618)))
-($J618*MIN(Mat.Rebar_f.y,(Mat.Rebar_epsilon.cl*($S618-AU618)/AU618)*Mat.PT_E.s))
-($M618*Mat.PT_f.pu*(1-Mat.PT_k*AU618/$P618))))</f>
        <v/>
      </c>
      <c r="AX618" s="329"/>
      <c r="AY618" s="167" t="str">
        <f>IF(ISBLANK(Inputs!$A101),"",
IF(AW618="--","Solved",
IF(ABS(AW618)&lt;=0.001,"Solved",AU618-AW618*(AU618-AQ618)/(AW618-AS618))))</f>
        <v/>
      </c>
      <c r="AZ618" s="167"/>
      <c r="BA618" s="329" t="str">
        <f>IF(ISBLANK(Inputs!$A101),"",
IF(OR(AY618="Solved",AY618="--"),"--",
((Mat.Conc_Alpha.1*Mat.Conc_f.c*$AB618*MIN(AY618*Mat.Conc_Beta.1,$Y618))
+(Mat.Conc_Alpha.1*Mat.Conc_f.c*$V618*MAX(0,AY618*Mat.Conc_Beta.1-$Y618)))
-($J618*MIN(Mat.Rebar_f.y,(Mat.Rebar_epsilon.cl*($S618-AY618)/AY618)*Mat.PT_E.s))
-($M618*Mat.PT_f.pu*(1-Mat.PT_k*AY618/$P618))))</f>
        <v/>
      </c>
      <c r="BB618" s="329"/>
      <c r="BC618" s="167" t="str">
        <f>IF(ISBLANK(Inputs!$A101),"",
IF(BA618="--","Solved",
IF(ABS(BA618)&lt;=0.001,"Solved",AY618-BA618*(AY618-AU618)/(BA618-AW618))))</f>
        <v/>
      </c>
      <c r="BD618" s="167"/>
      <c r="BE618" s="329" t="str">
        <f>IF(ISBLANK(Inputs!$A101),"",
IF(OR(BC618="Solved",BC618="--"),"--",
((Mat.Conc_Alpha.1*Mat.Conc_f.c*$AB618*MIN(BC618*Mat.Conc_Beta.1,$Y618))
+(Mat.Conc_Alpha.1*Mat.Conc_f.c*$V618*MAX(0,BC618*Mat.Conc_Beta.1-$Y618)))
-($J618*MIN(Mat.Rebar_f.y,(Mat.Rebar_epsilon.cl*($S618-BC618)/BC618)*Mat.PT_E.s))
-($M618*Mat.PT_f.pu*(1-Mat.PT_k*BC618/$P618))))</f>
        <v/>
      </c>
      <c r="BF618" s="329"/>
      <c r="BG618" s="167" t="str">
        <f>IF(ISBLANK(Inputs!$A101),"",
IF(BE618="--","Solved",
IF(ABS(BE618)&lt;=0.001,"Solved",BC618-BE618*(BC618-AY618)/(BE618-BA618))))</f>
        <v/>
      </c>
      <c r="BH618" s="167"/>
      <c r="BI618" s="329" t="str">
        <f>IF(ISBLANK(Inputs!$A101),"",
IF(OR(BG618="Solved",BG618="--"),"--",
((Mat.Conc_Alpha.1*Mat.Conc_f.c*$AB618*MIN(BG618*Mat.Conc_Beta.1,$Y618))
+(Mat.Conc_Alpha.1*Mat.Conc_f.c*$V618*MAX(0,BG618*Mat.Conc_Beta.1-$Y618)))
-($J618*MIN(Mat.Rebar_f.y,(Mat.Rebar_epsilon.cl*($S618-BG618)/BG618)*Mat.PT_E.s))
-($M618*Mat.PT_f.pu*(1-Mat.PT_k*BG618/$P618))))</f>
        <v/>
      </c>
      <c r="BJ618" s="329"/>
      <c r="BK618" s="167" t="str">
        <f>IF(ISBLANK(Inputs!$A101),"",
IF(BI618="--","Solved",
IF(ABS(BI618)&lt;=0.001,"Solved",BG618-BI618*(BG618-BC618)/(BI618-BE618))))</f>
        <v/>
      </c>
      <c r="BL618" s="167"/>
      <c r="BM618" s="329" t="str">
        <f>IF(ISBLANK(Inputs!$A101),"",
IF(OR(BK618="Solved",BK618="--"),"--",
((Mat.Conc_Alpha.1*Mat.Conc_f.c*$AB618*MIN(BK618*Mat.Conc_Beta.1,$Y618))
+(Mat.Conc_Alpha.1*Mat.Conc_f.c*$V618*MAX(0,BK618*Mat.Conc_Beta.1-$Y618)))
-($J618*MIN(Mat.Rebar_f.y,(Mat.Rebar_epsilon.cl*($S618-BK618)/BK618)*Mat.PT_E.s))
-($M618*Mat.PT_f.pu*(1-Mat.PT_k*BK618/$P618))))</f>
        <v/>
      </c>
      <c r="BN618" s="329"/>
      <c r="BO618" s="167" t="str">
        <f>IF(ISBLANK(Inputs!$A101),"",
IF(BM618="--","Solved",
IF(ABS(BM618)&lt;=0.001,"Solved",BK618-BM618*(BK618-BG618)/(BM618-BI618))))</f>
        <v/>
      </c>
      <c r="BP618" s="167"/>
      <c r="BQ618" s="329" t="str">
        <f>IF(ISBLANK(Inputs!$A101),"",
IF(OR(BO618="Solved",BO618="--"),"--",
((Mat.Conc_Alpha.1*Mat.Conc_f.c*$AB618*MIN(BO618*Mat.Conc_Beta.1,$Y618))
+(Mat.Conc_Alpha.1*Mat.Conc_f.c*$V618*MAX(0,BO618*Mat.Conc_Beta.1-$Y618)))
-($J618*MIN(Mat.Rebar_f.y,(Mat.Rebar_epsilon.cl*($S618-BO618)/BO618)*Mat.PT_E.s))
-($M618*Mat.PT_f.pu*(1-Mat.PT_k*BO618/$P618))))</f>
        <v/>
      </c>
      <c r="BR618" s="329"/>
      <c r="BS618" s="70"/>
      <c r="BT618" s="70"/>
      <c r="BU618" s="70"/>
      <c r="BV618" s="70"/>
      <c r="BW618" s="8"/>
      <c r="BX618" s="8"/>
      <c r="BY618" s="8"/>
      <c r="BZ618" s="8"/>
      <c r="CA618" s="8"/>
      <c r="CB618" s="10"/>
    </row>
    <row r="619" spans="3:80" ht="15" customHeight="1" x14ac:dyDescent="0.25">
      <c r="C619" s="69"/>
      <c r="F619" s="167" t="str">
        <f>IF(ISBLANK(Inputs!A102),"",Inputs!A102)</f>
        <v/>
      </c>
      <c r="G619" s="167"/>
      <c r="H619" s="167" t="str">
        <f>IF(ISBLANK(Inputs!B102),"",Inputs!B102)</f>
        <v/>
      </c>
      <c r="I619" s="167"/>
      <c r="J619" s="168" t="str">
        <f>IF(ISBLANK(Inputs!K102),"",Inputs!K102)</f>
        <v/>
      </c>
      <c r="K619" s="168"/>
      <c r="L619" s="168"/>
      <c r="M619" s="168" t="str">
        <f>IF(ISBLANK(Inputs!D102),"",Inputs!D102)</f>
        <v/>
      </c>
      <c r="N619" s="168"/>
      <c r="O619" s="168"/>
      <c r="P619" s="168" t="str">
        <f>IF(ISBLANK(Inputs!F102),"",Inputs!$B$10-Inputs!F102)</f>
        <v/>
      </c>
      <c r="Q619" s="168"/>
      <c r="R619" s="168"/>
      <c r="S619" s="168" t="str">
        <f>IF(ISBLANK(Inputs!L102),"",Inputs!L102)</f>
        <v/>
      </c>
      <c r="T619" s="168"/>
      <c r="U619" s="168"/>
      <c r="V619" s="168" t="str">
        <f>IF(ISBLANK(Inputs!E102),"",Inputs!E102)</f>
        <v/>
      </c>
      <c r="W619" s="168"/>
      <c r="X619" s="168"/>
      <c r="Y619" s="168" t="str">
        <f>IF(ISBLANK(Inputs!M102),"",Inputs!M102)</f>
        <v/>
      </c>
      <c r="Z619" s="168"/>
      <c r="AA619" s="168"/>
      <c r="AB619" s="168" t="str">
        <f>IF(ISBLANK(Inputs!N102),"",Inputs!N102)</f>
        <v/>
      </c>
      <c r="AC619" s="168"/>
      <c r="AD619" s="168"/>
      <c r="AE619" s="371" t="str">
        <f>IF(ISBLANK(Inputs!A102),"",Y619)</f>
        <v/>
      </c>
      <c r="AF619" s="371"/>
      <c r="AG619" s="329" t="str">
        <f>IF(ISBLANK(Inputs!$A102),"",
IF(OR(AE619="Solved",AE619="--"),"--",
((Mat.Conc_Alpha.1*Mat.Conc_f.c*$AB619*MIN(AE619*Mat.Conc_Beta.1,$Y619))
+(Mat.Conc_Alpha.1*Mat.Conc_f.c*$V619*MAX(0,AE619*Mat.Conc_Beta.1-$Y619)))
-($J619*MIN(Mat.Rebar_f.y,(Mat.Rebar_epsilon.cl*($S619-AE619)/AE619)*Mat.PT_E.s))
-($M619*Mat.PT_f.pu*(1-Mat.PT_k*AE619/$P619))))</f>
        <v/>
      </c>
      <c r="AH619" s="329"/>
      <c r="AI619" s="167" t="str">
        <f>IF(ISBLANK(Inputs!$A102),"",
IF(ABS(AG619)&lt;=0.001,"Solved",IF(AG619&gt;0,0.85*AE619,1.15*AE619)))</f>
        <v/>
      </c>
      <c r="AJ619" s="167"/>
      <c r="AK619" s="329" t="str">
        <f>IF(ISBLANK(Inputs!$A102),"",
IF(OR(AI619="Solved",AI619="--"),"--",
((Mat.Conc_Alpha.1*Mat.Conc_f.c*$AB619*MIN(AI619*Mat.Conc_Beta.1,$Y619))
+(Mat.Conc_Alpha.1*Mat.Conc_f.c*$V619*MAX(0,AI619*Mat.Conc_Beta.1-$Y619)))
-($J619*MIN(Mat.Rebar_f.y,(Mat.Rebar_epsilon.cl*($S619-AI619)/AI619)*Mat.PT_E.s))
-($M619*Mat.PT_f.pu*(1-Mat.PT_k*AI619/$P619))))</f>
        <v/>
      </c>
      <c r="AL619" s="329"/>
      <c r="AM619" s="167" t="str">
        <f>IF(ISBLANK(Inputs!$A102),"",
IF(AK619="--","Solved",
IF(ABS(AK619)&lt;=0.001,"Solved",AI619-AK619*(AI619-AE619)/(AK619-AG619))))</f>
        <v/>
      </c>
      <c r="AN619" s="167"/>
      <c r="AO619" s="329" t="str">
        <f>IF(ISBLANK(Inputs!$A102),"",
IF(OR(AM619="Solved",AM619="--"),"--",
((Mat.Conc_Alpha.1*Mat.Conc_f.c*$AB619*MIN(AM619*Mat.Conc_Beta.1,$Y619))
+(Mat.Conc_Alpha.1*Mat.Conc_f.c*$V619*MAX(0,AM619*Mat.Conc_Beta.1-$Y619)))
-($J619*MIN(Mat.Rebar_f.y,(Mat.Rebar_epsilon.cl*($S619-AM619)/AM619)*Mat.PT_E.s))
-($M619*Mat.PT_f.pu*(1-Mat.PT_k*AM619/$P619))))</f>
        <v/>
      </c>
      <c r="AP619" s="329"/>
      <c r="AQ619" s="167" t="str">
        <f>IF(ISBLANK(Inputs!$A102),"",
IF(AO619="--","Solved",
IF(ABS(AO619)&lt;=0.001,"Solved",AM619-AO619*(AM619-AI619)/(AO619-AK619))))</f>
        <v/>
      </c>
      <c r="AR619" s="167"/>
      <c r="AS619" s="329" t="str">
        <f>IF(ISBLANK(Inputs!$A102),"",
IF(OR(AQ619="Solved",AQ619="--"),"--",
((Mat.Conc_Alpha.1*Mat.Conc_f.c*$AB619*MIN(AQ619*Mat.Conc_Beta.1,$Y619))
+(Mat.Conc_Alpha.1*Mat.Conc_f.c*$V619*MAX(0,AQ619*Mat.Conc_Beta.1-$Y619)))
-($J619*MIN(Mat.Rebar_f.y,(Mat.Rebar_epsilon.cl*($S619-AQ619)/AQ619)*Mat.PT_E.s))
-($M619*Mat.PT_f.pu*(1-Mat.PT_k*AQ619/$P619))))</f>
        <v/>
      </c>
      <c r="AT619" s="329"/>
      <c r="AU619" s="167" t="str">
        <f>IF(ISBLANK(Inputs!$A102),"",
IF(AS619="--","Solved",
IF(ABS(AS619)&lt;=0.001,"Solved",AQ619-AS619*(AQ619-AM619)/(AS619-AO619))))</f>
        <v/>
      </c>
      <c r="AV619" s="167"/>
      <c r="AW619" s="329" t="str">
        <f>IF(ISBLANK(Inputs!$A102),"",
IF(OR(AU619="Solved",AU619="--"),"--",
((Mat.Conc_Alpha.1*Mat.Conc_f.c*$AB619*MIN(AU619*Mat.Conc_Beta.1,$Y619))
+(Mat.Conc_Alpha.1*Mat.Conc_f.c*$V619*MAX(0,AU619*Mat.Conc_Beta.1-$Y619)))
-($J619*MIN(Mat.Rebar_f.y,(Mat.Rebar_epsilon.cl*($S619-AU619)/AU619)*Mat.PT_E.s))
-($M619*Mat.PT_f.pu*(1-Mat.PT_k*AU619/$P619))))</f>
        <v/>
      </c>
      <c r="AX619" s="329"/>
      <c r="AY619" s="167" t="str">
        <f>IF(ISBLANK(Inputs!$A102),"",
IF(AW619="--","Solved",
IF(ABS(AW619)&lt;=0.001,"Solved",AU619-AW619*(AU619-AQ619)/(AW619-AS619))))</f>
        <v/>
      </c>
      <c r="AZ619" s="167"/>
      <c r="BA619" s="329" t="str">
        <f>IF(ISBLANK(Inputs!$A102),"",
IF(OR(AY619="Solved",AY619="--"),"--",
((Mat.Conc_Alpha.1*Mat.Conc_f.c*$AB619*MIN(AY619*Mat.Conc_Beta.1,$Y619))
+(Mat.Conc_Alpha.1*Mat.Conc_f.c*$V619*MAX(0,AY619*Mat.Conc_Beta.1-$Y619)))
-($J619*MIN(Mat.Rebar_f.y,(Mat.Rebar_epsilon.cl*($S619-AY619)/AY619)*Mat.PT_E.s))
-($M619*Mat.PT_f.pu*(1-Mat.PT_k*AY619/$P619))))</f>
        <v/>
      </c>
      <c r="BB619" s="329"/>
      <c r="BC619" s="167" t="str">
        <f>IF(ISBLANK(Inputs!$A102),"",
IF(BA619="--","Solved",
IF(ABS(BA619)&lt;=0.001,"Solved",AY619-BA619*(AY619-AU619)/(BA619-AW619))))</f>
        <v/>
      </c>
      <c r="BD619" s="167"/>
      <c r="BE619" s="329" t="str">
        <f>IF(ISBLANK(Inputs!$A102),"",
IF(OR(BC619="Solved",BC619="--"),"--",
((Mat.Conc_Alpha.1*Mat.Conc_f.c*$AB619*MIN(BC619*Mat.Conc_Beta.1,$Y619))
+(Mat.Conc_Alpha.1*Mat.Conc_f.c*$V619*MAX(0,BC619*Mat.Conc_Beta.1-$Y619)))
-($J619*MIN(Mat.Rebar_f.y,(Mat.Rebar_epsilon.cl*($S619-BC619)/BC619)*Mat.PT_E.s))
-($M619*Mat.PT_f.pu*(1-Mat.PT_k*BC619/$P619))))</f>
        <v/>
      </c>
      <c r="BF619" s="329"/>
      <c r="BG619" s="167" t="str">
        <f>IF(ISBLANK(Inputs!$A102),"",
IF(BE619="--","Solved",
IF(ABS(BE619)&lt;=0.001,"Solved",BC619-BE619*(BC619-AY619)/(BE619-BA619))))</f>
        <v/>
      </c>
      <c r="BH619" s="167"/>
      <c r="BI619" s="329" t="str">
        <f>IF(ISBLANK(Inputs!$A102),"",
IF(OR(BG619="Solved",BG619="--"),"--",
((Mat.Conc_Alpha.1*Mat.Conc_f.c*$AB619*MIN(BG619*Mat.Conc_Beta.1,$Y619))
+(Mat.Conc_Alpha.1*Mat.Conc_f.c*$V619*MAX(0,BG619*Mat.Conc_Beta.1-$Y619)))
-($J619*MIN(Mat.Rebar_f.y,(Mat.Rebar_epsilon.cl*($S619-BG619)/BG619)*Mat.PT_E.s))
-($M619*Mat.PT_f.pu*(1-Mat.PT_k*BG619/$P619))))</f>
        <v/>
      </c>
      <c r="BJ619" s="329"/>
      <c r="BK619" s="167" t="str">
        <f>IF(ISBLANK(Inputs!$A102),"",
IF(BI619="--","Solved",
IF(ABS(BI619)&lt;=0.001,"Solved",BG619-BI619*(BG619-BC619)/(BI619-BE619))))</f>
        <v/>
      </c>
      <c r="BL619" s="167"/>
      <c r="BM619" s="329" t="str">
        <f>IF(ISBLANK(Inputs!$A102),"",
IF(OR(BK619="Solved",BK619="--"),"--",
((Mat.Conc_Alpha.1*Mat.Conc_f.c*$AB619*MIN(BK619*Mat.Conc_Beta.1,$Y619))
+(Mat.Conc_Alpha.1*Mat.Conc_f.c*$V619*MAX(0,BK619*Mat.Conc_Beta.1-$Y619)))
-($J619*MIN(Mat.Rebar_f.y,(Mat.Rebar_epsilon.cl*($S619-BK619)/BK619)*Mat.PT_E.s))
-($M619*Mat.PT_f.pu*(1-Mat.PT_k*BK619/$P619))))</f>
        <v/>
      </c>
      <c r="BN619" s="329"/>
      <c r="BO619" s="167" t="str">
        <f>IF(ISBLANK(Inputs!$A102),"",
IF(BM619="--","Solved",
IF(ABS(BM619)&lt;=0.001,"Solved",BK619-BM619*(BK619-BG619)/(BM619-BI619))))</f>
        <v/>
      </c>
      <c r="BP619" s="167"/>
      <c r="BQ619" s="329" t="str">
        <f>IF(ISBLANK(Inputs!$A102),"",
IF(OR(BO619="Solved",BO619="--"),"--",
((Mat.Conc_Alpha.1*Mat.Conc_f.c*$AB619*MIN(BO619*Mat.Conc_Beta.1,$Y619))
+(Mat.Conc_Alpha.1*Mat.Conc_f.c*$V619*MAX(0,BO619*Mat.Conc_Beta.1-$Y619)))
-($J619*MIN(Mat.Rebar_f.y,(Mat.Rebar_epsilon.cl*($S619-BO619)/BO619)*Mat.PT_E.s))
-($M619*Mat.PT_f.pu*(1-Mat.PT_k*BO619/$P619))))</f>
        <v/>
      </c>
      <c r="BR619" s="329"/>
      <c r="BS619" s="70"/>
      <c r="BT619" s="70"/>
      <c r="BU619" s="70"/>
      <c r="BV619" s="70"/>
      <c r="BW619" s="8"/>
      <c r="BX619" s="8"/>
      <c r="BY619" s="8"/>
      <c r="BZ619" s="8"/>
      <c r="CA619" s="8"/>
      <c r="CB619" s="10"/>
    </row>
    <row r="620" spans="3:80" ht="15" customHeight="1" x14ac:dyDescent="0.25">
      <c r="C620" s="69"/>
      <c r="F620" s="167" t="str">
        <f>IF(ISBLANK(Inputs!A103),"",Inputs!A103)</f>
        <v/>
      </c>
      <c r="G620" s="167"/>
      <c r="H620" s="167" t="str">
        <f>IF(ISBLANK(Inputs!B103),"",Inputs!B103)</f>
        <v/>
      </c>
      <c r="I620" s="167"/>
      <c r="J620" s="168" t="str">
        <f>IF(ISBLANK(Inputs!K103),"",Inputs!K103)</f>
        <v/>
      </c>
      <c r="K620" s="168"/>
      <c r="L620" s="168"/>
      <c r="M620" s="168" t="str">
        <f>IF(ISBLANK(Inputs!D103),"",Inputs!D103)</f>
        <v/>
      </c>
      <c r="N620" s="168"/>
      <c r="O620" s="168"/>
      <c r="P620" s="168" t="str">
        <f>IF(ISBLANK(Inputs!F103),"",Inputs!$B$10-Inputs!F103)</f>
        <v/>
      </c>
      <c r="Q620" s="168"/>
      <c r="R620" s="168"/>
      <c r="S620" s="168" t="str">
        <f>IF(ISBLANK(Inputs!L103),"",Inputs!L103)</f>
        <v/>
      </c>
      <c r="T620" s="168"/>
      <c r="U620" s="168"/>
      <c r="V620" s="168" t="str">
        <f>IF(ISBLANK(Inputs!E103),"",Inputs!E103)</f>
        <v/>
      </c>
      <c r="W620" s="168"/>
      <c r="X620" s="168"/>
      <c r="Y620" s="168" t="str">
        <f>IF(ISBLANK(Inputs!M103),"",Inputs!M103)</f>
        <v/>
      </c>
      <c r="Z620" s="168"/>
      <c r="AA620" s="168"/>
      <c r="AB620" s="168" t="str">
        <f>IF(ISBLANK(Inputs!N103),"",Inputs!N103)</f>
        <v/>
      </c>
      <c r="AC620" s="168"/>
      <c r="AD620" s="168"/>
      <c r="AE620" s="371" t="str">
        <f>IF(ISBLANK(Inputs!A103),"",Y620)</f>
        <v/>
      </c>
      <c r="AF620" s="371"/>
      <c r="AG620" s="329" t="str">
        <f>IF(ISBLANK(Inputs!$A103),"",
IF(OR(AE620="Solved",AE620="--"),"--",
((Mat.Conc_Alpha.1*Mat.Conc_f.c*$AB620*MIN(AE620*Mat.Conc_Beta.1,$Y620))
+(Mat.Conc_Alpha.1*Mat.Conc_f.c*$V620*MAX(0,AE620*Mat.Conc_Beta.1-$Y620)))
-($J620*MIN(Mat.Rebar_f.y,(Mat.Rebar_epsilon.cl*($S620-AE620)/AE620)*Mat.PT_E.s))
-($M620*Mat.PT_f.pu*(1-Mat.PT_k*AE620/$P620))))</f>
        <v/>
      </c>
      <c r="AH620" s="329"/>
      <c r="AI620" s="167" t="str">
        <f>IF(ISBLANK(Inputs!$A103),"",
IF(ABS(AG620)&lt;=0.001,"Solved",IF(AG620&gt;0,0.85*AE620,1.15*AE620)))</f>
        <v/>
      </c>
      <c r="AJ620" s="167"/>
      <c r="AK620" s="329" t="str">
        <f>IF(ISBLANK(Inputs!$A103),"",
IF(OR(AI620="Solved",AI620="--"),"--",
((Mat.Conc_Alpha.1*Mat.Conc_f.c*$AB620*MIN(AI620*Mat.Conc_Beta.1,$Y620))
+(Mat.Conc_Alpha.1*Mat.Conc_f.c*$V620*MAX(0,AI620*Mat.Conc_Beta.1-$Y620)))
-($J620*MIN(Mat.Rebar_f.y,(Mat.Rebar_epsilon.cl*($S620-AI620)/AI620)*Mat.PT_E.s))
-($M620*Mat.PT_f.pu*(1-Mat.PT_k*AI620/$P620))))</f>
        <v/>
      </c>
      <c r="AL620" s="329"/>
      <c r="AM620" s="167" t="str">
        <f>IF(ISBLANK(Inputs!$A103),"",
IF(AK620="--","Solved",
IF(ABS(AK620)&lt;=0.001,"Solved",AI620-AK620*(AI620-AE620)/(AK620-AG620))))</f>
        <v/>
      </c>
      <c r="AN620" s="167"/>
      <c r="AO620" s="329" t="str">
        <f>IF(ISBLANK(Inputs!$A103),"",
IF(OR(AM620="Solved",AM620="--"),"--",
((Mat.Conc_Alpha.1*Mat.Conc_f.c*$AB620*MIN(AM620*Mat.Conc_Beta.1,$Y620))
+(Mat.Conc_Alpha.1*Mat.Conc_f.c*$V620*MAX(0,AM620*Mat.Conc_Beta.1-$Y620)))
-($J620*MIN(Mat.Rebar_f.y,(Mat.Rebar_epsilon.cl*($S620-AM620)/AM620)*Mat.PT_E.s))
-($M620*Mat.PT_f.pu*(1-Mat.PT_k*AM620/$P620))))</f>
        <v/>
      </c>
      <c r="AP620" s="329"/>
      <c r="AQ620" s="167" t="str">
        <f>IF(ISBLANK(Inputs!$A103),"",
IF(AO620="--","Solved",
IF(ABS(AO620)&lt;=0.001,"Solved",AM620-AO620*(AM620-AI620)/(AO620-AK620))))</f>
        <v/>
      </c>
      <c r="AR620" s="167"/>
      <c r="AS620" s="329" t="str">
        <f>IF(ISBLANK(Inputs!$A103),"",
IF(OR(AQ620="Solved",AQ620="--"),"--",
((Mat.Conc_Alpha.1*Mat.Conc_f.c*$AB620*MIN(AQ620*Mat.Conc_Beta.1,$Y620))
+(Mat.Conc_Alpha.1*Mat.Conc_f.c*$V620*MAX(0,AQ620*Mat.Conc_Beta.1-$Y620)))
-($J620*MIN(Mat.Rebar_f.y,(Mat.Rebar_epsilon.cl*($S620-AQ620)/AQ620)*Mat.PT_E.s))
-($M620*Mat.PT_f.pu*(1-Mat.PT_k*AQ620/$P620))))</f>
        <v/>
      </c>
      <c r="AT620" s="329"/>
      <c r="AU620" s="167" t="str">
        <f>IF(ISBLANK(Inputs!$A103),"",
IF(AS620="--","Solved",
IF(ABS(AS620)&lt;=0.001,"Solved",AQ620-AS620*(AQ620-AM620)/(AS620-AO620))))</f>
        <v/>
      </c>
      <c r="AV620" s="167"/>
      <c r="AW620" s="329" t="str">
        <f>IF(ISBLANK(Inputs!$A103),"",
IF(OR(AU620="Solved",AU620="--"),"--",
((Mat.Conc_Alpha.1*Mat.Conc_f.c*$AB620*MIN(AU620*Mat.Conc_Beta.1,$Y620))
+(Mat.Conc_Alpha.1*Mat.Conc_f.c*$V620*MAX(0,AU620*Mat.Conc_Beta.1-$Y620)))
-($J620*MIN(Mat.Rebar_f.y,(Mat.Rebar_epsilon.cl*($S620-AU620)/AU620)*Mat.PT_E.s))
-($M620*Mat.PT_f.pu*(1-Mat.PT_k*AU620/$P620))))</f>
        <v/>
      </c>
      <c r="AX620" s="329"/>
      <c r="AY620" s="167" t="str">
        <f>IF(ISBLANK(Inputs!$A103),"",
IF(AW620="--","Solved",
IF(ABS(AW620)&lt;=0.001,"Solved",AU620-AW620*(AU620-AQ620)/(AW620-AS620))))</f>
        <v/>
      </c>
      <c r="AZ620" s="167"/>
      <c r="BA620" s="329" t="str">
        <f>IF(ISBLANK(Inputs!$A103),"",
IF(OR(AY620="Solved",AY620="--"),"--",
((Mat.Conc_Alpha.1*Mat.Conc_f.c*$AB620*MIN(AY620*Mat.Conc_Beta.1,$Y620))
+(Mat.Conc_Alpha.1*Mat.Conc_f.c*$V620*MAX(0,AY620*Mat.Conc_Beta.1-$Y620)))
-($J620*MIN(Mat.Rebar_f.y,(Mat.Rebar_epsilon.cl*($S620-AY620)/AY620)*Mat.PT_E.s))
-($M620*Mat.PT_f.pu*(1-Mat.PT_k*AY620/$P620))))</f>
        <v/>
      </c>
      <c r="BB620" s="329"/>
      <c r="BC620" s="167" t="str">
        <f>IF(ISBLANK(Inputs!$A103),"",
IF(BA620="--","Solved",
IF(ABS(BA620)&lt;=0.001,"Solved",AY620-BA620*(AY620-AU620)/(BA620-AW620))))</f>
        <v/>
      </c>
      <c r="BD620" s="167"/>
      <c r="BE620" s="329" t="str">
        <f>IF(ISBLANK(Inputs!$A103),"",
IF(OR(BC620="Solved",BC620="--"),"--",
((Mat.Conc_Alpha.1*Mat.Conc_f.c*$AB620*MIN(BC620*Mat.Conc_Beta.1,$Y620))
+(Mat.Conc_Alpha.1*Mat.Conc_f.c*$V620*MAX(0,BC620*Mat.Conc_Beta.1-$Y620)))
-($J620*MIN(Mat.Rebar_f.y,(Mat.Rebar_epsilon.cl*($S620-BC620)/BC620)*Mat.PT_E.s))
-($M620*Mat.PT_f.pu*(1-Mat.PT_k*BC620/$P620))))</f>
        <v/>
      </c>
      <c r="BF620" s="329"/>
      <c r="BG620" s="167" t="str">
        <f>IF(ISBLANK(Inputs!$A103),"",
IF(BE620="--","Solved",
IF(ABS(BE620)&lt;=0.001,"Solved",BC620-BE620*(BC620-AY620)/(BE620-BA620))))</f>
        <v/>
      </c>
      <c r="BH620" s="167"/>
      <c r="BI620" s="329" t="str">
        <f>IF(ISBLANK(Inputs!$A103),"",
IF(OR(BG620="Solved",BG620="--"),"--",
((Mat.Conc_Alpha.1*Mat.Conc_f.c*$AB620*MIN(BG620*Mat.Conc_Beta.1,$Y620))
+(Mat.Conc_Alpha.1*Mat.Conc_f.c*$V620*MAX(0,BG620*Mat.Conc_Beta.1-$Y620)))
-($J620*MIN(Mat.Rebar_f.y,(Mat.Rebar_epsilon.cl*($S620-BG620)/BG620)*Mat.PT_E.s))
-($M620*Mat.PT_f.pu*(1-Mat.PT_k*BG620/$P620))))</f>
        <v/>
      </c>
      <c r="BJ620" s="329"/>
      <c r="BK620" s="167" t="str">
        <f>IF(ISBLANK(Inputs!$A103),"",
IF(BI620="--","Solved",
IF(ABS(BI620)&lt;=0.001,"Solved",BG620-BI620*(BG620-BC620)/(BI620-BE620))))</f>
        <v/>
      </c>
      <c r="BL620" s="167"/>
      <c r="BM620" s="329" t="str">
        <f>IF(ISBLANK(Inputs!$A103),"",
IF(OR(BK620="Solved",BK620="--"),"--",
((Mat.Conc_Alpha.1*Mat.Conc_f.c*$AB620*MIN(BK620*Mat.Conc_Beta.1,$Y620))
+(Mat.Conc_Alpha.1*Mat.Conc_f.c*$V620*MAX(0,BK620*Mat.Conc_Beta.1-$Y620)))
-($J620*MIN(Mat.Rebar_f.y,(Mat.Rebar_epsilon.cl*($S620-BK620)/BK620)*Mat.PT_E.s))
-($M620*Mat.PT_f.pu*(1-Mat.PT_k*BK620/$P620))))</f>
        <v/>
      </c>
      <c r="BN620" s="329"/>
      <c r="BO620" s="167" t="str">
        <f>IF(ISBLANK(Inputs!$A103),"",
IF(BM620="--","Solved",
IF(ABS(BM620)&lt;=0.001,"Solved",BK620-BM620*(BK620-BG620)/(BM620-BI620))))</f>
        <v/>
      </c>
      <c r="BP620" s="167"/>
      <c r="BQ620" s="329" t="str">
        <f>IF(ISBLANK(Inputs!$A103),"",
IF(OR(BO620="Solved",BO620="--"),"--",
((Mat.Conc_Alpha.1*Mat.Conc_f.c*$AB620*MIN(BO620*Mat.Conc_Beta.1,$Y620))
+(Mat.Conc_Alpha.1*Mat.Conc_f.c*$V620*MAX(0,BO620*Mat.Conc_Beta.1-$Y620)))
-($J620*MIN(Mat.Rebar_f.y,(Mat.Rebar_epsilon.cl*($S620-BO620)/BO620)*Mat.PT_E.s))
-($M620*Mat.PT_f.pu*(1-Mat.PT_k*BO620/$P620))))</f>
        <v/>
      </c>
      <c r="BR620" s="329"/>
      <c r="BS620" s="70"/>
      <c r="BT620" s="70"/>
      <c r="BU620" s="70"/>
      <c r="BV620" s="70"/>
      <c r="BW620" s="8"/>
      <c r="BX620" s="8"/>
      <c r="BY620" s="8"/>
      <c r="BZ620" s="8"/>
      <c r="CA620" s="8"/>
      <c r="CB620" s="10"/>
    </row>
    <row r="621" spans="3:80" ht="15" customHeight="1" x14ac:dyDescent="0.25">
      <c r="C621" s="69"/>
      <c r="F621" s="167" t="str">
        <f>IF(ISBLANK(Inputs!A104),"",Inputs!A104)</f>
        <v/>
      </c>
      <c r="G621" s="167"/>
      <c r="H621" s="167" t="str">
        <f>IF(ISBLANK(Inputs!B104),"",Inputs!B104)</f>
        <v/>
      </c>
      <c r="I621" s="167"/>
      <c r="J621" s="168" t="str">
        <f>IF(ISBLANK(Inputs!K104),"",Inputs!K104)</f>
        <v/>
      </c>
      <c r="K621" s="168"/>
      <c r="L621" s="168"/>
      <c r="M621" s="168" t="str">
        <f>IF(ISBLANK(Inputs!D104),"",Inputs!D104)</f>
        <v/>
      </c>
      <c r="N621" s="168"/>
      <c r="O621" s="168"/>
      <c r="P621" s="168" t="str">
        <f>IF(ISBLANK(Inputs!F104),"",Inputs!$B$10-Inputs!F104)</f>
        <v/>
      </c>
      <c r="Q621" s="168"/>
      <c r="R621" s="168"/>
      <c r="S621" s="168" t="str">
        <f>IF(ISBLANK(Inputs!L104),"",Inputs!L104)</f>
        <v/>
      </c>
      <c r="T621" s="168"/>
      <c r="U621" s="168"/>
      <c r="V621" s="168" t="str">
        <f>IF(ISBLANK(Inputs!E104),"",Inputs!E104)</f>
        <v/>
      </c>
      <c r="W621" s="168"/>
      <c r="X621" s="168"/>
      <c r="Y621" s="168" t="str">
        <f>IF(ISBLANK(Inputs!M104),"",Inputs!M104)</f>
        <v/>
      </c>
      <c r="Z621" s="168"/>
      <c r="AA621" s="168"/>
      <c r="AB621" s="168" t="str">
        <f>IF(ISBLANK(Inputs!N104),"",Inputs!N104)</f>
        <v/>
      </c>
      <c r="AC621" s="168"/>
      <c r="AD621" s="168"/>
      <c r="AE621" s="371" t="str">
        <f>IF(ISBLANK(Inputs!A104),"",Y621)</f>
        <v/>
      </c>
      <c r="AF621" s="371"/>
      <c r="AG621" s="329" t="str">
        <f>IF(ISBLANK(Inputs!$A104),"",
IF(OR(AE621="Solved",AE621="--"),"--",
((Mat.Conc_Alpha.1*Mat.Conc_f.c*$AB621*MIN(AE621*Mat.Conc_Beta.1,$Y621))
+(Mat.Conc_Alpha.1*Mat.Conc_f.c*$V621*MAX(0,AE621*Mat.Conc_Beta.1-$Y621)))
-($J621*MIN(Mat.Rebar_f.y,(Mat.Rebar_epsilon.cl*($S621-AE621)/AE621)*Mat.PT_E.s))
-($M621*Mat.PT_f.pu*(1-Mat.PT_k*AE621/$P621))))</f>
        <v/>
      </c>
      <c r="AH621" s="329"/>
      <c r="AI621" s="167" t="str">
        <f>IF(ISBLANK(Inputs!$A104),"",
IF(ABS(AG621)&lt;=0.001,"Solved",IF(AG621&gt;0,0.85*AE621,1.15*AE621)))</f>
        <v/>
      </c>
      <c r="AJ621" s="167"/>
      <c r="AK621" s="329" t="str">
        <f>IF(ISBLANK(Inputs!$A104),"",
IF(OR(AI621="Solved",AI621="--"),"--",
((Mat.Conc_Alpha.1*Mat.Conc_f.c*$AB621*MIN(AI621*Mat.Conc_Beta.1,$Y621))
+(Mat.Conc_Alpha.1*Mat.Conc_f.c*$V621*MAX(0,AI621*Mat.Conc_Beta.1-$Y621)))
-($J621*MIN(Mat.Rebar_f.y,(Mat.Rebar_epsilon.cl*($S621-AI621)/AI621)*Mat.PT_E.s))
-($M621*Mat.PT_f.pu*(1-Mat.PT_k*AI621/$P621))))</f>
        <v/>
      </c>
      <c r="AL621" s="329"/>
      <c r="AM621" s="167" t="str">
        <f>IF(ISBLANK(Inputs!$A104),"",
IF(AK621="--","Solved",
IF(ABS(AK621)&lt;=0.001,"Solved",AI621-AK621*(AI621-AE621)/(AK621-AG621))))</f>
        <v/>
      </c>
      <c r="AN621" s="167"/>
      <c r="AO621" s="329" t="str">
        <f>IF(ISBLANK(Inputs!$A104),"",
IF(OR(AM621="Solved",AM621="--"),"--",
((Mat.Conc_Alpha.1*Mat.Conc_f.c*$AB621*MIN(AM621*Mat.Conc_Beta.1,$Y621))
+(Mat.Conc_Alpha.1*Mat.Conc_f.c*$V621*MAX(0,AM621*Mat.Conc_Beta.1-$Y621)))
-($J621*MIN(Mat.Rebar_f.y,(Mat.Rebar_epsilon.cl*($S621-AM621)/AM621)*Mat.PT_E.s))
-($M621*Mat.PT_f.pu*(1-Mat.PT_k*AM621/$P621))))</f>
        <v/>
      </c>
      <c r="AP621" s="329"/>
      <c r="AQ621" s="167" t="str">
        <f>IF(ISBLANK(Inputs!$A104),"",
IF(AO621="--","Solved",
IF(ABS(AO621)&lt;=0.001,"Solved",AM621-AO621*(AM621-AI621)/(AO621-AK621))))</f>
        <v/>
      </c>
      <c r="AR621" s="167"/>
      <c r="AS621" s="329" t="str">
        <f>IF(ISBLANK(Inputs!$A104),"",
IF(OR(AQ621="Solved",AQ621="--"),"--",
((Mat.Conc_Alpha.1*Mat.Conc_f.c*$AB621*MIN(AQ621*Mat.Conc_Beta.1,$Y621))
+(Mat.Conc_Alpha.1*Mat.Conc_f.c*$V621*MAX(0,AQ621*Mat.Conc_Beta.1-$Y621)))
-($J621*MIN(Mat.Rebar_f.y,(Mat.Rebar_epsilon.cl*($S621-AQ621)/AQ621)*Mat.PT_E.s))
-($M621*Mat.PT_f.pu*(1-Mat.PT_k*AQ621/$P621))))</f>
        <v/>
      </c>
      <c r="AT621" s="329"/>
      <c r="AU621" s="167" t="str">
        <f>IF(ISBLANK(Inputs!$A104),"",
IF(AS621="--","Solved",
IF(ABS(AS621)&lt;=0.001,"Solved",AQ621-AS621*(AQ621-AM621)/(AS621-AO621))))</f>
        <v/>
      </c>
      <c r="AV621" s="167"/>
      <c r="AW621" s="329" t="str">
        <f>IF(ISBLANK(Inputs!$A104),"",
IF(OR(AU621="Solved",AU621="--"),"--",
((Mat.Conc_Alpha.1*Mat.Conc_f.c*$AB621*MIN(AU621*Mat.Conc_Beta.1,$Y621))
+(Mat.Conc_Alpha.1*Mat.Conc_f.c*$V621*MAX(0,AU621*Mat.Conc_Beta.1-$Y621)))
-($J621*MIN(Mat.Rebar_f.y,(Mat.Rebar_epsilon.cl*($S621-AU621)/AU621)*Mat.PT_E.s))
-($M621*Mat.PT_f.pu*(1-Mat.PT_k*AU621/$P621))))</f>
        <v/>
      </c>
      <c r="AX621" s="329"/>
      <c r="AY621" s="167" t="str">
        <f>IF(ISBLANK(Inputs!$A104),"",
IF(AW621="--","Solved",
IF(ABS(AW621)&lt;=0.001,"Solved",AU621-AW621*(AU621-AQ621)/(AW621-AS621))))</f>
        <v/>
      </c>
      <c r="AZ621" s="167"/>
      <c r="BA621" s="329" t="str">
        <f>IF(ISBLANK(Inputs!$A104),"",
IF(OR(AY621="Solved",AY621="--"),"--",
((Mat.Conc_Alpha.1*Mat.Conc_f.c*$AB621*MIN(AY621*Mat.Conc_Beta.1,$Y621))
+(Mat.Conc_Alpha.1*Mat.Conc_f.c*$V621*MAX(0,AY621*Mat.Conc_Beta.1-$Y621)))
-($J621*MIN(Mat.Rebar_f.y,(Mat.Rebar_epsilon.cl*($S621-AY621)/AY621)*Mat.PT_E.s))
-($M621*Mat.PT_f.pu*(1-Mat.PT_k*AY621/$P621))))</f>
        <v/>
      </c>
      <c r="BB621" s="329"/>
      <c r="BC621" s="167" t="str">
        <f>IF(ISBLANK(Inputs!$A104),"",
IF(BA621="--","Solved",
IF(ABS(BA621)&lt;=0.001,"Solved",AY621-BA621*(AY621-AU621)/(BA621-AW621))))</f>
        <v/>
      </c>
      <c r="BD621" s="167"/>
      <c r="BE621" s="329" t="str">
        <f>IF(ISBLANK(Inputs!$A104),"",
IF(OR(BC621="Solved",BC621="--"),"--",
((Mat.Conc_Alpha.1*Mat.Conc_f.c*$AB621*MIN(BC621*Mat.Conc_Beta.1,$Y621))
+(Mat.Conc_Alpha.1*Mat.Conc_f.c*$V621*MAX(0,BC621*Mat.Conc_Beta.1-$Y621)))
-($J621*MIN(Mat.Rebar_f.y,(Mat.Rebar_epsilon.cl*($S621-BC621)/BC621)*Mat.PT_E.s))
-($M621*Mat.PT_f.pu*(1-Mat.PT_k*BC621/$P621))))</f>
        <v/>
      </c>
      <c r="BF621" s="329"/>
      <c r="BG621" s="167" t="str">
        <f>IF(ISBLANK(Inputs!$A104),"",
IF(BE621="--","Solved",
IF(ABS(BE621)&lt;=0.001,"Solved",BC621-BE621*(BC621-AY621)/(BE621-BA621))))</f>
        <v/>
      </c>
      <c r="BH621" s="167"/>
      <c r="BI621" s="329" t="str">
        <f>IF(ISBLANK(Inputs!$A104),"",
IF(OR(BG621="Solved",BG621="--"),"--",
((Mat.Conc_Alpha.1*Mat.Conc_f.c*$AB621*MIN(BG621*Mat.Conc_Beta.1,$Y621))
+(Mat.Conc_Alpha.1*Mat.Conc_f.c*$V621*MAX(0,BG621*Mat.Conc_Beta.1-$Y621)))
-($J621*MIN(Mat.Rebar_f.y,(Mat.Rebar_epsilon.cl*($S621-BG621)/BG621)*Mat.PT_E.s))
-($M621*Mat.PT_f.pu*(1-Mat.PT_k*BG621/$P621))))</f>
        <v/>
      </c>
      <c r="BJ621" s="329"/>
      <c r="BK621" s="167" t="str">
        <f>IF(ISBLANK(Inputs!$A104),"",
IF(BI621="--","Solved",
IF(ABS(BI621)&lt;=0.001,"Solved",BG621-BI621*(BG621-BC621)/(BI621-BE621))))</f>
        <v/>
      </c>
      <c r="BL621" s="167"/>
      <c r="BM621" s="329" t="str">
        <f>IF(ISBLANK(Inputs!$A104),"",
IF(OR(BK621="Solved",BK621="--"),"--",
((Mat.Conc_Alpha.1*Mat.Conc_f.c*$AB621*MIN(BK621*Mat.Conc_Beta.1,$Y621))
+(Mat.Conc_Alpha.1*Mat.Conc_f.c*$V621*MAX(0,BK621*Mat.Conc_Beta.1-$Y621)))
-($J621*MIN(Mat.Rebar_f.y,(Mat.Rebar_epsilon.cl*($S621-BK621)/BK621)*Mat.PT_E.s))
-($M621*Mat.PT_f.pu*(1-Mat.PT_k*BK621/$P621))))</f>
        <v/>
      </c>
      <c r="BN621" s="329"/>
      <c r="BO621" s="167" t="str">
        <f>IF(ISBLANK(Inputs!$A104),"",
IF(BM621="--","Solved",
IF(ABS(BM621)&lt;=0.001,"Solved",BK621-BM621*(BK621-BG621)/(BM621-BI621))))</f>
        <v/>
      </c>
      <c r="BP621" s="167"/>
      <c r="BQ621" s="329" t="str">
        <f>IF(ISBLANK(Inputs!$A104),"",
IF(OR(BO621="Solved",BO621="--"),"--",
((Mat.Conc_Alpha.1*Mat.Conc_f.c*$AB621*MIN(BO621*Mat.Conc_Beta.1,$Y621))
+(Mat.Conc_Alpha.1*Mat.Conc_f.c*$V621*MAX(0,BO621*Mat.Conc_Beta.1-$Y621)))
-($J621*MIN(Mat.Rebar_f.y,(Mat.Rebar_epsilon.cl*($S621-BO621)/BO621)*Mat.PT_E.s))
-($M621*Mat.PT_f.pu*(1-Mat.PT_k*BO621/$P621))))</f>
        <v/>
      </c>
      <c r="BR621" s="329"/>
      <c r="BS621" s="70"/>
      <c r="BT621" s="70"/>
      <c r="BU621" s="70"/>
      <c r="BV621" s="70"/>
      <c r="BW621" s="8"/>
      <c r="BX621" s="8"/>
      <c r="BY621" s="8"/>
      <c r="BZ621" s="8"/>
      <c r="CA621" s="8"/>
      <c r="CB621" s="10"/>
    </row>
    <row r="622" spans="3:80" ht="15" customHeight="1" x14ac:dyDescent="0.25">
      <c r="C622" s="69"/>
      <c r="F622" s="167" t="str">
        <f>IF(ISBLANK(Inputs!A105),"",Inputs!A105)</f>
        <v/>
      </c>
      <c r="G622" s="167"/>
      <c r="H622" s="167" t="str">
        <f>IF(ISBLANK(Inputs!B105),"",Inputs!B105)</f>
        <v/>
      </c>
      <c r="I622" s="167"/>
      <c r="J622" s="168" t="str">
        <f>IF(ISBLANK(Inputs!K105),"",Inputs!K105)</f>
        <v/>
      </c>
      <c r="K622" s="168"/>
      <c r="L622" s="168"/>
      <c r="M622" s="168" t="str">
        <f>IF(ISBLANK(Inputs!D105),"",Inputs!D105)</f>
        <v/>
      </c>
      <c r="N622" s="168"/>
      <c r="O622" s="168"/>
      <c r="P622" s="168" t="str">
        <f>IF(ISBLANK(Inputs!F105),"",Inputs!$B$10-Inputs!F105)</f>
        <v/>
      </c>
      <c r="Q622" s="168"/>
      <c r="R622" s="168"/>
      <c r="S622" s="168" t="str">
        <f>IF(ISBLANK(Inputs!L105),"",Inputs!L105)</f>
        <v/>
      </c>
      <c r="T622" s="168"/>
      <c r="U622" s="168"/>
      <c r="V622" s="168" t="str">
        <f>IF(ISBLANK(Inputs!E105),"",Inputs!E105)</f>
        <v/>
      </c>
      <c r="W622" s="168"/>
      <c r="X622" s="168"/>
      <c r="Y622" s="168" t="str">
        <f>IF(ISBLANK(Inputs!M105),"",Inputs!M105)</f>
        <v/>
      </c>
      <c r="Z622" s="168"/>
      <c r="AA622" s="168"/>
      <c r="AB622" s="168" t="str">
        <f>IF(ISBLANK(Inputs!N105),"",Inputs!N105)</f>
        <v/>
      </c>
      <c r="AC622" s="168"/>
      <c r="AD622" s="168"/>
      <c r="AE622" s="371" t="str">
        <f>IF(ISBLANK(Inputs!A105),"",Y622)</f>
        <v/>
      </c>
      <c r="AF622" s="371"/>
      <c r="AG622" s="329" t="str">
        <f>IF(ISBLANK(Inputs!$A105),"",
IF(OR(AE622="Solved",AE622="--"),"--",
((Mat.Conc_Alpha.1*Mat.Conc_f.c*$AB622*MIN(AE622*Mat.Conc_Beta.1,$Y622))
+(Mat.Conc_Alpha.1*Mat.Conc_f.c*$V622*MAX(0,AE622*Mat.Conc_Beta.1-$Y622)))
-($J622*MIN(Mat.Rebar_f.y,(Mat.Rebar_epsilon.cl*($S622-AE622)/AE622)*Mat.PT_E.s))
-($M622*Mat.PT_f.pu*(1-Mat.PT_k*AE622/$P622))))</f>
        <v/>
      </c>
      <c r="AH622" s="329"/>
      <c r="AI622" s="167" t="str">
        <f>IF(ISBLANK(Inputs!$A105),"",
IF(ABS(AG622)&lt;=0.001,"Solved",IF(AG622&gt;0,0.85*AE622,1.15*AE622)))</f>
        <v/>
      </c>
      <c r="AJ622" s="167"/>
      <c r="AK622" s="329" t="str">
        <f>IF(ISBLANK(Inputs!$A105),"",
IF(OR(AI622="Solved",AI622="--"),"--",
((Mat.Conc_Alpha.1*Mat.Conc_f.c*$AB622*MIN(AI622*Mat.Conc_Beta.1,$Y622))
+(Mat.Conc_Alpha.1*Mat.Conc_f.c*$V622*MAX(0,AI622*Mat.Conc_Beta.1-$Y622)))
-($J622*MIN(Mat.Rebar_f.y,(Mat.Rebar_epsilon.cl*($S622-AI622)/AI622)*Mat.PT_E.s))
-($M622*Mat.PT_f.pu*(1-Mat.PT_k*AI622/$P622))))</f>
        <v/>
      </c>
      <c r="AL622" s="329"/>
      <c r="AM622" s="167" t="str">
        <f>IF(ISBLANK(Inputs!$A105),"",
IF(AK622="--","Solved",
IF(ABS(AK622)&lt;=0.001,"Solved",AI622-AK622*(AI622-AE622)/(AK622-AG622))))</f>
        <v/>
      </c>
      <c r="AN622" s="167"/>
      <c r="AO622" s="329" t="str">
        <f>IF(ISBLANK(Inputs!$A105),"",
IF(OR(AM622="Solved",AM622="--"),"--",
((Mat.Conc_Alpha.1*Mat.Conc_f.c*$AB622*MIN(AM622*Mat.Conc_Beta.1,$Y622))
+(Mat.Conc_Alpha.1*Mat.Conc_f.c*$V622*MAX(0,AM622*Mat.Conc_Beta.1-$Y622)))
-($J622*MIN(Mat.Rebar_f.y,(Mat.Rebar_epsilon.cl*($S622-AM622)/AM622)*Mat.PT_E.s))
-($M622*Mat.PT_f.pu*(1-Mat.PT_k*AM622/$P622))))</f>
        <v/>
      </c>
      <c r="AP622" s="329"/>
      <c r="AQ622" s="167" t="str">
        <f>IF(ISBLANK(Inputs!$A105),"",
IF(AO622="--","Solved",
IF(ABS(AO622)&lt;=0.001,"Solved",AM622-AO622*(AM622-AI622)/(AO622-AK622))))</f>
        <v/>
      </c>
      <c r="AR622" s="167"/>
      <c r="AS622" s="329" t="str">
        <f>IF(ISBLANK(Inputs!$A105),"",
IF(OR(AQ622="Solved",AQ622="--"),"--",
((Mat.Conc_Alpha.1*Mat.Conc_f.c*$AB622*MIN(AQ622*Mat.Conc_Beta.1,$Y622))
+(Mat.Conc_Alpha.1*Mat.Conc_f.c*$V622*MAX(0,AQ622*Mat.Conc_Beta.1-$Y622)))
-($J622*MIN(Mat.Rebar_f.y,(Mat.Rebar_epsilon.cl*($S622-AQ622)/AQ622)*Mat.PT_E.s))
-($M622*Mat.PT_f.pu*(1-Mat.PT_k*AQ622/$P622))))</f>
        <v/>
      </c>
      <c r="AT622" s="329"/>
      <c r="AU622" s="167" t="str">
        <f>IF(ISBLANK(Inputs!$A105),"",
IF(AS622="--","Solved",
IF(ABS(AS622)&lt;=0.001,"Solved",AQ622-AS622*(AQ622-AM622)/(AS622-AO622))))</f>
        <v/>
      </c>
      <c r="AV622" s="167"/>
      <c r="AW622" s="329" t="str">
        <f>IF(ISBLANK(Inputs!$A105),"",
IF(OR(AU622="Solved",AU622="--"),"--",
((Mat.Conc_Alpha.1*Mat.Conc_f.c*$AB622*MIN(AU622*Mat.Conc_Beta.1,$Y622))
+(Mat.Conc_Alpha.1*Mat.Conc_f.c*$V622*MAX(0,AU622*Mat.Conc_Beta.1-$Y622)))
-($J622*MIN(Mat.Rebar_f.y,(Mat.Rebar_epsilon.cl*($S622-AU622)/AU622)*Mat.PT_E.s))
-($M622*Mat.PT_f.pu*(1-Mat.PT_k*AU622/$P622))))</f>
        <v/>
      </c>
      <c r="AX622" s="329"/>
      <c r="AY622" s="167" t="str">
        <f>IF(ISBLANK(Inputs!$A105),"",
IF(AW622="--","Solved",
IF(ABS(AW622)&lt;=0.001,"Solved",AU622-AW622*(AU622-AQ622)/(AW622-AS622))))</f>
        <v/>
      </c>
      <c r="AZ622" s="167"/>
      <c r="BA622" s="329" t="str">
        <f>IF(ISBLANK(Inputs!$A105),"",
IF(OR(AY622="Solved",AY622="--"),"--",
((Mat.Conc_Alpha.1*Mat.Conc_f.c*$AB622*MIN(AY622*Mat.Conc_Beta.1,$Y622))
+(Mat.Conc_Alpha.1*Mat.Conc_f.c*$V622*MAX(0,AY622*Mat.Conc_Beta.1-$Y622)))
-($J622*MIN(Mat.Rebar_f.y,(Mat.Rebar_epsilon.cl*($S622-AY622)/AY622)*Mat.PT_E.s))
-($M622*Mat.PT_f.pu*(1-Mat.PT_k*AY622/$P622))))</f>
        <v/>
      </c>
      <c r="BB622" s="329"/>
      <c r="BC622" s="167" t="str">
        <f>IF(ISBLANK(Inputs!$A105),"",
IF(BA622="--","Solved",
IF(ABS(BA622)&lt;=0.001,"Solved",AY622-BA622*(AY622-AU622)/(BA622-AW622))))</f>
        <v/>
      </c>
      <c r="BD622" s="167"/>
      <c r="BE622" s="329" t="str">
        <f>IF(ISBLANK(Inputs!$A105),"",
IF(OR(BC622="Solved",BC622="--"),"--",
((Mat.Conc_Alpha.1*Mat.Conc_f.c*$AB622*MIN(BC622*Mat.Conc_Beta.1,$Y622))
+(Mat.Conc_Alpha.1*Mat.Conc_f.c*$V622*MAX(0,BC622*Mat.Conc_Beta.1-$Y622)))
-($J622*MIN(Mat.Rebar_f.y,(Mat.Rebar_epsilon.cl*($S622-BC622)/BC622)*Mat.PT_E.s))
-($M622*Mat.PT_f.pu*(1-Mat.PT_k*BC622/$P622))))</f>
        <v/>
      </c>
      <c r="BF622" s="329"/>
      <c r="BG622" s="167" t="str">
        <f>IF(ISBLANK(Inputs!$A105),"",
IF(BE622="--","Solved",
IF(ABS(BE622)&lt;=0.001,"Solved",BC622-BE622*(BC622-AY622)/(BE622-BA622))))</f>
        <v/>
      </c>
      <c r="BH622" s="167"/>
      <c r="BI622" s="329" t="str">
        <f>IF(ISBLANK(Inputs!$A105),"",
IF(OR(BG622="Solved",BG622="--"),"--",
((Mat.Conc_Alpha.1*Mat.Conc_f.c*$AB622*MIN(BG622*Mat.Conc_Beta.1,$Y622))
+(Mat.Conc_Alpha.1*Mat.Conc_f.c*$V622*MAX(0,BG622*Mat.Conc_Beta.1-$Y622)))
-($J622*MIN(Mat.Rebar_f.y,(Mat.Rebar_epsilon.cl*($S622-BG622)/BG622)*Mat.PT_E.s))
-($M622*Mat.PT_f.pu*(1-Mat.PT_k*BG622/$P622))))</f>
        <v/>
      </c>
      <c r="BJ622" s="329"/>
      <c r="BK622" s="167" t="str">
        <f>IF(ISBLANK(Inputs!$A105),"",
IF(BI622="--","Solved",
IF(ABS(BI622)&lt;=0.001,"Solved",BG622-BI622*(BG622-BC622)/(BI622-BE622))))</f>
        <v/>
      </c>
      <c r="BL622" s="167"/>
      <c r="BM622" s="329" t="str">
        <f>IF(ISBLANK(Inputs!$A105),"",
IF(OR(BK622="Solved",BK622="--"),"--",
((Mat.Conc_Alpha.1*Mat.Conc_f.c*$AB622*MIN(BK622*Mat.Conc_Beta.1,$Y622))
+(Mat.Conc_Alpha.1*Mat.Conc_f.c*$V622*MAX(0,BK622*Mat.Conc_Beta.1-$Y622)))
-($J622*MIN(Mat.Rebar_f.y,(Mat.Rebar_epsilon.cl*($S622-BK622)/BK622)*Mat.PT_E.s))
-($M622*Mat.PT_f.pu*(1-Mat.PT_k*BK622/$P622))))</f>
        <v/>
      </c>
      <c r="BN622" s="329"/>
      <c r="BO622" s="167" t="str">
        <f>IF(ISBLANK(Inputs!$A105),"",
IF(BM622="--","Solved",
IF(ABS(BM622)&lt;=0.001,"Solved",BK622-BM622*(BK622-BG622)/(BM622-BI622))))</f>
        <v/>
      </c>
      <c r="BP622" s="167"/>
      <c r="BQ622" s="329" t="str">
        <f>IF(ISBLANK(Inputs!$A105),"",
IF(OR(BO622="Solved",BO622="--"),"--",
((Mat.Conc_Alpha.1*Mat.Conc_f.c*$AB622*MIN(BO622*Mat.Conc_Beta.1,$Y622))
+(Mat.Conc_Alpha.1*Mat.Conc_f.c*$V622*MAX(0,BO622*Mat.Conc_Beta.1-$Y622)))
-($J622*MIN(Mat.Rebar_f.y,(Mat.Rebar_epsilon.cl*($S622-BO622)/BO622)*Mat.PT_E.s))
-($M622*Mat.PT_f.pu*(1-Mat.PT_k*BO622/$P622))))</f>
        <v/>
      </c>
      <c r="BR622" s="329"/>
      <c r="BS622" s="70"/>
      <c r="BT622" s="70"/>
      <c r="BU622" s="70"/>
      <c r="BV622" s="70"/>
      <c r="BW622" s="8"/>
      <c r="BX622" s="8"/>
      <c r="BY622" s="8"/>
      <c r="BZ622" s="8"/>
      <c r="CA622" s="8"/>
      <c r="CB622" s="10"/>
    </row>
    <row r="623" spans="3:80" ht="15" customHeight="1" x14ac:dyDescent="0.25">
      <c r="C623" s="69"/>
      <c r="F623" s="167" t="str">
        <f>IF(ISBLANK(Inputs!A106),"",Inputs!A106)</f>
        <v/>
      </c>
      <c r="G623" s="167"/>
      <c r="H623" s="167" t="str">
        <f>IF(ISBLANK(Inputs!B106),"",Inputs!B106)</f>
        <v/>
      </c>
      <c r="I623" s="167"/>
      <c r="J623" s="168" t="str">
        <f>IF(ISBLANK(Inputs!K106),"",Inputs!K106)</f>
        <v/>
      </c>
      <c r="K623" s="168"/>
      <c r="L623" s="168"/>
      <c r="M623" s="168" t="str">
        <f>IF(ISBLANK(Inputs!D106),"",Inputs!D106)</f>
        <v/>
      </c>
      <c r="N623" s="168"/>
      <c r="O623" s="168"/>
      <c r="P623" s="168" t="str">
        <f>IF(ISBLANK(Inputs!F106),"",Inputs!$B$10-Inputs!F106)</f>
        <v/>
      </c>
      <c r="Q623" s="168"/>
      <c r="R623" s="168"/>
      <c r="S623" s="168" t="str">
        <f>IF(ISBLANK(Inputs!L106),"",Inputs!L106)</f>
        <v/>
      </c>
      <c r="T623" s="168"/>
      <c r="U623" s="168"/>
      <c r="V623" s="168" t="str">
        <f>IF(ISBLANK(Inputs!E106),"",Inputs!E106)</f>
        <v/>
      </c>
      <c r="W623" s="168"/>
      <c r="X623" s="168"/>
      <c r="Y623" s="168" t="str">
        <f>IF(ISBLANK(Inputs!M106),"",Inputs!M106)</f>
        <v/>
      </c>
      <c r="Z623" s="168"/>
      <c r="AA623" s="168"/>
      <c r="AB623" s="168" t="str">
        <f>IF(ISBLANK(Inputs!N106),"",Inputs!N106)</f>
        <v/>
      </c>
      <c r="AC623" s="168"/>
      <c r="AD623" s="168"/>
      <c r="AE623" s="371" t="str">
        <f>IF(ISBLANK(Inputs!A106),"",Y623)</f>
        <v/>
      </c>
      <c r="AF623" s="371"/>
      <c r="AG623" s="329" t="str">
        <f>IF(ISBLANK(Inputs!$A106),"",
IF(OR(AE623="Solved",AE623="--"),"--",
((Mat.Conc_Alpha.1*Mat.Conc_f.c*$AB623*MIN(AE623*Mat.Conc_Beta.1,$Y623))
+(Mat.Conc_Alpha.1*Mat.Conc_f.c*$V623*MAX(0,AE623*Mat.Conc_Beta.1-$Y623)))
-($J623*MIN(Mat.Rebar_f.y,(Mat.Rebar_epsilon.cl*($S623-AE623)/AE623)*Mat.PT_E.s))
-($M623*Mat.PT_f.pu*(1-Mat.PT_k*AE623/$P623))))</f>
        <v/>
      </c>
      <c r="AH623" s="329"/>
      <c r="AI623" s="167" t="str">
        <f>IF(ISBLANK(Inputs!$A106),"",
IF(ABS(AG623)&lt;=0.001,"Solved",IF(AG623&gt;0,0.85*AE623,1.15*AE623)))</f>
        <v/>
      </c>
      <c r="AJ623" s="167"/>
      <c r="AK623" s="329" t="str">
        <f>IF(ISBLANK(Inputs!$A106),"",
IF(OR(AI623="Solved",AI623="--"),"--",
((Mat.Conc_Alpha.1*Mat.Conc_f.c*$AB623*MIN(AI623*Mat.Conc_Beta.1,$Y623))
+(Mat.Conc_Alpha.1*Mat.Conc_f.c*$V623*MAX(0,AI623*Mat.Conc_Beta.1-$Y623)))
-($J623*MIN(Mat.Rebar_f.y,(Mat.Rebar_epsilon.cl*($S623-AI623)/AI623)*Mat.PT_E.s))
-($M623*Mat.PT_f.pu*(1-Mat.PT_k*AI623/$P623))))</f>
        <v/>
      </c>
      <c r="AL623" s="329"/>
      <c r="AM623" s="167" t="str">
        <f>IF(ISBLANK(Inputs!$A106),"",
IF(AK623="--","Solved",
IF(ABS(AK623)&lt;=0.001,"Solved",AI623-AK623*(AI623-AE623)/(AK623-AG623))))</f>
        <v/>
      </c>
      <c r="AN623" s="167"/>
      <c r="AO623" s="329" t="str">
        <f>IF(ISBLANK(Inputs!$A106),"",
IF(OR(AM623="Solved",AM623="--"),"--",
((Mat.Conc_Alpha.1*Mat.Conc_f.c*$AB623*MIN(AM623*Mat.Conc_Beta.1,$Y623))
+(Mat.Conc_Alpha.1*Mat.Conc_f.c*$V623*MAX(0,AM623*Mat.Conc_Beta.1-$Y623)))
-($J623*MIN(Mat.Rebar_f.y,(Mat.Rebar_epsilon.cl*($S623-AM623)/AM623)*Mat.PT_E.s))
-($M623*Mat.PT_f.pu*(1-Mat.PT_k*AM623/$P623))))</f>
        <v/>
      </c>
      <c r="AP623" s="329"/>
      <c r="AQ623" s="167" t="str">
        <f>IF(ISBLANK(Inputs!$A106),"",
IF(AO623="--","Solved",
IF(ABS(AO623)&lt;=0.001,"Solved",AM623-AO623*(AM623-AI623)/(AO623-AK623))))</f>
        <v/>
      </c>
      <c r="AR623" s="167"/>
      <c r="AS623" s="329" t="str">
        <f>IF(ISBLANK(Inputs!$A106),"",
IF(OR(AQ623="Solved",AQ623="--"),"--",
((Mat.Conc_Alpha.1*Mat.Conc_f.c*$AB623*MIN(AQ623*Mat.Conc_Beta.1,$Y623))
+(Mat.Conc_Alpha.1*Mat.Conc_f.c*$V623*MAX(0,AQ623*Mat.Conc_Beta.1-$Y623)))
-($J623*MIN(Mat.Rebar_f.y,(Mat.Rebar_epsilon.cl*($S623-AQ623)/AQ623)*Mat.PT_E.s))
-($M623*Mat.PT_f.pu*(1-Mat.PT_k*AQ623/$P623))))</f>
        <v/>
      </c>
      <c r="AT623" s="329"/>
      <c r="AU623" s="167" t="str">
        <f>IF(ISBLANK(Inputs!$A106),"",
IF(AS623="--","Solved",
IF(ABS(AS623)&lt;=0.001,"Solved",AQ623-AS623*(AQ623-AM623)/(AS623-AO623))))</f>
        <v/>
      </c>
      <c r="AV623" s="167"/>
      <c r="AW623" s="329" t="str">
        <f>IF(ISBLANK(Inputs!$A106),"",
IF(OR(AU623="Solved",AU623="--"),"--",
((Mat.Conc_Alpha.1*Mat.Conc_f.c*$AB623*MIN(AU623*Mat.Conc_Beta.1,$Y623))
+(Mat.Conc_Alpha.1*Mat.Conc_f.c*$V623*MAX(0,AU623*Mat.Conc_Beta.1-$Y623)))
-($J623*MIN(Mat.Rebar_f.y,(Mat.Rebar_epsilon.cl*($S623-AU623)/AU623)*Mat.PT_E.s))
-($M623*Mat.PT_f.pu*(1-Mat.PT_k*AU623/$P623))))</f>
        <v/>
      </c>
      <c r="AX623" s="329"/>
      <c r="AY623" s="167" t="str">
        <f>IF(ISBLANK(Inputs!$A106),"",
IF(AW623="--","Solved",
IF(ABS(AW623)&lt;=0.001,"Solved",AU623-AW623*(AU623-AQ623)/(AW623-AS623))))</f>
        <v/>
      </c>
      <c r="AZ623" s="167"/>
      <c r="BA623" s="329" t="str">
        <f>IF(ISBLANK(Inputs!$A106),"",
IF(OR(AY623="Solved",AY623="--"),"--",
((Mat.Conc_Alpha.1*Mat.Conc_f.c*$AB623*MIN(AY623*Mat.Conc_Beta.1,$Y623))
+(Mat.Conc_Alpha.1*Mat.Conc_f.c*$V623*MAX(0,AY623*Mat.Conc_Beta.1-$Y623)))
-($J623*MIN(Mat.Rebar_f.y,(Mat.Rebar_epsilon.cl*($S623-AY623)/AY623)*Mat.PT_E.s))
-($M623*Mat.PT_f.pu*(1-Mat.PT_k*AY623/$P623))))</f>
        <v/>
      </c>
      <c r="BB623" s="329"/>
      <c r="BC623" s="167" t="str">
        <f>IF(ISBLANK(Inputs!$A106),"",
IF(BA623="--","Solved",
IF(ABS(BA623)&lt;=0.001,"Solved",AY623-BA623*(AY623-AU623)/(BA623-AW623))))</f>
        <v/>
      </c>
      <c r="BD623" s="167"/>
      <c r="BE623" s="329" t="str">
        <f>IF(ISBLANK(Inputs!$A106),"",
IF(OR(BC623="Solved",BC623="--"),"--",
((Mat.Conc_Alpha.1*Mat.Conc_f.c*$AB623*MIN(BC623*Mat.Conc_Beta.1,$Y623))
+(Mat.Conc_Alpha.1*Mat.Conc_f.c*$V623*MAX(0,BC623*Mat.Conc_Beta.1-$Y623)))
-($J623*MIN(Mat.Rebar_f.y,(Mat.Rebar_epsilon.cl*($S623-BC623)/BC623)*Mat.PT_E.s))
-($M623*Mat.PT_f.pu*(1-Mat.PT_k*BC623/$P623))))</f>
        <v/>
      </c>
      <c r="BF623" s="329"/>
      <c r="BG623" s="167" t="str">
        <f>IF(ISBLANK(Inputs!$A106),"",
IF(BE623="--","Solved",
IF(ABS(BE623)&lt;=0.001,"Solved",BC623-BE623*(BC623-AY623)/(BE623-BA623))))</f>
        <v/>
      </c>
      <c r="BH623" s="167"/>
      <c r="BI623" s="329" t="str">
        <f>IF(ISBLANK(Inputs!$A106),"",
IF(OR(BG623="Solved",BG623="--"),"--",
((Mat.Conc_Alpha.1*Mat.Conc_f.c*$AB623*MIN(BG623*Mat.Conc_Beta.1,$Y623))
+(Mat.Conc_Alpha.1*Mat.Conc_f.c*$V623*MAX(0,BG623*Mat.Conc_Beta.1-$Y623)))
-($J623*MIN(Mat.Rebar_f.y,(Mat.Rebar_epsilon.cl*($S623-BG623)/BG623)*Mat.PT_E.s))
-($M623*Mat.PT_f.pu*(1-Mat.PT_k*BG623/$P623))))</f>
        <v/>
      </c>
      <c r="BJ623" s="329"/>
      <c r="BK623" s="167" t="str">
        <f>IF(ISBLANK(Inputs!$A106),"",
IF(BI623="--","Solved",
IF(ABS(BI623)&lt;=0.001,"Solved",BG623-BI623*(BG623-BC623)/(BI623-BE623))))</f>
        <v/>
      </c>
      <c r="BL623" s="167"/>
      <c r="BM623" s="329" t="str">
        <f>IF(ISBLANK(Inputs!$A106),"",
IF(OR(BK623="Solved",BK623="--"),"--",
((Mat.Conc_Alpha.1*Mat.Conc_f.c*$AB623*MIN(BK623*Mat.Conc_Beta.1,$Y623))
+(Mat.Conc_Alpha.1*Mat.Conc_f.c*$V623*MAX(0,BK623*Mat.Conc_Beta.1-$Y623)))
-($J623*MIN(Mat.Rebar_f.y,(Mat.Rebar_epsilon.cl*($S623-BK623)/BK623)*Mat.PT_E.s))
-($M623*Mat.PT_f.pu*(1-Mat.PT_k*BK623/$P623))))</f>
        <v/>
      </c>
      <c r="BN623" s="329"/>
      <c r="BO623" s="167" t="str">
        <f>IF(ISBLANK(Inputs!$A106),"",
IF(BM623="--","Solved",
IF(ABS(BM623)&lt;=0.001,"Solved",BK623-BM623*(BK623-BG623)/(BM623-BI623))))</f>
        <v/>
      </c>
      <c r="BP623" s="167"/>
      <c r="BQ623" s="329" t="str">
        <f>IF(ISBLANK(Inputs!$A106),"",
IF(OR(BO623="Solved",BO623="--"),"--",
((Mat.Conc_Alpha.1*Mat.Conc_f.c*$AB623*MIN(BO623*Mat.Conc_Beta.1,$Y623))
+(Mat.Conc_Alpha.1*Mat.Conc_f.c*$V623*MAX(0,BO623*Mat.Conc_Beta.1-$Y623)))
-($J623*MIN(Mat.Rebar_f.y,(Mat.Rebar_epsilon.cl*($S623-BO623)/BO623)*Mat.PT_E.s))
-($M623*Mat.PT_f.pu*(1-Mat.PT_k*BO623/$P623))))</f>
        <v/>
      </c>
      <c r="BR623" s="329"/>
      <c r="BS623" s="70"/>
      <c r="BT623" s="70"/>
      <c r="BU623" s="70"/>
      <c r="BV623" s="70"/>
      <c r="BW623" s="8"/>
      <c r="BX623" s="8"/>
      <c r="BY623" s="8"/>
      <c r="BZ623" s="8"/>
      <c r="CA623" s="8"/>
      <c r="CB623" s="10"/>
    </row>
    <row r="624" spans="3:80" ht="15" customHeight="1" x14ac:dyDescent="0.25">
      <c r="C624" s="69"/>
      <c r="F624" s="167" t="str">
        <f>IF(ISBLANK(Inputs!A107),"",Inputs!A107)</f>
        <v/>
      </c>
      <c r="G624" s="167"/>
      <c r="H624" s="167" t="str">
        <f>IF(ISBLANK(Inputs!B107),"",Inputs!B107)</f>
        <v/>
      </c>
      <c r="I624" s="167"/>
      <c r="J624" s="168" t="str">
        <f>IF(ISBLANK(Inputs!K107),"",Inputs!K107)</f>
        <v/>
      </c>
      <c r="K624" s="168"/>
      <c r="L624" s="168"/>
      <c r="M624" s="168" t="str">
        <f>IF(ISBLANK(Inputs!D107),"",Inputs!D107)</f>
        <v/>
      </c>
      <c r="N624" s="168"/>
      <c r="O624" s="168"/>
      <c r="P624" s="168" t="str">
        <f>IF(ISBLANK(Inputs!F107),"",Inputs!$B$10-Inputs!F107)</f>
        <v/>
      </c>
      <c r="Q624" s="168"/>
      <c r="R624" s="168"/>
      <c r="S624" s="168" t="str">
        <f>IF(ISBLANK(Inputs!L107),"",Inputs!L107)</f>
        <v/>
      </c>
      <c r="T624" s="168"/>
      <c r="U624" s="168"/>
      <c r="V624" s="168" t="str">
        <f>IF(ISBLANK(Inputs!E107),"",Inputs!E107)</f>
        <v/>
      </c>
      <c r="W624" s="168"/>
      <c r="X624" s="168"/>
      <c r="Y624" s="168" t="str">
        <f>IF(ISBLANK(Inputs!M107),"",Inputs!M107)</f>
        <v/>
      </c>
      <c r="Z624" s="168"/>
      <c r="AA624" s="168"/>
      <c r="AB624" s="168" t="str">
        <f>IF(ISBLANK(Inputs!N107),"",Inputs!N107)</f>
        <v/>
      </c>
      <c r="AC624" s="168"/>
      <c r="AD624" s="168"/>
      <c r="AE624" s="371" t="str">
        <f>IF(ISBLANK(Inputs!A107),"",Y624)</f>
        <v/>
      </c>
      <c r="AF624" s="371"/>
      <c r="AG624" s="329" t="str">
        <f>IF(ISBLANK(Inputs!$A107),"",
IF(OR(AE624="Solved",AE624="--"),"--",
((Mat.Conc_Alpha.1*Mat.Conc_f.c*$AB624*MIN(AE624*Mat.Conc_Beta.1,$Y624))
+(Mat.Conc_Alpha.1*Mat.Conc_f.c*$V624*MAX(0,AE624*Mat.Conc_Beta.1-$Y624)))
-($J624*MIN(Mat.Rebar_f.y,(Mat.Rebar_epsilon.cl*($S624-AE624)/AE624)*Mat.PT_E.s))
-($M624*Mat.PT_f.pu*(1-Mat.PT_k*AE624/$P624))))</f>
        <v/>
      </c>
      <c r="AH624" s="329"/>
      <c r="AI624" s="167" t="str">
        <f>IF(ISBLANK(Inputs!$A107),"",
IF(ABS(AG624)&lt;=0.001,"Solved",IF(AG624&gt;0,0.85*AE624,1.15*AE624)))</f>
        <v/>
      </c>
      <c r="AJ624" s="167"/>
      <c r="AK624" s="329" t="str">
        <f>IF(ISBLANK(Inputs!$A107),"",
IF(OR(AI624="Solved",AI624="--"),"--",
((Mat.Conc_Alpha.1*Mat.Conc_f.c*$AB624*MIN(AI624*Mat.Conc_Beta.1,$Y624))
+(Mat.Conc_Alpha.1*Mat.Conc_f.c*$V624*MAX(0,AI624*Mat.Conc_Beta.1-$Y624)))
-($J624*MIN(Mat.Rebar_f.y,(Mat.Rebar_epsilon.cl*($S624-AI624)/AI624)*Mat.PT_E.s))
-($M624*Mat.PT_f.pu*(1-Mat.PT_k*AI624/$P624))))</f>
        <v/>
      </c>
      <c r="AL624" s="329"/>
      <c r="AM624" s="167" t="str">
        <f>IF(ISBLANK(Inputs!$A107),"",
IF(AK624="--","Solved",
IF(ABS(AK624)&lt;=0.001,"Solved",AI624-AK624*(AI624-AE624)/(AK624-AG624))))</f>
        <v/>
      </c>
      <c r="AN624" s="167"/>
      <c r="AO624" s="329" t="str">
        <f>IF(ISBLANK(Inputs!$A107),"",
IF(OR(AM624="Solved",AM624="--"),"--",
((Mat.Conc_Alpha.1*Mat.Conc_f.c*$AB624*MIN(AM624*Mat.Conc_Beta.1,$Y624))
+(Mat.Conc_Alpha.1*Mat.Conc_f.c*$V624*MAX(0,AM624*Mat.Conc_Beta.1-$Y624)))
-($J624*MIN(Mat.Rebar_f.y,(Mat.Rebar_epsilon.cl*($S624-AM624)/AM624)*Mat.PT_E.s))
-($M624*Mat.PT_f.pu*(1-Mat.PT_k*AM624/$P624))))</f>
        <v/>
      </c>
      <c r="AP624" s="329"/>
      <c r="AQ624" s="167" t="str">
        <f>IF(ISBLANK(Inputs!$A107),"",
IF(AO624="--","Solved",
IF(ABS(AO624)&lt;=0.001,"Solved",AM624-AO624*(AM624-AI624)/(AO624-AK624))))</f>
        <v/>
      </c>
      <c r="AR624" s="167"/>
      <c r="AS624" s="329" t="str">
        <f>IF(ISBLANK(Inputs!$A107),"",
IF(OR(AQ624="Solved",AQ624="--"),"--",
((Mat.Conc_Alpha.1*Mat.Conc_f.c*$AB624*MIN(AQ624*Mat.Conc_Beta.1,$Y624))
+(Mat.Conc_Alpha.1*Mat.Conc_f.c*$V624*MAX(0,AQ624*Mat.Conc_Beta.1-$Y624)))
-($J624*MIN(Mat.Rebar_f.y,(Mat.Rebar_epsilon.cl*($S624-AQ624)/AQ624)*Mat.PT_E.s))
-($M624*Mat.PT_f.pu*(1-Mat.PT_k*AQ624/$P624))))</f>
        <v/>
      </c>
      <c r="AT624" s="329"/>
      <c r="AU624" s="167" t="str">
        <f>IF(ISBLANK(Inputs!$A107),"",
IF(AS624="--","Solved",
IF(ABS(AS624)&lt;=0.001,"Solved",AQ624-AS624*(AQ624-AM624)/(AS624-AO624))))</f>
        <v/>
      </c>
      <c r="AV624" s="167"/>
      <c r="AW624" s="329" t="str">
        <f>IF(ISBLANK(Inputs!$A107),"",
IF(OR(AU624="Solved",AU624="--"),"--",
((Mat.Conc_Alpha.1*Mat.Conc_f.c*$AB624*MIN(AU624*Mat.Conc_Beta.1,$Y624))
+(Mat.Conc_Alpha.1*Mat.Conc_f.c*$V624*MAX(0,AU624*Mat.Conc_Beta.1-$Y624)))
-($J624*MIN(Mat.Rebar_f.y,(Mat.Rebar_epsilon.cl*($S624-AU624)/AU624)*Mat.PT_E.s))
-($M624*Mat.PT_f.pu*(1-Mat.PT_k*AU624/$P624))))</f>
        <v/>
      </c>
      <c r="AX624" s="329"/>
      <c r="AY624" s="167" t="str">
        <f>IF(ISBLANK(Inputs!$A107),"",
IF(AW624="--","Solved",
IF(ABS(AW624)&lt;=0.001,"Solved",AU624-AW624*(AU624-AQ624)/(AW624-AS624))))</f>
        <v/>
      </c>
      <c r="AZ624" s="167"/>
      <c r="BA624" s="329" t="str">
        <f>IF(ISBLANK(Inputs!$A107),"",
IF(OR(AY624="Solved",AY624="--"),"--",
((Mat.Conc_Alpha.1*Mat.Conc_f.c*$AB624*MIN(AY624*Mat.Conc_Beta.1,$Y624))
+(Mat.Conc_Alpha.1*Mat.Conc_f.c*$V624*MAX(0,AY624*Mat.Conc_Beta.1-$Y624)))
-($J624*MIN(Mat.Rebar_f.y,(Mat.Rebar_epsilon.cl*($S624-AY624)/AY624)*Mat.PT_E.s))
-($M624*Mat.PT_f.pu*(1-Mat.PT_k*AY624/$P624))))</f>
        <v/>
      </c>
      <c r="BB624" s="329"/>
      <c r="BC624" s="167" t="str">
        <f>IF(ISBLANK(Inputs!$A107),"",
IF(BA624="--","Solved",
IF(ABS(BA624)&lt;=0.001,"Solved",AY624-BA624*(AY624-AU624)/(BA624-AW624))))</f>
        <v/>
      </c>
      <c r="BD624" s="167"/>
      <c r="BE624" s="329" t="str">
        <f>IF(ISBLANK(Inputs!$A107),"",
IF(OR(BC624="Solved",BC624="--"),"--",
((Mat.Conc_Alpha.1*Mat.Conc_f.c*$AB624*MIN(BC624*Mat.Conc_Beta.1,$Y624))
+(Mat.Conc_Alpha.1*Mat.Conc_f.c*$V624*MAX(0,BC624*Mat.Conc_Beta.1-$Y624)))
-($J624*MIN(Mat.Rebar_f.y,(Mat.Rebar_epsilon.cl*($S624-BC624)/BC624)*Mat.PT_E.s))
-($M624*Mat.PT_f.pu*(1-Mat.PT_k*BC624/$P624))))</f>
        <v/>
      </c>
      <c r="BF624" s="329"/>
      <c r="BG624" s="167" t="str">
        <f>IF(ISBLANK(Inputs!$A107),"",
IF(BE624="--","Solved",
IF(ABS(BE624)&lt;=0.001,"Solved",BC624-BE624*(BC624-AY624)/(BE624-BA624))))</f>
        <v/>
      </c>
      <c r="BH624" s="167"/>
      <c r="BI624" s="329" t="str">
        <f>IF(ISBLANK(Inputs!$A107),"",
IF(OR(BG624="Solved",BG624="--"),"--",
((Mat.Conc_Alpha.1*Mat.Conc_f.c*$AB624*MIN(BG624*Mat.Conc_Beta.1,$Y624))
+(Mat.Conc_Alpha.1*Mat.Conc_f.c*$V624*MAX(0,BG624*Mat.Conc_Beta.1-$Y624)))
-($J624*MIN(Mat.Rebar_f.y,(Mat.Rebar_epsilon.cl*($S624-BG624)/BG624)*Mat.PT_E.s))
-($M624*Mat.PT_f.pu*(1-Mat.PT_k*BG624/$P624))))</f>
        <v/>
      </c>
      <c r="BJ624" s="329"/>
      <c r="BK624" s="167" t="str">
        <f>IF(ISBLANK(Inputs!$A107),"",
IF(BI624="--","Solved",
IF(ABS(BI624)&lt;=0.001,"Solved",BG624-BI624*(BG624-BC624)/(BI624-BE624))))</f>
        <v/>
      </c>
      <c r="BL624" s="167"/>
      <c r="BM624" s="329" t="str">
        <f>IF(ISBLANK(Inputs!$A107),"",
IF(OR(BK624="Solved",BK624="--"),"--",
((Mat.Conc_Alpha.1*Mat.Conc_f.c*$AB624*MIN(BK624*Mat.Conc_Beta.1,$Y624))
+(Mat.Conc_Alpha.1*Mat.Conc_f.c*$V624*MAX(0,BK624*Mat.Conc_Beta.1-$Y624)))
-($J624*MIN(Mat.Rebar_f.y,(Mat.Rebar_epsilon.cl*($S624-BK624)/BK624)*Mat.PT_E.s))
-($M624*Mat.PT_f.pu*(1-Mat.PT_k*BK624/$P624))))</f>
        <v/>
      </c>
      <c r="BN624" s="329"/>
      <c r="BO624" s="167" t="str">
        <f>IF(ISBLANK(Inputs!$A107),"",
IF(BM624="--","Solved",
IF(ABS(BM624)&lt;=0.001,"Solved",BK624-BM624*(BK624-BG624)/(BM624-BI624))))</f>
        <v/>
      </c>
      <c r="BP624" s="167"/>
      <c r="BQ624" s="329" t="str">
        <f>IF(ISBLANK(Inputs!$A107),"",
IF(OR(BO624="Solved",BO624="--"),"--",
((Mat.Conc_Alpha.1*Mat.Conc_f.c*$AB624*MIN(BO624*Mat.Conc_Beta.1,$Y624))
+(Mat.Conc_Alpha.1*Mat.Conc_f.c*$V624*MAX(0,BO624*Mat.Conc_Beta.1-$Y624)))
-($J624*MIN(Mat.Rebar_f.y,(Mat.Rebar_epsilon.cl*($S624-BO624)/BO624)*Mat.PT_E.s))
-($M624*Mat.PT_f.pu*(1-Mat.PT_k*BO624/$P624))))</f>
        <v/>
      </c>
      <c r="BR624" s="329"/>
      <c r="BS624" s="70"/>
      <c r="BT624" s="70"/>
      <c r="BU624" s="70"/>
      <c r="BV624" s="70"/>
      <c r="BW624" s="8"/>
      <c r="BX624" s="8"/>
      <c r="BY624" s="8"/>
      <c r="BZ624" s="8"/>
      <c r="CA624" s="8"/>
      <c r="CB624" s="10"/>
    </row>
    <row r="625" spans="3:80" ht="15" customHeight="1" x14ac:dyDescent="0.25">
      <c r="C625" s="69"/>
      <c r="F625" s="167" t="str">
        <f>IF(ISBLANK(Inputs!A108),"",Inputs!A108)</f>
        <v/>
      </c>
      <c r="G625" s="167"/>
      <c r="H625" s="167" t="str">
        <f>IF(ISBLANK(Inputs!B108),"",Inputs!B108)</f>
        <v/>
      </c>
      <c r="I625" s="167"/>
      <c r="J625" s="168" t="str">
        <f>IF(ISBLANK(Inputs!K108),"",Inputs!K108)</f>
        <v/>
      </c>
      <c r="K625" s="168"/>
      <c r="L625" s="168"/>
      <c r="M625" s="168" t="str">
        <f>IF(ISBLANK(Inputs!D108),"",Inputs!D108)</f>
        <v/>
      </c>
      <c r="N625" s="168"/>
      <c r="O625" s="168"/>
      <c r="P625" s="168" t="str">
        <f>IF(ISBLANK(Inputs!F108),"",Inputs!$B$10-Inputs!F108)</f>
        <v/>
      </c>
      <c r="Q625" s="168"/>
      <c r="R625" s="168"/>
      <c r="S625" s="168" t="str">
        <f>IF(ISBLANK(Inputs!L108),"",Inputs!L108)</f>
        <v/>
      </c>
      <c r="T625" s="168"/>
      <c r="U625" s="168"/>
      <c r="V625" s="168" t="str">
        <f>IF(ISBLANK(Inputs!E108),"",Inputs!E108)</f>
        <v/>
      </c>
      <c r="W625" s="168"/>
      <c r="X625" s="168"/>
      <c r="Y625" s="168" t="str">
        <f>IF(ISBLANK(Inputs!M108),"",Inputs!M108)</f>
        <v/>
      </c>
      <c r="Z625" s="168"/>
      <c r="AA625" s="168"/>
      <c r="AB625" s="168" t="str">
        <f>IF(ISBLANK(Inputs!N108),"",Inputs!N108)</f>
        <v/>
      </c>
      <c r="AC625" s="168"/>
      <c r="AD625" s="168"/>
      <c r="AE625" s="371" t="str">
        <f>IF(ISBLANK(Inputs!A108),"",Y625)</f>
        <v/>
      </c>
      <c r="AF625" s="371"/>
      <c r="AG625" s="329" t="str">
        <f>IF(ISBLANK(Inputs!$A108),"",
IF(OR(AE625="Solved",AE625="--"),"--",
((Mat.Conc_Alpha.1*Mat.Conc_f.c*$AB625*MIN(AE625*Mat.Conc_Beta.1,$Y625))
+(Mat.Conc_Alpha.1*Mat.Conc_f.c*$V625*MAX(0,AE625*Mat.Conc_Beta.1-$Y625)))
-($J625*MIN(Mat.Rebar_f.y,(Mat.Rebar_epsilon.cl*($S625-AE625)/AE625)*Mat.PT_E.s))
-($M625*Mat.PT_f.pu*(1-Mat.PT_k*AE625/$P625))))</f>
        <v/>
      </c>
      <c r="AH625" s="329"/>
      <c r="AI625" s="167" t="str">
        <f>IF(ISBLANK(Inputs!$A108),"",
IF(ABS(AG625)&lt;=0.001,"Solved",IF(AG625&gt;0,0.85*AE625,1.15*AE625)))</f>
        <v/>
      </c>
      <c r="AJ625" s="167"/>
      <c r="AK625" s="329" t="str">
        <f>IF(ISBLANK(Inputs!$A108),"",
IF(OR(AI625="Solved",AI625="--"),"--",
((Mat.Conc_Alpha.1*Mat.Conc_f.c*$AB625*MIN(AI625*Mat.Conc_Beta.1,$Y625))
+(Mat.Conc_Alpha.1*Mat.Conc_f.c*$V625*MAX(0,AI625*Mat.Conc_Beta.1-$Y625)))
-($J625*MIN(Mat.Rebar_f.y,(Mat.Rebar_epsilon.cl*($S625-AI625)/AI625)*Mat.PT_E.s))
-($M625*Mat.PT_f.pu*(1-Mat.PT_k*AI625/$P625))))</f>
        <v/>
      </c>
      <c r="AL625" s="329"/>
      <c r="AM625" s="167" t="str">
        <f>IF(ISBLANK(Inputs!$A108),"",
IF(AK625="--","Solved",
IF(ABS(AK625)&lt;=0.001,"Solved",AI625-AK625*(AI625-AE625)/(AK625-AG625))))</f>
        <v/>
      </c>
      <c r="AN625" s="167"/>
      <c r="AO625" s="329" t="str">
        <f>IF(ISBLANK(Inputs!$A108),"",
IF(OR(AM625="Solved",AM625="--"),"--",
((Mat.Conc_Alpha.1*Mat.Conc_f.c*$AB625*MIN(AM625*Mat.Conc_Beta.1,$Y625))
+(Mat.Conc_Alpha.1*Mat.Conc_f.c*$V625*MAX(0,AM625*Mat.Conc_Beta.1-$Y625)))
-($J625*MIN(Mat.Rebar_f.y,(Mat.Rebar_epsilon.cl*($S625-AM625)/AM625)*Mat.PT_E.s))
-($M625*Mat.PT_f.pu*(1-Mat.PT_k*AM625/$P625))))</f>
        <v/>
      </c>
      <c r="AP625" s="329"/>
      <c r="AQ625" s="167" t="str">
        <f>IF(ISBLANK(Inputs!$A108),"",
IF(AO625="--","Solved",
IF(ABS(AO625)&lt;=0.001,"Solved",AM625-AO625*(AM625-AI625)/(AO625-AK625))))</f>
        <v/>
      </c>
      <c r="AR625" s="167"/>
      <c r="AS625" s="329" t="str">
        <f>IF(ISBLANK(Inputs!$A108),"",
IF(OR(AQ625="Solved",AQ625="--"),"--",
((Mat.Conc_Alpha.1*Mat.Conc_f.c*$AB625*MIN(AQ625*Mat.Conc_Beta.1,$Y625))
+(Mat.Conc_Alpha.1*Mat.Conc_f.c*$V625*MAX(0,AQ625*Mat.Conc_Beta.1-$Y625)))
-($J625*MIN(Mat.Rebar_f.y,(Mat.Rebar_epsilon.cl*($S625-AQ625)/AQ625)*Mat.PT_E.s))
-($M625*Mat.PT_f.pu*(1-Mat.PT_k*AQ625/$P625))))</f>
        <v/>
      </c>
      <c r="AT625" s="329"/>
      <c r="AU625" s="167" t="str">
        <f>IF(ISBLANK(Inputs!$A108),"",
IF(AS625="--","Solved",
IF(ABS(AS625)&lt;=0.001,"Solved",AQ625-AS625*(AQ625-AM625)/(AS625-AO625))))</f>
        <v/>
      </c>
      <c r="AV625" s="167"/>
      <c r="AW625" s="329" t="str">
        <f>IF(ISBLANK(Inputs!$A108),"",
IF(OR(AU625="Solved",AU625="--"),"--",
((Mat.Conc_Alpha.1*Mat.Conc_f.c*$AB625*MIN(AU625*Mat.Conc_Beta.1,$Y625))
+(Mat.Conc_Alpha.1*Mat.Conc_f.c*$V625*MAX(0,AU625*Mat.Conc_Beta.1-$Y625)))
-($J625*MIN(Mat.Rebar_f.y,(Mat.Rebar_epsilon.cl*($S625-AU625)/AU625)*Mat.PT_E.s))
-($M625*Mat.PT_f.pu*(1-Mat.PT_k*AU625/$P625))))</f>
        <v/>
      </c>
      <c r="AX625" s="329"/>
      <c r="AY625" s="167" t="str">
        <f>IF(ISBLANK(Inputs!$A108),"",
IF(AW625="--","Solved",
IF(ABS(AW625)&lt;=0.001,"Solved",AU625-AW625*(AU625-AQ625)/(AW625-AS625))))</f>
        <v/>
      </c>
      <c r="AZ625" s="167"/>
      <c r="BA625" s="329" t="str">
        <f>IF(ISBLANK(Inputs!$A108),"",
IF(OR(AY625="Solved",AY625="--"),"--",
((Mat.Conc_Alpha.1*Mat.Conc_f.c*$AB625*MIN(AY625*Mat.Conc_Beta.1,$Y625))
+(Mat.Conc_Alpha.1*Mat.Conc_f.c*$V625*MAX(0,AY625*Mat.Conc_Beta.1-$Y625)))
-($J625*MIN(Mat.Rebar_f.y,(Mat.Rebar_epsilon.cl*($S625-AY625)/AY625)*Mat.PT_E.s))
-($M625*Mat.PT_f.pu*(1-Mat.PT_k*AY625/$P625))))</f>
        <v/>
      </c>
      <c r="BB625" s="329"/>
      <c r="BC625" s="167" t="str">
        <f>IF(ISBLANK(Inputs!$A108),"",
IF(BA625="--","Solved",
IF(ABS(BA625)&lt;=0.001,"Solved",AY625-BA625*(AY625-AU625)/(BA625-AW625))))</f>
        <v/>
      </c>
      <c r="BD625" s="167"/>
      <c r="BE625" s="329" t="str">
        <f>IF(ISBLANK(Inputs!$A108),"",
IF(OR(BC625="Solved",BC625="--"),"--",
((Mat.Conc_Alpha.1*Mat.Conc_f.c*$AB625*MIN(BC625*Mat.Conc_Beta.1,$Y625))
+(Mat.Conc_Alpha.1*Mat.Conc_f.c*$V625*MAX(0,BC625*Mat.Conc_Beta.1-$Y625)))
-($J625*MIN(Mat.Rebar_f.y,(Mat.Rebar_epsilon.cl*($S625-BC625)/BC625)*Mat.PT_E.s))
-($M625*Mat.PT_f.pu*(1-Mat.PT_k*BC625/$P625))))</f>
        <v/>
      </c>
      <c r="BF625" s="329"/>
      <c r="BG625" s="167" t="str">
        <f>IF(ISBLANK(Inputs!$A108),"",
IF(BE625="--","Solved",
IF(ABS(BE625)&lt;=0.001,"Solved",BC625-BE625*(BC625-AY625)/(BE625-BA625))))</f>
        <v/>
      </c>
      <c r="BH625" s="167"/>
      <c r="BI625" s="329" t="str">
        <f>IF(ISBLANK(Inputs!$A108),"",
IF(OR(BG625="Solved",BG625="--"),"--",
((Mat.Conc_Alpha.1*Mat.Conc_f.c*$AB625*MIN(BG625*Mat.Conc_Beta.1,$Y625))
+(Mat.Conc_Alpha.1*Mat.Conc_f.c*$V625*MAX(0,BG625*Mat.Conc_Beta.1-$Y625)))
-($J625*MIN(Mat.Rebar_f.y,(Mat.Rebar_epsilon.cl*($S625-BG625)/BG625)*Mat.PT_E.s))
-($M625*Mat.PT_f.pu*(1-Mat.PT_k*BG625/$P625))))</f>
        <v/>
      </c>
      <c r="BJ625" s="329"/>
      <c r="BK625" s="167" t="str">
        <f>IF(ISBLANK(Inputs!$A108),"",
IF(BI625="--","Solved",
IF(ABS(BI625)&lt;=0.001,"Solved",BG625-BI625*(BG625-BC625)/(BI625-BE625))))</f>
        <v/>
      </c>
      <c r="BL625" s="167"/>
      <c r="BM625" s="329" t="str">
        <f>IF(ISBLANK(Inputs!$A108),"",
IF(OR(BK625="Solved",BK625="--"),"--",
((Mat.Conc_Alpha.1*Mat.Conc_f.c*$AB625*MIN(BK625*Mat.Conc_Beta.1,$Y625))
+(Mat.Conc_Alpha.1*Mat.Conc_f.c*$V625*MAX(0,BK625*Mat.Conc_Beta.1-$Y625)))
-($J625*MIN(Mat.Rebar_f.y,(Mat.Rebar_epsilon.cl*($S625-BK625)/BK625)*Mat.PT_E.s))
-($M625*Mat.PT_f.pu*(1-Mat.PT_k*BK625/$P625))))</f>
        <v/>
      </c>
      <c r="BN625" s="329"/>
      <c r="BO625" s="167" t="str">
        <f>IF(ISBLANK(Inputs!$A108),"",
IF(BM625="--","Solved",
IF(ABS(BM625)&lt;=0.001,"Solved",BK625-BM625*(BK625-BG625)/(BM625-BI625))))</f>
        <v/>
      </c>
      <c r="BP625" s="167"/>
      <c r="BQ625" s="329" t="str">
        <f>IF(ISBLANK(Inputs!$A108),"",
IF(OR(BO625="Solved",BO625="--"),"--",
((Mat.Conc_Alpha.1*Mat.Conc_f.c*$AB625*MIN(BO625*Mat.Conc_Beta.1,$Y625))
+(Mat.Conc_Alpha.1*Mat.Conc_f.c*$V625*MAX(0,BO625*Mat.Conc_Beta.1-$Y625)))
-($J625*MIN(Mat.Rebar_f.y,(Mat.Rebar_epsilon.cl*($S625-BO625)/BO625)*Mat.PT_E.s))
-($M625*Mat.PT_f.pu*(1-Mat.PT_k*BO625/$P625))))</f>
        <v/>
      </c>
      <c r="BR625" s="329"/>
      <c r="BS625" s="70"/>
      <c r="BT625" s="70"/>
      <c r="BU625" s="70"/>
      <c r="BV625" s="70"/>
      <c r="BW625" s="8"/>
      <c r="BX625" s="8"/>
      <c r="BY625" s="8"/>
      <c r="BZ625" s="8"/>
      <c r="CA625" s="8"/>
      <c r="CB625" s="10"/>
    </row>
    <row r="626" spans="3:80" ht="15" customHeight="1" x14ac:dyDescent="0.25">
      <c r="C626" s="69"/>
      <c r="F626" s="167" t="str">
        <f>IF(ISBLANK(Inputs!A109),"",Inputs!A109)</f>
        <v/>
      </c>
      <c r="G626" s="167"/>
      <c r="H626" s="167" t="str">
        <f>IF(ISBLANK(Inputs!B109),"",Inputs!B109)</f>
        <v/>
      </c>
      <c r="I626" s="167"/>
      <c r="J626" s="168" t="str">
        <f>IF(ISBLANK(Inputs!K109),"",Inputs!K109)</f>
        <v/>
      </c>
      <c r="K626" s="168"/>
      <c r="L626" s="168"/>
      <c r="M626" s="168" t="str">
        <f>IF(ISBLANK(Inputs!D109),"",Inputs!D109)</f>
        <v/>
      </c>
      <c r="N626" s="168"/>
      <c r="O626" s="168"/>
      <c r="P626" s="168" t="str">
        <f>IF(ISBLANK(Inputs!F109),"",Inputs!$B$10-Inputs!F109)</f>
        <v/>
      </c>
      <c r="Q626" s="168"/>
      <c r="R626" s="168"/>
      <c r="S626" s="168" t="str">
        <f>IF(ISBLANK(Inputs!L109),"",Inputs!L109)</f>
        <v/>
      </c>
      <c r="T626" s="168"/>
      <c r="U626" s="168"/>
      <c r="V626" s="168" t="str">
        <f>IF(ISBLANK(Inputs!E109),"",Inputs!E109)</f>
        <v/>
      </c>
      <c r="W626" s="168"/>
      <c r="X626" s="168"/>
      <c r="Y626" s="168" t="str">
        <f>IF(ISBLANK(Inputs!M109),"",Inputs!M109)</f>
        <v/>
      </c>
      <c r="Z626" s="168"/>
      <c r="AA626" s="168"/>
      <c r="AB626" s="168" t="str">
        <f>IF(ISBLANK(Inputs!N109),"",Inputs!N109)</f>
        <v/>
      </c>
      <c r="AC626" s="168"/>
      <c r="AD626" s="168"/>
      <c r="AE626" s="371" t="str">
        <f>IF(ISBLANK(Inputs!A109),"",Y626)</f>
        <v/>
      </c>
      <c r="AF626" s="371"/>
      <c r="AG626" s="329" t="str">
        <f>IF(ISBLANK(Inputs!$A109),"",
IF(OR(AE626="Solved",AE626="--"),"--",
((Mat.Conc_Alpha.1*Mat.Conc_f.c*$AB626*MIN(AE626*Mat.Conc_Beta.1,$Y626))
+(Mat.Conc_Alpha.1*Mat.Conc_f.c*$V626*MAX(0,AE626*Mat.Conc_Beta.1-$Y626)))
-($J626*MIN(Mat.Rebar_f.y,(Mat.Rebar_epsilon.cl*($S626-AE626)/AE626)*Mat.PT_E.s))
-($M626*Mat.PT_f.pu*(1-Mat.PT_k*AE626/$P626))))</f>
        <v/>
      </c>
      <c r="AH626" s="329"/>
      <c r="AI626" s="167" t="str">
        <f>IF(ISBLANK(Inputs!$A109),"",
IF(ABS(AG626)&lt;=0.001,"Solved",IF(AG626&gt;0,0.85*AE626,1.15*AE626)))</f>
        <v/>
      </c>
      <c r="AJ626" s="167"/>
      <c r="AK626" s="329" t="str">
        <f>IF(ISBLANK(Inputs!$A109),"",
IF(OR(AI626="Solved",AI626="--"),"--",
((Mat.Conc_Alpha.1*Mat.Conc_f.c*$AB626*MIN(AI626*Mat.Conc_Beta.1,$Y626))
+(Mat.Conc_Alpha.1*Mat.Conc_f.c*$V626*MAX(0,AI626*Mat.Conc_Beta.1-$Y626)))
-($J626*MIN(Mat.Rebar_f.y,(Mat.Rebar_epsilon.cl*($S626-AI626)/AI626)*Mat.PT_E.s))
-($M626*Mat.PT_f.pu*(1-Mat.PT_k*AI626/$P626))))</f>
        <v/>
      </c>
      <c r="AL626" s="329"/>
      <c r="AM626" s="167" t="str">
        <f>IF(ISBLANK(Inputs!$A109),"",
IF(AK626="--","Solved",
IF(ABS(AK626)&lt;=0.001,"Solved",AI626-AK626*(AI626-AE626)/(AK626-AG626))))</f>
        <v/>
      </c>
      <c r="AN626" s="167"/>
      <c r="AO626" s="329" t="str">
        <f>IF(ISBLANK(Inputs!$A109),"",
IF(OR(AM626="Solved",AM626="--"),"--",
((Mat.Conc_Alpha.1*Mat.Conc_f.c*$AB626*MIN(AM626*Mat.Conc_Beta.1,$Y626))
+(Mat.Conc_Alpha.1*Mat.Conc_f.c*$V626*MAX(0,AM626*Mat.Conc_Beta.1-$Y626)))
-($J626*MIN(Mat.Rebar_f.y,(Mat.Rebar_epsilon.cl*($S626-AM626)/AM626)*Mat.PT_E.s))
-($M626*Mat.PT_f.pu*(1-Mat.PT_k*AM626/$P626))))</f>
        <v/>
      </c>
      <c r="AP626" s="329"/>
      <c r="AQ626" s="167" t="str">
        <f>IF(ISBLANK(Inputs!$A109),"",
IF(AO626="--","Solved",
IF(ABS(AO626)&lt;=0.001,"Solved",AM626-AO626*(AM626-AI626)/(AO626-AK626))))</f>
        <v/>
      </c>
      <c r="AR626" s="167"/>
      <c r="AS626" s="329" t="str">
        <f>IF(ISBLANK(Inputs!$A109),"",
IF(OR(AQ626="Solved",AQ626="--"),"--",
((Mat.Conc_Alpha.1*Mat.Conc_f.c*$AB626*MIN(AQ626*Mat.Conc_Beta.1,$Y626))
+(Mat.Conc_Alpha.1*Mat.Conc_f.c*$V626*MAX(0,AQ626*Mat.Conc_Beta.1-$Y626)))
-($J626*MIN(Mat.Rebar_f.y,(Mat.Rebar_epsilon.cl*($S626-AQ626)/AQ626)*Mat.PT_E.s))
-($M626*Mat.PT_f.pu*(1-Mat.PT_k*AQ626/$P626))))</f>
        <v/>
      </c>
      <c r="AT626" s="329"/>
      <c r="AU626" s="167" t="str">
        <f>IF(ISBLANK(Inputs!$A109),"",
IF(AS626="--","Solved",
IF(ABS(AS626)&lt;=0.001,"Solved",AQ626-AS626*(AQ626-AM626)/(AS626-AO626))))</f>
        <v/>
      </c>
      <c r="AV626" s="167"/>
      <c r="AW626" s="329" t="str">
        <f>IF(ISBLANK(Inputs!$A109),"",
IF(OR(AU626="Solved",AU626="--"),"--",
((Mat.Conc_Alpha.1*Mat.Conc_f.c*$AB626*MIN(AU626*Mat.Conc_Beta.1,$Y626))
+(Mat.Conc_Alpha.1*Mat.Conc_f.c*$V626*MAX(0,AU626*Mat.Conc_Beta.1-$Y626)))
-($J626*MIN(Mat.Rebar_f.y,(Mat.Rebar_epsilon.cl*($S626-AU626)/AU626)*Mat.PT_E.s))
-($M626*Mat.PT_f.pu*(1-Mat.PT_k*AU626/$P626))))</f>
        <v/>
      </c>
      <c r="AX626" s="329"/>
      <c r="AY626" s="167" t="str">
        <f>IF(ISBLANK(Inputs!$A109),"",
IF(AW626="--","Solved",
IF(ABS(AW626)&lt;=0.001,"Solved",AU626-AW626*(AU626-AQ626)/(AW626-AS626))))</f>
        <v/>
      </c>
      <c r="AZ626" s="167"/>
      <c r="BA626" s="329" t="str">
        <f>IF(ISBLANK(Inputs!$A109),"",
IF(OR(AY626="Solved",AY626="--"),"--",
((Mat.Conc_Alpha.1*Mat.Conc_f.c*$AB626*MIN(AY626*Mat.Conc_Beta.1,$Y626))
+(Mat.Conc_Alpha.1*Mat.Conc_f.c*$V626*MAX(0,AY626*Mat.Conc_Beta.1-$Y626)))
-($J626*MIN(Mat.Rebar_f.y,(Mat.Rebar_epsilon.cl*($S626-AY626)/AY626)*Mat.PT_E.s))
-($M626*Mat.PT_f.pu*(1-Mat.PT_k*AY626/$P626))))</f>
        <v/>
      </c>
      <c r="BB626" s="329"/>
      <c r="BC626" s="167" t="str">
        <f>IF(ISBLANK(Inputs!$A109),"",
IF(BA626="--","Solved",
IF(ABS(BA626)&lt;=0.001,"Solved",AY626-BA626*(AY626-AU626)/(BA626-AW626))))</f>
        <v/>
      </c>
      <c r="BD626" s="167"/>
      <c r="BE626" s="329" t="str">
        <f>IF(ISBLANK(Inputs!$A109),"",
IF(OR(BC626="Solved",BC626="--"),"--",
((Mat.Conc_Alpha.1*Mat.Conc_f.c*$AB626*MIN(BC626*Mat.Conc_Beta.1,$Y626))
+(Mat.Conc_Alpha.1*Mat.Conc_f.c*$V626*MAX(0,BC626*Mat.Conc_Beta.1-$Y626)))
-($J626*MIN(Mat.Rebar_f.y,(Mat.Rebar_epsilon.cl*($S626-BC626)/BC626)*Mat.PT_E.s))
-($M626*Mat.PT_f.pu*(1-Mat.PT_k*BC626/$P626))))</f>
        <v/>
      </c>
      <c r="BF626" s="329"/>
      <c r="BG626" s="167" t="str">
        <f>IF(ISBLANK(Inputs!$A109),"",
IF(BE626="--","Solved",
IF(ABS(BE626)&lt;=0.001,"Solved",BC626-BE626*(BC626-AY626)/(BE626-BA626))))</f>
        <v/>
      </c>
      <c r="BH626" s="167"/>
      <c r="BI626" s="329" t="str">
        <f>IF(ISBLANK(Inputs!$A109),"",
IF(OR(BG626="Solved",BG626="--"),"--",
((Mat.Conc_Alpha.1*Mat.Conc_f.c*$AB626*MIN(BG626*Mat.Conc_Beta.1,$Y626))
+(Mat.Conc_Alpha.1*Mat.Conc_f.c*$V626*MAX(0,BG626*Mat.Conc_Beta.1-$Y626)))
-($J626*MIN(Mat.Rebar_f.y,(Mat.Rebar_epsilon.cl*($S626-BG626)/BG626)*Mat.PT_E.s))
-($M626*Mat.PT_f.pu*(1-Mat.PT_k*BG626/$P626))))</f>
        <v/>
      </c>
      <c r="BJ626" s="329"/>
      <c r="BK626" s="167" t="str">
        <f>IF(ISBLANK(Inputs!$A109),"",
IF(BI626="--","Solved",
IF(ABS(BI626)&lt;=0.001,"Solved",BG626-BI626*(BG626-BC626)/(BI626-BE626))))</f>
        <v/>
      </c>
      <c r="BL626" s="167"/>
      <c r="BM626" s="329" t="str">
        <f>IF(ISBLANK(Inputs!$A109),"",
IF(OR(BK626="Solved",BK626="--"),"--",
((Mat.Conc_Alpha.1*Mat.Conc_f.c*$AB626*MIN(BK626*Mat.Conc_Beta.1,$Y626))
+(Mat.Conc_Alpha.1*Mat.Conc_f.c*$V626*MAX(0,BK626*Mat.Conc_Beta.1-$Y626)))
-($J626*MIN(Mat.Rebar_f.y,(Mat.Rebar_epsilon.cl*($S626-BK626)/BK626)*Mat.PT_E.s))
-($M626*Mat.PT_f.pu*(1-Mat.PT_k*BK626/$P626))))</f>
        <v/>
      </c>
      <c r="BN626" s="329"/>
      <c r="BO626" s="167" t="str">
        <f>IF(ISBLANK(Inputs!$A109),"",
IF(BM626="--","Solved",
IF(ABS(BM626)&lt;=0.001,"Solved",BK626-BM626*(BK626-BG626)/(BM626-BI626))))</f>
        <v/>
      </c>
      <c r="BP626" s="167"/>
      <c r="BQ626" s="329" t="str">
        <f>IF(ISBLANK(Inputs!$A109),"",
IF(OR(BO626="Solved",BO626="--"),"--",
((Mat.Conc_Alpha.1*Mat.Conc_f.c*$AB626*MIN(BO626*Mat.Conc_Beta.1,$Y626))
+(Mat.Conc_Alpha.1*Mat.Conc_f.c*$V626*MAX(0,BO626*Mat.Conc_Beta.1-$Y626)))
-($J626*MIN(Mat.Rebar_f.y,(Mat.Rebar_epsilon.cl*($S626-BO626)/BO626)*Mat.PT_E.s))
-($M626*Mat.PT_f.pu*(1-Mat.PT_k*BO626/$P626))))</f>
        <v/>
      </c>
      <c r="BR626" s="329"/>
      <c r="BS626" s="70"/>
      <c r="BT626" s="70"/>
      <c r="BU626" s="70"/>
      <c r="BV626" s="70"/>
      <c r="BW626" s="8"/>
      <c r="BX626" s="8"/>
      <c r="BY626" s="8"/>
      <c r="BZ626" s="8"/>
      <c r="CA626" s="8"/>
      <c r="CB626" s="10"/>
    </row>
    <row r="627" spans="3:80" ht="15" customHeight="1" x14ac:dyDescent="0.25">
      <c r="C627" s="69"/>
      <c r="F627" s="167" t="str">
        <f>IF(ISBLANK(Inputs!A110),"",Inputs!A110)</f>
        <v/>
      </c>
      <c r="G627" s="167"/>
      <c r="H627" s="167" t="str">
        <f>IF(ISBLANK(Inputs!B110),"",Inputs!B110)</f>
        <v/>
      </c>
      <c r="I627" s="167"/>
      <c r="J627" s="168" t="str">
        <f>IF(ISBLANK(Inputs!K110),"",Inputs!K110)</f>
        <v/>
      </c>
      <c r="K627" s="168"/>
      <c r="L627" s="168"/>
      <c r="M627" s="168" t="str">
        <f>IF(ISBLANK(Inputs!D110),"",Inputs!D110)</f>
        <v/>
      </c>
      <c r="N627" s="168"/>
      <c r="O627" s="168"/>
      <c r="P627" s="168" t="str">
        <f>IF(ISBLANK(Inputs!F110),"",Inputs!$B$10-Inputs!F110)</f>
        <v/>
      </c>
      <c r="Q627" s="168"/>
      <c r="R627" s="168"/>
      <c r="S627" s="168" t="str">
        <f>IF(ISBLANK(Inputs!L110),"",Inputs!L110)</f>
        <v/>
      </c>
      <c r="T627" s="168"/>
      <c r="U627" s="168"/>
      <c r="V627" s="168" t="str">
        <f>IF(ISBLANK(Inputs!E110),"",Inputs!E110)</f>
        <v/>
      </c>
      <c r="W627" s="168"/>
      <c r="X627" s="168"/>
      <c r="Y627" s="168" t="str">
        <f>IF(ISBLANK(Inputs!M110),"",Inputs!M110)</f>
        <v/>
      </c>
      <c r="Z627" s="168"/>
      <c r="AA627" s="168"/>
      <c r="AB627" s="168" t="str">
        <f>IF(ISBLANK(Inputs!N110),"",Inputs!N110)</f>
        <v/>
      </c>
      <c r="AC627" s="168"/>
      <c r="AD627" s="168"/>
      <c r="AE627" s="371" t="str">
        <f>IF(ISBLANK(Inputs!A110),"",Y627)</f>
        <v/>
      </c>
      <c r="AF627" s="371"/>
      <c r="AG627" s="329" t="str">
        <f>IF(ISBLANK(Inputs!$A110),"",
IF(OR(AE627="Solved",AE627="--"),"--",
((Mat.Conc_Alpha.1*Mat.Conc_f.c*$AB627*MIN(AE627*Mat.Conc_Beta.1,$Y627))
+(Mat.Conc_Alpha.1*Mat.Conc_f.c*$V627*MAX(0,AE627*Mat.Conc_Beta.1-$Y627)))
-($J627*MIN(Mat.Rebar_f.y,(Mat.Rebar_epsilon.cl*($S627-AE627)/AE627)*Mat.PT_E.s))
-($M627*Mat.PT_f.pu*(1-Mat.PT_k*AE627/$P627))))</f>
        <v/>
      </c>
      <c r="AH627" s="329"/>
      <c r="AI627" s="167" t="str">
        <f>IF(ISBLANK(Inputs!$A110),"",
IF(ABS(AG627)&lt;=0.001,"Solved",IF(AG627&gt;0,0.85*AE627,1.15*AE627)))</f>
        <v/>
      </c>
      <c r="AJ627" s="167"/>
      <c r="AK627" s="329" t="str">
        <f>IF(ISBLANK(Inputs!$A110),"",
IF(OR(AI627="Solved",AI627="--"),"--",
((Mat.Conc_Alpha.1*Mat.Conc_f.c*$AB627*MIN(AI627*Mat.Conc_Beta.1,$Y627))
+(Mat.Conc_Alpha.1*Mat.Conc_f.c*$V627*MAX(0,AI627*Mat.Conc_Beta.1-$Y627)))
-($J627*MIN(Mat.Rebar_f.y,(Mat.Rebar_epsilon.cl*($S627-AI627)/AI627)*Mat.PT_E.s))
-($M627*Mat.PT_f.pu*(1-Mat.PT_k*AI627/$P627))))</f>
        <v/>
      </c>
      <c r="AL627" s="329"/>
      <c r="AM627" s="167" t="str">
        <f>IF(ISBLANK(Inputs!$A110),"",
IF(AK627="--","Solved",
IF(ABS(AK627)&lt;=0.001,"Solved",AI627-AK627*(AI627-AE627)/(AK627-AG627))))</f>
        <v/>
      </c>
      <c r="AN627" s="167"/>
      <c r="AO627" s="329" t="str">
        <f>IF(ISBLANK(Inputs!$A110),"",
IF(OR(AM627="Solved",AM627="--"),"--",
((Mat.Conc_Alpha.1*Mat.Conc_f.c*$AB627*MIN(AM627*Mat.Conc_Beta.1,$Y627))
+(Mat.Conc_Alpha.1*Mat.Conc_f.c*$V627*MAX(0,AM627*Mat.Conc_Beta.1-$Y627)))
-($J627*MIN(Mat.Rebar_f.y,(Mat.Rebar_epsilon.cl*($S627-AM627)/AM627)*Mat.PT_E.s))
-($M627*Mat.PT_f.pu*(1-Mat.PT_k*AM627/$P627))))</f>
        <v/>
      </c>
      <c r="AP627" s="329"/>
      <c r="AQ627" s="167" t="str">
        <f>IF(ISBLANK(Inputs!$A110),"",
IF(AO627="--","Solved",
IF(ABS(AO627)&lt;=0.001,"Solved",AM627-AO627*(AM627-AI627)/(AO627-AK627))))</f>
        <v/>
      </c>
      <c r="AR627" s="167"/>
      <c r="AS627" s="329" t="str">
        <f>IF(ISBLANK(Inputs!$A110),"",
IF(OR(AQ627="Solved",AQ627="--"),"--",
((Mat.Conc_Alpha.1*Mat.Conc_f.c*$AB627*MIN(AQ627*Mat.Conc_Beta.1,$Y627))
+(Mat.Conc_Alpha.1*Mat.Conc_f.c*$V627*MAX(0,AQ627*Mat.Conc_Beta.1-$Y627)))
-($J627*MIN(Mat.Rebar_f.y,(Mat.Rebar_epsilon.cl*($S627-AQ627)/AQ627)*Mat.PT_E.s))
-($M627*Mat.PT_f.pu*(1-Mat.PT_k*AQ627/$P627))))</f>
        <v/>
      </c>
      <c r="AT627" s="329"/>
      <c r="AU627" s="167" t="str">
        <f>IF(ISBLANK(Inputs!$A110),"",
IF(AS627="--","Solved",
IF(ABS(AS627)&lt;=0.001,"Solved",AQ627-AS627*(AQ627-AM627)/(AS627-AO627))))</f>
        <v/>
      </c>
      <c r="AV627" s="167"/>
      <c r="AW627" s="329" t="str">
        <f>IF(ISBLANK(Inputs!$A110),"",
IF(OR(AU627="Solved",AU627="--"),"--",
((Mat.Conc_Alpha.1*Mat.Conc_f.c*$AB627*MIN(AU627*Mat.Conc_Beta.1,$Y627))
+(Mat.Conc_Alpha.1*Mat.Conc_f.c*$V627*MAX(0,AU627*Mat.Conc_Beta.1-$Y627)))
-($J627*MIN(Mat.Rebar_f.y,(Mat.Rebar_epsilon.cl*($S627-AU627)/AU627)*Mat.PT_E.s))
-($M627*Mat.PT_f.pu*(1-Mat.PT_k*AU627/$P627))))</f>
        <v/>
      </c>
      <c r="AX627" s="329"/>
      <c r="AY627" s="167" t="str">
        <f>IF(ISBLANK(Inputs!$A110),"",
IF(AW627="--","Solved",
IF(ABS(AW627)&lt;=0.001,"Solved",AU627-AW627*(AU627-AQ627)/(AW627-AS627))))</f>
        <v/>
      </c>
      <c r="AZ627" s="167"/>
      <c r="BA627" s="329" t="str">
        <f>IF(ISBLANK(Inputs!$A110),"",
IF(OR(AY627="Solved",AY627="--"),"--",
((Mat.Conc_Alpha.1*Mat.Conc_f.c*$AB627*MIN(AY627*Mat.Conc_Beta.1,$Y627))
+(Mat.Conc_Alpha.1*Mat.Conc_f.c*$V627*MAX(0,AY627*Mat.Conc_Beta.1-$Y627)))
-($J627*MIN(Mat.Rebar_f.y,(Mat.Rebar_epsilon.cl*($S627-AY627)/AY627)*Mat.PT_E.s))
-($M627*Mat.PT_f.pu*(1-Mat.PT_k*AY627/$P627))))</f>
        <v/>
      </c>
      <c r="BB627" s="329"/>
      <c r="BC627" s="167" t="str">
        <f>IF(ISBLANK(Inputs!$A110),"",
IF(BA627="--","Solved",
IF(ABS(BA627)&lt;=0.001,"Solved",AY627-BA627*(AY627-AU627)/(BA627-AW627))))</f>
        <v/>
      </c>
      <c r="BD627" s="167"/>
      <c r="BE627" s="329" t="str">
        <f>IF(ISBLANK(Inputs!$A110),"",
IF(OR(BC627="Solved",BC627="--"),"--",
((Mat.Conc_Alpha.1*Mat.Conc_f.c*$AB627*MIN(BC627*Mat.Conc_Beta.1,$Y627))
+(Mat.Conc_Alpha.1*Mat.Conc_f.c*$V627*MAX(0,BC627*Mat.Conc_Beta.1-$Y627)))
-($J627*MIN(Mat.Rebar_f.y,(Mat.Rebar_epsilon.cl*($S627-BC627)/BC627)*Mat.PT_E.s))
-($M627*Mat.PT_f.pu*(1-Mat.PT_k*BC627/$P627))))</f>
        <v/>
      </c>
      <c r="BF627" s="329"/>
      <c r="BG627" s="167" t="str">
        <f>IF(ISBLANK(Inputs!$A110),"",
IF(BE627="--","Solved",
IF(ABS(BE627)&lt;=0.001,"Solved",BC627-BE627*(BC627-AY627)/(BE627-BA627))))</f>
        <v/>
      </c>
      <c r="BH627" s="167"/>
      <c r="BI627" s="329" t="str">
        <f>IF(ISBLANK(Inputs!$A110),"",
IF(OR(BG627="Solved",BG627="--"),"--",
((Mat.Conc_Alpha.1*Mat.Conc_f.c*$AB627*MIN(BG627*Mat.Conc_Beta.1,$Y627))
+(Mat.Conc_Alpha.1*Mat.Conc_f.c*$V627*MAX(0,BG627*Mat.Conc_Beta.1-$Y627)))
-($J627*MIN(Mat.Rebar_f.y,(Mat.Rebar_epsilon.cl*($S627-BG627)/BG627)*Mat.PT_E.s))
-($M627*Mat.PT_f.pu*(1-Mat.PT_k*BG627/$P627))))</f>
        <v/>
      </c>
      <c r="BJ627" s="329"/>
      <c r="BK627" s="167" t="str">
        <f>IF(ISBLANK(Inputs!$A110),"",
IF(BI627="--","Solved",
IF(ABS(BI627)&lt;=0.001,"Solved",BG627-BI627*(BG627-BC627)/(BI627-BE627))))</f>
        <v/>
      </c>
      <c r="BL627" s="167"/>
      <c r="BM627" s="329" t="str">
        <f>IF(ISBLANK(Inputs!$A110),"",
IF(OR(BK627="Solved",BK627="--"),"--",
((Mat.Conc_Alpha.1*Mat.Conc_f.c*$AB627*MIN(BK627*Mat.Conc_Beta.1,$Y627))
+(Mat.Conc_Alpha.1*Mat.Conc_f.c*$V627*MAX(0,BK627*Mat.Conc_Beta.1-$Y627)))
-($J627*MIN(Mat.Rebar_f.y,(Mat.Rebar_epsilon.cl*($S627-BK627)/BK627)*Mat.PT_E.s))
-($M627*Mat.PT_f.pu*(1-Mat.PT_k*BK627/$P627))))</f>
        <v/>
      </c>
      <c r="BN627" s="329"/>
      <c r="BO627" s="167" t="str">
        <f>IF(ISBLANK(Inputs!$A110),"",
IF(BM627="--","Solved",
IF(ABS(BM627)&lt;=0.001,"Solved",BK627-BM627*(BK627-BG627)/(BM627-BI627))))</f>
        <v/>
      </c>
      <c r="BP627" s="167"/>
      <c r="BQ627" s="329" t="str">
        <f>IF(ISBLANK(Inputs!$A110),"",
IF(OR(BO627="Solved",BO627="--"),"--",
((Mat.Conc_Alpha.1*Mat.Conc_f.c*$AB627*MIN(BO627*Mat.Conc_Beta.1,$Y627))
+(Mat.Conc_Alpha.1*Mat.Conc_f.c*$V627*MAX(0,BO627*Mat.Conc_Beta.1-$Y627)))
-($J627*MIN(Mat.Rebar_f.y,(Mat.Rebar_epsilon.cl*($S627-BO627)/BO627)*Mat.PT_E.s))
-($M627*Mat.PT_f.pu*(1-Mat.PT_k*BO627/$P627))))</f>
        <v/>
      </c>
      <c r="BR627" s="329"/>
      <c r="BS627" s="70"/>
      <c r="BT627" s="70"/>
      <c r="BU627" s="70"/>
      <c r="BV627" s="70"/>
      <c r="BW627" s="8"/>
      <c r="BX627" s="8"/>
      <c r="BY627" s="8"/>
      <c r="BZ627" s="8"/>
      <c r="CA627" s="8"/>
      <c r="CB627" s="10"/>
    </row>
    <row r="628" spans="3:80" ht="15" customHeight="1" x14ac:dyDescent="0.25">
      <c r="C628" s="69"/>
      <c r="F628" s="167" t="str">
        <f>IF(ISBLANK(Inputs!A111),"",Inputs!A111)</f>
        <v/>
      </c>
      <c r="G628" s="167"/>
      <c r="H628" s="167" t="str">
        <f>IF(ISBLANK(Inputs!B111),"",Inputs!B111)</f>
        <v/>
      </c>
      <c r="I628" s="167"/>
      <c r="J628" s="168" t="str">
        <f>IF(ISBLANK(Inputs!K111),"",Inputs!K111)</f>
        <v/>
      </c>
      <c r="K628" s="168"/>
      <c r="L628" s="168"/>
      <c r="M628" s="168" t="str">
        <f>IF(ISBLANK(Inputs!D111),"",Inputs!D111)</f>
        <v/>
      </c>
      <c r="N628" s="168"/>
      <c r="O628" s="168"/>
      <c r="P628" s="168" t="str">
        <f>IF(ISBLANK(Inputs!F111),"",Inputs!$B$10-Inputs!F111)</f>
        <v/>
      </c>
      <c r="Q628" s="168"/>
      <c r="R628" s="168"/>
      <c r="S628" s="168" t="str">
        <f>IF(ISBLANK(Inputs!L111),"",Inputs!L111)</f>
        <v/>
      </c>
      <c r="T628" s="168"/>
      <c r="U628" s="168"/>
      <c r="V628" s="168" t="str">
        <f>IF(ISBLANK(Inputs!E111),"",Inputs!E111)</f>
        <v/>
      </c>
      <c r="W628" s="168"/>
      <c r="X628" s="168"/>
      <c r="Y628" s="168" t="str">
        <f>IF(ISBLANK(Inputs!M111),"",Inputs!M111)</f>
        <v/>
      </c>
      <c r="Z628" s="168"/>
      <c r="AA628" s="168"/>
      <c r="AB628" s="168" t="str">
        <f>IF(ISBLANK(Inputs!N111),"",Inputs!N111)</f>
        <v/>
      </c>
      <c r="AC628" s="168"/>
      <c r="AD628" s="168"/>
      <c r="AE628" s="371" t="str">
        <f>IF(ISBLANK(Inputs!A111),"",Y628)</f>
        <v/>
      </c>
      <c r="AF628" s="371"/>
      <c r="AG628" s="329" t="str">
        <f>IF(ISBLANK(Inputs!$A111),"",
IF(OR(AE628="Solved",AE628="--"),"--",
((Mat.Conc_Alpha.1*Mat.Conc_f.c*$AB628*MIN(AE628*Mat.Conc_Beta.1,$Y628))
+(Mat.Conc_Alpha.1*Mat.Conc_f.c*$V628*MAX(0,AE628*Mat.Conc_Beta.1-$Y628)))
-($J628*MIN(Mat.Rebar_f.y,(Mat.Rebar_epsilon.cl*($S628-AE628)/AE628)*Mat.PT_E.s))
-($M628*Mat.PT_f.pu*(1-Mat.PT_k*AE628/$P628))))</f>
        <v/>
      </c>
      <c r="AH628" s="329"/>
      <c r="AI628" s="167" t="str">
        <f>IF(ISBLANK(Inputs!$A111),"",
IF(ABS(AG628)&lt;=0.001,"Solved",IF(AG628&gt;0,0.85*AE628,1.15*AE628)))</f>
        <v/>
      </c>
      <c r="AJ628" s="167"/>
      <c r="AK628" s="329" t="str">
        <f>IF(ISBLANK(Inputs!$A111),"",
IF(OR(AI628="Solved",AI628="--"),"--",
((Mat.Conc_Alpha.1*Mat.Conc_f.c*$AB628*MIN(AI628*Mat.Conc_Beta.1,$Y628))
+(Mat.Conc_Alpha.1*Mat.Conc_f.c*$V628*MAX(0,AI628*Mat.Conc_Beta.1-$Y628)))
-($J628*MIN(Mat.Rebar_f.y,(Mat.Rebar_epsilon.cl*($S628-AI628)/AI628)*Mat.PT_E.s))
-($M628*Mat.PT_f.pu*(1-Mat.PT_k*AI628/$P628))))</f>
        <v/>
      </c>
      <c r="AL628" s="329"/>
      <c r="AM628" s="167" t="str">
        <f>IF(ISBLANK(Inputs!$A111),"",
IF(AK628="--","Solved",
IF(ABS(AK628)&lt;=0.001,"Solved",AI628-AK628*(AI628-AE628)/(AK628-AG628))))</f>
        <v/>
      </c>
      <c r="AN628" s="167"/>
      <c r="AO628" s="329" t="str">
        <f>IF(ISBLANK(Inputs!$A111),"",
IF(OR(AM628="Solved",AM628="--"),"--",
((Mat.Conc_Alpha.1*Mat.Conc_f.c*$AB628*MIN(AM628*Mat.Conc_Beta.1,$Y628))
+(Mat.Conc_Alpha.1*Mat.Conc_f.c*$V628*MAX(0,AM628*Mat.Conc_Beta.1-$Y628)))
-($J628*MIN(Mat.Rebar_f.y,(Mat.Rebar_epsilon.cl*($S628-AM628)/AM628)*Mat.PT_E.s))
-($M628*Mat.PT_f.pu*(1-Mat.PT_k*AM628/$P628))))</f>
        <v/>
      </c>
      <c r="AP628" s="329"/>
      <c r="AQ628" s="167" t="str">
        <f>IF(ISBLANK(Inputs!$A111),"",
IF(AO628="--","Solved",
IF(ABS(AO628)&lt;=0.001,"Solved",AM628-AO628*(AM628-AI628)/(AO628-AK628))))</f>
        <v/>
      </c>
      <c r="AR628" s="167"/>
      <c r="AS628" s="329" t="str">
        <f>IF(ISBLANK(Inputs!$A111),"",
IF(OR(AQ628="Solved",AQ628="--"),"--",
((Mat.Conc_Alpha.1*Mat.Conc_f.c*$AB628*MIN(AQ628*Mat.Conc_Beta.1,$Y628))
+(Mat.Conc_Alpha.1*Mat.Conc_f.c*$V628*MAX(0,AQ628*Mat.Conc_Beta.1-$Y628)))
-($J628*MIN(Mat.Rebar_f.y,(Mat.Rebar_epsilon.cl*($S628-AQ628)/AQ628)*Mat.PT_E.s))
-($M628*Mat.PT_f.pu*(1-Mat.PT_k*AQ628/$P628))))</f>
        <v/>
      </c>
      <c r="AT628" s="329"/>
      <c r="AU628" s="167" t="str">
        <f>IF(ISBLANK(Inputs!$A111),"",
IF(AS628="--","Solved",
IF(ABS(AS628)&lt;=0.001,"Solved",AQ628-AS628*(AQ628-AM628)/(AS628-AO628))))</f>
        <v/>
      </c>
      <c r="AV628" s="167"/>
      <c r="AW628" s="329" t="str">
        <f>IF(ISBLANK(Inputs!$A111),"",
IF(OR(AU628="Solved",AU628="--"),"--",
((Mat.Conc_Alpha.1*Mat.Conc_f.c*$AB628*MIN(AU628*Mat.Conc_Beta.1,$Y628))
+(Mat.Conc_Alpha.1*Mat.Conc_f.c*$V628*MAX(0,AU628*Mat.Conc_Beta.1-$Y628)))
-($J628*MIN(Mat.Rebar_f.y,(Mat.Rebar_epsilon.cl*($S628-AU628)/AU628)*Mat.PT_E.s))
-($M628*Mat.PT_f.pu*(1-Mat.PT_k*AU628/$P628))))</f>
        <v/>
      </c>
      <c r="AX628" s="329"/>
      <c r="AY628" s="167" t="str">
        <f>IF(ISBLANK(Inputs!$A111),"",
IF(AW628="--","Solved",
IF(ABS(AW628)&lt;=0.001,"Solved",AU628-AW628*(AU628-AQ628)/(AW628-AS628))))</f>
        <v/>
      </c>
      <c r="AZ628" s="167"/>
      <c r="BA628" s="329" t="str">
        <f>IF(ISBLANK(Inputs!$A111),"",
IF(OR(AY628="Solved",AY628="--"),"--",
((Mat.Conc_Alpha.1*Mat.Conc_f.c*$AB628*MIN(AY628*Mat.Conc_Beta.1,$Y628))
+(Mat.Conc_Alpha.1*Mat.Conc_f.c*$V628*MAX(0,AY628*Mat.Conc_Beta.1-$Y628)))
-($J628*MIN(Mat.Rebar_f.y,(Mat.Rebar_epsilon.cl*($S628-AY628)/AY628)*Mat.PT_E.s))
-($M628*Mat.PT_f.pu*(1-Mat.PT_k*AY628/$P628))))</f>
        <v/>
      </c>
      <c r="BB628" s="329"/>
      <c r="BC628" s="167" t="str">
        <f>IF(ISBLANK(Inputs!$A111),"",
IF(BA628="--","Solved",
IF(ABS(BA628)&lt;=0.001,"Solved",AY628-BA628*(AY628-AU628)/(BA628-AW628))))</f>
        <v/>
      </c>
      <c r="BD628" s="167"/>
      <c r="BE628" s="329" t="str">
        <f>IF(ISBLANK(Inputs!$A111),"",
IF(OR(BC628="Solved",BC628="--"),"--",
((Mat.Conc_Alpha.1*Mat.Conc_f.c*$AB628*MIN(BC628*Mat.Conc_Beta.1,$Y628))
+(Mat.Conc_Alpha.1*Mat.Conc_f.c*$V628*MAX(0,BC628*Mat.Conc_Beta.1-$Y628)))
-($J628*MIN(Mat.Rebar_f.y,(Mat.Rebar_epsilon.cl*($S628-BC628)/BC628)*Mat.PT_E.s))
-($M628*Mat.PT_f.pu*(1-Mat.PT_k*BC628/$P628))))</f>
        <v/>
      </c>
      <c r="BF628" s="329"/>
      <c r="BG628" s="167" t="str">
        <f>IF(ISBLANK(Inputs!$A111),"",
IF(BE628="--","Solved",
IF(ABS(BE628)&lt;=0.001,"Solved",BC628-BE628*(BC628-AY628)/(BE628-BA628))))</f>
        <v/>
      </c>
      <c r="BH628" s="167"/>
      <c r="BI628" s="329" t="str">
        <f>IF(ISBLANK(Inputs!$A111),"",
IF(OR(BG628="Solved",BG628="--"),"--",
((Mat.Conc_Alpha.1*Mat.Conc_f.c*$AB628*MIN(BG628*Mat.Conc_Beta.1,$Y628))
+(Mat.Conc_Alpha.1*Mat.Conc_f.c*$V628*MAX(0,BG628*Mat.Conc_Beta.1-$Y628)))
-($J628*MIN(Mat.Rebar_f.y,(Mat.Rebar_epsilon.cl*($S628-BG628)/BG628)*Mat.PT_E.s))
-($M628*Mat.PT_f.pu*(1-Mat.PT_k*BG628/$P628))))</f>
        <v/>
      </c>
      <c r="BJ628" s="329"/>
      <c r="BK628" s="167" t="str">
        <f>IF(ISBLANK(Inputs!$A111),"",
IF(BI628="--","Solved",
IF(ABS(BI628)&lt;=0.001,"Solved",BG628-BI628*(BG628-BC628)/(BI628-BE628))))</f>
        <v/>
      </c>
      <c r="BL628" s="167"/>
      <c r="BM628" s="329" t="str">
        <f>IF(ISBLANK(Inputs!$A111),"",
IF(OR(BK628="Solved",BK628="--"),"--",
((Mat.Conc_Alpha.1*Mat.Conc_f.c*$AB628*MIN(BK628*Mat.Conc_Beta.1,$Y628))
+(Mat.Conc_Alpha.1*Mat.Conc_f.c*$V628*MAX(0,BK628*Mat.Conc_Beta.1-$Y628)))
-($J628*MIN(Mat.Rebar_f.y,(Mat.Rebar_epsilon.cl*($S628-BK628)/BK628)*Mat.PT_E.s))
-($M628*Mat.PT_f.pu*(1-Mat.PT_k*BK628/$P628))))</f>
        <v/>
      </c>
      <c r="BN628" s="329"/>
      <c r="BO628" s="167" t="str">
        <f>IF(ISBLANK(Inputs!$A111),"",
IF(BM628="--","Solved",
IF(ABS(BM628)&lt;=0.001,"Solved",BK628-BM628*(BK628-BG628)/(BM628-BI628))))</f>
        <v/>
      </c>
      <c r="BP628" s="167"/>
      <c r="BQ628" s="329" t="str">
        <f>IF(ISBLANK(Inputs!$A111),"",
IF(OR(BO628="Solved",BO628="--"),"--",
((Mat.Conc_Alpha.1*Mat.Conc_f.c*$AB628*MIN(BO628*Mat.Conc_Beta.1,$Y628))
+(Mat.Conc_Alpha.1*Mat.Conc_f.c*$V628*MAX(0,BO628*Mat.Conc_Beta.1-$Y628)))
-($J628*MIN(Mat.Rebar_f.y,(Mat.Rebar_epsilon.cl*($S628-BO628)/BO628)*Mat.PT_E.s))
-($M628*Mat.PT_f.pu*(1-Mat.PT_k*BO628/$P628))))</f>
        <v/>
      </c>
      <c r="BR628" s="329"/>
      <c r="BS628" s="70"/>
      <c r="BT628" s="70"/>
      <c r="BU628" s="70"/>
      <c r="BV628" s="70"/>
      <c r="BW628" s="8"/>
      <c r="BX628" s="8"/>
      <c r="BY628" s="8"/>
      <c r="BZ628" s="8"/>
      <c r="CA628" s="8"/>
      <c r="CB628" s="10"/>
    </row>
    <row r="629" spans="3:80" ht="15" customHeight="1" x14ac:dyDescent="0.25">
      <c r="C629" s="69"/>
      <c r="F629" s="167" t="str">
        <f>IF(ISBLANK(Inputs!A112),"",Inputs!A112)</f>
        <v/>
      </c>
      <c r="G629" s="167"/>
      <c r="H629" s="167" t="str">
        <f>IF(ISBLANK(Inputs!B112),"",Inputs!B112)</f>
        <v/>
      </c>
      <c r="I629" s="167"/>
      <c r="J629" s="168" t="str">
        <f>IF(ISBLANK(Inputs!K112),"",Inputs!K112)</f>
        <v/>
      </c>
      <c r="K629" s="168"/>
      <c r="L629" s="168"/>
      <c r="M629" s="168" t="str">
        <f>IF(ISBLANK(Inputs!D112),"",Inputs!D112)</f>
        <v/>
      </c>
      <c r="N629" s="168"/>
      <c r="O629" s="168"/>
      <c r="P629" s="168" t="str">
        <f>IF(ISBLANK(Inputs!F112),"",Inputs!$B$10-Inputs!F112)</f>
        <v/>
      </c>
      <c r="Q629" s="168"/>
      <c r="R629" s="168"/>
      <c r="S629" s="168" t="str">
        <f>IF(ISBLANK(Inputs!L112),"",Inputs!L112)</f>
        <v/>
      </c>
      <c r="T629" s="168"/>
      <c r="U629" s="168"/>
      <c r="V629" s="168" t="str">
        <f>IF(ISBLANK(Inputs!E112),"",Inputs!E112)</f>
        <v/>
      </c>
      <c r="W629" s="168"/>
      <c r="X629" s="168"/>
      <c r="Y629" s="168" t="str">
        <f>IF(ISBLANK(Inputs!M112),"",Inputs!M112)</f>
        <v/>
      </c>
      <c r="Z629" s="168"/>
      <c r="AA629" s="168"/>
      <c r="AB629" s="168" t="str">
        <f>IF(ISBLANK(Inputs!N112),"",Inputs!N112)</f>
        <v/>
      </c>
      <c r="AC629" s="168"/>
      <c r="AD629" s="168"/>
      <c r="AE629" s="371" t="str">
        <f>IF(ISBLANK(Inputs!A112),"",Y629)</f>
        <v/>
      </c>
      <c r="AF629" s="371"/>
      <c r="AG629" s="329" t="str">
        <f>IF(ISBLANK(Inputs!$A112),"",
IF(OR(AE629="Solved",AE629="--"),"--",
((Mat.Conc_Alpha.1*Mat.Conc_f.c*$AB629*MIN(AE629*Mat.Conc_Beta.1,$Y629))
+(Mat.Conc_Alpha.1*Mat.Conc_f.c*$V629*MAX(0,AE629*Mat.Conc_Beta.1-$Y629)))
-($J629*MIN(Mat.Rebar_f.y,(Mat.Rebar_epsilon.cl*($S629-AE629)/AE629)*Mat.PT_E.s))
-($M629*Mat.PT_f.pu*(1-Mat.PT_k*AE629/$P629))))</f>
        <v/>
      </c>
      <c r="AH629" s="329"/>
      <c r="AI629" s="167" t="str">
        <f>IF(ISBLANK(Inputs!$A112),"",
IF(ABS(AG629)&lt;=0.001,"Solved",IF(AG629&gt;0,0.85*AE629,1.15*AE629)))</f>
        <v/>
      </c>
      <c r="AJ629" s="167"/>
      <c r="AK629" s="329" t="str">
        <f>IF(ISBLANK(Inputs!$A112),"",
IF(OR(AI629="Solved",AI629="--"),"--",
((Mat.Conc_Alpha.1*Mat.Conc_f.c*$AB629*MIN(AI629*Mat.Conc_Beta.1,$Y629))
+(Mat.Conc_Alpha.1*Mat.Conc_f.c*$V629*MAX(0,AI629*Mat.Conc_Beta.1-$Y629)))
-($J629*MIN(Mat.Rebar_f.y,(Mat.Rebar_epsilon.cl*($S629-AI629)/AI629)*Mat.PT_E.s))
-($M629*Mat.PT_f.pu*(1-Mat.PT_k*AI629/$P629))))</f>
        <v/>
      </c>
      <c r="AL629" s="329"/>
      <c r="AM629" s="167" t="str">
        <f>IF(ISBLANK(Inputs!$A112),"",
IF(AK629="--","Solved",
IF(ABS(AK629)&lt;=0.001,"Solved",AI629-AK629*(AI629-AE629)/(AK629-AG629))))</f>
        <v/>
      </c>
      <c r="AN629" s="167"/>
      <c r="AO629" s="329" t="str">
        <f>IF(ISBLANK(Inputs!$A112),"",
IF(OR(AM629="Solved",AM629="--"),"--",
((Mat.Conc_Alpha.1*Mat.Conc_f.c*$AB629*MIN(AM629*Mat.Conc_Beta.1,$Y629))
+(Mat.Conc_Alpha.1*Mat.Conc_f.c*$V629*MAX(0,AM629*Mat.Conc_Beta.1-$Y629)))
-($J629*MIN(Mat.Rebar_f.y,(Mat.Rebar_epsilon.cl*($S629-AM629)/AM629)*Mat.PT_E.s))
-($M629*Mat.PT_f.pu*(1-Mat.PT_k*AM629/$P629))))</f>
        <v/>
      </c>
      <c r="AP629" s="329"/>
      <c r="AQ629" s="167" t="str">
        <f>IF(ISBLANK(Inputs!$A112),"",
IF(AO629="--","Solved",
IF(ABS(AO629)&lt;=0.001,"Solved",AM629-AO629*(AM629-AI629)/(AO629-AK629))))</f>
        <v/>
      </c>
      <c r="AR629" s="167"/>
      <c r="AS629" s="329" t="str">
        <f>IF(ISBLANK(Inputs!$A112),"",
IF(OR(AQ629="Solved",AQ629="--"),"--",
((Mat.Conc_Alpha.1*Mat.Conc_f.c*$AB629*MIN(AQ629*Mat.Conc_Beta.1,$Y629))
+(Mat.Conc_Alpha.1*Mat.Conc_f.c*$V629*MAX(0,AQ629*Mat.Conc_Beta.1-$Y629)))
-($J629*MIN(Mat.Rebar_f.y,(Mat.Rebar_epsilon.cl*($S629-AQ629)/AQ629)*Mat.PT_E.s))
-($M629*Mat.PT_f.pu*(1-Mat.PT_k*AQ629/$P629))))</f>
        <v/>
      </c>
      <c r="AT629" s="329"/>
      <c r="AU629" s="167" t="str">
        <f>IF(ISBLANK(Inputs!$A112),"",
IF(AS629="--","Solved",
IF(ABS(AS629)&lt;=0.001,"Solved",AQ629-AS629*(AQ629-AM629)/(AS629-AO629))))</f>
        <v/>
      </c>
      <c r="AV629" s="167"/>
      <c r="AW629" s="329" t="str">
        <f>IF(ISBLANK(Inputs!$A112),"",
IF(OR(AU629="Solved",AU629="--"),"--",
((Mat.Conc_Alpha.1*Mat.Conc_f.c*$AB629*MIN(AU629*Mat.Conc_Beta.1,$Y629))
+(Mat.Conc_Alpha.1*Mat.Conc_f.c*$V629*MAX(0,AU629*Mat.Conc_Beta.1-$Y629)))
-($J629*MIN(Mat.Rebar_f.y,(Mat.Rebar_epsilon.cl*($S629-AU629)/AU629)*Mat.PT_E.s))
-($M629*Mat.PT_f.pu*(1-Mat.PT_k*AU629/$P629))))</f>
        <v/>
      </c>
      <c r="AX629" s="329"/>
      <c r="AY629" s="167" t="str">
        <f>IF(ISBLANK(Inputs!$A112),"",
IF(AW629="--","Solved",
IF(ABS(AW629)&lt;=0.001,"Solved",AU629-AW629*(AU629-AQ629)/(AW629-AS629))))</f>
        <v/>
      </c>
      <c r="AZ629" s="167"/>
      <c r="BA629" s="329" t="str">
        <f>IF(ISBLANK(Inputs!$A112),"",
IF(OR(AY629="Solved",AY629="--"),"--",
((Mat.Conc_Alpha.1*Mat.Conc_f.c*$AB629*MIN(AY629*Mat.Conc_Beta.1,$Y629))
+(Mat.Conc_Alpha.1*Mat.Conc_f.c*$V629*MAX(0,AY629*Mat.Conc_Beta.1-$Y629)))
-($J629*MIN(Mat.Rebar_f.y,(Mat.Rebar_epsilon.cl*($S629-AY629)/AY629)*Mat.PT_E.s))
-($M629*Mat.PT_f.pu*(1-Mat.PT_k*AY629/$P629))))</f>
        <v/>
      </c>
      <c r="BB629" s="329"/>
      <c r="BC629" s="167" t="str">
        <f>IF(ISBLANK(Inputs!$A112),"",
IF(BA629="--","Solved",
IF(ABS(BA629)&lt;=0.001,"Solved",AY629-BA629*(AY629-AU629)/(BA629-AW629))))</f>
        <v/>
      </c>
      <c r="BD629" s="167"/>
      <c r="BE629" s="329" t="str">
        <f>IF(ISBLANK(Inputs!$A112),"",
IF(OR(BC629="Solved",BC629="--"),"--",
((Mat.Conc_Alpha.1*Mat.Conc_f.c*$AB629*MIN(BC629*Mat.Conc_Beta.1,$Y629))
+(Mat.Conc_Alpha.1*Mat.Conc_f.c*$V629*MAX(0,BC629*Mat.Conc_Beta.1-$Y629)))
-($J629*MIN(Mat.Rebar_f.y,(Mat.Rebar_epsilon.cl*($S629-BC629)/BC629)*Mat.PT_E.s))
-($M629*Mat.PT_f.pu*(1-Mat.PT_k*BC629/$P629))))</f>
        <v/>
      </c>
      <c r="BF629" s="329"/>
      <c r="BG629" s="167" t="str">
        <f>IF(ISBLANK(Inputs!$A112),"",
IF(BE629="--","Solved",
IF(ABS(BE629)&lt;=0.001,"Solved",BC629-BE629*(BC629-AY629)/(BE629-BA629))))</f>
        <v/>
      </c>
      <c r="BH629" s="167"/>
      <c r="BI629" s="329" t="str">
        <f>IF(ISBLANK(Inputs!$A112),"",
IF(OR(BG629="Solved",BG629="--"),"--",
((Mat.Conc_Alpha.1*Mat.Conc_f.c*$AB629*MIN(BG629*Mat.Conc_Beta.1,$Y629))
+(Mat.Conc_Alpha.1*Mat.Conc_f.c*$V629*MAX(0,BG629*Mat.Conc_Beta.1-$Y629)))
-($J629*MIN(Mat.Rebar_f.y,(Mat.Rebar_epsilon.cl*($S629-BG629)/BG629)*Mat.PT_E.s))
-($M629*Mat.PT_f.pu*(1-Mat.PT_k*BG629/$P629))))</f>
        <v/>
      </c>
      <c r="BJ629" s="329"/>
      <c r="BK629" s="167" t="str">
        <f>IF(ISBLANK(Inputs!$A112),"",
IF(BI629="--","Solved",
IF(ABS(BI629)&lt;=0.001,"Solved",BG629-BI629*(BG629-BC629)/(BI629-BE629))))</f>
        <v/>
      </c>
      <c r="BL629" s="167"/>
      <c r="BM629" s="329" t="str">
        <f>IF(ISBLANK(Inputs!$A112),"",
IF(OR(BK629="Solved",BK629="--"),"--",
((Mat.Conc_Alpha.1*Mat.Conc_f.c*$AB629*MIN(BK629*Mat.Conc_Beta.1,$Y629))
+(Mat.Conc_Alpha.1*Mat.Conc_f.c*$V629*MAX(0,BK629*Mat.Conc_Beta.1-$Y629)))
-($J629*MIN(Mat.Rebar_f.y,(Mat.Rebar_epsilon.cl*($S629-BK629)/BK629)*Mat.PT_E.s))
-($M629*Mat.PT_f.pu*(1-Mat.PT_k*BK629/$P629))))</f>
        <v/>
      </c>
      <c r="BN629" s="329"/>
      <c r="BO629" s="167" t="str">
        <f>IF(ISBLANK(Inputs!$A112),"",
IF(BM629="--","Solved",
IF(ABS(BM629)&lt;=0.001,"Solved",BK629-BM629*(BK629-BG629)/(BM629-BI629))))</f>
        <v/>
      </c>
      <c r="BP629" s="167"/>
      <c r="BQ629" s="329" t="str">
        <f>IF(ISBLANK(Inputs!$A112),"",
IF(OR(BO629="Solved",BO629="--"),"--",
((Mat.Conc_Alpha.1*Mat.Conc_f.c*$AB629*MIN(BO629*Mat.Conc_Beta.1,$Y629))
+(Mat.Conc_Alpha.1*Mat.Conc_f.c*$V629*MAX(0,BO629*Mat.Conc_Beta.1-$Y629)))
-($J629*MIN(Mat.Rebar_f.y,(Mat.Rebar_epsilon.cl*($S629-BO629)/BO629)*Mat.PT_E.s))
-($M629*Mat.PT_f.pu*(1-Mat.PT_k*BO629/$P629))))</f>
        <v/>
      </c>
      <c r="BR629" s="329"/>
      <c r="BS629" s="70"/>
      <c r="BT629" s="70"/>
      <c r="BU629" s="70"/>
      <c r="BV629" s="70"/>
      <c r="BW629" s="8"/>
      <c r="BX629" s="8"/>
      <c r="BY629" s="8"/>
      <c r="BZ629" s="8"/>
      <c r="CA629" s="8"/>
      <c r="CB629" s="10"/>
    </row>
    <row r="630" spans="3:80" ht="15" customHeight="1" x14ac:dyDescent="0.25">
      <c r="C630" s="69"/>
      <c r="F630" s="167" t="str">
        <f>IF(ISBLANK(Inputs!A113),"",Inputs!A113)</f>
        <v/>
      </c>
      <c r="G630" s="167"/>
      <c r="H630" s="167" t="str">
        <f>IF(ISBLANK(Inputs!B113),"",Inputs!B113)</f>
        <v/>
      </c>
      <c r="I630" s="167"/>
      <c r="J630" s="168" t="str">
        <f>IF(ISBLANK(Inputs!K113),"",Inputs!K113)</f>
        <v/>
      </c>
      <c r="K630" s="168"/>
      <c r="L630" s="168"/>
      <c r="M630" s="168" t="str">
        <f>IF(ISBLANK(Inputs!D113),"",Inputs!D113)</f>
        <v/>
      </c>
      <c r="N630" s="168"/>
      <c r="O630" s="168"/>
      <c r="P630" s="168" t="str">
        <f>IF(ISBLANK(Inputs!F113),"",Inputs!$B$10-Inputs!F113)</f>
        <v/>
      </c>
      <c r="Q630" s="168"/>
      <c r="R630" s="168"/>
      <c r="S630" s="168" t="str">
        <f>IF(ISBLANK(Inputs!L113),"",Inputs!L113)</f>
        <v/>
      </c>
      <c r="T630" s="168"/>
      <c r="U630" s="168"/>
      <c r="V630" s="168" t="str">
        <f>IF(ISBLANK(Inputs!E113),"",Inputs!E113)</f>
        <v/>
      </c>
      <c r="W630" s="168"/>
      <c r="X630" s="168"/>
      <c r="Y630" s="168" t="str">
        <f>IF(ISBLANK(Inputs!M113),"",Inputs!M113)</f>
        <v/>
      </c>
      <c r="Z630" s="168"/>
      <c r="AA630" s="168"/>
      <c r="AB630" s="168" t="str">
        <f>IF(ISBLANK(Inputs!N113),"",Inputs!N113)</f>
        <v/>
      </c>
      <c r="AC630" s="168"/>
      <c r="AD630" s="168"/>
      <c r="AE630" s="371" t="str">
        <f>IF(ISBLANK(Inputs!A113),"",Y630)</f>
        <v/>
      </c>
      <c r="AF630" s="371"/>
      <c r="AG630" s="329" t="str">
        <f>IF(ISBLANK(Inputs!$A113),"",
IF(OR(AE630="Solved",AE630="--"),"--",
((Mat.Conc_Alpha.1*Mat.Conc_f.c*$AB630*MIN(AE630*Mat.Conc_Beta.1,$Y630))
+(Mat.Conc_Alpha.1*Mat.Conc_f.c*$V630*MAX(0,AE630*Mat.Conc_Beta.1-$Y630)))
-($J630*MIN(Mat.Rebar_f.y,(Mat.Rebar_epsilon.cl*($S630-AE630)/AE630)*Mat.PT_E.s))
-($M630*Mat.PT_f.pu*(1-Mat.PT_k*AE630/$P630))))</f>
        <v/>
      </c>
      <c r="AH630" s="329"/>
      <c r="AI630" s="167" t="str">
        <f>IF(ISBLANK(Inputs!$A113),"",
IF(ABS(AG630)&lt;=0.001,"Solved",IF(AG630&gt;0,0.85*AE630,1.15*AE630)))</f>
        <v/>
      </c>
      <c r="AJ630" s="167"/>
      <c r="AK630" s="329" t="str">
        <f>IF(ISBLANK(Inputs!$A113),"",
IF(OR(AI630="Solved",AI630="--"),"--",
((Mat.Conc_Alpha.1*Mat.Conc_f.c*$AB630*MIN(AI630*Mat.Conc_Beta.1,$Y630))
+(Mat.Conc_Alpha.1*Mat.Conc_f.c*$V630*MAX(0,AI630*Mat.Conc_Beta.1-$Y630)))
-($J630*MIN(Mat.Rebar_f.y,(Mat.Rebar_epsilon.cl*($S630-AI630)/AI630)*Mat.PT_E.s))
-($M630*Mat.PT_f.pu*(1-Mat.PT_k*AI630/$P630))))</f>
        <v/>
      </c>
      <c r="AL630" s="329"/>
      <c r="AM630" s="167" t="str">
        <f>IF(ISBLANK(Inputs!$A113),"",
IF(AK630="--","Solved",
IF(ABS(AK630)&lt;=0.001,"Solved",AI630-AK630*(AI630-AE630)/(AK630-AG630))))</f>
        <v/>
      </c>
      <c r="AN630" s="167"/>
      <c r="AO630" s="329" t="str">
        <f>IF(ISBLANK(Inputs!$A113),"",
IF(OR(AM630="Solved",AM630="--"),"--",
((Mat.Conc_Alpha.1*Mat.Conc_f.c*$AB630*MIN(AM630*Mat.Conc_Beta.1,$Y630))
+(Mat.Conc_Alpha.1*Mat.Conc_f.c*$V630*MAX(0,AM630*Mat.Conc_Beta.1-$Y630)))
-($J630*MIN(Mat.Rebar_f.y,(Mat.Rebar_epsilon.cl*($S630-AM630)/AM630)*Mat.PT_E.s))
-($M630*Mat.PT_f.pu*(1-Mat.PT_k*AM630/$P630))))</f>
        <v/>
      </c>
      <c r="AP630" s="329"/>
      <c r="AQ630" s="167" t="str">
        <f>IF(ISBLANK(Inputs!$A113),"",
IF(AO630="--","Solved",
IF(ABS(AO630)&lt;=0.001,"Solved",AM630-AO630*(AM630-AI630)/(AO630-AK630))))</f>
        <v/>
      </c>
      <c r="AR630" s="167"/>
      <c r="AS630" s="329" t="str">
        <f>IF(ISBLANK(Inputs!$A113),"",
IF(OR(AQ630="Solved",AQ630="--"),"--",
((Mat.Conc_Alpha.1*Mat.Conc_f.c*$AB630*MIN(AQ630*Mat.Conc_Beta.1,$Y630))
+(Mat.Conc_Alpha.1*Mat.Conc_f.c*$V630*MAX(0,AQ630*Mat.Conc_Beta.1-$Y630)))
-($J630*MIN(Mat.Rebar_f.y,(Mat.Rebar_epsilon.cl*($S630-AQ630)/AQ630)*Mat.PT_E.s))
-($M630*Mat.PT_f.pu*(1-Mat.PT_k*AQ630/$P630))))</f>
        <v/>
      </c>
      <c r="AT630" s="329"/>
      <c r="AU630" s="167" t="str">
        <f>IF(ISBLANK(Inputs!$A113),"",
IF(AS630="--","Solved",
IF(ABS(AS630)&lt;=0.001,"Solved",AQ630-AS630*(AQ630-AM630)/(AS630-AO630))))</f>
        <v/>
      </c>
      <c r="AV630" s="167"/>
      <c r="AW630" s="329" t="str">
        <f>IF(ISBLANK(Inputs!$A113),"",
IF(OR(AU630="Solved",AU630="--"),"--",
((Mat.Conc_Alpha.1*Mat.Conc_f.c*$AB630*MIN(AU630*Mat.Conc_Beta.1,$Y630))
+(Mat.Conc_Alpha.1*Mat.Conc_f.c*$V630*MAX(0,AU630*Mat.Conc_Beta.1-$Y630)))
-($J630*MIN(Mat.Rebar_f.y,(Mat.Rebar_epsilon.cl*($S630-AU630)/AU630)*Mat.PT_E.s))
-($M630*Mat.PT_f.pu*(1-Mat.PT_k*AU630/$P630))))</f>
        <v/>
      </c>
      <c r="AX630" s="329"/>
      <c r="AY630" s="167" t="str">
        <f>IF(ISBLANK(Inputs!$A113),"",
IF(AW630="--","Solved",
IF(ABS(AW630)&lt;=0.001,"Solved",AU630-AW630*(AU630-AQ630)/(AW630-AS630))))</f>
        <v/>
      </c>
      <c r="AZ630" s="167"/>
      <c r="BA630" s="329" t="str">
        <f>IF(ISBLANK(Inputs!$A113),"",
IF(OR(AY630="Solved",AY630="--"),"--",
((Mat.Conc_Alpha.1*Mat.Conc_f.c*$AB630*MIN(AY630*Mat.Conc_Beta.1,$Y630))
+(Mat.Conc_Alpha.1*Mat.Conc_f.c*$V630*MAX(0,AY630*Mat.Conc_Beta.1-$Y630)))
-($J630*MIN(Mat.Rebar_f.y,(Mat.Rebar_epsilon.cl*($S630-AY630)/AY630)*Mat.PT_E.s))
-($M630*Mat.PT_f.pu*(1-Mat.PT_k*AY630/$P630))))</f>
        <v/>
      </c>
      <c r="BB630" s="329"/>
      <c r="BC630" s="167" t="str">
        <f>IF(ISBLANK(Inputs!$A113),"",
IF(BA630="--","Solved",
IF(ABS(BA630)&lt;=0.001,"Solved",AY630-BA630*(AY630-AU630)/(BA630-AW630))))</f>
        <v/>
      </c>
      <c r="BD630" s="167"/>
      <c r="BE630" s="329" t="str">
        <f>IF(ISBLANK(Inputs!$A113),"",
IF(OR(BC630="Solved",BC630="--"),"--",
((Mat.Conc_Alpha.1*Mat.Conc_f.c*$AB630*MIN(BC630*Mat.Conc_Beta.1,$Y630))
+(Mat.Conc_Alpha.1*Mat.Conc_f.c*$V630*MAX(0,BC630*Mat.Conc_Beta.1-$Y630)))
-($J630*MIN(Mat.Rebar_f.y,(Mat.Rebar_epsilon.cl*($S630-BC630)/BC630)*Mat.PT_E.s))
-($M630*Mat.PT_f.pu*(1-Mat.PT_k*BC630/$P630))))</f>
        <v/>
      </c>
      <c r="BF630" s="329"/>
      <c r="BG630" s="167" t="str">
        <f>IF(ISBLANK(Inputs!$A113),"",
IF(BE630="--","Solved",
IF(ABS(BE630)&lt;=0.001,"Solved",BC630-BE630*(BC630-AY630)/(BE630-BA630))))</f>
        <v/>
      </c>
      <c r="BH630" s="167"/>
      <c r="BI630" s="329" t="str">
        <f>IF(ISBLANK(Inputs!$A113),"",
IF(OR(BG630="Solved",BG630="--"),"--",
((Mat.Conc_Alpha.1*Mat.Conc_f.c*$AB630*MIN(BG630*Mat.Conc_Beta.1,$Y630))
+(Mat.Conc_Alpha.1*Mat.Conc_f.c*$V630*MAX(0,BG630*Mat.Conc_Beta.1-$Y630)))
-($J630*MIN(Mat.Rebar_f.y,(Mat.Rebar_epsilon.cl*($S630-BG630)/BG630)*Mat.PT_E.s))
-($M630*Mat.PT_f.pu*(1-Mat.PT_k*BG630/$P630))))</f>
        <v/>
      </c>
      <c r="BJ630" s="329"/>
      <c r="BK630" s="167" t="str">
        <f>IF(ISBLANK(Inputs!$A113),"",
IF(BI630="--","Solved",
IF(ABS(BI630)&lt;=0.001,"Solved",BG630-BI630*(BG630-BC630)/(BI630-BE630))))</f>
        <v/>
      </c>
      <c r="BL630" s="167"/>
      <c r="BM630" s="329" t="str">
        <f>IF(ISBLANK(Inputs!$A113),"",
IF(OR(BK630="Solved",BK630="--"),"--",
((Mat.Conc_Alpha.1*Mat.Conc_f.c*$AB630*MIN(BK630*Mat.Conc_Beta.1,$Y630))
+(Mat.Conc_Alpha.1*Mat.Conc_f.c*$V630*MAX(0,BK630*Mat.Conc_Beta.1-$Y630)))
-($J630*MIN(Mat.Rebar_f.y,(Mat.Rebar_epsilon.cl*($S630-BK630)/BK630)*Mat.PT_E.s))
-($M630*Mat.PT_f.pu*(1-Mat.PT_k*BK630/$P630))))</f>
        <v/>
      </c>
      <c r="BN630" s="329"/>
      <c r="BO630" s="167" t="str">
        <f>IF(ISBLANK(Inputs!$A113),"",
IF(BM630="--","Solved",
IF(ABS(BM630)&lt;=0.001,"Solved",BK630-BM630*(BK630-BG630)/(BM630-BI630))))</f>
        <v/>
      </c>
      <c r="BP630" s="167"/>
      <c r="BQ630" s="329" t="str">
        <f>IF(ISBLANK(Inputs!$A113),"",
IF(OR(BO630="Solved",BO630="--"),"--",
((Mat.Conc_Alpha.1*Mat.Conc_f.c*$AB630*MIN(BO630*Mat.Conc_Beta.1,$Y630))
+(Mat.Conc_Alpha.1*Mat.Conc_f.c*$V630*MAX(0,BO630*Mat.Conc_Beta.1-$Y630)))
-($J630*MIN(Mat.Rebar_f.y,(Mat.Rebar_epsilon.cl*($S630-BO630)/BO630)*Mat.PT_E.s))
-($M630*Mat.PT_f.pu*(1-Mat.PT_k*BO630/$P630))))</f>
        <v/>
      </c>
      <c r="BR630" s="329"/>
      <c r="BS630" s="70"/>
      <c r="BT630" s="70"/>
      <c r="BU630" s="70"/>
      <c r="BV630" s="70"/>
      <c r="BW630" s="8"/>
      <c r="BX630" s="8"/>
      <c r="BY630" s="8"/>
      <c r="BZ630" s="8"/>
      <c r="CA630" s="8"/>
      <c r="CB630" s="10"/>
    </row>
    <row r="631" spans="3:80" ht="15" customHeight="1" x14ac:dyDescent="0.25">
      <c r="C631" s="69"/>
      <c r="F631" s="167" t="str">
        <f>IF(ISBLANK(Inputs!A114),"",Inputs!A114)</f>
        <v/>
      </c>
      <c r="G631" s="167"/>
      <c r="H631" s="167" t="str">
        <f>IF(ISBLANK(Inputs!B114),"",Inputs!B114)</f>
        <v/>
      </c>
      <c r="I631" s="167"/>
      <c r="J631" s="168" t="str">
        <f>IF(ISBLANK(Inputs!K114),"",Inputs!K114)</f>
        <v/>
      </c>
      <c r="K631" s="168"/>
      <c r="L631" s="168"/>
      <c r="M631" s="168" t="str">
        <f>IF(ISBLANK(Inputs!D114),"",Inputs!D114)</f>
        <v/>
      </c>
      <c r="N631" s="168"/>
      <c r="O631" s="168"/>
      <c r="P631" s="168" t="str">
        <f>IF(ISBLANK(Inputs!F114),"",Inputs!$B$10-Inputs!F114)</f>
        <v/>
      </c>
      <c r="Q631" s="168"/>
      <c r="R631" s="168"/>
      <c r="S631" s="168" t="str">
        <f>IF(ISBLANK(Inputs!L114),"",Inputs!L114)</f>
        <v/>
      </c>
      <c r="T631" s="168"/>
      <c r="U631" s="168"/>
      <c r="V631" s="168" t="str">
        <f>IF(ISBLANK(Inputs!E114),"",Inputs!E114)</f>
        <v/>
      </c>
      <c r="W631" s="168"/>
      <c r="X631" s="168"/>
      <c r="Y631" s="168" t="str">
        <f>IF(ISBLANK(Inputs!M114),"",Inputs!M114)</f>
        <v/>
      </c>
      <c r="Z631" s="168"/>
      <c r="AA631" s="168"/>
      <c r="AB631" s="168" t="str">
        <f>IF(ISBLANK(Inputs!N114),"",Inputs!N114)</f>
        <v/>
      </c>
      <c r="AC631" s="168"/>
      <c r="AD631" s="168"/>
      <c r="AE631" s="371" t="str">
        <f>IF(ISBLANK(Inputs!A114),"",Y631)</f>
        <v/>
      </c>
      <c r="AF631" s="371"/>
      <c r="AG631" s="329" t="str">
        <f>IF(ISBLANK(Inputs!$A114),"",
IF(OR(AE631="Solved",AE631="--"),"--",
((Mat.Conc_Alpha.1*Mat.Conc_f.c*$AB631*MIN(AE631*Mat.Conc_Beta.1,$Y631))
+(Mat.Conc_Alpha.1*Mat.Conc_f.c*$V631*MAX(0,AE631*Mat.Conc_Beta.1-$Y631)))
-($J631*MIN(Mat.Rebar_f.y,(Mat.Rebar_epsilon.cl*($S631-AE631)/AE631)*Mat.PT_E.s))
-($M631*Mat.PT_f.pu*(1-Mat.PT_k*AE631/$P631))))</f>
        <v/>
      </c>
      <c r="AH631" s="329"/>
      <c r="AI631" s="167" t="str">
        <f>IF(ISBLANK(Inputs!$A114),"",
IF(ABS(AG631)&lt;=0.001,"Solved",IF(AG631&gt;0,0.85*AE631,1.15*AE631)))</f>
        <v/>
      </c>
      <c r="AJ631" s="167"/>
      <c r="AK631" s="329" t="str">
        <f>IF(ISBLANK(Inputs!$A114),"",
IF(OR(AI631="Solved",AI631="--"),"--",
((Mat.Conc_Alpha.1*Mat.Conc_f.c*$AB631*MIN(AI631*Mat.Conc_Beta.1,$Y631))
+(Mat.Conc_Alpha.1*Mat.Conc_f.c*$V631*MAX(0,AI631*Mat.Conc_Beta.1-$Y631)))
-($J631*MIN(Mat.Rebar_f.y,(Mat.Rebar_epsilon.cl*($S631-AI631)/AI631)*Mat.PT_E.s))
-($M631*Mat.PT_f.pu*(1-Mat.PT_k*AI631/$P631))))</f>
        <v/>
      </c>
      <c r="AL631" s="329"/>
      <c r="AM631" s="167" t="str">
        <f>IF(ISBLANK(Inputs!$A114),"",
IF(AK631="--","Solved",
IF(ABS(AK631)&lt;=0.001,"Solved",AI631-AK631*(AI631-AE631)/(AK631-AG631))))</f>
        <v/>
      </c>
      <c r="AN631" s="167"/>
      <c r="AO631" s="329" t="str">
        <f>IF(ISBLANK(Inputs!$A114),"",
IF(OR(AM631="Solved",AM631="--"),"--",
((Mat.Conc_Alpha.1*Mat.Conc_f.c*$AB631*MIN(AM631*Mat.Conc_Beta.1,$Y631))
+(Mat.Conc_Alpha.1*Mat.Conc_f.c*$V631*MAX(0,AM631*Mat.Conc_Beta.1-$Y631)))
-($J631*MIN(Mat.Rebar_f.y,(Mat.Rebar_epsilon.cl*($S631-AM631)/AM631)*Mat.PT_E.s))
-($M631*Mat.PT_f.pu*(1-Mat.PT_k*AM631/$P631))))</f>
        <v/>
      </c>
      <c r="AP631" s="329"/>
      <c r="AQ631" s="167" t="str">
        <f>IF(ISBLANK(Inputs!$A114),"",
IF(AO631="--","Solved",
IF(ABS(AO631)&lt;=0.001,"Solved",AM631-AO631*(AM631-AI631)/(AO631-AK631))))</f>
        <v/>
      </c>
      <c r="AR631" s="167"/>
      <c r="AS631" s="329" t="str">
        <f>IF(ISBLANK(Inputs!$A114),"",
IF(OR(AQ631="Solved",AQ631="--"),"--",
((Mat.Conc_Alpha.1*Mat.Conc_f.c*$AB631*MIN(AQ631*Mat.Conc_Beta.1,$Y631))
+(Mat.Conc_Alpha.1*Mat.Conc_f.c*$V631*MAX(0,AQ631*Mat.Conc_Beta.1-$Y631)))
-($J631*MIN(Mat.Rebar_f.y,(Mat.Rebar_epsilon.cl*($S631-AQ631)/AQ631)*Mat.PT_E.s))
-($M631*Mat.PT_f.pu*(1-Mat.PT_k*AQ631/$P631))))</f>
        <v/>
      </c>
      <c r="AT631" s="329"/>
      <c r="AU631" s="167" t="str">
        <f>IF(ISBLANK(Inputs!$A114),"",
IF(AS631="--","Solved",
IF(ABS(AS631)&lt;=0.001,"Solved",AQ631-AS631*(AQ631-AM631)/(AS631-AO631))))</f>
        <v/>
      </c>
      <c r="AV631" s="167"/>
      <c r="AW631" s="329" t="str">
        <f>IF(ISBLANK(Inputs!$A114),"",
IF(OR(AU631="Solved",AU631="--"),"--",
((Mat.Conc_Alpha.1*Mat.Conc_f.c*$AB631*MIN(AU631*Mat.Conc_Beta.1,$Y631))
+(Mat.Conc_Alpha.1*Mat.Conc_f.c*$V631*MAX(0,AU631*Mat.Conc_Beta.1-$Y631)))
-($J631*MIN(Mat.Rebar_f.y,(Mat.Rebar_epsilon.cl*($S631-AU631)/AU631)*Mat.PT_E.s))
-($M631*Mat.PT_f.pu*(1-Mat.PT_k*AU631/$P631))))</f>
        <v/>
      </c>
      <c r="AX631" s="329"/>
      <c r="AY631" s="167" t="str">
        <f>IF(ISBLANK(Inputs!$A114),"",
IF(AW631="--","Solved",
IF(ABS(AW631)&lt;=0.001,"Solved",AU631-AW631*(AU631-AQ631)/(AW631-AS631))))</f>
        <v/>
      </c>
      <c r="AZ631" s="167"/>
      <c r="BA631" s="329" t="str">
        <f>IF(ISBLANK(Inputs!$A114),"",
IF(OR(AY631="Solved",AY631="--"),"--",
((Mat.Conc_Alpha.1*Mat.Conc_f.c*$AB631*MIN(AY631*Mat.Conc_Beta.1,$Y631))
+(Mat.Conc_Alpha.1*Mat.Conc_f.c*$V631*MAX(0,AY631*Mat.Conc_Beta.1-$Y631)))
-($J631*MIN(Mat.Rebar_f.y,(Mat.Rebar_epsilon.cl*($S631-AY631)/AY631)*Mat.PT_E.s))
-($M631*Mat.PT_f.pu*(1-Mat.PT_k*AY631/$P631))))</f>
        <v/>
      </c>
      <c r="BB631" s="329"/>
      <c r="BC631" s="167" t="str">
        <f>IF(ISBLANK(Inputs!$A114),"",
IF(BA631="--","Solved",
IF(ABS(BA631)&lt;=0.001,"Solved",AY631-BA631*(AY631-AU631)/(BA631-AW631))))</f>
        <v/>
      </c>
      <c r="BD631" s="167"/>
      <c r="BE631" s="329" t="str">
        <f>IF(ISBLANK(Inputs!$A114),"",
IF(OR(BC631="Solved",BC631="--"),"--",
((Mat.Conc_Alpha.1*Mat.Conc_f.c*$AB631*MIN(BC631*Mat.Conc_Beta.1,$Y631))
+(Mat.Conc_Alpha.1*Mat.Conc_f.c*$V631*MAX(0,BC631*Mat.Conc_Beta.1-$Y631)))
-($J631*MIN(Mat.Rebar_f.y,(Mat.Rebar_epsilon.cl*($S631-BC631)/BC631)*Mat.PT_E.s))
-($M631*Mat.PT_f.pu*(1-Mat.PT_k*BC631/$P631))))</f>
        <v/>
      </c>
      <c r="BF631" s="329"/>
      <c r="BG631" s="167" t="str">
        <f>IF(ISBLANK(Inputs!$A114),"",
IF(BE631="--","Solved",
IF(ABS(BE631)&lt;=0.001,"Solved",BC631-BE631*(BC631-AY631)/(BE631-BA631))))</f>
        <v/>
      </c>
      <c r="BH631" s="167"/>
      <c r="BI631" s="329" t="str">
        <f>IF(ISBLANK(Inputs!$A114),"",
IF(OR(BG631="Solved",BG631="--"),"--",
((Mat.Conc_Alpha.1*Mat.Conc_f.c*$AB631*MIN(BG631*Mat.Conc_Beta.1,$Y631))
+(Mat.Conc_Alpha.1*Mat.Conc_f.c*$V631*MAX(0,BG631*Mat.Conc_Beta.1-$Y631)))
-($J631*MIN(Mat.Rebar_f.y,(Mat.Rebar_epsilon.cl*($S631-BG631)/BG631)*Mat.PT_E.s))
-($M631*Mat.PT_f.pu*(1-Mat.PT_k*BG631/$P631))))</f>
        <v/>
      </c>
      <c r="BJ631" s="329"/>
      <c r="BK631" s="167" t="str">
        <f>IF(ISBLANK(Inputs!$A114),"",
IF(BI631="--","Solved",
IF(ABS(BI631)&lt;=0.001,"Solved",BG631-BI631*(BG631-BC631)/(BI631-BE631))))</f>
        <v/>
      </c>
      <c r="BL631" s="167"/>
      <c r="BM631" s="329" t="str">
        <f>IF(ISBLANK(Inputs!$A114),"",
IF(OR(BK631="Solved",BK631="--"),"--",
((Mat.Conc_Alpha.1*Mat.Conc_f.c*$AB631*MIN(BK631*Mat.Conc_Beta.1,$Y631))
+(Mat.Conc_Alpha.1*Mat.Conc_f.c*$V631*MAX(0,BK631*Mat.Conc_Beta.1-$Y631)))
-($J631*MIN(Mat.Rebar_f.y,(Mat.Rebar_epsilon.cl*($S631-BK631)/BK631)*Mat.PT_E.s))
-($M631*Mat.PT_f.pu*(1-Mat.PT_k*BK631/$P631))))</f>
        <v/>
      </c>
      <c r="BN631" s="329"/>
      <c r="BO631" s="167" t="str">
        <f>IF(ISBLANK(Inputs!$A114),"",
IF(BM631="--","Solved",
IF(ABS(BM631)&lt;=0.001,"Solved",BK631-BM631*(BK631-BG631)/(BM631-BI631))))</f>
        <v/>
      </c>
      <c r="BP631" s="167"/>
      <c r="BQ631" s="329" t="str">
        <f>IF(ISBLANK(Inputs!$A114),"",
IF(OR(BO631="Solved",BO631="--"),"--",
((Mat.Conc_Alpha.1*Mat.Conc_f.c*$AB631*MIN(BO631*Mat.Conc_Beta.1,$Y631))
+(Mat.Conc_Alpha.1*Mat.Conc_f.c*$V631*MAX(0,BO631*Mat.Conc_Beta.1-$Y631)))
-($J631*MIN(Mat.Rebar_f.y,(Mat.Rebar_epsilon.cl*($S631-BO631)/BO631)*Mat.PT_E.s))
-($M631*Mat.PT_f.pu*(1-Mat.PT_k*BO631/$P631))))</f>
        <v/>
      </c>
      <c r="BR631" s="329"/>
      <c r="BS631" s="70"/>
      <c r="BT631" s="70"/>
      <c r="BU631" s="70"/>
      <c r="BV631" s="70"/>
      <c r="BW631" s="8"/>
      <c r="BX631" s="8"/>
      <c r="BY631" s="8"/>
      <c r="BZ631" s="8"/>
      <c r="CA631" s="8"/>
      <c r="CB631" s="10"/>
    </row>
    <row r="632" spans="3:80" ht="15" customHeight="1" x14ac:dyDescent="0.25">
      <c r="C632" s="69"/>
      <c r="F632" s="167" t="str">
        <f>IF(ISBLANK(Inputs!A115),"",Inputs!A115)</f>
        <v/>
      </c>
      <c r="G632" s="167"/>
      <c r="H632" s="167" t="str">
        <f>IF(ISBLANK(Inputs!B115),"",Inputs!B115)</f>
        <v/>
      </c>
      <c r="I632" s="167"/>
      <c r="J632" s="168" t="str">
        <f>IF(ISBLANK(Inputs!K115),"",Inputs!K115)</f>
        <v/>
      </c>
      <c r="K632" s="168"/>
      <c r="L632" s="168"/>
      <c r="M632" s="168" t="str">
        <f>IF(ISBLANK(Inputs!D115),"",Inputs!D115)</f>
        <v/>
      </c>
      <c r="N632" s="168"/>
      <c r="O632" s="168"/>
      <c r="P632" s="168" t="str">
        <f>IF(ISBLANK(Inputs!F115),"",Inputs!$B$10-Inputs!F115)</f>
        <v/>
      </c>
      <c r="Q632" s="168"/>
      <c r="R632" s="168"/>
      <c r="S632" s="168" t="str">
        <f>IF(ISBLANK(Inputs!L115),"",Inputs!L115)</f>
        <v/>
      </c>
      <c r="T632" s="168"/>
      <c r="U632" s="168"/>
      <c r="V632" s="168" t="str">
        <f>IF(ISBLANK(Inputs!E115),"",Inputs!E115)</f>
        <v/>
      </c>
      <c r="W632" s="168"/>
      <c r="X632" s="168"/>
      <c r="Y632" s="168" t="str">
        <f>IF(ISBLANK(Inputs!M115),"",Inputs!M115)</f>
        <v/>
      </c>
      <c r="Z632" s="168"/>
      <c r="AA632" s="168"/>
      <c r="AB632" s="168" t="str">
        <f>IF(ISBLANK(Inputs!N115),"",Inputs!N115)</f>
        <v/>
      </c>
      <c r="AC632" s="168"/>
      <c r="AD632" s="168"/>
      <c r="AE632" s="371" t="str">
        <f>IF(ISBLANK(Inputs!A115),"",Y632)</f>
        <v/>
      </c>
      <c r="AF632" s="371"/>
      <c r="AG632" s="329" t="str">
        <f>IF(ISBLANK(Inputs!$A115),"",
IF(OR(AE632="Solved",AE632="--"),"--",
((Mat.Conc_Alpha.1*Mat.Conc_f.c*$AB632*MIN(AE632*Mat.Conc_Beta.1,$Y632))
+(Mat.Conc_Alpha.1*Mat.Conc_f.c*$V632*MAX(0,AE632*Mat.Conc_Beta.1-$Y632)))
-($J632*MIN(Mat.Rebar_f.y,(Mat.Rebar_epsilon.cl*($S632-AE632)/AE632)*Mat.PT_E.s))
-($M632*Mat.PT_f.pu*(1-Mat.PT_k*AE632/$P632))))</f>
        <v/>
      </c>
      <c r="AH632" s="329"/>
      <c r="AI632" s="167" t="str">
        <f>IF(ISBLANK(Inputs!$A115),"",
IF(ABS(AG632)&lt;=0.001,"Solved",IF(AG632&gt;0,0.85*AE632,1.15*AE632)))</f>
        <v/>
      </c>
      <c r="AJ632" s="167"/>
      <c r="AK632" s="329" t="str">
        <f>IF(ISBLANK(Inputs!$A115),"",
IF(OR(AI632="Solved",AI632="--"),"--",
((Mat.Conc_Alpha.1*Mat.Conc_f.c*$AB632*MIN(AI632*Mat.Conc_Beta.1,$Y632))
+(Mat.Conc_Alpha.1*Mat.Conc_f.c*$V632*MAX(0,AI632*Mat.Conc_Beta.1-$Y632)))
-($J632*MIN(Mat.Rebar_f.y,(Mat.Rebar_epsilon.cl*($S632-AI632)/AI632)*Mat.PT_E.s))
-($M632*Mat.PT_f.pu*(1-Mat.PT_k*AI632/$P632))))</f>
        <v/>
      </c>
      <c r="AL632" s="329"/>
      <c r="AM632" s="167" t="str">
        <f>IF(ISBLANK(Inputs!$A115),"",
IF(AK632="--","Solved",
IF(ABS(AK632)&lt;=0.001,"Solved",AI632-AK632*(AI632-AE632)/(AK632-AG632))))</f>
        <v/>
      </c>
      <c r="AN632" s="167"/>
      <c r="AO632" s="329" t="str">
        <f>IF(ISBLANK(Inputs!$A115),"",
IF(OR(AM632="Solved",AM632="--"),"--",
((Mat.Conc_Alpha.1*Mat.Conc_f.c*$AB632*MIN(AM632*Mat.Conc_Beta.1,$Y632))
+(Mat.Conc_Alpha.1*Mat.Conc_f.c*$V632*MAX(0,AM632*Mat.Conc_Beta.1-$Y632)))
-($J632*MIN(Mat.Rebar_f.y,(Mat.Rebar_epsilon.cl*($S632-AM632)/AM632)*Mat.PT_E.s))
-($M632*Mat.PT_f.pu*(1-Mat.PT_k*AM632/$P632))))</f>
        <v/>
      </c>
      <c r="AP632" s="329"/>
      <c r="AQ632" s="167" t="str">
        <f>IF(ISBLANK(Inputs!$A115),"",
IF(AO632="--","Solved",
IF(ABS(AO632)&lt;=0.001,"Solved",AM632-AO632*(AM632-AI632)/(AO632-AK632))))</f>
        <v/>
      </c>
      <c r="AR632" s="167"/>
      <c r="AS632" s="329" t="str">
        <f>IF(ISBLANK(Inputs!$A115),"",
IF(OR(AQ632="Solved",AQ632="--"),"--",
((Mat.Conc_Alpha.1*Mat.Conc_f.c*$AB632*MIN(AQ632*Mat.Conc_Beta.1,$Y632))
+(Mat.Conc_Alpha.1*Mat.Conc_f.c*$V632*MAX(0,AQ632*Mat.Conc_Beta.1-$Y632)))
-($J632*MIN(Mat.Rebar_f.y,(Mat.Rebar_epsilon.cl*($S632-AQ632)/AQ632)*Mat.PT_E.s))
-($M632*Mat.PT_f.pu*(1-Mat.PT_k*AQ632/$P632))))</f>
        <v/>
      </c>
      <c r="AT632" s="329"/>
      <c r="AU632" s="167" t="str">
        <f>IF(ISBLANK(Inputs!$A115),"",
IF(AS632="--","Solved",
IF(ABS(AS632)&lt;=0.001,"Solved",AQ632-AS632*(AQ632-AM632)/(AS632-AO632))))</f>
        <v/>
      </c>
      <c r="AV632" s="167"/>
      <c r="AW632" s="329" t="str">
        <f>IF(ISBLANK(Inputs!$A115),"",
IF(OR(AU632="Solved",AU632="--"),"--",
((Mat.Conc_Alpha.1*Mat.Conc_f.c*$AB632*MIN(AU632*Mat.Conc_Beta.1,$Y632))
+(Mat.Conc_Alpha.1*Mat.Conc_f.c*$V632*MAX(0,AU632*Mat.Conc_Beta.1-$Y632)))
-($J632*MIN(Mat.Rebar_f.y,(Mat.Rebar_epsilon.cl*($S632-AU632)/AU632)*Mat.PT_E.s))
-($M632*Mat.PT_f.pu*(1-Mat.PT_k*AU632/$P632))))</f>
        <v/>
      </c>
      <c r="AX632" s="329"/>
      <c r="AY632" s="167" t="str">
        <f>IF(ISBLANK(Inputs!$A115),"",
IF(AW632="--","Solved",
IF(ABS(AW632)&lt;=0.001,"Solved",AU632-AW632*(AU632-AQ632)/(AW632-AS632))))</f>
        <v/>
      </c>
      <c r="AZ632" s="167"/>
      <c r="BA632" s="329" t="str">
        <f>IF(ISBLANK(Inputs!$A115),"",
IF(OR(AY632="Solved",AY632="--"),"--",
((Mat.Conc_Alpha.1*Mat.Conc_f.c*$AB632*MIN(AY632*Mat.Conc_Beta.1,$Y632))
+(Mat.Conc_Alpha.1*Mat.Conc_f.c*$V632*MAX(0,AY632*Mat.Conc_Beta.1-$Y632)))
-($J632*MIN(Mat.Rebar_f.y,(Mat.Rebar_epsilon.cl*($S632-AY632)/AY632)*Mat.PT_E.s))
-($M632*Mat.PT_f.pu*(1-Mat.PT_k*AY632/$P632))))</f>
        <v/>
      </c>
      <c r="BB632" s="329"/>
      <c r="BC632" s="167" t="str">
        <f>IF(ISBLANK(Inputs!$A115),"",
IF(BA632="--","Solved",
IF(ABS(BA632)&lt;=0.001,"Solved",AY632-BA632*(AY632-AU632)/(BA632-AW632))))</f>
        <v/>
      </c>
      <c r="BD632" s="167"/>
      <c r="BE632" s="329" t="str">
        <f>IF(ISBLANK(Inputs!$A115),"",
IF(OR(BC632="Solved",BC632="--"),"--",
((Mat.Conc_Alpha.1*Mat.Conc_f.c*$AB632*MIN(BC632*Mat.Conc_Beta.1,$Y632))
+(Mat.Conc_Alpha.1*Mat.Conc_f.c*$V632*MAX(0,BC632*Mat.Conc_Beta.1-$Y632)))
-($J632*MIN(Mat.Rebar_f.y,(Mat.Rebar_epsilon.cl*($S632-BC632)/BC632)*Mat.PT_E.s))
-($M632*Mat.PT_f.pu*(1-Mat.PT_k*BC632/$P632))))</f>
        <v/>
      </c>
      <c r="BF632" s="329"/>
      <c r="BG632" s="167" t="str">
        <f>IF(ISBLANK(Inputs!$A115),"",
IF(BE632="--","Solved",
IF(ABS(BE632)&lt;=0.001,"Solved",BC632-BE632*(BC632-AY632)/(BE632-BA632))))</f>
        <v/>
      </c>
      <c r="BH632" s="167"/>
      <c r="BI632" s="329" t="str">
        <f>IF(ISBLANK(Inputs!$A115),"",
IF(OR(BG632="Solved",BG632="--"),"--",
((Mat.Conc_Alpha.1*Mat.Conc_f.c*$AB632*MIN(BG632*Mat.Conc_Beta.1,$Y632))
+(Mat.Conc_Alpha.1*Mat.Conc_f.c*$V632*MAX(0,BG632*Mat.Conc_Beta.1-$Y632)))
-($J632*MIN(Mat.Rebar_f.y,(Mat.Rebar_epsilon.cl*($S632-BG632)/BG632)*Mat.PT_E.s))
-($M632*Mat.PT_f.pu*(1-Mat.PT_k*BG632/$P632))))</f>
        <v/>
      </c>
      <c r="BJ632" s="329"/>
      <c r="BK632" s="167" t="str">
        <f>IF(ISBLANK(Inputs!$A115),"",
IF(BI632="--","Solved",
IF(ABS(BI632)&lt;=0.001,"Solved",BG632-BI632*(BG632-BC632)/(BI632-BE632))))</f>
        <v/>
      </c>
      <c r="BL632" s="167"/>
      <c r="BM632" s="329" t="str">
        <f>IF(ISBLANK(Inputs!$A115),"",
IF(OR(BK632="Solved",BK632="--"),"--",
((Mat.Conc_Alpha.1*Mat.Conc_f.c*$AB632*MIN(BK632*Mat.Conc_Beta.1,$Y632))
+(Mat.Conc_Alpha.1*Mat.Conc_f.c*$V632*MAX(0,BK632*Mat.Conc_Beta.1-$Y632)))
-($J632*MIN(Mat.Rebar_f.y,(Mat.Rebar_epsilon.cl*($S632-BK632)/BK632)*Mat.PT_E.s))
-($M632*Mat.PT_f.pu*(1-Mat.PT_k*BK632/$P632))))</f>
        <v/>
      </c>
      <c r="BN632" s="329"/>
      <c r="BO632" s="167" t="str">
        <f>IF(ISBLANK(Inputs!$A115),"",
IF(BM632="--","Solved",
IF(ABS(BM632)&lt;=0.001,"Solved",BK632-BM632*(BK632-BG632)/(BM632-BI632))))</f>
        <v/>
      </c>
      <c r="BP632" s="167"/>
      <c r="BQ632" s="329" t="str">
        <f>IF(ISBLANK(Inputs!$A115),"",
IF(OR(BO632="Solved",BO632="--"),"--",
((Mat.Conc_Alpha.1*Mat.Conc_f.c*$AB632*MIN(BO632*Mat.Conc_Beta.1,$Y632))
+(Mat.Conc_Alpha.1*Mat.Conc_f.c*$V632*MAX(0,BO632*Mat.Conc_Beta.1-$Y632)))
-($J632*MIN(Mat.Rebar_f.y,(Mat.Rebar_epsilon.cl*($S632-BO632)/BO632)*Mat.PT_E.s))
-($M632*Mat.PT_f.pu*(1-Mat.PT_k*BO632/$P632))))</f>
        <v/>
      </c>
      <c r="BR632" s="329"/>
      <c r="BS632" s="70"/>
      <c r="BT632" s="70"/>
      <c r="BU632" s="70"/>
      <c r="BV632" s="70"/>
      <c r="BW632" s="8"/>
      <c r="BX632" s="8"/>
      <c r="BY632" s="8"/>
      <c r="BZ632" s="8"/>
      <c r="CA632" s="8"/>
      <c r="CB632" s="10"/>
    </row>
    <row r="633" spans="3:80" ht="15" customHeight="1" x14ac:dyDescent="0.25">
      <c r="C633" s="69"/>
      <c r="F633" s="167" t="str">
        <f>IF(ISBLANK(Inputs!A116),"",Inputs!A116)</f>
        <v/>
      </c>
      <c r="G633" s="167"/>
      <c r="H633" s="167" t="str">
        <f>IF(ISBLANK(Inputs!B116),"",Inputs!B116)</f>
        <v/>
      </c>
      <c r="I633" s="167"/>
      <c r="J633" s="168" t="str">
        <f>IF(ISBLANK(Inputs!K116),"",Inputs!K116)</f>
        <v/>
      </c>
      <c r="K633" s="168"/>
      <c r="L633" s="168"/>
      <c r="M633" s="168" t="str">
        <f>IF(ISBLANK(Inputs!D116),"",Inputs!D116)</f>
        <v/>
      </c>
      <c r="N633" s="168"/>
      <c r="O633" s="168"/>
      <c r="P633" s="168" t="str">
        <f>IF(ISBLANK(Inputs!F116),"",Inputs!$B$10-Inputs!F116)</f>
        <v/>
      </c>
      <c r="Q633" s="168"/>
      <c r="R633" s="168"/>
      <c r="S633" s="168" t="str">
        <f>IF(ISBLANK(Inputs!L116),"",Inputs!L116)</f>
        <v/>
      </c>
      <c r="T633" s="168"/>
      <c r="U633" s="168"/>
      <c r="V633" s="168" t="str">
        <f>IF(ISBLANK(Inputs!E116),"",Inputs!E116)</f>
        <v/>
      </c>
      <c r="W633" s="168"/>
      <c r="X633" s="168"/>
      <c r="Y633" s="168" t="str">
        <f>IF(ISBLANK(Inputs!M116),"",Inputs!M116)</f>
        <v/>
      </c>
      <c r="Z633" s="168"/>
      <c r="AA633" s="168"/>
      <c r="AB633" s="168" t="str">
        <f>IF(ISBLANK(Inputs!N116),"",Inputs!N116)</f>
        <v/>
      </c>
      <c r="AC633" s="168"/>
      <c r="AD633" s="168"/>
      <c r="AE633" s="371" t="str">
        <f>IF(ISBLANK(Inputs!A116),"",Y633)</f>
        <v/>
      </c>
      <c r="AF633" s="371"/>
      <c r="AG633" s="329" t="str">
        <f>IF(ISBLANK(Inputs!$A116),"",
IF(OR(AE633="Solved",AE633="--"),"--",
((Mat.Conc_Alpha.1*Mat.Conc_f.c*$AB633*MIN(AE633*Mat.Conc_Beta.1,$Y633))
+(Mat.Conc_Alpha.1*Mat.Conc_f.c*$V633*MAX(0,AE633*Mat.Conc_Beta.1-$Y633)))
-($J633*MIN(Mat.Rebar_f.y,(Mat.Rebar_epsilon.cl*($S633-AE633)/AE633)*Mat.PT_E.s))
-($M633*Mat.PT_f.pu*(1-Mat.PT_k*AE633/$P633))))</f>
        <v/>
      </c>
      <c r="AH633" s="329"/>
      <c r="AI633" s="167" t="str">
        <f>IF(ISBLANK(Inputs!$A116),"",
IF(ABS(AG633)&lt;=0.001,"Solved",IF(AG633&gt;0,0.85*AE633,1.15*AE633)))</f>
        <v/>
      </c>
      <c r="AJ633" s="167"/>
      <c r="AK633" s="329" t="str">
        <f>IF(ISBLANK(Inputs!$A116),"",
IF(OR(AI633="Solved",AI633="--"),"--",
((Mat.Conc_Alpha.1*Mat.Conc_f.c*$AB633*MIN(AI633*Mat.Conc_Beta.1,$Y633))
+(Mat.Conc_Alpha.1*Mat.Conc_f.c*$V633*MAX(0,AI633*Mat.Conc_Beta.1-$Y633)))
-($J633*MIN(Mat.Rebar_f.y,(Mat.Rebar_epsilon.cl*($S633-AI633)/AI633)*Mat.PT_E.s))
-($M633*Mat.PT_f.pu*(1-Mat.PT_k*AI633/$P633))))</f>
        <v/>
      </c>
      <c r="AL633" s="329"/>
      <c r="AM633" s="167" t="str">
        <f>IF(ISBLANK(Inputs!$A116),"",
IF(AK633="--","Solved",
IF(ABS(AK633)&lt;=0.001,"Solved",AI633-AK633*(AI633-AE633)/(AK633-AG633))))</f>
        <v/>
      </c>
      <c r="AN633" s="167"/>
      <c r="AO633" s="329" t="str">
        <f>IF(ISBLANK(Inputs!$A116),"",
IF(OR(AM633="Solved",AM633="--"),"--",
((Mat.Conc_Alpha.1*Mat.Conc_f.c*$AB633*MIN(AM633*Mat.Conc_Beta.1,$Y633))
+(Mat.Conc_Alpha.1*Mat.Conc_f.c*$V633*MAX(0,AM633*Mat.Conc_Beta.1-$Y633)))
-($J633*MIN(Mat.Rebar_f.y,(Mat.Rebar_epsilon.cl*($S633-AM633)/AM633)*Mat.PT_E.s))
-($M633*Mat.PT_f.pu*(1-Mat.PT_k*AM633/$P633))))</f>
        <v/>
      </c>
      <c r="AP633" s="329"/>
      <c r="AQ633" s="167" t="str">
        <f>IF(ISBLANK(Inputs!$A116),"",
IF(AO633="--","Solved",
IF(ABS(AO633)&lt;=0.001,"Solved",AM633-AO633*(AM633-AI633)/(AO633-AK633))))</f>
        <v/>
      </c>
      <c r="AR633" s="167"/>
      <c r="AS633" s="329" t="str">
        <f>IF(ISBLANK(Inputs!$A116),"",
IF(OR(AQ633="Solved",AQ633="--"),"--",
((Mat.Conc_Alpha.1*Mat.Conc_f.c*$AB633*MIN(AQ633*Mat.Conc_Beta.1,$Y633))
+(Mat.Conc_Alpha.1*Mat.Conc_f.c*$V633*MAX(0,AQ633*Mat.Conc_Beta.1-$Y633)))
-($J633*MIN(Mat.Rebar_f.y,(Mat.Rebar_epsilon.cl*($S633-AQ633)/AQ633)*Mat.PT_E.s))
-($M633*Mat.PT_f.pu*(1-Mat.PT_k*AQ633/$P633))))</f>
        <v/>
      </c>
      <c r="AT633" s="329"/>
      <c r="AU633" s="167" t="str">
        <f>IF(ISBLANK(Inputs!$A116),"",
IF(AS633="--","Solved",
IF(ABS(AS633)&lt;=0.001,"Solved",AQ633-AS633*(AQ633-AM633)/(AS633-AO633))))</f>
        <v/>
      </c>
      <c r="AV633" s="167"/>
      <c r="AW633" s="329" t="str">
        <f>IF(ISBLANK(Inputs!$A116),"",
IF(OR(AU633="Solved",AU633="--"),"--",
((Mat.Conc_Alpha.1*Mat.Conc_f.c*$AB633*MIN(AU633*Mat.Conc_Beta.1,$Y633))
+(Mat.Conc_Alpha.1*Mat.Conc_f.c*$V633*MAX(0,AU633*Mat.Conc_Beta.1-$Y633)))
-($J633*MIN(Mat.Rebar_f.y,(Mat.Rebar_epsilon.cl*($S633-AU633)/AU633)*Mat.PT_E.s))
-($M633*Mat.PT_f.pu*(1-Mat.PT_k*AU633/$P633))))</f>
        <v/>
      </c>
      <c r="AX633" s="329"/>
      <c r="AY633" s="167" t="str">
        <f>IF(ISBLANK(Inputs!$A116),"",
IF(AW633="--","Solved",
IF(ABS(AW633)&lt;=0.001,"Solved",AU633-AW633*(AU633-AQ633)/(AW633-AS633))))</f>
        <v/>
      </c>
      <c r="AZ633" s="167"/>
      <c r="BA633" s="329" t="str">
        <f>IF(ISBLANK(Inputs!$A116),"",
IF(OR(AY633="Solved",AY633="--"),"--",
((Mat.Conc_Alpha.1*Mat.Conc_f.c*$AB633*MIN(AY633*Mat.Conc_Beta.1,$Y633))
+(Mat.Conc_Alpha.1*Mat.Conc_f.c*$V633*MAX(0,AY633*Mat.Conc_Beta.1-$Y633)))
-($J633*MIN(Mat.Rebar_f.y,(Mat.Rebar_epsilon.cl*($S633-AY633)/AY633)*Mat.PT_E.s))
-($M633*Mat.PT_f.pu*(1-Mat.PT_k*AY633/$P633))))</f>
        <v/>
      </c>
      <c r="BB633" s="329"/>
      <c r="BC633" s="167" t="str">
        <f>IF(ISBLANK(Inputs!$A116),"",
IF(BA633="--","Solved",
IF(ABS(BA633)&lt;=0.001,"Solved",AY633-BA633*(AY633-AU633)/(BA633-AW633))))</f>
        <v/>
      </c>
      <c r="BD633" s="167"/>
      <c r="BE633" s="329" t="str">
        <f>IF(ISBLANK(Inputs!$A116),"",
IF(OR(BC633="Solved",BC633="--"),"--",
((Mat.Conc_Alpha.1*Mat.Conc_f.c*$AB633*MIN(BC633*Mat.Conc_Beta.1,$Y633))
+(Mat.Conc_Alpha.1*Mat.Conc_f.c*$V633*MAX(0,BC633*Mat.Conc_Beta.1-$Y633)))
-($J633*MIN(Mat.Rebar_f.y,(Mat.Rebar_epsilon.cl*($S633-BC633)/BC633)*Mat.PT_E.s))
-($M633*Mat.PT_f.pu*(1-Mat.PT_k*BC633/$P633))))</f>
        <v/>
      </c>
      <c r="BF633" s="329"/>
      <c r="BG633" s="167" t="str">
        <f>IF(ISBLANK(Inputs!$A116),"",
IF(BE633="--","Solved",
IF(ABS(BE633)&lt;=0.001,"Solved",BC633-BE633*(BC633-AY633)/(BE633-BA633))))</f>
        <v/>
      </c>
      <c r="BH633" s="167"/>
      <c r="BI633" s="329" t="str">
        <f>IF(ISBLANK(Inputs!$A116),"",
IF(OR(BG633="Solved",BG633="--"),"--",
((Mat.Conc_Alpha.1*Mat.Conc_f.c*$AB633*MIN(BG633*Mat.Conc_Beta.1,$Y633))
+(Mat.Conc_Alpha.1*Mat.Conc_f.c*$V633*MAX(0,BG633*Mat.Conc_Beta.1-$Y633)))
-($J633*MIN(Mat.Rebar_f.y,(Mat.Rebar_epsilon.cl*($S633-BG633)/BG633)*Mat.PT_E.s))
-($M633*Mat.PT_f.pu*(1-Mat.PT_k*BG633/$P633))))</f>
        <v/>
      </c>
      <c r="BJ633" s="329"/>
      <c r="BK633" s="167" t="str">
        <f>IF(ISBLANK(Inputs!$A116),"",
IF(BI633="--","Solved",
IF(ABS(BI633)&lt;=0.001,"Solved",BG633-BI633*(BG633-BC633)/(BI633-BE633))))</f>
        <v/>
      </c>
      <c r="BL633" s="167"/>
      <c r="BM633" s="329" t="str">
        <f>IF(ISBLANK(Inputs!$A116),"",
IF(OR(BK633="Solved",BK633="--"),"--",
((Mat.Conc_Alpha.1*Mat.Conc_f.c*$AB633*MIN(BK633*Mat.Conc_Beta.1,$Y633))
+(Mat.Conc_Alpha.1*Mat.Conc_f.c*$V633*MAX(0,BK633*Mat.Conc_Beta.1-$Y633)))
-($J633*MIN(Mat.Rebar_f.y,(Mat.Rebar_epsilon.cl*($S633-BK633)/BK633)*Mat.PT_E.s))
-($M633*Mat.PT_f.pu*(1-Mat.PT_k*BK633/$P633))))</f>
        <v/>
      </c>
      <c r="BN633" s="329"/>
      <c r="BO633" s="167" t="str">
        <f>IF(ISBLANK(Inputs!$A116),"",
IF(BM633="--","Solved",
IF(ABS(BM633)&lt;=0.001,"Solved",BK633-BM633*(BK633-BG633)/(BM633-BI633))))</f>
        <v/>
      </c>
      <c r="BP633" s="167"/>
      <c r="BQ633" s="329" t="str">
        <f>IF(ISBLANK(Inputs!$A116),"",
IF(OR(BO633="Solved",BO633="--"),"--",
((Mat.Conc_Alpha.1*Mat.Conc_f.c*$AB633*MIN(BO633*Mat.Conc_Beta.1,$Y633))
+(Mat.Conc_Alpha.1*Mat.Conc_f.c*$V633*MAX(0,BO633*Mat.Conc_Beta.1-$Y633)))
-($J633*MIN(Mat.Rebar_f.y,(Mat.Rebar_epsilon.cl*($S633-BO633)/BO633)*Mat.PT_E.s))
-($M633*Mat.PT_f.pu*(1-Mat.PT_k*BO633/$P633))))</f>
        <v/>
      </c>
      <c r="BR633" s="329"/>
      <c r="BS633" s="70"/>
      <c r="BT633" s="70"/>
      <c r="BU633" s="70"/>
      <c r="BV633" s="70"/>
      <c r="BW633" s="8"/>
      <c r="BX633" s="8"/>
      <c r="BY633" s="8"/>
      <c r="BZ633" s="8"/>
      <c r="CA633" s="8"/>
      <c r="CB633" s="10"/>
    </row>
    <row r="634" spans="3:80" ht="15" customHeight="1" x14ac:dyDescent="0.25">
      <c r="C634" s="69"/>
      <c r="F634" s="167" t="str">
        <f>IF(ISBLANK(Inputs!A117),"",Inputs!A117)</f>
        <v/>
      </c>
      <c r="G634" s="167"/>
      <c r="H634" s="167" t="str">
        <f>IF(ISBLANK(Inputs!B117),"",Inputs!B117)</f>
        <v/>
      </c>
      <c r="I634" s="167"/>
      <c r="J634" s="168" t="str">
        <f>IF(ISBLANK(Inputs!K117),"",Inputs!K117)</f>
        <v/>
      </c>
      <c r="K634" s="168"/>
      <c r="L634" s="168"/>
      <c r="M634" s="168" t="str">
        <f>IF(ISBLANK(Inputs!D117),"",Inputs!D117)</f>
        <v/>
      </c>
      <c r="N634" s="168"/>
      <c r="O634" s="168"/>
      <c r="P634" s="168" t="str">
        <f>IF(ISBLANK(Inputs!F117),"",Inputs!$B$10-Inputs!F117)</f>
        <v/>
      </c>
      <c r="Q634" s="168"/>
      <c r="R634" s="168"/>
      <c r="S634" s="168" t="str">
        <f>IF(ISBLANK(Inputs!L117),"",Inputs!L117)</f>
        <v/>
      </c>
      <c r="T634" s="168"/>
      <c r="U634" s="168"/>
      <c r="V634" s="168" t="str">
        <f>IF(ISBLANK(Inputs!E117),"",Inputs!E117)</f>
        <v/>
      </c>
      <c r="W634" s="168"/>
      <c r="X634" s="168"/>
      <c r="Y634" s="168" t="str">
        <f>IF(ISBLANK(Inputs!M117),"",Inputs!M117)</f>
        <v/>
      </c>
      <c r="Z634" s="168"/>
      <c r="AA634" s="168"/>
      <c r="AB634" s="168" t="str">
        <f>IF(ISBLANK(Inputs!N117),"",Inputs!N117)</f>
        <v/>
      </c>
      <c r="AC634" s="168"/>
      <c r="AD634" s="168"/>
      <c r="AE634" s="371" t="str">
        <f>IF(ISBLANK(Inputs!A117),"",Y634)</f>
        <v/>
      </c>
      <c r="AF634" s="371"/>
      <c r="AG634" s="329" t="str">
        <f>IF(ISBLANK(Inputs!$A117),"",
IF(OR(AE634="Solved",AE634="--"),"--",
((Mat.Conc_Alpha.1*Mat.Conc_f.c*$AB634*MIN(AE634*Mat.Conc_Beta.1,$Y634))
+(Mat.Conc_Alpha.1*Mat.Conc_f.c*$V634*MAX(0,AE634*Mat.Conc_Beta.1-$Y634)))
-($J634*MIN(Mat.Rebar_f.y,(Mat.Rebar_epsilon.cl*($S634-AE634)/AE634)*Mat.PT_E.s))
-($M634*Mat.PT_f.pu*(1-Mat.PT_k*AE634/$P634))))</f>
        <v/>
      </c>
      <c r="AH634" s="329"/>
      <c r="AI634" s="167" t="str">
        <f>IF(ISBLANK(Inputs!$A117),"",
IF(ABS(AG634)&lt;=0.001,"Solved",IF(AG634&gt;0,0.85*AE634,1.15*AE634)))</f>
        <v/>
      </c>
      <c r="AJ634" s="167"/>
      <c r="AK634" s="329" t="str">
        <f>IF(ISBLANK(Inputs!$A117),"",
IF(OR(AI634="Solved",AI634="--"),"--",
((Mat.Conc_Alpha.1*Mat.Conc_f.c*$AB634*MIN(AI634*Mat.Conc_Beta.1,$Y634))
+(Mat.Conc_Alpha.1*Mat.Conc_f.c*$V634*MAX(0,AI634*Mat.Conc_Beta.1-$Y634)))
-($J634*MIN(Mat.Rebar_f.y,(Mat.Rebar_epsilon.cl*($S634-AI634)/AI634)*Mat.PT_E.s))
-($M634*Mat.PT_f.pu*(1-Mat.PT_k*AI634/$P634))))</f>
        <v/>
      </c>
      <c r="AL634" s="329"/>
      <c r="AM634" s="167" t="str">
        <f>IF(ISBLANK(Inputs!$A117),"",
IF(AK634="--","Solved",
IF(ABS(AK634)&lt;=0.001,"Solved",AI634-AK634*(AI634-AE634)/(AK634-AG634))))</f>
        <v/>
      </c>
      <c r="AN634" s="167"/>
      <c r="AO634" s="329" t="str">
        <f>IF(ISBLANK(Inputs!$A117),"",
IF(OR(AM634="Solved",AM634="--"),"--",
((Mat.Conc_Alpha.1*Mat.Conc_f.c*$AB634*MIN(AM634*Mat.Conc_Beta.1,$Y634))
+(Mat.Conc_Alpha.1*Mat.Conc_f.c*$V634*MAX(0,AM634*Mat.Conc_Beta.1-$Y634)))
-($J634*MIN(Mat.Rebar_f.y,(Mat.Rebar_epsilon.cl*($S634-AM634)/AM634)*Mat.PT_E.s))
-($M634*Mat.PT_f.pu*(1-Mat.PT_k*AM634/$P634))))</f>
        <v/>
      </c>
      <c r="AP634" s="329"/>
      <c r="AQ634" s="167" t="str">
        <f>IF(ISBLANK(Inputs!$A117),"",
IF(AO634="--","Solved",
IF(ABS(AO634)&lt;=0.001,"Solved",AM634-AO634*(AM634-AI634)/(AO634-AK634))))</f>
        <v/>
      </c>
      <c r="AR634" s="167"/>
      <c r="AS634" s="329" t="str">
        <f>IF(ISBLANK(Inputs!$A117),"",
IF(OR(AQ634="Solved",AQ634="--"),"--",
((Mat.Conc_Alpha.1*Mat.Conc_f.c*$AB634*MIN(AQ634*Mat.Conc_Beta.1,$Y634))
+(Mat.Conc_Alpha.1*Mat.Conc_f.c*$V634*MAX(0,AQ634*Mat.Conc_Beta.1-$Y634)))
-($J634*MIN(Mat.Rebar_f.y,(Mat.Rebar_epsilon.cl*($S634-AQ634)/AQ634)*Mat.PT_E.s))
-($M634*Mat.PT_f.pu*(1-Mat.PT_k*AQ634/$P634))))</f>
        <v/>
      </c>
      <c r="AT634" s="329"/>
      <c r="AU634" s="167" t="str">
        <f>IF(ISBLANK(Inputs!$A117),"",
IF(AS634="--","Solved",
IF(ABS(AS634)&lt;=0.001,"Solved",AQ634-AS634*(AQ634-AM634)/(AS634-AO634))))</f>
        <v/>
      </c>
      <c r="AV634" s="167"/>
      <c r="AW634" s="329" t="str">
        <f>IF(ISBLANK(Inputs!$A117),"",
IF(OR(AU634="Solved",AU634="--"),"--",
((Mat.Conc_Alpha.1*Mat.Conc_f.c*$AB634*MIN(AU634*Mat.Conc_Beta.1,$Y634))
+(Mat.Conc_Alpha.1*Mat.Conc_f.c*$V634*MAX(0,AU634*Mat.Conc_Beta.1-$Y634)))
-($J634*MIN(Mat.Rebar_f.y,(Mat.Rebar_epsilon.cl*($S634-AU634)/AU634)*Mat.PT_E.s))
-($M634*Mat.PT_f.pu*(1-Mat.PT_k*AU634/$P634))))</f>
        <v/>
      </c>
      <c r="AX634" s="329"/>
      <c r="AY634" s="167" t="str">
        <f>IF(ISBLANK(Inputs!$A117),"",
IF(AW634="--","Solved",
IF(ABS(AW634)&lt;=0.001,"Solved",AU634-AW634*(AU634-AQ634)/(AW634-AS634))))</f>
        <v/>
      </c>
      <c r="AZ634" s="167"/>
      <c r="BA634" s="329" t="str">
        <f>IF(ISBLANK(Inputs!$A117),"",
IF(OR(AY634="Solved",AY634="--"),"--",
((Mat.Conc_Alpha.1*Mat.Conc_f.c*$AB634*MIN(AY634*Mat.Conc_Beta.1,$Y634))
+(Mat.Conc_Alpha.1*Mat.Conc_f.c*$V634*MAX(0,AY634*Mat.Conc_Beta.1-$Y634)))
-($J634*MIN(Mat.Rebar_f.y,(Mat.Rebar_epsilon.cl*($S634-AY634)/AY634)*Mat.PT_E.s))
-($M634*Mat.PT_f.pu*(1-Mat.PT_k*AY634/$P634))))</f>
        <v/>
      </c>
      <c r="BB634" s="329"/>
      <c r="BC634" s="167" t="str">
        <f>IF(ISBLANK(Inputs!$A117),"",
IF(BA634="--","Solved",
IF(ABS(BA634)&lt;=0.001,"Solved",AY634-BA634*(AY634-AU634)/(BA634-AW634))))</f>
        <v/>
      </c>
      <c r="BD634" s="167"/>
      <c r="BE634" s="329" t="str">
        <f>IF(ISBLANK(Inputs!$A117),"",
IF(OR(BC634="Solved",BC634="--"),"--",
((Mat.Conc_Alpha.1*Mat.Conc_f.c*$AB634*MIN(BC634*Mat.Conc_Beta.1,$Y634))
+(Mat.Conc_Alpha.1*Mat.Conc_f.c*$V634*MAX(0,BC634*Mat.Conc_Beta.1-$Y634)))
-($J634*MIN(Mat.Rebar_f.y,(Mat.Rebar_epsilon.cl*($S634-BC634)/BC634)*Mat.PT_E.s))
-($M634*Mat.PT_f.pu*(1-Mat.PT_k*BC634/$P634))))</f>
        <v/>
      </c>
      <c r="BF634" s="329"/>
      <c r="BG634" s="167" t="str">
        <f>IF(ISBLANK(Inputs!$A117),"",
IF(BE634="--","Solved",
IF(ABS(BE634)&lt;=0.001,"Solved",BC634-BE634*(BC634-AY634)/(BE634-BA634))))</f>
        <v/>
      </c>
      <c r="BH634" s="167"/>
      <c r="BI634" s="329" t="str">
        <f>IF(ISBLANK(Inputs!$A117),"",
IF(OR(BG634="Solved",BG634="--"),"--",
((Mat.Conc_Alpha.1*Mat.Conc_f.c*$AB634*MIN(BG634*Mat.Conc_Beta.1,$Y634))
+(Mat.Conc_Alpha.1*Mat.Conc_f.c*$V634*MAX(0,BG634*Mat.Conc_Beta.1-$Y634)))
-($J634*MIN(Mat.Rebar_f.y,(Mat.Rebar_epsilon.cl*($S634-BG634)/BG634)*Mat.PT_E.s))
-($M634*Mat.PT_f.pu*(1-Mat.PT_k*BG634/$P634))))</f>
        <v/>
      </c>
      <c r="BJ634" s="329"/>
      <c r="BK634" s="167" t="str">
        <f>IF(ISBLANK(Inputs!$A117),"",
IF(BI634="--","Solved",
IF(ABS(BI634)&lt;=0.001,"Solved",BG634-BI634*(BG634-BC634)/(BI634-BE634))))</f>
        <v/>
      </c>
      <c r="BL634" s="167"/>
      <c r="BM634" s="329" t="str">
        <f>IF(ISBLANK(Inputs!$A117),"",
IF(OR(BK634="Solved",BK634="--"),"--",
((Mat.Conc_Alpha.1*Mat.Conc_f.c*$AB634*MIN(BK634*Mat.Conc_Beta.1,$Y634))
+(Mat.Conc_Alpha.1*Mat.Conc_f.c*$V634*MAX(0,BK634*Mat.Conc_Beta.1-$Y634)))
-($J634*MIN(Mat.Rebar_f.y,(Mat.Rebar_epsilon.cl*($S634-BK634)/BK634)*Mat.PT_E.s))
-($M634*Mat.PT_f.pu*(1-Mat.PT_k*BK634/$P634))))</f>
        <v/>
      </c>
      <c r="BN634" s="329"/>
      <c r="BO634" s="167" t="str">
        <f>IF(ISBLANK(Inputs!$A117),"",
IF(BM634="--","Solved",
IF(ABS(BM634)&lt;=0.001,"Solved",BK634-BM634*(BK634-BG634)/(BM634-BI634))))</f>
        <v/>
      </c>
      <c r="BP634" s="167"/>
      <c r="BQ634" s="329" t="str">
        <f>IF(ISBLANK(Inputs!$A117),"",
IF(OR(BO634="Solved",BO634="--"),"--",
((Mat.Conc_Alpha.1*Mat.Conc_f.c*$AB634*MIN(BO634*Mat.Conc_Beta.1,$Y634))
+(Mat.Conc_Alpha.1*Mat.Conc_f.c*$V634*MAX(0,BO634*Mat.Conc_Beta.1-$Y634)))
-($J634*MIN(Mat.Rebar_f.y,(Mat.Rebar_epsilon.cl*($S634-BO634)/BO634)*Mat.PT_E.s))
-($M634*Mat.PT_f.pu*(1-Mat.PT_k*BO634/$P634))))</f>
        <v/>
      </c>
      <c r="BR634" s="329"/>
      <c r="BS634" s="70"/>
      <c r="BT634" s="70"/>
      <c r="BU634" s="70"/>
      <c r="BV634" s="70"/>
      <c r="BW634" s="8"/>
      <c r="BX634" s="8"/>
      <c r="BY634" s="8"/>
      <c r="BZ634" s="8"/>
      <c r="CA634" s="8"/>
      <c r="CB634" s="10"/>
    </row>
    <row r="635" spans="3:80" ht="15" customHeight="1" x14ac:dyDescent="0.25">
      <c r="C635" s="69"/>
      <c r="F635" s="167" t="str">
        <f>IF(ISBLANK(Inputs!A118),"",Inputs!A118)</f>
        <v/>
      </c>
      <c r="G635" s="167"/>
      <c r="H635" s="167" t="str">
        <f>IF(ISBLANK(Inputs!B118),"",Inputs!B118)</f>
        <v/>
      </c>
      <c r="I635" s="167"/>
      <c r="J635" s="168" t="str">
        <f>IF(ISBLANK(Inputs!K118),"",Inputs!K118)</f>
        <v/>
      </c>
      <c r="K635" s="168"/>
      <c r="L635" s="168"/>
      <c r="M635" s="168" t="str">
        <f>IF(ISBLANK(Inputs!D118),"",Inputs!D118)</f>
        <v/>
      </c>
      <c r="N635" s="168"/>
      <c r="O635" s="168"/>
      <c r="P635" s="168" t="str">
        <f>IF(ISBLANK(Inputs!F118),"",Inputs!$B$10-Inputs!F118)</f>
        <v/>
      </c>
      <c r="Q635" s="168"/>
      <c r="R635" s="168"/>
      <c r="S635" s="168" t="str">
        <f>IF(ISBLANK(Inputs!L118),"",Inputs!L118)</f>
        <v/>
      </c>
      <c r="T635" s="168"/>
      <c r="U635" s="168"/>
      <c r="V635" s="168" t="str">
        <f>IF(ISBLANK(Inputs!E118),"",Inputs!E118)</f>
        <v/>
      </c>
      <c r="W635" s="168"/>
      <c r="X635" s="168"/>
      <c r="Y635" s="168" t="str">
        <f>IF(ISBLANK(Inputs!M118),"",Inputs!M118)</f>
        <v/>
      </c>
      <c r="Z635" s="168"/>
      <c r="AA635" s="168"/>
      <c r="AB635" s="168" t="str">
        <f>IF(ISBLANK(Inputs!N118),"",Inputs!N118)</f>
        <v/>
      </c>
      <c r="AC635" s="168"/>
      <c r="AD635" s="168"/>
      <c r="AE635" s="371" t="str">
        <f>IF(ISBLANK(Inputs!A118),"",Y635)</f>
        <v/>
      </c>
      <c r="AF635" s="371"/>
      <c r="AG635" s="329" t="str">
        <f>IF(ISBLANK(Inputs!$A118),"",
IF(OR(AE635="Solved",AE635="--"),"--",
((Mat.Conc_Alpha.1*Mat.Conc_f.c*$AB635*MIN(AE635*Mat.Conc_Beta.1,$Y635))
+(Mat.Conc_Alpha.1*Mat.Conc_f.c*$V635*MAX(0,AE635*Mat.Conc_Beta.1-$Y635)))
-($J635*MIN(Mat.Rebar_f.y,(Mat.Rebar_epsilon.cl*($S635-AE635)/AE635)*Mat.PT_E.s))
-($M635*Mat.PT_f.pu*(1-Mat.PT_k*AE635/$P635))))</f>
        <v/>
      </c>
      <c r="AH635" s="329"/>
      <c r="AI635" s="167" t="str">
        <f>IF(ISBLANK(Inputs!$A118),"",
IF(ABS(AG635)&lt;=0.001,"Solved",IF(AG635&gt;0,0.85*AE635,1.15*AE635)))</f>
        <v/>
      </c>
      <c r="AJ635" s="167"/>
      <c r="AK635" s="329" t="str">
        <f>IF(ISBLANK(Inputs!$A118),"",
IF(OR(AI635="Solved",AI635="--"),"--",
((Mat.Conc_Alpha.1*Mat.Conc_f.c*$AB635*MIN(AI635*Mat.Conc_Beta.1,$Y635))
+(Mat.Conc_Alpha.1*Mat.Conc_f.c*$V635*MAX(0,AI635*Mat.Conc_Beta.1-$Y635)))
-($J635*MIN(Mat.Rebar_f.y,(Mat.Rebar_epsilon.cl*($S635-AI635)/AI635)*Mat.PT_E.s))
-($M635*Mat.PT_f.pu*(1-Mat.PT_k*AI635/$P635))))</f>
        <v/>
      </c>
      <c r="AL635" s="329"/>
      <c r="AM635" s="167" t="str">
        <f>IF(ISBLANK(Inputs!$A118),"",
IF(AK635="--","Solved",
IF(ABS(AK635)&lt;=0.001,"Solved",AI635-AK635*(AI635-AE635)/(AK635-AG635))))</f>
        <v/>
      </c>
      <c r="AN635" s="167"/>
      <c r="AO635" s="329" t="str">
        <f>IF(ISBLANK(Inputs!$A118),"",
IF(OR(AM635="Solved",AM635="--"),"--",
((Mat.Conc_Alpha.1*Mat.Conc_f.c*$AB635*MIN(AM635*Mat.Conc_Beta.1,$Y635))
+(Mat.Conc_Alpha.1*Mat.Conc_f.c*$V635*MAX(0,AM635*Mat.Conc_Beta.1-$Y635)))
-($J635*MIN(Mat.Rebar_f.y,(Mat.Rebar_epsilon.cl*($S635-AM635)/AM635)*Mat.PT_E.s))
-($M635*Mat.PT_f.pu*(1-Mat.PT_k*AM635/$P635))))</f>
        <v/>
      </c>
      <c r="AP635" s="329"/>
      <c r="AQ635" s="167" t="str">
        <f>IF(ISBLANK(Inputs!$A118),"",
IF(AO635="--","Solved",
IF(ABS(AO635)&lt;=0.001,"Solved",AM635-AO635*(AM635-AI635)/(AO635-AK635))))</f>
        <v/>
      </c>
      <c r="AR635" s="167"/>
      <c r="AS635" s="329" t="str">
        <f>IF(ISBLANK(Inputs!$A118),"",
IF(OR(AQ635="Solved",AQ635="--"),"--",
((Mat.Conc_Alpha.1*Mat.Conc_f.c*$AB635*MIN(AQ635*Mat.Conc_Beta.1,$Y635))
+(Mat.Conc_Alpha.1*Mat.Conc_f.c*$V635*MAX(0,AQ635*Mat.Conc_Beta.1-$Y635)))
-($J635*MIN(Mat.Rebar_f.y,(Mat.Rebar_epsilon.cl*($S635-AQ635)/AQ635)*Mat.PT_E.s))
-($M635*Mat.PT_f.pu*(1-Mat.PT_k*AQ635/$P635))))</f>
        <v/>
      </c>
      <c r="AT635" s="329"/>
      <c r="AU635" s="167" t="str">
        <f>IF(ISBLANK(Inputs!$A118),"",
IF(AS635="--","Solved",
IF(ABS(AS635)&lt;=0.001,"Solved",AQ635-AS635*(AQ635-AM635)/(AS635-AO635))))</f>
        <v/>
      </c>
      <c r="AV635" s="167"/>
      <c r="AW635" s="329" t="str">
        <f>IF(ISBLANK(Inputs!$A118),"",
IF(OR(AU635="Solved",AU635="--"),"--",
((Mat.Conc_Alpha.1*Mat.Conc_f.c*$AB635*MIN(AU635*Mat.Conc_Beta.1,$Y635))
+(Mat.Conc_Alpha.1*Mat.Conc_f.c*$V635*MAX(0,AU635*Mat.Conc_Beta.1-$Y635)))
-($J635*MIN(Mat.Rebar_f.y,(Mat.Rebar_epsilon.cl*($S635-AU635)/AU635)*Mat.PT_E.s))
-($M635*Mat.PT_f.pu*(1-Mat.PT_k*AU635/$P635))))</f>
        <v/>
      </c>
      <c r="AX635" s="329"/>
      <c r="AY635" s="167" t="str">
        <f>IF(ISBLANK(Inputs!$A118),"",
IF(AW635="--","Solved",
IF(ABS(AW635)&lt;=0.001,"Solved",AU635-AW635*(AU635-AQ635)/(AW635-AS635))))</f>
        <v/>
      </c>
      <c r="AZ635" s="167"/>
      <c r="BA635" s="329" t="str">
        <f>IF(ISBLANK(Inputs!$A118),"",
IF(OR(AY635="Solved",AY635="--"),"--",
((Mat.Conc_Alpha.1*Mat.Conc_f.c*$AB635*MIN(AY635*Mat.Conc_Beta.1,$Y635))
+(Mat.Conc_Alpha.1*Mat.Conc_f.c*$V635*MAX(0,AY635*Mat.Conc_Beta.1-$Y635)))
-($J635*MIN(Mat.Rebar_f.y,(Mat.Rebar_epsilon.cl*($S635-AY635)/AY635)*Mat.PT_E.s))
-($M635*Mat.PT_f.pu*(1-Mat.PT_k*AY635/$P635))))</f>
        <v/>
      </c>
      <c r="BB635" s="329"/>
      <c r="BC635" s="167" t="str">
        <f>IF(ISBLANK(Inputs!$A118),"",
IF(BA635="--","Solved",
IF(ABS(BA635)&lt;=0.001,"Solved",AY635-BA635*(AY635-AU635)/(BA635-AW635))))</f>
        <v/>
      </c>
      <c r="BD635" s="167"/>
      <c r="BE635" s="329" t="str">
        <f>IF(ISBLANK(Inputs!$A118),"",
IF(OR(BC635="Solved",BC635="--"),"--",
((Mat.Conc_Alpha.1*Mat.Conc_f.c*$AB635*MIN(BC635*Mat.Conc_Beta.1,$Y635))
+(Mat.Conc_Alpha.1*Mat.Conc_f.c*$V635*MAX(0,BC635*Mat.Conc_Beta.1-$Y635)))
-($J635*MIN(Mat.Rebar_f.y,(Mat.Rebar_epsilon.cl*($S635-BC635)/BC635)*Mat.PT_E.s))
-($M635*Mat.PT_f.pu*(1-Mat.PT_k*BC635/$P635))))</f>
        <v/>
      </c>
      <c r="BF635" s="329"/>
      <c r="BG635" s="167" t="str">
        <f>IF(ISBLANK(Inputs!$A118),"",
IF(BE635="--","Solved",
IF(ABS(BE635)&lt;=0.001,"Solved",BC635-BE635*(BC635-AY635)/(BE635-BA635))))</f>
        <v/>
      </c>
      <c r="BH635" s="167"/>
      <c r="BI635" s="329" t="str">
        <f>IF(ISBLANK(Inputs!$A118),"",
IF(OR(BG635="Solved",BG635="--"),"--",
((Mat.Conc_Alpha.1*Mat.Conc_f.c*$AB635*MIN(BG635*Mat.Conc_Beta.1,$Y635))
+(Mat.Conc_Alpha.1*Mat.Conc_f.c*$V635*MAX(0,BG635*Mat.Conc_Beta.1-$Y635)))
-($J635*MIN(Mat.Rebar_f.y,(Mat.Rebar_epsilon.cl*($S635-BG635)/BG635)*Mat.PT_E.s))
-($M635*Mat.PT_f.pu*(1-Mat.PT_k*BG635/$P635))))</f>
        <v/>
      </c>
      <c r="BJ635" s="329"/>
      <c r="BK635" s="167" t="str">
        <f>IF(ISBLANK(Inputs!$A118),"",
IF(BI635="--","Solved",
IF(ABS(BI635)&lt;=0.001,"Solved",BG635-BI635*(BG635-BC635)/(BI635-BE635))))</f>
        <v/>
      </c>
      <c r="BL635" s="167"/>
      <c r="BM635" s="329" t="str">
        <f>IF(ISBLANK(Inputs!$A118),"",
IF(OR(BK635="Solved",BK635="--"),"--",
((Mat.Conc_Alpha.1*Mat.Conc_f.c*$AB635*MIN(BK635*Mat.Conc_Beta.1,$Y635))
+(Mat.Conc_Alpha.1*Mat.Conc_f.c*$V635*MAX(0,BK635*Mat.Conc_Beta.1-$Y635)))
-($J635*MIN(Mat.Rebar_f.y,(Mat.Rebar_epsilon.cl*($S635-BK635)/BK635)*Mat.PT_E.s))
-($M635*Mat.PT_f.pu*(1-Mat.PT_k*BK635/$P635))))</f>
        <v/>
      </c>
      <c r="BN635" s="329"/>
      <c r="BO635" s="167" t="str">
        <f>IF(ISBLANK(Inputs!$A118),"",
IF(BM635="--","Solved",
IF(ABS(BM635)&lt;=0.001,"Solved",BK635-BM635*(BK635-BG635)/(BM635-BI635))))</f>
        <v/>
      </c>
      <c r="BP635" s="167"/>
      <c r="BQ635" s="329" t="str">
        <f>IF(ISBLANK(Inputs!$A118),"",
IF(OR(BO635="Solved",BO635="--"),"--",
((Mat.Conc_Alpha.1*Mat.Conc_f.c*$AB635*MIN(BO635*Mat.Conc_Beta.1,$Y635))
+(Mat.Conc_Alpha.1*Mat.Conc_f.c*$V635*MAX(0,BO635*Mat.Conc_Beta.1-$Y635)))
-($J635*MIN(Mat.Rebar_f.y,(Mat.Rebar_epsilon.cl*($S635-BO635)/BO635)*Mat.PT_E.s))
-($M635*Mat.PT_f.pu*(1-Mat.PT_k*BO635/$P635))))</f>
        <v/>
      </c>
      <c r="BR635" s="329"/>
      <c r="BS635" s="70"/>
      <c r="BT635" s="70"/>
      <c r="BU635" s="70"/>
      <c r="BV635" s="70"/>
      <c r="BW635" s="8"/>
      <c r="BX635" s="8"/>
      <c r="BY635" s="8"/>
      <c r="BZ635" s="8"/>
      <c r="CA635" s="8"/>
      <c r="CB635" s="10"/>
    </row>
    <row r="636" spans="3:80" ht="15" customHeight="1" x14ac:dyDescent="0.25">
      <c r="C636" s="69"/>
      <c r="F636" s="167" t="str">
        <f>IF(ISBLANK(Inputs!A119),"",Inputs!A119)</f>
        <v/>
      </c>
      <c r="G636" s="167"/>
      <c r="H636" s="167" t="str">
        <f>IF(ISBLANK(Inputs!B119),"",Inputs!B119)</f>
        <v/>
      </c>
      <c r="I636" s="167"/>
      <c r="J636" s="168" t="str">
        <f>IF(ISBLANK(Inputs!K119),"",Inputs!K119)</f>
        <v/>
      </c>
      <c r="K636" s="168"/>
      <c r="L636" s="168"/>
      <c r="M636" s="168" t="str">
        <f>IF(ISBLANK(Inputs!D119),"",Inputs!D119)</f>
        <v/>
      </c>
      <c r="N636" s="168"/>
      <c r="O636" s="168"/>
      <c r="P636" s="168" t="str">
        <f>IF(ISBLANK(Inputs!F119),"",Inputs!$B$10-Inputs!F119)</f>
        <v/>
      </c>
      <c r="Q636" s="168"/>
      <c r="R636" s="168"/>
      <c r="S636" s="168" t="str">
        <f>IF(ISBLANK(Inputs!L119),"",Inputs!L119)</f>
        <v/>
      </c>
      <c r="T636" s="168"/>
      <c r="U636" s="168"/>
      <c r="V636" s="168" t="str">
        <f>IF(ISBLANK(Inputs!E119),"",Inputs!E119)</f>
        <v/>
      </c>
      <c r="W636" s="168"/>
      <c r="X636" s="168"/>
      <c r="Y636" s="168" t="str">
        <f>IF(ISBLANK(Inputs!M119),"",Inputs!M119)</f>
        <v/>
      </c>
      <c r="Z636" s="168"/>
      <c r="AA636" s="168"/>
      <c r="AB636" s="168" t="str">
        <f>IF(ISBLANK(Inputs!N119),"",Inputs!N119)</f>
        <v/>
      </c>
      <c r="AC636" s="168"/>
      <c r="AD636" s="168"/>
      <c r="AE636" s="371" t="str">
        <f>IF(ISBLANK(Inputs!A119),"",Y636)</f>
        <v/>
      </c>
      <c r="AF636" s="371"/>
      <c r="AG636" s="329" t="str">
        <f>IF(ISBLANK(Inputs!$A119),"",
IF(OR(AE636="Solved",AE636="--"),"--",
((Mat.Conc_Alpha.1*Mat.Conc_f.c*$AB636*MIN(AE636*Mat.Conc_Beta.1,$Y636))
+(Mat.Conc_Alpha.1*Mat.Conc_f.c*$V636*MAX(0,AE636*Mat.Conc_Beta.1-$Y636)))
-($J636*MIN(Mat.Rebar_f.y,(Mat.Rebar_epsilon.cl*($S636-AE636)/AE636)*Mat.PT_E.s))
-($M636*Mat.PT_f.pu*(1-Mat.PT_k*AE636/$P636))))</f>
        <v/>
      </c>
      <c r="AH636" s="329"/>
      <c r="AI636" s="167" t="str">
        <f>IF(ISBLANK(Inputs!$A119),"",
IF(ABS(AG636)&lt;=0.001,"Solved",IF(AG636&gt;0,0.85*AE636,1.15*AE636)))</f>
        <v/>
      </c>
      <c r="AJ636" s="167"/>
      <c r="AK636" s="329" t="str">
        <f>IF(ISBLANK(Inputs!$A119),"",
IF(OR(AI636="Solved",AI636="--"),"--",
((Mat.Conc_Alpha.1*Mat.Conc_f.c*$AB636*MIN(AI636*Mat.Conc_Beta.1,$Y636))
+(Mat.Conc_Alpha.1*Mat.Conc_f.c*$V636*MAX(0,AI636*Mat.Conc_Beta.1-$Y636)))
-($J636*MIN(Mat.Rebar_f.y,(Mat.Rebar_epsilon.cl*($S636-AI636)/AI636)*Mat.PT_E.s))
-($M636*Mat.PT_f.pu*(1-Mat.PT_k*AI636/$P636))))</f>
        <v/>
      </c>
      <c r="AL636" s="329"/>
      <c r="AM636" s="167" t="str">
        <f>IF(ISBLANK(Inputs!$A119),"",
IF(AK636="--","Solved",
IF(ABS(AK636)&lt;=0.001,"Solved",AI636-AK636*(AI636-AE636)/(AK636-AG636))))</f>
        <v/>
      </c>
      <c r="AN636" s="167"/>
      <c r="AO636" s="329" t="str">
        <f>IF(ISBLANK(Inputs!$A119),"",
IF(OR(AM636="Solved",AM636="--"),"--",
((Mat.Conc_Alpha.1*Mat.Conc_f.c*$AB636*MIN(AM636*Mat.Conc_Beta.1,$Y636))
+(Mat.Conc_Alpha.1*Mat.Conc_f.c*$V636*MAX(0,AM636*Mat.Conc_Beta.1-$Y636)))
-($J636*MIN(Mat.Rebar_f.y,(Mat.Rebar_epsilon.cl*($S636-AM636)/AM636)*Mat.PT_E.s))
-($M636*Mat.PT_f.pu*(1-Mat.PT_k*AM636/$P636))))</f>
        <v/>
      </c>
      <c r="AP636" s="329"/>
      <c r="AQ636" s="167" t="str">
        <f>IF(ISBLANK(Inputs!$A119),"",
IF(AO636="--","Solved",
IF(ABS(AO636)&lt;=0.001,"Solved",AM636-AO636*(AM636-AI636)/(AO636-AK636))))</f>
        <v/>
      </c>
      <c r="AR636" s="167"/>
      <c r="AS636" s="329" t="str">
        <f>IF(ISBLANK(Inputs!$A119),"",
IF(OR(AQ636="Solved",AQ636="--"),"--",
((Mat.Conc_Alpha.1*Mat.Conc_f.c*$AB636*MIN(AQ636*Mat.Conc_Beta.1,$Y636))
+(Mat.Conc_Alpha.1*Mat.Conc_f.c*$V636*MAX(0,AQ636*Mat.Conc_Beta.1-$Y636)))
-($J636*MIN(Mat.Rebar_f.y,(Mat.Rebar_epsilon.cl*($S636-AQ636)/AQ636)*Mat.PT_E.s))
-($M636*Mat.PT_f.pu*(1-Mat.PT_k*AQ636/$P636))))</f>
        <v/>
      </c>
      <c r="AT636" s="329"/>
      <c r="AU636" s="167" t="str">
        <f>IF(ISBLANK(Inputs!$A119),"",
IF(AS636="--","Solved",
IF(ABS(AS636)&lt;=0.001,"Solved",AQ636-AS636*(AQ636-AM636)/(AS636-AO636))))</f>
        <v/>
      </c>
      <c r="AV636" s="167"/>
      <c r="AW636" s="329" t="str">
        <f>IF(ISBLANK(Inputs!$A119),"",
IF(OR(AU636="Solved",AU636="--"),"--",
((Mat.Conc_Alpha.1*Mat.Conc_f.c*$AB636*MIN(AU636*Mat.Conc_Beta.1,$Y636))
+(Mat.Conc_Alpha.1*Mat.Conc_f.c*$V636*MAX(0,AU636*Mat.Conc_Beta.1-$Y636)))
-($J636*MIN(Mat.Rebar_f.y,(Mat.Rebar_epsilon.cl*($S636-AU636)/AU636)*Mat.PT_E.s))
-($M636*Mat.PT_f.pu*(1-Mat.PT_k*AU636/$P636))))</f>
        <v/>
      </c>
      <c r="AX636" s="329"/>
      <c r="AY636" s="167" t="str">
        <f>IF(ISBLANK(Inputs!$A119),"",
IF(AW636="--","Solved",
IF(ABS(AW636)&lt;=0.001,"Solved",AU636-AW636*(AU636-AQ636)/(AW636-AS636))))</f>
        <v/>
      </c>
      <c r="AZ636" s="167"/>
      <c r="BA636" s="329" t="str">
        <f>IF(ISBLANK(Inputs!$A119),"",
IF(OR(AY636="Solved",AY636="--"),"--",
((Mat.Conc_Alpha.1*Mat.Conc_f.c*$AB636*MIN(AY636*Mat.Conc_Beta.1,$Y636))
+(Mat.Conc_Alpha.1*Mat.Conc_f.c*$V636*MAX(0,AY636*Mat.Conc_Beta.1-$Y636)))
-($J636*MIN(Mat.Rebar_f.y,(Mat.Rebar_epsilon.cl*($S636-AY636)/AY636)*Mat.PT_E.s))
-($M636*Mat.PT_f.pu*(1-Mat.PT_k*AY636/$P636))))</f>
        <v/>
      </c>
      <c r="BB636" s="329"/>
      <c r="BC636" s="167" t="str">
        <f>IF(ISBLANK(Inputs!$A119),"",
IF(BA636="--","Solved",
IF(ABS(BA636)&lt;=0.001,"Solved",AY636-BA636*(AY636-AU636)/(BA636-AW636))))</f>
        <v/>
      </c>
      <c r="BD636" s="167"/>
      <c r="BE636" s="329" t="str">
        <f>IF(ISBLANK(Inputs!$A119),"",
IF(OR(BC636="Solved",BC636="--"),"--",
((Mat.Conc_Alpha.1*Mat.Conc_f.c*$AB636*MIN(BC636*Mat.Conc_Beta.1,$Y636))
+(Mat.Conc_Alpha.1*Mat.Conc_f.c*$V636*MAX(0,BC636*Mat.Conc_Beta.1-$Y636)))
-($J636*MIN(Mat.Rebar_f.y,(Mat.Rebar_epsilon.cl*($S636-BC636)/BC636)*Mat.PT_E.s))
-($M636*Mat.PT_f.pu*(1-Mat.PT_k*BC636/$P636))))</f>
        <v/>
      </c>
      <c r="BF636" s="329"/>
      <c r="BG636" s="167" t="str">
        <f>IF(ISBLANK(Inputs!$A119),"",
IF(BE636="--","Solved",
IF(ABS(BE636)&lt;=0.001,"Solved",BC636-BE636*(BC636-AY636)/(BE636-BA636))))</f>
        <v/>
      </c>
      <c r="BH636" s="167"/>
      <c r="BI636" s="329" t="str">
        <f>IF(ISBLANK(Inputs!$A119),"",
IF(OR(BG636="Solved",BG636="--"),"--",
((Mat.Conc_Alpha.1*Mat.Conc_f.c*$AB636*MIN(BG636*Mat.Conc_Beta.1,$Y636))
+(Mat.Conc_Alpha.1*Mat.Conc_f.c*$V636*MAX(0,BG636*Mat.Conc_Beta.1-$Y636)))
-($J636*MIN(Mat.Rebar_f.y,(Mat.Rebar_epsilon.cl*($S636-BG636)/BG636)*Mat.PT_E.s))
-($M636*Mat.PT_f.pu*(1-Mat.PT_k*BG636/$P636))))</f>
        <v/>
      </c>
      <c r="BJ636" s="329"/>
      <c r="BK636" s="167" t="str">
        <f>IF(ISBLANK(Inputs!$A119),"",
IF(BI636="--","Solved",
IF(ABS(BI636)&lt;=0.001,"Solved",BG636-BI636*(BG636-BC636)/(BI636-BE636))))</f>
        <v/>
      </c>
      <c r="BL636" s="167"/>
      <c r="BM636" s="329" t="str">
        <f>IF(ISBLANK(Inputs!$A119),"",
IF(OR(BK636="Solved",BK636="--"),"--",
((Mat.Conc_Alpha.1*Mat.Conc_f.c*$AB636*MIN(BK636*Mat.Conc_Beta.1,$Y636))
+(Mat.Conc_Alpha.1*Mat.Conc_f.c*$V636*MAX(0,BK636*Mat.Conc_Beta.1-$Y636)))
-($J636*MIN(Mat.Rebar_f.y,(Mat.Rebar_epsilon.cl*($S636-BK636)/BK636)*Mat.PT_E.s))
-($M636*Mat.PT_f.pu*(1-Mat.PT_k*BK636/$P636))))</f>
        <v/>
      </c>
      <c r="BN636" s="329"/>
      <c r="BO636" s="167" t="str">
        <f>IF(ISBLANK(Inputs!$A119),"",
IF(BM636="--","Solved",
IF(ABS(BM636)&lt;=0.001,"Solved",BK636-BM636*(BK636-BG636)/(BM636-BI636))))</f>
        <v/>
      </c>
      <c r="BP636" s="167"/>
      <c r="BQ636" s="329" t="str">
        <f>IF(ISBLANK(Inputs!$A119),"",
IF(OR(BO636="Solved",BO636="--"),"--",
((Mat.Conc_Alpha.1*Mat.Conc_f.c*$AB636*MIN(BO636*Mat.Conc_Beta.1,$Y636))
+(Mat.Conc_Alpha.1*Mat.Conc_f.c*$V636*MAX(0,BO636*Mat.Conc_Beta.1-$Y636)))
-($J636*MIN(Mat.Rebar_f.y,(Mat.Rebar_epsilon.cl*($S636-BO636)/BO636)*Mat.PT_E.s))
-($M636*Mat.PT_f.pu*(1-Mat.PT_k*BO636/$P636))))</f>
        <v/>
      </c>
      <c r="BR636" s="329"/>
      <c r="BS636" s="70"/>
      <c r="BT636" s="70"/>
      <c r="BU636" s="70"/>
      <c r="BV636" s="70"/>
      <c r="BW636" s="8"/>
      <c r="BX636" s="8"/>
      <c r="BY636" s="8"/>
      <c r="BZ636" s="8"/>
      <c r="CA636" s="8"/>
      <c r="CB636" s="10"/>
    </row>
    <row r="637" spans="3:80" ht="15" customHeight="1" x14ac:dyDescent="0.25">
      <c r="C637" s="69"/>
      <c r="F637" s="167" t="str">
        <f>IF(ISBLANK(Inputs!A120),"",Inputs!A120)</f>
        <v/>
      </c>
      <c r="G637" s="167"/>
      <c r="H637" s="167" t="str">
        <f>IF(ISBLANK(Inputs!B120),"",Inputs!B120)</f>
        <v/>
      </c>
      <c r="I637" s="167"/>
      <c r="J637" s="168" t="str">
        <f>IF(ISBLANK(Inputs!K120),"",Inputs!K120)</f>
        <v/>
      </c>
      <c r="K637" s="168"/>
      <c r="L637" s="168"/>
      <c r="M637" s="168" t="str">
        <f>IF(ISBLANK(Inputs!D120),"",Inputs!D120)</f>
        <v/>
      </c>
      <c r="N637" s="168"/>
      <c r="O637" s="168"/>
      <c r="P637" s="168" t="str">
        <f>IF(ISBLANK(Inputs!F120),"",Inputs!$B$10-Inputs!F120)</f>
        <v/>
      </c>
      <c r="Q637" s="168"/>
      <c r="R637" s="168"/>
      <c r="S637" s="168" t="str">
        <f>IF(ISBLANK(Inputs!L120),"",Inputs!L120)</f>
        <v/>
      </c>
      <c r="T637" s="168"/>
      <c r="U637" s="168"/>
      <c r="V637" s="168" t="str">
        <f>IF(ISBLANK(Inputs!E120),"",Inputs!E120)</f>
        <v/>
      </c>
      <c r="W637" s="168"/>
      <c r="X637" s="168"/>
      <c r="Y637" s="168" t="str">
        <f>IF(ISBLANK(Inputs!M120),"",Inputs!M120)</f>
        <v/>
      </c>
      <c r="Z637" s="168"/>
      <c r="AA637" s="168"/>
      <c r="AB637" s="168" t="str">
        <f>IF(ISBLANK(Inputs!N120),"",Inputs!N120)</f>
        <v/>
      </c>
      <c r="AC637" s="168"/>
      <c r="AD637" s="168"/>
      <c r="AE637" s="371" t="str">
        <f>IF(ISBLANK(Inputs!A120),"",Y637)</f>
        <v/>
      </c>
      <c r="AF637" s="371"/>
      <c r="AG637" s="329" t="str">
        <f>IF(ISBLANK(Inputs!$A120),"",
IF(OR(AE637="Solved",AE637="--"),"--",
((Mat.Conc_Alpha.1*Mat.Conc_f.c*$AB637*MIN(AE637*Mat.Conc_Beta.1,$Y637))
+(Mat.Conc_Alpha.1*Mat.Conc_f.c*$V637*MAX(0,AE637*Mat.Conc_Beta.1-$Y637)))
-($J637*MIN(Mat.Rebar_f.y,(Mat.Rebar_epsilon.cl*($S637-AE637)/AE637)*Mat.PT_E.s))
-($M637*Mat.PT_f.pu*(1-Mat.PT_k*AE637/$P637))))</f>
        <v/>
      </c>
      <c r="AH637" s="329"/>
      <c r="AI637" s="167" t="str">
        <f>IF(ISBLANK(Inputs!$A120),"",
IF(ABS(AG637)&lt;=0.001,"Solved",IF(AG637&gt;0,0.85*AE637,1.15*AE637)))</f>
        <v/>
      </c>
      <c r="AJ637" s="167"/>
      <c r="AK637" s="329" t="str">
        <f>IF(ISBLANK(Inputs!$A120),"",
IF(OR(AI637="Solved",AI637="--"),"--",
((Mat.Conc_Alpha.1*Mat.Conc_f.c*$AB637*MIN(AI637*Mat.Conc_Beta.1,$Y637))
+(Mat.Conc_Alpha.1*Mat.Conc_f.c*$V637*MAX(0,AI637*Mat.Conc_Beta.1-$Y637)))
-($J637*MIN(Mat.Rebar_f.y,(Mat.Rebar_epsilon.cl*($S637-AI637)/AI637)*Mat.PT_E.s))
-($M637*Mat.PT_f.pu*(1-Mat.PT_k*AI637/$P637))))</f>
        <v/>
      </c>
      <c r="AL637" s="329"/>
      <c r="AM637" s="167" t="str">
        <f>IF(ISBLANK(Inputs!$A120),"",
IF(AK637="--","Solved",
IF(ABS(AK637)&lt;=0.001,"Solved",AI637-AK637*(AI637-AE637)/(AK637-AG637))))</f>
        <v/>
      </c>
      <c r="AN637" s="167"/>
      <c r="AO637" s="329" t="str">
        <f>IF(ISBLANK(Inputs!$A120),"",
IF(OR(AM637="Solved",AM637="--"),"--",
((Mat.Conc_Alpha.1*Mat.Conc_f.c*$AB637*MIN(AM637*Mat.Conc_Beta.1,$Y637))
+(Mat.Conc_Alpha.1*Mat.Conc_f.c*$V637*MAX(0,AM637*Mat.Conc_Beta.1-$Y637)))
-($J637*MIN(Mat.Rebar_f.y,(Mat.Rebar_epsilon.cl*($S637-AM637)/AM637)*Mat.PT_E.s))
-($M637*Mat.PT_f.pu*(1-Mat.PT_k*AM637/$P637))))</f>
        <v/>
      </c>
      <c r="AP637" s="329"/>
      <c r="AQ637" s="167" t="str">
        <f>IF(ISBLANK(Inputs!$A120),"",
IF(AO637="--","Solved",
IF(ABS(AO637)&lt;=0.001,"Solved",AM637-AO637*(AM637-AI637)/(AO637-AK637))))</f>
        <v/>
      </c>
      <c r="AR637" s="167"/>
      <c r="AS637" s="329" t="str">
        <f>IF(ISBLANK(Inputs!$A120),"",
IF(OR(AQ637="Solved",AQ637="--"),"--",
((Mat.Conc_Alpha.1*Mat.Conc_f.c*$AB637*MIN(AQ637*Mat.Conc_Beta.1,$Y637))
+(Mat.Conc_Alpha.1*Mat.Conc_f.c*$V637*MAX(0,AQ637*Mat.Conc_Beta.1-$Y637)))
-($J637*MIN(Mat.Rebar_f.y,(Mat.Rebar_epsilon.cl*($S637-AQ637)/AQ637)*Mat.PT_E.s))
-($M637*Mat.PT_f.pu*(1-Mat.PT_k*AQ637/$P637))))</f>
        <v/>
      </c>
      <c r="AT637" s="329"/>
      <c r="AU637" s="167" t="str">
        <f>IF(ISBLANK(Inputs!$A120),"",
IF(AS637="--","Solved",
IF(ABS(AS637)&lt;=0.001,"Solved",AQ637-AS637*(AQ637-AM637)/(AS637-AO637))))</f>
        <v/>
      </c>
      <c r="AV637" s="167"/>
      <c r="AW637" s="329" t="str">
        <f>IF(ISBLANK(Inputs!$A120),"",
IF(OR(AU637="Solved",AU637="--"),"--",
((Mat.Conc_Alpha.1*Mat.Conc_f.c*$AB637*MIN(AU637*Mat.Conc_Beta.1,$Y637))
+(Mat.Conc_Alpha.1*Mat.Conc_f.c*$V637*MAX(0,AU637*Mat.Conc_Beta.1-$Y637)))
-($J637*MIN(Mat.Rebar_f.y,(Mat.Rebar_epsilon.cl*($S637-AU637)/AU637)*Mat.PT_E.s))
-($M637*Mat.PT_f.pu*(1-Mat.PT_k*AU637/$P637))))</f>
        <v/>
      </c>
      <c r="AX637" s="329"/>
      <c r="AY637" s="167" t="str">
        <f>IF(ISBLANK(Inputs!$A120),"",
IF(AW637="--","Solved",
IF(ABS(AW637)&lt;=0.001,"Solved",AU637-AW637*(AU637-AQ637)/(AW637-AS637))))</f>
        <v/>
      </c>
      <c r="AZ637" s="167"/>
      <c r="BA637" s="329" t="str">
        <f>IF(ISBLANK(Inputs!$A120),"",
IF(OR(AY637="Solved",AY637="--"),"--",
((Mat.Conc_Alpha.1*Mat.Conc_f.c*$AB637*MIN(AY637*Mat.Conc_Beta.1,$Y637))
+(Mat.Conc_Alpha.1*Mat.Conc_f.c*$V637*MAX(0,AY637*Mat.Conc_Beta.1-$Y637)))
-($J637*MIN(Mat.Rebar_f.y,(Mat.Rebar_epsilon.cl*($S637-AY637)/AY637)*Mat.PT_E.s))
-($M637*Mat.PT_f.pu*(1-Mat.PT_k*AY637/$P637))))</f>
        <v/>
      </c>
      <c r="BB637" s="329"/>
      <c r="BC637" s="167" t="str">
        <f>IF(ISBLANK(Inputs!$A120),"",
IF(BA637="--","Solved",
IF(ABS(BA637)&lt;=0.001,"Solved",AY637-BA637*(AY637-AU637)/(BA637-AW637))))</f>
        <v/>
      </c>
      <c r="BD637" s="167"/>
      <c r="BE637" s="329" t="str">
        <f>IF(ISBLANK(Inputs!$A120),"",
IF(OR(BC637="Solved",BC637="--"),"--",
((Mat.Conc_Alpha.1*Mat.Conc_f.c*$AB637*MIN(BC637*Mat.Conc_Beta.1,$Y637))
+(Mat.Conc_Alpha.1*Mat.Conc_f.c*$V637*MAX(0,BC637*Mat.Conc_Beta.1-$Y637)))
-($J637*MIN(Mat.Rebar_f.y,(Mat.Rebar_epsilon.cl*($S637-BC637)/BC637)*Mat.PT_E.s))
-($M637*Mat.PT_f.pu*(1-Mat.PT_k*BC637/$P637))))</f>
        <v/>
      </c>
      <c r="BF637" s="329"/>
      <c r="BG637" s="167" t="str">
        <f>IF(ISBLANK(Inputs!$A120),"",
IF(BE637="--","Solved",
IF(ABS(BE637)&lt;=0.001,"Solved",BC637-BE637*(BC637-AY637)/(BE637-BA637))))</f>
        <v/>
      </c>
      <c r="BH637" s="167"/>
      <c r="BI637" s="329" t="str">
        <f>IF(ISBLANK(Inputs!$A120),"",
IF(OR(BG637="Solved",BG637="--"),"--",
((Mat.Conc_Alpha.1*Mat.Conc_f.c*$AB637*MIN(BG637*Mat.Conc_Beta.1,$Y637))
+(Mat.Conc_Alpha.1*Mat.Conc_f.c*$V637*MAX(0,BG637*Mat.Conc_Beta.1-$Y637)))
-($J637*MIN(Mat.Rebar_f.y,(Mat.Rebar_epsilon.cl*($S637-BG637)/BG637)*Mat.PT_E.s))
-($M637*Mat.PT_f.pu*(1-Mat.PT_k*BG637/$P637))))</f>
        <v/>
      </c>
      <c r="BJ637" s="329"/>
      <c r="BK637" s="167" t="str">
        <f>IF(ISBLANK(Inputs!$A120),"",
IF(BI637="--","Solved",
IF(ABS(BI637)&lt;=0.001,"Solved",BG637-BI637*(BG637-BC637)/(BI637-BE637))))</f>
        <v/>
      </c>
      <c r="BL637" s="167"/>
      <c r="BM637" s="329" t="str">
        <f>IF(ISBLANK(Inputs!$A120),"",
IF(OR(BK637="Solved",BK637="--"),"--",
((Mat.Conc_Alpha.1*Mat.Conc_f.c*$AB637*MIN(BK637*Mat.Conc_Beta.1,$Y637))
+(Mat.Conc_Alpha.1*Mat.Conc_f.c*$V637*MAX(0,BK637*Mat.Conc_Beta.1-$Y637)))
-($J637*MIN(Mat.Rebar_f.y,(Mat.Rebar_epsilon.cl*($S637-BK637)/BK637)*Mat.PT_E.s))
-($M637*Mat.PT_f.pu*(1-Mat.PT_k*BK637/$P637))))</f>
        <v/>
      </c>
      <c r="BN637" s="329"/>
      <c r="BO637" s="167" t="str">
        <f>IF(ISBLANK(Inputs!$A120),"",
IF(BM637="--","Solved",
IF(ABS(BM637)&lt;=0.001,"Solved",BK637-BM637*(BK637-BG637)/(BM637-BI637))))</f>
        <v/>
      </c>
      <c r="BP637" s="167"/>
      <c r="BQ637" s="329" t="str">
        <f>IF(ISBLANK(Inputs!$A120),"",
IF(OR(BO637="Solved",BO637="--"),"--",
((Mat.Conc_Alpha.1*Mat.Conc_f.c*$AB637*MIN(BO637*Mat.Conc_Beta.1,$Y637))
+(Mat.Conc_Alpha.1*Mat.Conc_f.c*$V637*MAX(0,BO637*Mat.Conc_Beta.1-$Y637)))
-($J637*MIN(Mat.Rebar_f.y,(Mat.Rebar_epsilon.cl*($S637-BO637)/BO637)*Mat.PT_E.s))
-($M637*Mat.PT_f.pu*(1-Mat.PT_k*BO637/$P637))))</f>
        <v/>
      </c>
      <c r="BR637" s="329"/>
      <c r="BS637" s="70"/>
      <c r="BT637" s="70"/>
      <c r="BU637" s="70"/>
      <c r="BV637" s="70"/>
      <c r="BW637" s="8"/>
      <c r="BX637" s="8"/>
      <c r="BY637" s="8"/>
      <c r="BZ637" s="8"/>
      <c r="CA637" s="8"/>
      <c r="CB637" s="10"/>
    </row>
    <row r="638" spans="3:80" ht="15" customHeight="1" x14ac:dyDescent="0.25">
      <c r="C638" s="69"/>
      <c r="F638" s="167" t="str">
        <f>IF(ISBLANK(Inputs!A121),"",Inputs!A121)</f>
        <v/>
      </c>
      <c r="G638" s="167"/>
      <c r="H638" s="167" t="str">
        <f>IF(ISBLANK(Inputs!B121),"",Inputs!B121)</f>
        <v/>
      </c>
      <c r="I638" s="167"/>
      <c r="J638" s="168" t="str">
        <f>IF(ISBLANK(Inputs!K121),"",Inputs!K121)</f>
        <v/>
      </c>
      <c r="K638" s="168"/>
      <c r="L638" s="168"/>
      <c r="M638" s="168" t="str">
        <f>IF(ISBLANK(Inputs!D121),"",Inputs!D121)</f>
        <v/>
      </c>
      <c r="N638" s="168"/>
      <c r="O638" s="168"/>
      <c r="P638" s="168" t="str">
        <f>IF(ISBLANK(Inputs!F121),"",Inputs!$B$10-Inputs!F121)</f>
        <v/>
      </c>
      <c r="Q638" s="168"/>
      <c r="R638" s="168"/>
      <c r="S638" s="168" t="str">
        <f>IF(ISBLANK(Inputs!L121),"",Inputs!L121)</f>
        <v/>
      </c>
      <c r="T638" s="168"/>
      <c r="U638" s="168"/>
      <c r="V638" s="168" t="str">
        <f>IF(ISBLANK(Inputs!E121),"",Inputs!E121)</f>
        <v/>
      </c>
      <c r="W638" s="168"/>
      <c r="X638" s="168"/>
      <c r="Y638" s="168" t="str">
        <f>IF(ISBLANK(Inputs!M121),"",Inputs!M121)</f>
        <v/>
      </c>
      <c r="Z638" s="168"/>
      <c r="AA638" s="168"/>
      <c r="AB638" s="168" t="str">
        <f>IF(ISBLANK(Inputs!N121),"",Inputs!N121)</f>
        <v/>
      </c>
      <c r="AC638" s="168"/>
      <c r="AD638" s="168"/>
      <c r="AE638" s="371" t="str">
        <f>IF(ISBLANK(Inputs!A121),"",Y638)</f>
        <v/>
      </c>
      <c r="AF638" s="371"/>
      <c r="AG638" s="329" t="str">
        <f>IF(ISBLANK(Inputs!$A121),"",
IF(OR(AE638="Solved",AE638="--"),"--",
((Mat.Conc_Alpha.1*Mat.Conc_f.c*$AB638*MIN(AE638*Mat.Conc_Beta.1,$Y638))
+(Mat.Conc_Alpha.1*Mat.Conc_f.c*$V638*MAX(0,AE638*Mat.Conc_Beta.1-$Y638)))
-($J638*MIN(Mat.Rebar_f.y,(Mat.Rebar_epsilon.cl*($S638-AE638)/AE638)*Mat.PT_E.s))
-($M638*Mat.PT_f.pu*(1-Mat.PT_k*AE638/$P638))))</f>
        <v/>
      </c>
      <c r="AH638" s="329"/>
      <c r="AI638" s="167" t="str">
        <f>IF(ISBLANK(Inputs!$A121),"",
IF(ABS(AG638)&lt;=0.001,"Solved",IF(AG638&gt;0,0.85*AE638,1.15*AE638)))</f>
        <v/>
      </c>
      <c r="AJ638" s="167"/>
      <c r="AK638" s="329" t="str">
        <f>IF(ISBLANK(Inputs!$A121),"",
IF(OR(AI638="Solved",AI638="--"),"--",
((Mat.Conc_Alpha.1*Mat.Conc_f.c*$AB638*MIN(AI638*Mat.Conc_Beta.1,$Y638))
+(Mat.Conc_Alpha.1*Mat.Conc_f.c*$V638*MAX(0,AI638*Mat.Conc_Beta.1-$Y638)))
-($J638*MIN(Mat.Rebar_f.y,(Mat.Rebar_epsilon.cl*($S638-AI638)/AI638)*Mat.PT_E.s))
-($M638*Mat.PT_f.pu*(1-Mat.PT_k*AI638/$P638))))</f>
        <v/>
      </c>
      <c r="AL638" s="329"/>
      <c r="AM638" s="167" t="str">
        <f>IF(ISBLANK(Inputs!$A121),"",
IF(AK638="--","Solved",
IF(ABS(AK638)&lt;=0.001,"Solved",AI638-AK638*(AI638-AE638)/(AK638-AG638))))</f>
        <v/>
      </c>
      <c r="AN638" s="167"/>
      <c r="AO638" s="329" t="str">
        <f>IF(ISBLANK(Inputs!$A121),"",
IF(OR(AM638="Solved",AM638="--"),"--",
((Mat.Conc_Alpha.1*Mat.Conc_f.c*$AB638*MIN(AM638*Mat.Conc_Beta.1,$Y638))
+(Mat.Conc_Alpha.1*Mat.Conc_f.c*$V638*MAX(0,AM638*Mat.Conc_Beta.1-$Y638)))
-($J638*MIN(Mat.Rebar_f.y,(Mat.Rebar_epsilon.cl*($S638-AM638)/AM638)*Mat.PT_E.s))
-($M638*Mat.PT_f.pu*(1-Mat.PT_k*AM638/$P638))))</f>
        <v/>
      </c>
      <c r="AP638" s="329"/>
      <c r="AQ638" s="167" t="str">
        <f>IF(ISBLANK(Inputs!$A121),"",
IF(AO638="--","Solved",
IF(ABS(AO638)&lt;=0.001,"Solved",AM638-AO638*(AM638-AI638)/(AO638-AK638))))</f>
        <v/>
      </c>
      <c r="AR638" s="167"/>
      <c r="AS638" s="329" t="str">
        <f>IF(ISBLANK(Inputs!$A121),"",
IF(OR(AQ638="Solved",AQ638="--"),"--",
((Mat.Conc_Alpha.1*Mat.Conc_f.c*$AB638*MIN(AQ638*Mat.Conc_Beta.1,$Y638))
+(Mat.Conc_Alpha.1*Mat.Conc_f.c*$V638*MAX(0,AQ638*Mat.Conc_Beta.1-$Y638)))
-($J638*MIN(Mat.Rebar_f.y,(Mat.Rebar_epsilon.cl*($S638-AQ638)/AQ638)*Mat.PT_E.s))
-($M638*Mat.PT_f.pu*(1-Mat.PT_k*AQ638/$P638))))</f>
        <v/>
      </c>
      <c r="AT638" s="329"/>
      <c r="AU638" s="167" t="str">
        <f>IF(ISBLANK(Inputs!$A121),"",
IF(AS638="--","Solved",
IF(ABS(AS638)&lt;=0.001,"Solved",AQ638-AS638*(AQ638-AM638)/(AS638-AO638))))</f>
        <v/>
      </c>
      <c r="AV638" s="167"/>
      <c r="AW638" s="329" t="str">
        <f>IF(ISBLANK(Inputs!$A121),"",
IF(OR(AU638="Solved",AU638="--"),"--",
((Mat.Conc_Alpha.1*Mat.Conc_f.c*$AB638*MIN(AU638*Mat.Conc_Beta.1,$Y638))
+(Mat.Conc_Alpha.1*Mat.Conc_f.c*$V638*MAX(0,AU638*Mat.Conc_Beta.1-$Y638)))
-($J638*MIN(Mat.Rebar_f.y,(Mat.Rebar_epsilon.cl*($S638-AU638)/AU638)*Mat.PT_E.s))
-($M638*Mat.PT_f.pu*(1-Mat.PT_k*AU638/$P638))))</f>
        <v/>
      </c>
      <c r="AX638" s="329"/>
      <c r="AY638" s="167" t="str">
        <f>IF(ISBLANK(Inputs!$A121),"",
IF(AW638="--","Solved",
IF(ABS(AW638)&lt;=0.001,"Solved",AU638-AW638*(AU638-AQ638)/(AW638-AS638))))</f>
        <v/>
      </c>
      <c r="AZ638" s="167"/>
      <c r="BA638" s="329" t="str">
        <f>IF(ISBLANK(Inputs!$A121),"",
IF(OR(AY638="Solved",AY638="--"),"--",
((Mat.Conc_Alpha.1*Mat.Conc_f.c*$AB638*MIN(AY638*Mat.Conc_Beta.1,$Y638))
+(Mat.Conc_Alpha.1*Mat.Conc_f.c*$V638*MAX(0,AY638*Mat.Conc_Beta.1-$Y638)))
-($J638*MIN(Mat.Rebar_f.y,(Mat.Rebar_epsilon.cl*($S638-AY638)/AY638)*Mat.PT_E.s))
-($M638*Mat.PT_f.pu*(1-Mat.PT_k*AY638/$P638))))</f>
        <v/>
      </c>
      <c r="BB638" s="329"/>
      <c r="BC638" s="167" t="str">
        <f>IF(ISBLANK(Inputs!$A121),"",
IF(BA638="--","Solved",
IF(ABS(BA638)&lt;=0.001,"Solved",AY638-BA638*(AY638-AU638)/(BA638-AW638))))</f>
        <v/>
      </c>
      <c r="BD638" s="167"/>
      <c r="BE638" s="329" t="str">
        <f>IF(ISBLANK(Inputs!$A121),"",
IF(OR(BC638="Solved",BC638="--"),"--",
((Mat.Conc_Alpha.1*Mat.Conc_f.c*$AB638*MIN(BC638*Mat.Conc_Beta.1,$Y638))
+(Mat.Conc_Alpha.1*Mat.Conc_f.c*$V638*MAX(0,BC638*Mat.Conc_Beta.1-$Y638)))
-($J638*MIN(Mat.Rebar_f.y,(Mat.Rebar_epsilon.cl*($S638-BC638)/BC638)*Mat.PT_E.s))
-($M638*Mat.PT_f.pu*(1-Mat.PT_k*BC638/$P638))))</f>
        <v/>
      </c>
      <c r="BF638" s="329"/>
      <c r="BG638" s="167" t="str">
        <f>IF(ISBLANK(Inputs!$A121),"",
IF(BE638="--","Solved",
IF(ABS(BE638)&lt;=0.001,"Solved",BC638-BE638*(BC638-AY638)/(BE638-BA638))))</f>
        <v/>
      </c>
      <c r="BH638" s="167"/>
      <c r="BI638" s="329" t="str">
        <f>IF(ISBLANK(Inputs!$A121),"",
IF(OR(BG638="Solved",BG638="--"),"--",
((Mat.Conc_Alpha.1*Mat.Conc_f.c*$AB638*MIN(BG638*Mat.Conc_Beta.1,$Y638))
+(Mat.Conc_Alpha.1*Mat.Conc_f.c*$V638*MAX(0,BG638*Mat.Conc_Beta.1-$Y638)))
-($J638*MIN(Mat.Rebar_f.y,(Mat.Rebar_epsilon.cl*($S638-BG638)/BG638)*Mat.PT_E.s))
-($M638*Mat.PT_f.pu*(1-Mat.PT_k*BG638/$P638))))</f>
        <v/>
      </c>
      <c r="BJ638" s="329"/>
      <c r="BK638" s="167" t="str">
        <f>IF(ISBLANK(Inputs!$A121),"",
IF(BI638="--","Solved",
IF(ABS(BI638)&lt;=0.001,"Solved",BG638-BI638*(BG638-BC638)/(BI638-BE638))))</f>
        <v/>
      </c>
      <c r="BL638" s="167"/>
      <c r="BM638" s="329" t="str">
        <f>IF(ISBLANK(Inputs!$A121),"",
IF(OR(BK638="Solved",BK638="--"),"--",
((Mat.Conc_Alpha.1*Mat.Conc_f.c*$AB638*MIN(BK638*Mat.Conc_Beta.1,$Y638))
+(Mat.Conc_Alpha.1*Mat.Conc_f.c*$V638*MAX(0,BK638*Mat.Conc_Beta.1-$Y638)))
-($J638*MIN(Mat.Rebar_f.y,(Mat.Rebar_epsilon.cl*($S638-BK638)/BK638)*Mat.PT_E.s))
-($M638*Mat.PT_f.pu*(1-Mat.PT_k*BK638/$P638))))</f>
        <v/>
      </c>
      <c r="BN638" s="329"/>
      <c r="BO638" s="167" t="str">
        <f>IF(ISBLANK(Inputs!$A121),"",
IF(BM638="--","Solved",
IF(ABS(BM638)&lt;=0.001,"Solved",BK638-BM638*(BK638-BG638)/(BM638-BI638))))</f>
        <v/>
      </c>
      <c r="BP638" s="167"/>
      <c r="BQ638" s="329" t="str">
        <f>IF(ISBLANK(Inputs!$A121),"",
IF(OR(BO638="Solved",BO638="--"),"--",
((Mat.Conc_Alpha.1*Mat.Conc_f.c*$AB638*MIN(BO638*Mat.Conc_Beta.1,$Y638))
+(Mat.Conc_Alpha.1*Mat.Conc_f.c*$V638*MAX(0,BO638*Mat.Conc_Beta.1-$Y638)))
-($J638*MIN(Mat.Rebar_f.y,(Mat.Rebar_epsilon.cl*($S638-BO638)/BO638)*Mat.PT_E.s))
-($M638*Mat.PT_f.pu*(1-Mat.PT_k*BO638/$P638))))</f>
        <v/>
      </c>
      <c r="BR638" s="329"/>
      <c r="BS638" s="70"/>
      <c r="BT638" s="70"/>
      <c r="BU638" s="70"/>
      <c r="BV638" s="70"/>
      <c r="BW638" s="8"/>
      <c r="BX638" s="8"/>
      <c r="BY638" s="8"/>
      <c r="BZ638" s="8"/>
      <c r="CA638" s="8"/>
      <c r="CB638" s="10"/>
    </row>
    <row r="639" spans="3:80" ht="15" customHeight="1" x14ac:dyDescent="0.25">
      <c r="C639" s="69"/>
      <c r="F639" s="167" t="str">
        <f>IF(ISBLANK(Inputs!A122),"",Inputs!A122)</f>
        <v/>
      </c>
      <c r="G639" s="167"/>
      <c r="H639" s="167" t="str">
        <f>IF(ISBLANK(Inputs!B122),"",Inputs!B122)</f>
        <v/>
      </c>
      <c r="I639" s="167"/>
      <c r="J639" s="168" t="str">
        <f>IF(ISBLANK(Inputs!K122),"",Inputs!K122)</f>
        <v/>
      </c>
      <c r="K639" s="168"/>
      <c r="L639" s="168"/>
      <c r="M639" s="168" t="str">
        <f>IF(ISBLANK(Inputs!D122),"",Inputs!D122)</f>
        <v/>
      </c>
      <c r="N639" s="168"/>
      <c r="O639" s="168"/>
      <c r="P639" s="168" t="str">
        <f>IF(ISBLANK(Inputs!F122),"",Inputs!$B$10-Inputs!F122)</f>
        <v/>
      </c>
      <c r="Q639" s="168"/>
      <c r="R639" s="168"/>
      <c r="S639" s="168" t="str">
        <f>IF(ISBLANK(Inputs!L122),"",Inputs!L122)</f>
        <v/>
      </c>
      <c r="T639" s="168"/>
      <c r="U639" s="168"/>
      <c r="V639" s="168" t="str">
        <f>IF(ISBLANK(Inputs!E122),"",Inputs!E122)</f>
        <v/>
      </c>
      <c r="W639" s="168"/>
      <c r="X639" s="168"/>
      <c r="Y639" s="168" t="str">
        <f>IF(ISBLANK(Inputs!M122),"",Inputs!M122)</f>
        <v/>
      </c>
      <c r="Z639" s="168"/>
      <c r="AA639" s="168"/>
      <c r="AB639" s="168" t="str">
        <f>IF(ISBLANK(Inputs!N122),"",Inputs!N122)</f>
        <v/>
      </c>
      <c r="AC639" s="168"/>
      <c r="AD639" s="168"/>
      <c r="AE639" s="371" t="str">
        <f>IF(ISBLANK(Inputs!A122),"",Y639)</f>
        <v/>
      </c>
      <c r="AF639" s="371"/>
      <c r="AG639" s="329" t="str">
        <f>IF(ISBLANK(Inputs!$A122),"",
IF(OR(AE639="Solved",AE639="--"),"--",
((Mat.Conc_Alpha.1*Mat.Conc_f.c*$AB639*MIN(AE639*Mat.Conc_Beta.1,$Y639))
+(Mat.Conc_Alpha.1*Mat.Conc_f.c*$V639*MAX(0,AE639*Mat.Conc_Beta.1-$Y639)))
-($J639*MIN(Mat.Rebar_f.y,(Mat.Rebar_epsilon.cl*($S639-AE639)/AE639)*Mat.PT_E.s))
-($M639*Mat.PT_f.pu*(1-Mat.PT_k*AE639/$P639))))</f>
        <v/>
      </c>
      <c r="AH639" s="329"/>
      <c r="AI639" s="167" t="str">
        <f>IF(ISBLANK(Inputs!$A122),"",
IF(ABS(AG639)&lt;=0.001,"Solved",IF(AG639&gt;0,0.85*AE639,1.15*AE639)))</f>
        <v/>
      </c>
      <c r="AJ639" s="167"/>
      <c r="AK639" s="329" t="str">
        <f>IF(ISBLANK(Inputs!$A122),"",
IF(OR(AI639="Solved",AI639="--"),"--",
((Mat.Conc_Alpha.1*Mat.Conc_f.c*$AB639*MIN(AI639*Mat.Conc_Beta.1,$Y639))
+(Mat.Conc_Alpha.1*Mat.Conc_f.c*$V639*MAX(0,AI639*Mat.Conc_Beta.1-$Y639)))
-($J639*MIN(Mat.Rebar_f.y,(Mat.Rebar_epsilon.cl*($S639-AI639)/AI639)*Mat.PT_E.s))
-($M639*Mat.PT_f.pu*(1-Mat.PT_k*AI639/$P639))))</f>
        <v/>
      </c>
      <c r="AL639" s="329"/>
      <c r="AM639" s="167" t="str">
        <f>IF(ISBLANK(Inputs!$A122),"",
IF(AK639="--","Solved",
IF(ABS(AK639)&lt;=0.001,"Solved",AI639-AK639*(AI639-AE639)/(AK639-AG639))))</f>
        <v/>
      </c>
      <c r="AN639" s="167"/>
      <c r="AO639" s="329" t="str">
        <f>IF(ISBLANK(Inputs!$A122),"",
IF(OR(AM639="Solved",AM639="--"),"--",
((Mat.Conc_Alpha.1*Mat.Conc_f.c*$AB639*MIN(AM639*Mat.Conc_Beta.1,$Y639))
+(Mat.Conc_Alpha.1*Mat.Conc_f.c*$V639*MAX(0,AM639*Mat.Conc_Beta.1-$Y639)))
-($J639*MIN(Mat.Rebar_f.y,(Mat.Rebar_epsilon.cl*($S639-AM639)/AM639)*Mat.PT_E.s))
-($M639*Mat.PT_f.pu*(1-Mat.PT_k*AM639/$P639))))</f>
        <v/>
      </c>
      <c r="AP639" s="329"/>
      <c r="AQ639" s="167" t="str">
        <f>IF(ISBLANK(Inputs!$A122),"",
IF(AO639="--","Solved",
IF(ABS(AO639)&lt;=0.001,"Solved",AM639-AO639*(AM639-AI639)/(AO639-AK639))))</f>
        <v/>
      </c>
      <c r="AR639" s="167"/>
      <c r="AS639" s="329" t="str">
        <f>IF(ISBLANK(Inputs!$A122),"",
IF(OR(AQ639="Solved",AQ639="--"),"--",
((Mat.Conc_Alpha.1*Mat.Conc_f.c*$AB639*MIN(AQ639*Mat.Conc_Beta.1,$Y639))
+(Mat.Conc_Alpha.1*Mat.Conc_f.c*$V639*MAX(0,AQ639*Mat.Conc_Beta.1-$Y639)))
-($J639*MIN(Mat.Rebar_f.y,(Mat.Rebar_epsilon.cl*($S639-AQ639)/AQ639)*Mat.PT_E.s))
-($M639*Mat.PT_f.pu*(1-Mat.PT_k*AQ639/$P639))))</f>
        <v/>
      </c>
      <c r="AT639" s="329"/>
      <c r="AU639" s="167" t="str">
        <f>IF(ISBLANK(Inputs!$A122),"",
IF(AS639="--","Solved",
IF(ABS(AS639)&lt;=0.001,"Solved",AQ639-AS639*(AQ639-AM639)/(AS639-AO639))))</f>
        <v/>
      </c>
      <c r="AV639" s="167"/>
      <c r="AW639" s="329" t="str">
        <f>IF(ISBLANK(Inputs!$A122),"",
IF(OR(AU639="Solved",AU639="--"),"--",
((Mat.Conc_Alpha.1*Mat.Conc_f.c*$AB639*MIN(AU639*Mat.Conc_Beta.1,$Y639))
+(Mat.Conc_Alpha.1*Mat.Conc_f.c*$V639*MAX(0,AU639*Mat.Conc_Beta.1-$Y639)))
-($J639*MIN(Mat.Rebar_f.y,(Mat.Rebar_epsilon.cl*($S639-AU639)/AU639)*Mat.PT_E.s))
-($M639*Mat.PT_f.pu*(1-Mat.PT_k*AU639/$P639))))</f>
        <v/>
      </c>
      <c r="AX639" s="329"/>
      <c r="AY639" s="167" t="str">
        <f>IF(ISBLANK(Inputs!$A122),"",
IF(AW639="--","Solved",
IF(ABS(AW639)&lt;=0.001,"Solved",AU639-AW639*(AU639-AQ639)/(AW639-AS639))))</f>
        <v/>
      </c>
      <c r="AZ639" s="167"/>
      <c r="BA639" s="329" t="str">
        <f>IF(ISBLANK(Inputs!$A122),"",
IF(OR(AY639="Solved",AY639="--"),"--",
((Mat.Conc_Alpha.1*Mat.Conc_f.c*$AB639*MIN(AY639*Mat.Conc_Beta.1,$Y639))
+(Mat.Conc_Alpha.1*Mat.Conc_f.c*$V639*MAX(0,AY639*Mat.Conc_Beta.1-$Y639)))
-($J639*MIN(Mat.Rebar_f.y,(Mat.Rebar_epsilon.cl*($S639-AY639)/AY639)*Mat.PT_E.s))
-($M639*Mat.PT_f.pu*(1-Mat.PT_k*AY639/$P639))))</f>
        <v/>
      </c>
      <c r="BB639" s="329"/>
      <c r="BC639" s="167" t="str">
        <f>IF(ISBLANK(Inputs!$A122),"",
IF(BA639="--","Solved",
IF(ABS(BA639)&lt;=0.001,"Solved",AY639-BA639*(AY639-AU639)/(BA639-AW639))))</f>
        <v/>
      </c>
      <c r="BD639" s="167"/>
      <c r="BE639" s="329" t="str">
        <f>IF(ISBLANK(Inputs!$A122),"",
IF(OR(BC639="Solved",BC639="--"),"--",
((Mat.Conc_Alpha.1*Mat.Conc_f.c*$AB639*MIN(BC639*Mat.Conc_Beta.1,$Y639))
+(Mat.Conc_Alpha.1*Mat.Conc_f.c*$V639*MAX(0,BC639*Mat.Conc_Beta.1-$Y639)))
-($J639*MIN(Mat.Rebar_f.y,(Mat.Rebar_epsilon.cl*($S639-BC639)/BC639)*Mat.PT_E.s))
-($M639*Mat.PT_f.pu*(1-Mat.PT_k*BC639/$P639))))</f>
        <v/>
      </c>
      <c r="BF639" s="329"/>
      <c r="BG639" s="167" t="str">
        <f>IF(ISBLANK(Inputs!$A122),"",
IF(BE639="--","Solved",
IF(ABS(BE639)&lt;=0.001,"Solved",BC639-BE639*(BC639-AY639)/(BE639-BA639))))</f>
        <v/>
      </c>
      <c r="BH639" s="167"/>
      <c r="BI639" s="329" t="str">
        <f>IF(ISBLANK(Inputs!$A122),"",
IF(OR(BG639="Solved",BG639="--"),"--",
((Mat.Conc_Alpha.1*Mat.Conc_f.c*$AB639*MIN(BG639*Mat.Conc_Beta.1,$Y639))
+(Mat.Conc_Alpha.1*Mat.Conc_f.c*$V639*MAX(0,BG639*Mat.Conc_Beta.1-$Y639)))
-($J639*MIN(Mat.Rebar_f.y,(Mat.Rebar_epsilon.cl*($S639-BG639)/BG639)*Mat.PT_E.s))
-($M639*Mat.PT_f.pu*(1-Mat.PT_k*BG639/$P639))))</f>
        <v/>
      </c>
      <c r="BJ639" s="329"/>
      <c r="BK639" s="167" t="str">
        <f>IF(ISBLANK(Inputs!$A122),"",
IF(BI639="--","Solved",
IF(ABS(BI639)&lt;=0.001,"Solved",BG639-BI639*(BG639-BC639)/(BI639-BE639))))</f>
        <v/>
      </c>
      <c r="BL639" s="167"/>
      <c r="BM639" s="329" t="str">
        <f>IF(ISBLANK(Inputs!$A122),"",
IF(OR(BK639="Solved",BK639="--"),"--",
((Mat.Conc_Alpha.1*Mat.Conc_f.c*$AB639*MIN(BK639*Mat.Conc_Beta.1,$Y639))
+(Mat.Conc_Alpha.1*Mat.Conc_f.c*$V639*MAX(0,BK639*Mat.Conc_Beta.1-$Y639)))
-($J639*MIN(Mat.Rebar_f.y,(Mat.Rebar_epsilon.cl*($S639-BK639)/BK639)*Mat.PT_E.s))
-($M639*Mat.PT_f.pu*(1-Mat.PT_k*BK639/$P639))))</f>
        <v/>
      </c>
      <c r="BN639" s="329"/>
      <c r="BO639" s="167" t="str">
        <f>IF(ISBLANK(Inputs!$A122),"",
IF(BM639="--","Solved",
IF(ABS(BM639)&lt;=0.001,"Solved",BK639-BM639*(BK639-BG639)/(BM639-BI639))))</f>
        <v/>
      </c>
      <c r="BP639" s="167"/>
      <c r="BQ639" s="329" t="str">
        <f>IF(ISBLANK(Inputs!$A122),"",
IF(OR(BO639="Solved",BO639="--"),"--",
((Mat.Conc_Alpha.1*Mat.Conc_f.c*$AB639*MIN(BO639*Mat.Conc_Beta.1,$Y639))
+(Mat.Conc_Alpha.1*Mat.Conc_f.c*$V639*MAX(0,BO639*Mat.Conc_Beta.1-$Y639)))
-($J639*MIN(Mat.Rebar_f.y,(Mat.Rebar_epsilon.cl*($S639-BO639)/BO639)*Mat.PT_E.s))
-($M639*Mat.PT_f.pu*(1-Mat.PT_k*BO639/$P639))))</f>
        <v/>
      </c>
      <c r="BR639" s="329"/>
      <c r="BS639" s="70"/>
      <c r="BT639" s="70"/>
      <c r="BU639" s="70"/>
      <c r="BV639" s="70"/>
      <c r="BW639" s="8"/>
      <c r="BX639" s="8"/>
      <c r="BY639" s="8"/>
      <c r="BZ639" s="8"/>
      <c r="CA639" s="8"/>
      <c r="CB639" s="10"/>
    </row>
    <row r="640" spans="3:80" ht="15" customHeight="1" x14ac:dyDescent="0.25">
      <c r="C640" s="69"/>
      <c r="F640" s="167" t="str">
        <f>IF(ISBLANK(Inputs!A123),"",Inputs!A123)</f>
        <v/>
      </c>
      <c r="G640" s="167"/>
      <c r="H640" s="167" t="str">
        <f>IF(ISBLANK(Inputs!B123),"",Inputs!B123)</f>
        <v/>
      </c>
      <c r="I640" s="167"/>
      <c r="J640" s="168" t="str">
        <f>IF(ISBLANK(Inputs!K123),"",Inputs!K123)</f>
        <v/>
      </c>
      <c r="K640" s="168"/>
      <c r="L640" s="168"/>
      <c r="M640" s="168" t="str">
        <f>IF(ISBLANK(Inputs!D123),"",Inputs!D123)</f>
        <v/>
      </c>
      <c r="N640" s="168"/>
      <c r="O640" s="168"/>
      <c r="P640" s="168" t="str">
        <f>IF(ISBLANK(Inputs!F123),"",Inputs!$B$10-Inputs!F123)</f>
        <v/>
      </c>
      <c r="Q640" s="168"/>
      <c r="R640" s="168"/>
      <c r="S640" s="168" t="str">
        <f>IF(ISBLANK(Inputs!L123),"",Inputs!L123)</f>
        <v/>
      </c>
      <c r="T640" s="168"/>
      <c r="U640" s="168"/>
      <c r="V640" s="168" t="str">
        <f>IF(ISBLANK(Inputs!E123),"",Inputs!E123)</f>
        <v/>
      </c>
      <c r="W640" s="168"/>
      <c r="X640" s="168"/>
      <c r="Y640" s="168" t="str">
        <f>IF(ISBLANK(Inputs!M123),"",Inputs!M123)</f>
        <v/>
      </c>
      <c r="Z640" s="168"/>
      <c r="AA640" s="168"/>
      <c r="AB640" s="168" t="str">
        <f>IF(ISBLANK(Inputs!N123),"",Inputs!N123)</f>
        <v/>
      </c>
      <c r="AC640" s="168"/>
      <c r="AD640" s="168"/>
      <c r="AE640" s="371" t="str">
        <f>IF(ISBLANK(Inputs!A123),"",Y640)</f>
        <v/>
      </c>
      <c r="AF640" s="371"/>
      <c r="AG640" s="329" t="str">
        <f>IF(ISBLANK(Inputs!$A123),"",
IF(OR(AE640="Solved",AE640="--"),"--",
((Mat.Conc_Alpha.1*Mat.Conc_f.c*$AB640*MIN(AE640*Mat.Conc_Beta.1,$Y640))
+(Mat.Conc_Alpha.1*Mat.Conc_f.c*$V640*MAX(0,AE640*Mat.Conc_Beta.1-$Y640)))
-($J640*MIN(Mat.Rebar_f.y,(Mat.Rebar_epsilon.cl*($S640-AE640)/AE640)*Mat.PT_E.s))
-($M640*Mat.PT_f.pu*(1-Mat.PT_k*AE640/$P640))))</f>
        <v/>
      </c>
      <c r="AH640" s="329"/>
      <c r="AI640" s="167" t="str">
        <f>IF(ISBLANK(Inputs!$A123),"",
IF(ABS(AG640)&lt;=0.001,"Solved",IF(AG640&gt;0,0.85*AE640,1.15*AE640)))</f>
        <v/>
      </c>
      <c r="AJ640" s="167"/>
      <c r="AK640" s="329" t="str">
        <f>IF(ISBLANK(Inputs!$A123),"",
IF(OR(AI640="Solved",AI640="--"),"--",
((Mat.Conc_Alpha.1*Mat.Conc_f.c*$AB640*MIN(AI640*Mat.Conc_Beta.1,$Y640))
+(Mat.Conc_Alpha.1*Mat.Conc_f.c*$V640*MAX(0,AI640*Mat.Conc_Beta.1-$Y640)))
-($J640*MIN(Mat.Rebar_f.y,(Mat.Rebar_epsilon.cl*($S640-AI640)/AI640)*Mat.PT_E.s))
-($M640*Mat.PT_f.pu*(1-Mat.PT_k*AI640/$P640))))</f>
        <v/>
      </c>
      <c r="AL640" s="329"/>
      <c r="AM640" s="167" t="str">
        <f>IF(ISBLANK(Inputs!$A123),"",
IF(AK640="--","Solved",
IF(ABS(AK640)&lt;=0.001,"Solved",AI640-AK640*(AI640-AE640)/(AK640-AG640))))</f>
        <v/>
      </c>
      <c r="AN640" s="167"/>
      <c r="AO640" s="329" t="str">
        <f>IF(ISBLANK(Inputs!$A123),"",
IF(OR(AM640="Solved",AM640="--"),"--",
((Mat.Conc_Alpha.1*Mat.Conc_f.c*$AB640*MIN(AM640*Mat.Conc_Beta.1,$Y640))
+(Mat.Conc_Alpha.1*Mat.Conc_f.c*$V640*MAX(0,AM640*Mat.Conc_Beta.1-$Y640)))
-($J640*MIN(Mat.Rebar_f.y,(Mat.Rebar_epsilon.cl*($S640-AM640)/AM640)*Mat.PT_E.s))
-($M640*Mat.PT_f.pu*(1-Mat.PT_k*AM640/$P640))))</f>
        <v/>
      </c>
      <c r="AP640" s="329"/>
      <c r="AQ640" s="167" t="str">
        <f>IF(ISBLANK(Inputs!$A123),"",
IF(AO640="--","Solved",
IF(ABS(AO640)&lt;=0.001,"Solved",AM640-AO640*(AM640-AI640)/(AO640-AK640))))</f>
        <v/>
      </c>
      <c r="AR640" s="167"/>
      <c r="AS640" s="329" t="str">
        <f>IF(ISBLANK(Inputs!$A123),"",
IF(OR(AQ640="Solved",AQ640="--"),"--",
((Mat.Conc_Alpha.1*Mat.Conc_f.c*$AB640*MIN(AQ640*Mat.Conc_Beta.1,$Y640))
+(Mat.Conc_Alpha.1*Mat.Conc_f.c*$V640*MAX(0,AQ640*Mat.Conc_Beta.1-$Y640)))
-($J640*MIN(Mat.Rebar_f.y,(Mat.Rebar_epsilon.cl*($S640-AQ640)/AQ640)*Mat.PT_E.s))
-($M640*Mat.PT_f.pu*(1-Mat.PT_k*AQ640/$P640))))</f>
        <v/>
      </c>
      <c r="AT640" s="329"/>
      <c r="AU640" s="167" t="str">
        <f>IF(ISBLANK(Inputs!$A123),"",
IF(AS640="--","Solved",
IF(ABS(AS640)&lt;=0.001,"Solved",AQ640-AS640*(AQ640-AM640)/(AS640-AO640))))</f>
        <v/>
      </c>
      <c r="AV640" s="167"/>
      <c r="AW640" s="329" t="str">
        <f>IF(ISBLANK(Inputs!$A123),"",
IF(OR(AU640="Solved",AU640="--"),"--",
((Mat.Conc_Alpha.1*Mat.Conc_f.c*$AB640*MIN(AU640*Mat.Conc_Beta.1,$Y640))
+(Mat.Conc_Alpha.1*Mat.Conc_f.c*$V640*MAX(0,AU640*Mat.Conc_Beta.1-$Y640)))
-($J640*MIN(Mat.Rebar_f.y,(Mat.Rebar_epsilon.cl*($S640-AU640)/AU640)*Mat.PT_E.s))
-($M640*Mat.PT_f.pu*(1-Mat.PT_k*AU640/$P640))))</f>
        <v/>
      </c>
      <c r="AX640" s="329"/>
      <c r="AY640" s="167" t="str">
        <f>IF(ISBLANK(Inputs!$A123),"",
IF(AW640="--","Solved",
IF(ABS(AW640)&lt;=0.001,"Solved",AU640-AW640*(AU640-AQ640)/(AW640-AS640))))</f>
        <v/>
      </c>
      <c r="AZ640" s="167"/>
      <c r="BA640" s="329" t="str">
        <f>IF(ISBLANK(Inputs!$A123),"",
IF(OR(AY640="Solved",AY640="--"),"--",
((Mat.Conc_Alpha.1*Mat.Conc_f.c*$AB640*MIN(AY640*Mat.Conc_Beta.1,$Y640))
+(Mat.Conc_Alpha.1*Mat.Conc_f.c*$V640*MAX(0,AY640*Mat.Conc_Beta.1-$Y640)))
-($J640*MIN(Mat.Rebar_f.y,(Mat.Rebar_epsilon.cl*($S640-AY640)/AY640)*Mat.PT_E.s))
-($M640*Mat.PT_f.pu*(1-Mat.PT_k*AY640/$P640))))</f>
        <v/>
      </c>
      <c r="BB640" s="329"/>
      <c r="BC640" s="167" t="str">
        <f>IF(ISBLANK(Inputs!$A123),"",
IF(BA640="--","Solved",
IF(ABS(BA640)&lt;=0.001,"Solved",AY640-BA640*(AY640-AU640)/(BA640-AW640))))</f>
        <v/>
      </c>
      <c r="BD640" s="167"/>
      <c r="BE640" s="329" t="str">
        <f>IF(ISBLANK(Inputs!$A123),"",
IF(OR(BC640="Solved",BC640="--"),"--",
((Mat.Conc_Alpha.1*Mat.Conc_f.c*$AB640*MIN(BC640*Mat.Conc_Beta.1,$Y640))
+(Mat.Conc_Alpha.1*Mat.Conc_f.c*$V640*MAX(0,BC640*Mat.Conc_Beta.1-$Y640)))
-($J640*MIN(Mat.Rebar_f.y,(Mat.Rebar_epsilon.cl*($S640-BC640)/BC640)*Mat.PT_E.s))
-($M640*Mat.PT_f.pu*(1-Mat.PT_k*BC640/$P640))))</f>
        <v/>
      </c>
      <c r="BF640" s="329"/>
      <c r="BG640" s="167" t="str">
        <f>IF(ISBLANK(Inputs!$A123),"",
IF(BE640="--","Solved",
IF(ABS(BE640)&lt;=0.001,"Solved",BC640-BE640*(BC640-AY640)/(BE640-BA640))))</f>
        <v/>
      </c>
      <c r="BH640" s="167"/>
      <c r="BI640" s="329" t="str">
        <f>IF(ISBLANK(Inputs!$A123),"",
IF(OR(BG640="Solved",BG640="--"),"--",
((Mat.Conc_Alpha.1*Mat.Conc_f.c*$AB640*MIN(BG640*Mat.Conc_Beta.1,$Y640))
+(Mat.Conc_Alpha.1*Mat.Conc_f.c*$V640*MAX(0,BG640*Mat.Conc_Beta.1-$Y640)))
-($J640*MIN(Mat.Rebar_f.y,(Mat.Rebar_epsilon.cl*($S640-BG640)/BG640)*Mat.PT_E.s))
-($M640*Mat.PT_f.pu*(1-Mat.PT_k*BG640/$P640))))</f>
        <v/>
      </c>
      <c r="BJ640" s="329"/>
      <c r="BK640" s="167" t="str">
        <f>IF(ISBLANK(Inputs!$A123),"",
IF(BI640="--","Solved",
IF(ABS(BI640)&lt;=0.001,"Solved",BG640-BI640*(BG640-BC640)/(BI640-BE640))))</f>
        <v/>
      </c>
      <c r="BL640" s="167"/>
      <c r="BM640" s="329" t="str">
        <f>IF(ISBLANK(Inputs!$A123),"",
IF(OR(BK640="Solved",BK640="--"),"--",
((Mat.Conc_Alpha.1*Mat.Conc_f.c*$AB640*MIN(BK640*Mat.Conc_Beta.1,$Y640))
+(Mat.Conc_Alpha.1*Mat.Conc_f.c*$V640*MAX(0,BK640*Mat.Conc_Beta.1-$Y640)))
-($J640*MIN(Mat.Rebar_f.y,(Mat.Rebar_epsilon.cl*($S640-BK640)/BK640)*Mat.PT_E.s))
-($M640*Mat.PT_f.pu*(1-Mat.PT_k*BK640/$P640))))</f>
        <v/>
      </c>
      <c r="BN640" s="329"/>
      <c r="BO640" s="167" t="str">
        <f>IF(ISBLANK(Inputs!$A123),"",
IF(BM640="--","Solved",
IF(ABS(BM640)&lt;=0.001,"Solved",BK640-BM640*(BK640-BG640)/(BM640-BI640))))</f>
        <v/>
      </c>
      <c r="BP640" s="167"/>
      <c r="BQ640" s="329" t="str">
        <f>IF(ISBLANK(Inputs!$A123),"",
IF(OR(BO640="Solved",BO640="--"),"--",
((Mat.Conc_Alpha.1*Mat.Conc_f.c*$AB640*MIN(BO640*Mat.Conc_Beta.1,$Y640))
+(Mat.Conc_Alpha.1*Mat.Conc_f.c*$V640*MAX(0,BO640*Mat.Conc_Beta.1-$Y640)))
-($J640*MIN(Mat.Rebar_f.y,(Mat.Rebar_epsilon.cl*($S640-BO640)/BO640)*Mat.PT_E.s))
-($M640*Mat.PT_f.pu*(1-Mat.PT_k*BO640/$P640))))</f>
        <v/>
      </c>
      <c r="BR640" s="329"/>
      <c r="BS640" s="70"/>
      <c r="BT640" s="70"/>
      <c r="BU640" s="70"/>
      <c r="BV640" s="70"/>
      <c r="BW640" s="8"/>
      <c r="BX640" s="8"/>
      <c r="BY640" s="8"/>
      <c r="BZ640" s="8"/>
      <c r="CA640" s="8"/>
      <c r="CB640" s="10"/>
    </row>
    <row r="641" spans="3:80" ht="15" customHeight="1" x14ac:dyDescent="0.25">
      <c r="C641" s="69"/>
      <c r="F641" s="167" t="str">
        <f>IF(ISBLANK(Inputs!A124),"",Inputs!A124)</f>
        <v/>
      </c>
      <c r="G641" s="167"/>
      <c r="H641" s="167" t="str">
        <f>IF(ISBLANK(Inputs!B124),"",Inputs!B124)</f>
        <v/>
      </c>
      <c r="I641" s="167"/>
      <c r="J641" s="168" t="str">
        <f>IF(ISBLANK(Inputs!K124),"",Inputs!K124)</f>
        <v/>
      </c>
      <c r="K641" s="168"/>
      <c r="L641" s="168"/>
      <c r="M641" s="168" t="str">
        <f>IF(ISBLANK(Inputs!D124),"",Inputs!D124)</f>
        <v/>
      </c>
      <c r="N641" s="168"/>
      <c r="O641" s="168"/>
      <c r="P641" s="168" t="str">
        <f>IF(ISBLANK(Inputs!F124),"",Inputs!$B$10-Inputs!F124)</f>
        <v/>
      </c>
      <c r="Q641" s="168"/>
      <c r="R641" s="168"/>
      <c r="S641" s="168" t="str">
        <f>IF(ISBLANK(Inputs!L124),"",Inputs!L124)</f>
        <v/>
      </c>
      <c r="T641" s="168"/>
      <c r="U641" s="168"/>
      <c r="V641" s="168" t="str">
        <f>IF(ISBLANK(Inputs!E124),"",Inputs!E124)</f>
        <v/>
      </c>
      <c r="W641" s="168"/>
      <c r="X641" s="168"/>
      <c r="Y641" s="168" t="str">
        <f>IF(ISBLANK(Inputs!M124),"",Inputs!M124)</f>
        <v/>
      </c>
      <c r="Z641" s="168"/>
      <c r="AA641" s="168"/>
      <c r="AB641" s="168" t="str">
        <f>IF(ISBLANK(Inputs!N124),"",Inputs!N124)</f>
        <v/>
      </c>
      <c r="AC641" s="168"/>
      <c r="AD641" s="168"/>
      <c r="AE641" s="371" t="str">
        <f>IF(ISBLANK(Inputs!A124),"",Y641)</f>
        <v/>
      </c>
      <c r="AF641" s="371"/>
      <c r="AG641" s="329" t="str">
        <f>IF(ISBLANK(Inputs!$A124),"",
IF(OR(AE641="Solved",AE641="--"),"--",
((Mat.Conc_Alpha.1*Mat.Conc_f.c*$AB641*MIN(AE641*Mat.Conc_Beta.1,$Y641))
+(Mat.Conc_Alpha.1*Mat.Conc_f.c*$V641*MAX(0,AE641*Mat.Conc_Beta.1-$Y641)))
-($J641*MIN(Mat.Rebar_f.y,(Mat.Rebar_epsilon.cl*($S641-AE641)/AE641)*Mat.PT_E.s))
-($M641*Mat.PT_f.pu*(1-Mat.PT_k*AE641/$P641))))</f>
        <v/>
      </c>
      <c r="AH641" s="329"/>
      <c r="AI641" s="167" t="str">
        <f>IF(ISBLANK(Inputs!$A124),"",
IF(ABS(AG641)&lt;=0.001,"Solved",IF(AG641&gt;0,0.85*AE641,1.15*AE641)))</f>
        <v/>
      </c>
      <c r="AJ641" s="167"/>
      <c r="AK641" s="329" t="str">
        <f>IF(ISBLANK(Inputs!$A124),"",
IF(OR(AI641="Solved",AI641="--"),"--",
((Mat.Conc_Alpha.1*Mat.Conc_f.c*$AB641*MIN(AI641*Mat.Conc_Beta.1,$Y641))
+(Mat.Conc_Alpha.1*Mat.Conc_f.c*$V641*MAX(0,AI641*Mat.Conc_Beta.1-$Y641)))
-($J641*MIN(Mat.Rebar_f.y,(Mat.Rebar_epsilon.cl*($S641-AI641)/AI641)*Mat.PT_E.s))
-($M641*Mat.PT_f.pu*(1-Mat.PT_k*AI641/$P641))))</f>
        <v/>
      </c>
      <c r="AL641" s="329"/>
      <c r="AM641" s="167" t="str">
        <f>IF(ISBLANK(Inputs!$A124),"",
IF(AK641="--","Solved",
IF(ABS(AK641)&lt;=0.001,"Solved",AI641-AK641*(AI641-AE641)/(AK641-AG641))))</f>
        <v/>
      </c>
      <c r="AN641" s="167"/>
      <c r="AO641" s="329" t="str">
        <f>IF(ISBLANK(Inputs!$A124),"",
IF(OR(AM641="Solved",AM641="--"),"--",
((Mat.Conc_Alpha.1*Mat.Conc_f.c*$AB641*MIN(AM641*Mat.Conc_Beta.1,$Y641))
+(Mat.Conc_Alpha.1*Mat.Conc_f.c*$V641*MAX(0,AM641*Mat.Conc_Beta.1-$Y641)))
-($J641*MIN(Mat.Rebar_f.y,(Mat.Rebar_epsilon.cl*($S641-AM641)/AM641)*Mat.PT_E.s))
-($M641*Mat.PT_f.pu*(1-Mat.PT_k*AM641/$P641))))</f>
        <v/>
      </c>
      <c r="AP641" s="329"/>
      <c r="AQ641" s="167" t="str">
        <f>IF(ISBLANK(Inputs!$A124),"",
IF(AO641="--","Solved",
IF(ABS(AO641)&lt;=0.001,"Solved",AM641-AO641*(AM641-AI641)/(AO641-AK641))))</f>
        <v/>
      </c>
      <c r="AR641" s="167"/>
      <c r="AS641" s="329" t="str">
        <f>IF(ISBLANK(Inputs!$A124),"",
IF(OR(AQ641="Solved",AQ641="--"),"--",
((Mat.Conc_Alpha.1*Mat.Conc_f.c*$AB641*MIN(AQ641*Mat.Conc_Beta.1,$Y641))
+(Mat.Conc_Alpha.1*Mat.Conc_f.c*$V641*MAX(0,AQ641*Mat.Conc_Beta.1-$Y641)))
-($J641*MIN(Mat.Rebar_f.y,(Mat.Rebar_epsilon.cl*($S641-AQ641)/AQ641)*Mat.PT_E.s))
-($M641*Mat.PT_f.pu*(1-Mat.PT_k*AQ641/$P641))))</f>
        <v/>
      </c>
      <c r="AT641" s="329"/>
      <c r="AU641" s="167" t="str">
        <f>IF(ISBLANK(Inputs!$A124),"",
IF(AS641="--","Solved",
IF(ABS(AS641)&lt;=0.001,"Solved",AQ641-AS641*(AQ641-AM641)/(AS641-AO641))))</f>
        <v/>
      </c>
      <c r="AV641" s="167"/>
      <c r="AW641" s="329" t="str">
        <f>IF(ISBLANK(Inputs!$A124),"",
IF(OR(AU641="Solved",AU641="--"),"--",
((Mat.Conc_Alpha.1*Mat.Conc_f.c*$AB641*MIN(AU641*Mat.Conc_Beta.1,$Y641))
+(Mat.Conc_Alpha.1*Mat.Conc_f.c*$V641*MAX(0,AU641*Mat.Conc_Beta.1-$Y641)))
-($J641*MIN(Mat.Rebar_f.y,(Mat.Rebar_epsilon.cl*($S641-AU641)/AU641)*Mat.PT_E.s))
-($M641*Mat.PT_f.pu*(1-Mat.PT_k*AU641/$P641))))</f>
        <v/>
      </c>
      <c r="AX641" s="329"/>
      <c r="AY641" s="167" t="str">
        <f>IF(ISBLANK(Inputs!$A124),"",
IF(AW641="--","Solved",
IF(ABS(AW641)&lt;=0.001,"Solved",AU641-AW641*(AU641-AQ641)/(AW641-AS641))))</f>
        <v/>
      </c>
      <c r="AZ641" s="167"/>
      <c r="BA641" s="329" t="str">
        <f>IF(ISBLANK(Inputs!$A124),"",
IF(OR(AY641="Solved",AY641="--"),"--",
((Mat.Conc_Alpha.1*Mat.Conc_f.c*$AB641*MIN(AY641*Mat.Conc_Beta.1,$Y641))
+(Mat.Conc_Alpha.1*Mat.Conc_f.c*$V641*MAX(0,AY641*Mat.Conc_Beta.1-$Y641)))
-($J641*MIN(Mat.Rebar_f.y,(Mat.Rebar_epsilon.cl*($S641-AY641)/AY641)*Mat.PT_E.s))
-($M641*Mat.PT_f.pu*(1-Mat.PT_k*AY641/$P641))))</f>
        <v/>
      </c>
      <c r="BB641" s="329"/>
      <c r="BC641" s="167" t="str">
        <f>IF(ISBLANK(Inputs!$A124),"",
IF(BA641="--","Solved",
IF(ABS(BA641)&lt;=0.001,"Solved",AY641-BA641*(AY641-AU641)/(BA641-AW641))))</f>
        <v/>
      </c>
      <c r="BD641" s="167"/>
      <c r="BE641" s="329" t="str">
        <f>IF(ISBLANK(Inputs!$A124),"",
IF(OR(BC641="Solved",BC641="--"),"--",
((Mat.Conc_Alpha.1*Mat.Conc_f.c*$AB641*MIN(BC641*Mat.Conc_Beta.1,$Y641))
+(Mat.Conc_Alpha.1*Mat.Conc_f.c*$V641*MAX(0,BC641*Mat.Conc_Beta.1-$Y641)))
-($J641*MIN(Mat.Rebar_f.y,(Mat.Rebar_epsilon.cl*($S641-BC641)/BC641)*Mat.PT_E.s))
-($M641*Mat.PT_f.pu*(1-Mat.PT_k*BC641/$P641))))</f>
        <v/>
      </c>
      <c r="BF641" s="329"/>
      <c r="BG641" s="167" t="str">
        <f>IF(ISBLANK(Inputs!$A124),"",
IF(BE641="--","Solved",
IF(ABS(BE641)&lt;=0.001,"Solved",BC641-BE641*(BC641-AY641)/(BE641-BA641))))</f>
        <v/>
      </c>
      <c r="BH641" s="167"/>
      <c r="BI641" s="329" t="str">
        <f>IF(ISBLANK(Inputs!$A124),"",
IF(OR(BG641="Solved",BG641="--"),"--",
((Mat.Conc_Alpha.1*Mat.Conc_f.c*$AB641*MIN(BG641*Mat.Conc_Beta.1,$Y641))
+(Mat.Conc_Alpha.1*Mat.Conc_f.c*$V641*MAX(0,BG641*Mat.Conc_Beta.1-$Y641)))
-($J641*MIN(Mat.Rebar_f.y,(Mat.Rebar_epsilon.cl*($S641-BG641)/BG641)*Mat.PT_E.s))
-($M641*Mat.PT_f.pu*(1-Mat.PT_k*BG641/$P641))))</f>
        <v/>
      </c>
      <c r="BJ641" s="329"/>
      <c r="BK641" s="167" t="str">
        <f>IF(ISBLANK(Inputs!$A124),"",
IF(BI641="--","Solved",
IF(ABS(BI641)&lt;=0.001,"Solved",BG641-BI641*(BG641-BC641)/(BI641-BE641))))</f>
        <v/>
      </c>
      <c r="BL641" s="167"/>
      <c r="BM641" s="329" t="str">
        <f>IF(ISBLANK(Inputs!$A124),"",
IF(OR(BK641="Solved",BK641="--"),"--",
((Mat.Conc_Alpha.1*Mat.Conc_f.c*$AB641*MIN(BK641*Mat.Conc_Beta.1,$Y641))
+(Mat.Conc_Alpha.1*Mat.Conc_f.c*$V641*MAX(0,BK641*Mat.Conc_Beta.1-$Y641)))
-($J641*MIN(Mat.Rebar_f.y,(Mat.Rebar_epsilon.cl*($S641-BK641)/BK641)*Mat.PT_E.s))
-($M641*Mat.PT_f.pu*(1-Mat.PT_k*BK641/$P641))))</f>
        <v/>
      </c>
      <c r="BN641" s="329"/>
      <c r="BO641" s="167" t="str">
        <f>IF(ISBLANK(Inputs!$A124),"",
IF(BM641="--","Solved",
IF(ABS(BM641)&lt;=0.001,"Solved",BK641-BM641*(BK641-BG641)/(BM641-BI641))))</f>
        <v/>
      </c>
      <c r="BP641" s="167"/>
      <c r="BQ641" s="329" t="str">
        <f>IF(ISBLANK(Inputs!$A124),"",
IF(OR(BO641="Solved",BO641="--"),"--",
((Mat.Conc_Alpha.1*Mat.Conc_f.c*$AB641*MIN(BO641*Mat.Conc_Beta.1,$Y641))
+(Mat.Conc_Alpha.1*Mat.Conc_f.c*$V641*MAX(0,BO641*Mat.Conc_Beta.1-$Y641)))
-($J641*MIN(Mat.Rebar_f.y,(Mat.Rebar_epsilon.cl*($S641-BO641)/BO641)*Mat.PT_E.s))
-($M641*Mat.PT_f.pu*(1-Mat.PT_k*BO641/$P641))))</f>
        <v/>
      </c>
      <c r="BR641" s="329"/>
      <c r="BS641" s="70"/>
      <c r="BT641" s="70"/>
      <c r="BU641" s="70"/>
      <c r="BV641" s="70"/>
      <c r="BW641" s="8"/>
      <c r="BX641" s="8"/>
      <c r="BY641" s="8"/>
      <c r="BZ641" s="8"/>
      <c r="CA641" s="8"/>
      <c r="CB641" s="10"/>
    </row>
    <row r="642" spans="3:80" ht="15" customHeight="1" x14ac:dyDescent="0.25">
      <c r="C642" s="69"/>
      <c r="BS642" s="70"/>
      <c r="BT642" s="70"/>
      <c r="BU642" s="70"/>
      <c r="BV642" s="70"/>
      <c r="BW642" s="8"/>
      <c r="BX642" s="8"/>
      <c r="BY642" s="8"/>
      <c r="BZ642" s="8"/>
      <c r="CA642" s="8"/>
      <c r="CB642" s="10"/>
    </row>
    <row r="643" spans="3:80" ht="15" customHeight="1" x14ac:dyDescent="0.25">
      <c r="C643" s="69"/>
      <c r="BS643" s="70"/>
      <c r="BT643" s="70"/>
      <c r="BU643" s="70"/>
      <c r="BV643" s="70"/>
      <c r="BW643" s="8"/>
      <c r="BX643" s="8"/>
      <c r="BY643" s="8"/>
      <c r="BZ643" s="8"/>
      <c r="CA643" s="8"/>
      <c r="CB643" s="10"/>
    </row>
    <row r="644" spans="3:80" ht="15" customHeight="1" x14ac:dyDescent="0.25">
      <c r="C644" s="69"/>
      <c r="BS644" s="70"/>
      <c r="BT644" s="70"/>
      <c r="BU644" s="70"/>
      <c r="BV644" s="70"/>
      <c r="BW644" s="8"/>
      <c r="BX644" s="8"/>
      <c r="BY644" s="8"/>
      <c r="BZ644" s="8"/>
      <c r="CA644" s="8"/>
      <c r="CB644" s="10"/>
    </row>
    <row r="645" spans="3:80" ht="15" customHeight="1" x14ac:dyDescent="0.25">
      <c r="C645" s="69"/>
      <c r="BS645" s="70"/>
      <c r="BT645" s="70"/>
      <c r="BU645" s="70"/>
      <c r="BV645" s="70"/>
      <c r="BW645" s="8"/>
      <c r="BX645" s="8"/>
      <c r="BY645" s="8"/>
      <c r="BZ645" s="8"/>
      <c r="CA645" s="8"/>
      <c r="CB645" s="10"/>
    </row>
    <row r="646" spans="3:80" ht="15" customHeight="1" x14ac:dyDescent="0.25">
      <c r="C646" s="69"/>
      <c r="BS646" s="70"/>
      <c r="BT646" s="70"/>
      <c r="BU646" s="70"/>
      <c r="BV646" s="70"/>
      <c r="BW646" s="8"/>
      <c r="BX646" s="8"/>
      <c r="BY646" s="8"/>
      <c r="BZ646" s="8"/>
      <c r="CA646" s="8"/>
      <c r="CB646" s="10"/>
    </row>
    <row r="647" spans="3:80" ht="15" customHeight="1" x14ac:dyDescent="0.25">
      <c r="C647" s="69"/>
      <c r="BS647" s="70"/>
      <c r="BT647" s="70"/>
      <c r="BU647" s="70"/>
      <c r="BV647" s="70"/>
      <c r="BW647" s="8"/>
      <c r="BX647" s="8"/>
      <c r="BY647" s="8"/>
      <c r="BZ647" s="8"/>
      <c r="CA647" s="8"/>
      <c r="CB647" s="10"/>
    </row>
    <row r="648" spans="3:80" ht="15" customHeight="1" x14ac:dyDescent="0.25">
      <c r="C648" s="69"/>
      <c r="BS648" s="70"/>
      <c r="BT648" s="70"/>
      <c r="BU648" s="70"/>
      <c r="BV648" s="70"/>
      <c r="BW648" s="8"/>
      <c r="BX648" s="8"/>
      <c r="BY648" s="8"/>
      <c r="BZ648" s="8"/>
      <c r="CA648" s="8"/>
      <c r="CB648" s="10"/>
    </row>
    <row r="649" spans="3:80" ht="15" customHeight="1" x14ac:dyDescent="0.25">
      <c r="C649" s="69"/>
      <c r="BS649" s="70"/>
      <c r="BT649" s="70"/>
      <c r="BU649" s="70"/>
      <c r="BV649" s="70"/>
      <c r="BW649" s="8"/>
      <c r="BX649" s="8"/>
      <c r="BY649" s="8"/>
      <c r="BZ649" s="8"/>
      <c r="CA649" s="8"/>
      <c r="CB649" s="10"/>
    </row>
    <row r="650" spans="3:80" ht="15" customHeight="1" x14ac:dyDescent="0.25">
      <c r="C650" s="69"/>
      <c r="BS650" s="70"/>
      <c r="BT650" s="70"/>
      <c r="BU650" s="70"/>
      <c r="BV650" s="70"/>
      <c r="BW650" s="8"/>
      <c r="BX650" s="8"/>
      <c r="BY650" s="8"/>
      <c r="BZ650" s="8"/>
      <c r="CA650" s="8"/>
      <c r="CB650" s="10"/>
    </row>
    <row r="651" spans="3:80" ht="15" customHeight="1" x14ac:dyDescent="0.25">
      <c r="C651" s="69"/>
      <c r="BS651" s="70"/>
      <c r="BT651" s="70"/>
      <c r="BU651" s="70"/>
      <c r="BV651" s="70"/>
      <c r="BW651" s="8"/>
      <c r="BX651" s="8"/>
      <c r="BY651" s="8"/>
      <c r="BZ651" s="8"/>
      <c r="CA651" s="8"/>
      <c r="CB651" s="10"/>
    </row>
    <row r="652" spans="3:80" ht="15" customHeight="1" x14ac:dyDescent="0.25">
      <c r="C652" s="69"/>
      <c r="BS652" s="70"/>
      <c r="BT652" s="70"/>
      <c r="BU652" s="70"/>
      <c r="BV652" s="70"/>
      <c r="BW652" s="8"/>
      <c r="BX652" s="8"/>
      <c r="BY652" s="8"/>
      <c r="BZ652" s="8"/>
      <c r="CA652" s="8"/>
      <c r="CB652" s="10"/>
    </row>
    <row r="653" spans="3:80" ht="15" customHeight="1" x14ac:dyDescent="0.25">
      <c r="C653" s="69"/>
      <c r="BS653" s="70"/>
      <c r="BT653" s="70"/>
      <c r="BU653" s="70"/>
      <c r="BV653" s="70"/>
      <c r="BW653" s="8"/>
      <c r="BX653" s="8"/>
      <c r="BY653" s="8"/>
      <c r="BZ653" s="8"/>
      <c r="CA653" s="8"/>
      <c r="CB653" s="10"/>
    </row>
    <row r="654" spans="3:80" ht="15" customHeight="1" x14ac:dyDescent="0.25">
      <c r="C654" s="69"/>
      <c r="BS654" s="70"/>
      <c r="BT654" s="70"/>
      <c r="BU654" s="70"/>
      <c r="BV654" s="70"/>
      <c r="BW654" s="8"/>
      <c r="BX654" s="8"/>
      <c r="BY654" s="8"/>
      <c r="BZ654" s="8"/>
      <c r="CA654" s="8"/>
      <c r="CB654" s="10"/>
    </row>
    <row r="655" spans="3:80" ht="15" customHeight="1" x14ac:dyDescent="0.25">
      <c r="C655" s="69"/>
      <c r="BS655" s="70"/>
      <c r="BT655" s="70"/>
      <c r="BU655" s="70"/>
      <c r="BV655" s="70"/>
      <c r="BW655" s="8"/>
      <c r="BX655" s="8"/>
      <c r="BY655" s="8"/>
      <c r="BZ655" s="8"/>
      <c r="CA655" s="8"/>
      <c r="CB655" s="10"/>
    </row>
    <row r="656" spans="3:80" ht="15" customHeight="1" x14ac:dyDescent="0.25">
      <c r="C656" s="69"/>
      <c r="BS656" s="70"/>
      <c r="BT656" s="70"/>
      <c r="BU656" s="70"/>
      <c r="BV656" s="70"/>
      <c r="BW656" s="8"/>
      <c r="BX656" s="8"/>
      <c r="BY656" s="8"/>
      <c r="BZ656" s="8"/>
      <c r="CA656" s="8"/>
      <c r="CB656" s="10"/>
    </row>
    <row r="657" spans="3:80" ht="15" customHeight="1" x14ac:dyDescent="0.25">
      <c r="C657" s="69"/>
      <c r="BS657" s="70"/>
      <c r="BT657" s="70"/>
      <c r="BU657" s="70"/>
      <c r="BV657" s="70"/>
      <c r="BW657" s="8"/>
      <c r="BX657" s="8"/>
      <c r="BY657" s="8"/>
      <c r="BZ657" s="8"/>
      <c r="CA657" s="8"/>
      <c r="CB657" s="10"/>
    </row>
    <row r="658" spans="3:80" ht="15" customHeight="1" x14ac:dyDescent="0.25">
      <c r="C658" s="69"/>
      <c r="BS658" s="70"/>
      <c r="BT658" s="70"/>
      <c r="BU658" s="70"/>
      <c r="BV658" s="70"/>
      <c r="BW658" s="8"/>
      <c r="BX658" s="8"/>
      <c r="BY658" s="8"/>
      <c r="BZ658" s="8"/>
      <c r="CA658" s="8"/>
      <c r="CB658" s="10"/>
    </row>
    <row r="659" spans="3:80" ht="15" customHeight="1" x14ac:dyDescent="0.25">
      <c r="C659" s="69"/>
      <c r="BS659" s="70"/>
      <c r="BT659" s="70"/>
      <c r="BU659" s="70"/>
      <c r="BV659" s="70"/>
      <c r="BW659" s="8"/>
      <c r="BX659" s="8"/>
      <c r="BY659" s="8"/>
      <c r="BZ659" s="8"/>
      <c r="CA659" s="8"/>
      <c r="CB659" s="10"/>
    </row>
    <row r="660" spans="3:80" ht="15" customHeight="1" x14ac:dyDescent="0.25">
      <c r="C660" s="69"/>
      <c r="BS660" s="70"/>
      <c r="BT660" s="70"/>
      <c r="BU660" s="70"/>
      <c r="BV660" s="70"/>
      <c r="BW660" s="8"/>
      <c r="BX660" s="8"/>
      <c r="BY660" s="8"/>
      <c r="BZ660" s="8"/>
      <c r="CA660" s="8"/>
      <c r="CB660" s="10"/>
    </row>
    <row r="661" spans="3:80" ht="15" customHeight="1" x14ac:dyDescent="0.25">
      <c r="C661" s="69"/>
      <c r="BS661" s="70"/>
      <c r="BT661" s="70"/>
      <c r="BU661" s="70"/>
      <c r="BV661" s="70"/>
      <c r="BW661" s="8"/>
      <c r="BX661" s="8"/>
      <c r="BY661" s="8"/>
      <c r="BZ661" s="8"/>
      <c r="CA661" s="8"/>
      <c r="CB661" s="10"/>
    </row>
    <row r="662" spans="3:80" ht="15" customHeight="1" x14ac:dyDescent="0.25">
      <c r="C662" s="69"/>
      <c r="BS662" s="70"/>
      <c r="BT662" s="70"/>
      <c r="BU662" s="70"/>
      <c r="BV662" s="70"/>
      <c r="BW662" s="8"/>
      <c r="BX662" s="8"/>
      <c r="BY662" s="8"/>
      <c r="BZ662" s="8"/>
      <c r="CA662" s="8"/>
      <c r="CB662" s="10"/>
    </row>
    <row r="663" spans="3:80" ht="15" customHeight="1" x14ac:dyDescent="0.25">
      <c r="C663" s="69"/>
      <c r="BS663" s="70"/>
      <c r="BT663" s="70"/>
      <c r="BU663" s="70"/>
      <c r="BV663" s="70"/>
      <c r="BW663" s="8"/>
      <c r="BX663" s="8"/>
      <c r="BY663" s="8"/>
      <c r="BZ663" s="8"/>
      <c r="CA663" s="8"/>
      <c r="CB663" s="10"/>
    </row>
    <row r="664" spans="3:80" ht="15" customHeight="1" x14ac:dyDescent="0.25">
      <c r="C664" s="69"/>
      <c r="BS664" s="70"/>
      <c r="BT664" s="70"/>
      <c r="BU664" s="70"/>
      <c r="BV664" s="70"/>
      <c r="BW664" s="8"/>
      <c r="BX664" s="8"/>
      <c r="BY664" s="8"/>
      <c r="BZ664" s="8"/>
      <c r="CA664" s="8"/>
      <c r="CB664" s="10"/>
    </row>
    <row r="665" spans="3:80" ht="15" customHeight="1" x14ac:dyDescent="0.25">
      <c r="C665" s="69"/>
      <c r="BS665" s="70"/>
      <c r="BT665" s="70"/>
      <c r="BU665" s="70"/>
      <c r="BV665" s="70"/>
      <c r="BW665" s="8"/>
      <c r="BX665" s="8"/>
      <c r="BY665" s="8"/>
      <c r="BZ665" s="8"/>
      <c r="CA665" s="8"/>
      <c r="CB665" s="10"/>
    </row>
    <row r="666" spans="3:80" ht="15" customHeight="1" x14ac:dyDescent="0.25">
      <c r="C666" s="69"/>
      <c r="BS666" s="70"/>
      <c r="BT666" s="70"/>
      <c r="BU666" s="70"/>
      <c r="BV666" s="70"/>
      <c r="BW666" s="8"/>
      <c r="BX666" s="8"/>
      <c r="BY666" s="8"/>
      <c r="BZ666" s="8"/>
      <c r="CA666" s="8"/>
      <c r="CB666" s="10"/>
    </row>
    <row r="667" spans="3:80" ht="15" customHeight="1" x14ac:dyDescent="0.25">
      <c r="C667" s="69"/>
      <c r="BS667" s="70"/>
      <c r="BT667" s="70"/>
      <c r="BU667" s="70"/>
      <c r="BV667" s="70"/>
      <c r="BW667" s="8"/>
      <c r="BX667" s="8"/>
      <c r="BY667" s="8"/>
      <c r="BZ667" s="8"/>
      <c r="CA667" s="8"/>
      <c r="CB667" s="10"/>
    </row>
    <row r="668" spans="3:80" ht="15" customHeight="1" x14ac:dyDescent="0.25">
      <c r="C668" s="69"/>
      <c r="F668" s="338" t="str">
        <f>"Table "&amp;Inputs!$B$14&amp;"-5:  Factored Flexural Resistance and Demand"</f>
        <v>Table C.1-5:  Factored Flexural Resistance and Demand</v>
      </c>
      <c r="G668" s="338"/>
      <c r="H668" s="338"/>
      <c r="I668" s="338"/>
      <c r="J668" s="338"/>
      <c r="K668" s="338"/>
      <c r="L668" s="338"/>
      <c r="M668" s="338"/>
      <c r="N668" s="338"/>
      <c r="O668" s="338"/>
      <c r="P668" s="338"/>
      <c r="Q668" s="338"/>
      <c r="R668" s="338"/>
      <c r="S668" s="338"/>
      <c r="T668" s="338"/>
      <c r="U668" s="338"/>
      <c r="V668" s="338"/>
      <c r="W668" s="338"/>
      <c r="X668" s="338"/>
      <c r="Y668" s="338"/>
      <c r="Z668" s="338"/>
      <c r="AA668" s="338"/>
      <c r="AB668" s="338"/>
      <c r="AC668" s="338"/>
      <c r="AD668" s="338"/>
      <c r="AE668" s="338"/>
      <c r="AF668" s="338"/>
      <c r="AG668" s="338"/>
      <c r="AH668" s="338"/>
      <c r="AI668" s="338"/>
      <c r="AJ668" s="338"/>
      <c r="AK668" s="338"/>
      <c r="AL668" s="338"/>
      <c r="AM668" s="338"/>
      <c r="AN668" s="338"/>
      <c r="AO668" s="338"/>
      <c r="AP668" s="338"/>
      <c r="AQ668" s="338"/>
      <c r="AR668" s="338"/>
      <c r="AS668" s="338"/>
      <c r="AT668" s="338"/>
      <c r="AU668" s="338"/>
      <c r="AV668" s="338"/>
      <c r="AW668" s="338"/>
      <c r="AX668" s="338"/>
      <c r="AY668" s="338"/>
      <c r="AZ668" s="338"/>
      <c r="BA668" s="338"/>
      <c r="BB668" s="338"/>
      <c r="BC668" s="338"/>
      <c r="BD668" s="338"/>
      <c r="BE668" s="338"/>
      <c r="BF668" s="338"/>
      <c r="BG668" s="338"/>
      <c r="BH668" s="338"/>
      <c r="BI668" s="338"/>
      <c r="BJ668" s="338"/>
      <c r="BK668" s="338"/>
      <c r="BL668" s="338"/>
      <c r="BM668" s="338"/>
      <c r="BN668" s="338"/>
      <c r="BO668" s="338"/>
      <c r="BP668" s="338"/>
      <c r="BQ668" s="338"/>
      <c r="BR668" s="95"/>
      <c r="BS668" s="71"/>
      <c r="BT668" s="70"/>
      <c r="BU668" s="70"/>
      <c r="BV668" s="70"/>
      <c r="BW668" s="8"/>
      <c r="BX668" s="8"/>
      <c r="BY668" s="8"/>
      <c r="BZ668" s="8"/>
      <c r="CA668" s="8"/>
      <c r="CB668" s="10"/>
    </row>
    <row r="669" spans="3:80" ht="15" customHeight="1" x14ac:dyDescent="0.25">
      <c r="C669" s="69"/>
      <c r="F669" s="346" t="s">
        <v>159</v>
      </c>
      <c r="G669" s="346"/>
      <c r="H669" s="346"/>
      <c r="I669" s="347"/>
      <c r="J669" s="350" t="s">
        <v>263</v>
      </c>
      <c r="K669" s="326"/>
      <c r="L669" s="326"/>
      <c r="M669" s="326"/>
      <c r="N669" s="326"/>
      <c r="O669" s="326"/>
      <c r="P669" s="326"/>
      <c r="Q669" s="326"/>
      <c r="R669" s="326"/>
      <c r="S669" s="326"/>
      <c r="T669" s="326"/>
      <c r="U669" s="326"/>
      <c r="V669" s="326"/>
      <c r="W669" s="326"/>
      <c r="X669" s="326"/>
      <c r="Y669" s="326"/>
      <c r="Z669" s="326"/>
      <c r="AA669" s="326"/>
      <c r="AB669" s="326"/>
      <c r="AC669" s="326"/>
      <c r="AD669" s="326"/>
      <c r="AE669" s="326"/>
      <c r="AF669" s="326"/>
      <c r="AG669" s="326"/>
      <c r="AH669" s="326"/>
      <c r="AI669" s="326"/>
      <c r="AJ669" s="353"/>
      <c r="AK669" s="358" t="s">
        <v>264</v>
      </c>
      <c r="AL669" s="182"/>
      <c r="AM669" s="182"/>
      <c r="AN669" s="182"/>
      <c r="AO669" s="182"/>
      <c r="AP669" s="182"/>
      <c r="AQ669" s="182"/>
      <c r="AR669" s="182"/>
      <c r="AS669" s="182"/>
      <c r="AT669" s="182"/>
      <c r="AU669" s="182"/>
      <c r="AV669" s="182"/>
      <c r="AW669" s="182"/>
      <c r="AX669" s="182"/>
      <c r="AY669" s="182"/>
      <c r="AZ669" s="182"/>
      <c r="BA669" s="182"/>
      <c r="BB669" s="182"/>
      <c r="BC669" s="182"/>
      <c r="BD669" s="182"/>
      <c r="BE669" s="182"/>
      <c r="BF669" s="182"/>
      <c r="BG669" s="182"/>
      <c r="BH669" s="182"/>
      <c r="BI669" s="182"/>
      <c r="BJ669" s="182"/>
      <c r="BK669" s="359"/>
      <c r="BL669" s="360" t="s">
        <v>299</v>
      </c>
      <c r="BM669" s="360"/>
      <c r="BN669" s="361"/>
      <c r="BO669" s="366" t="s">
        <v>265</v>
      </c>
      <c r="BP669" s="360"/>
      <c r="BQ669" s="361"/>
      <c r="BR669" s="95"/>
      <c r="BS669" s="71"/>
      <c r="BT669" s="70"/>
      <c r="BU669" s="70"/>
      <c r="BV669" s="70"/>
      <c r="BW669" s="8"/>
      <c r="BX669" s="8"/>
      <c r="BY669" s="8"/>
      <c r="BZ669" s="8"/>
      <c r="CA669" s="8"/>
      <c r="CB669" s="10"/>
    </row>
    <row r="670" spans="3:80" ht="15" customHeight="1" x14ac:dyDescent="0.25">
      <c r="C670" s="69"/>
      <c r="F670" s="326" t="s">
        <v>50</v>
      </c>
      <c r="G670" s="326"/>
      <c r="H670" s="326" t="s">
        <v>363</v>
      </c>
      <c r="I670" s="348"/>
      <c r="J670" s="350" t="s">
        <v>262</v>
      </c>
      <c r="K670" s="326"/>
      <c r="L670" s="326" t="s">
        <v>261</v>
      </c>
      <c r="M670" s="326"/>
      <c r="N670" s="352" t="s">
        <v>288</v>
      </c>
      <c r="O670" s="326"/>
      <c r="P670" s="352" t="s">
        <v>289</v>
      </c>
      <c r="Q670" s="326"/>
      <c r="R670" s="352" t="s">
        <v>290</v>
      </c>
      <c r="S670" s="326"/>
      <c r="T670" s="352" t="s">
        <v>291</v>
      </c>
      <c r="U670" s="326"/>
      <c r="V670" s="352" t="s">
        <v>292</v>
      </c>
      <c r="W670" s="326"/>
      <c r="X670" s="352" t="s">
        <v>293</v>
      </c>
      <c r="Y670" s="326"/>
      <c r="Z670" s="352" t="s">
        <v>294</v>
      </c>
      <c r="AA670" s="326"/>
      <c r="AB670" s="352" t="s">
        <v>295</v>
      </c>
      <c r="AC670" s="326"/>
      <c r="AD670" s="352" t="s">
        <v>296</v>
      </c>
      <c r="AE670" s="326"/>
      <c r="AF670" s="326" t="s">
        <v>260</v>
      </c>
      <c r="AG670" s="326"/>
      <c r="AH670" s="352" t="s">
        <v>297</v>
      </c>
      <c r="AI670" s="326"/>
      <c r="AJ670" s="353"/>
      <c r="AK670" s="350" t="s">
        <v>262</v>
      </c>
      <c r="AL670" s="326"/>
      <c r="AM670" s="326" t="s">
        <v>261</v>
      </c>
      <c r="AN670" s="326"/>
      <c r="AO670" s="352" t="s">
        <v>288</v>
      </c>
      <c r="AP670" s="326"/>
      <c r="AQ670" s="352" t="s">
        <v>289</v>
      </c>
      <c r="AR670" s="326"/>
      <c r="AS670" s="352" t="s">
        <v>290</v>
      </c>
      <c r="AT670" s="326"/>
      <c r="AU670" s="352" t="s">
        <v>291</v>
      </c>
      <c r="AV670" s="326"/>
      <c r="AW670" s="352" t="s">
        <v>292</v>
      </c>
      <c r="AX670" s="326"/>
      <c r="AY670" s="352" t="s">
        <v>293</v>
      </c>
      <c r="AZ670" s="326"/>
      <c r="BA670" s="352" t="s">
        <v>294</v>
      </c>
      <c r="BB670" s="326"/>
      <c r="BC670" s="352" t="s">
        <v>321</v>
      </c>
      <c r="BD670" s="326"/>
      <c r="BE670" s="352" t="s">
        <v>322</v>
      </c>
      <c r="BF670" s="326"/>
      <c r="BG670" s="326" t="s">
        <v>260</v>
      </c>
      <c r="BH670" s="326"/>
      <c r="BI670" s="352" t="s">
        <v>298</v>
      </c>
      <c r="BJ670" s="326"/>
      <c r="BK670" s="353"/>
      <c r="BL670" s="362"/>
      <c r="BM670" s="362"/>
      <c r="BN670" s="363"/>
      <c r="BO670" s="367"/>
      <c r="BP670" s="362"/>
      <c r="BQ670" s="363"/>
      <c r="BR670" s="95"/>
      <c r="BS670" s="71"/>
      <c r="BT670" s="70"/>
      <c r="BU670" s="70"/>
      <c r="BV670" s="70"/>
      <c r="BW670" s="8"/>
      <c r="BX670" s="8"/>
      <c r="BY670" s="8"/>
      <c r="BZ670" s="8"/>
      <c r="CA670" s="8"/>
      <c r="CB670" s="10"/>
    </row>
    <row r="671" spans="3:80" ht="15" customHeight="1" x14ac:dyDescent="0.25">
      <c r="C671" s="69"/>
      <c r="F671" s="326"/>
      <c r="G671" s="326"/>
      <c r="H671" s="326"/>
      <c r="I671" s="348"/>
      <c r="J671" s="350"/>
      <c r="K671" s="326"/>
      <c r="L671" s="326"/>
      <c r="M671" s="326"/>
      <c r="N671" s="326"/>
      <c r="O671" s="326"/>
      <c r="P671" s="326"/>
      <c r="Q671" s="326"/>
      <c r="R671" s="326"/>
      <c r="S671" s="326"/>
      <c r="T671" s="326"/>
      <c r="U671" s="326"/>
      <c r="V671" s="326"/>
      <c r="W671" s="326"/>
      <c r="X671" s="326"/>
      <c r="Y671" s="326"/>
      <c r="Z671" s="326"/>
      <c r="AA671" s="326"/>
      <c r="AB671" s="326"/>
      <c r="AC671" s="326"/>
      <c r="AD671" s="326"/>
      <c r="AE671" s="326"/>
      <c r="AF671" s="326"/>
      <c r="AG671" s="326"/>
      <c r="AH671" s="326"/>
      <c r="AI671" s="326"/>
      <c r="AJ671" s="353"/>
      <c r="AK671" s="350"/>
      <c r="AL671" s="326"/>
      <c r="AM671" s="326"/>
      <c r="AN671" s="326"/>
      <c r="AO671" s="326"/>
      <c r="AP671" s="326"/>
      <c r="AQ671" s="326"/>
      <c r="AR671" s="326"/>
      <c r="AS671" s="326"/>
      <c r="AT671" s="326"/>
      <c r="AU671" s="326"/>
      <c r="AV671" s="326"/>
      <c r="AW671" s="326"/>
      <c r="AX671" s="326"/>
      <c r="AY671" s="326"/>
      <c r="AZ671" s="326"/>
      <c r="BA671" s="326"/>
      <c r="BB671" s="326"/>
      <c r="BC671" s="326"/>
      <c r="BD671" s="326"/>
      <c r="BE671" s="326"/>
      <c r="BF671" s="326"/>
      <c r="BG671" s="326"/>
      <c r="BH671" s="326"/>
      <c r="BI671" s="326"/>
      <c r="BJ671" s="326"/>
      <c r="BK671" s="353"/>
      <c r="BL671" s="362"/>
      <c r="BM671" s="362"/>
      <c r="BN671" s="363"/>
      <c r="BO671" s="367"/>
      <c r="BP671" s="362"/>
      <c r="BQ671" s="363"/>
      <c r="BR671" s="95"/>
      <c r="BS671" s="71"/>
      <c r="BT671" s="70"/>
      <c r="BU671" s="70"/>
      <c r="BV671" s="70"/>
      <c r="BW671" s="8"/>
      <c r="BX671" s="8"/>
      <c r="BY671" s="8"/>
      <c r="BZ671" s="8"/>
      <c r="CA671" s="8"/>
      <c r="CB671" s="10"/>
    </row>
    <row r="672" spans="3:80" ht="15" customHeight="1" x14ac:dyDescent="0.25">
      <c r="C672" s="69"/>
      <c r="F672" s="326"/>
      <c r="G672" s="326"/>
      <c r="H672" s="326"/>
      <c r="I672" s="348"/>
      <c r="J672" s="350"/>
      <c r="K672" s="326"/>
      <c r="L672" s="326"/>
      <c r="M672" s="326"/>
      <c r="N672" s="326"/>
      <c r="O672" s="326"/>
      <c r="P672" s="326"/>
      <c r="Q672" s="326"/>
      <c r="R672" s="326"/>
      <c r="S672" s="326"/>
      <c r="T672" s="326"/>
      <c r="U672" s="326"/>
      <c r="V672" s="326"/>
      <c r="W672" s="326"/>
      <c r="X672" s="326"/>
      <c r="Y672" s="326"/>
      <c r="Z672" s="326"/>
      <c r="AA672" s="326"/>
      <c r="AB672" s="326"/>
      <c r="AC672" s="326"/>
      <c r="AD672" s="326"/>
      <c r="AE672" s="326"/>
      <c r="AF672" s="326"/>
      <c r="AG672" s="326"/>
      <c r="AH672" s="326"/>
      <c r="AI672" s="326"/>
      <c r="AJ672" s="353"/>
      <c r="AK672" s="350"/>
      <c r="AL672" s="326"/>
      <c r="AM672" s="326"/>
      <c r="AN672" s="326"/>
      <c r="AO672" s="326"/>
      <c r="AP672" s="326"/>
      <c r="AQ672" s="326"/>
      <c r="AR672" s="326"/>
      <c r="AS672" s="326"/>
      <c r="AT672" s="326"/>
      <c r="AU672" s="326"/>
      <c r="AV672" s="326"/>
      <c r="AW672" s="326"/>
      <c r="AX672" s="326"/>
      <c r="AY672" s="326"/>
      <c r="AZ672" s="326"/>
      <c r="BA672" s="326"/>
      <c r="BB672" s="326"/>
      <c r="BC672" s="326"/>
      <c r="BD672" s="326"/>
      <c r="BE672" s="326"/>
      <c r="BF672" s="326"/>
      <c r="BG672" s="326"/>
      <c r="BH672" s="326"/>
      <c r="BI672" s="326"/>
      <c r="BJ672" s="326"/>
      <c r="BK672" s="353"/>
      <c r="BL672" s="362"/>
      <c r="BM672" s="362"/>
      <c r="BN672" s="363"/>
      <c r="BO672" s="367"/>
      <c r="BP672" s="362"/>
      <c r="BQ672" s="363"/>
      <c r="BR672" s="95"/>
      <c r="BS672" s="71"/>
      <c r="BT672" s="70"/>
      <c r="BU672" s="70"/>
      <c r="BV672" s="70"/>
      <c r="BW672" s="8"/>
      <c r="BX672" s="8"/>
      <c r="BY672" s="8"/>
      <c r="BZ672" s="8"/>
      <c r="CA672" s="8"/>
      <c r="CB672" s="10"/>
    </row>
    <row r="673" spans="3:80" ht="15" customHeight="1" thickBot="1" x14ac:dyDescent="0.3">
      <c r="C673" s="69"/>
      <c r="F673" s="327"/>
      <c r="G673" s="327"/>
      <c r="H673" s="327"/>
      <c r="I673" s="349"/>
      <c r="J673" s="351"/>
      <c r="K673" s="327"/>
      <c r="L673" s="327"/>
      <c r="M673" s="327"/>
      <c r="N673" s="327"/>
      <c r="O673" s="327"/>
      <c r="P673" s="327"/>
      <c r="Q673" s="327"/>
      <c r="R673" s="327"/>
      <c r="S673" s="327"/>
      <c r="T673" s="327"/>
      <c r="U673" s="327"/>
      <c r="V673" s="327"/>
      <c r="W673" s="327"/>
      <c r="X673" s="327"/>
      <c r="Y673" s="327"/>
      <c r="Z673" s="327"/>
      <c r="AA673" s="327"/>
      <c r="AB673" s="327"/>
      <c r="AC673" s="327"/>
      <c r="AD673" s="327"/>
      <c r="AE673" s="327"/>
      <c r="AF673" s="327"/>
      <c r="AG673" s="327"/>
      <c r="AH673" s="327"/>
      <c r="AI673" s="327"/>
      <c r="AJ673" s="354"/>
      <c r="AK673" s="351"/>
      <c r="AL673" s="327"/>
      <c r="AM673" s="327"/>
      <c r="AN673" s="327"/>
      <c r="AO673" s="327"/>
      <c r="AP673" s="327"/>
      <c r="AQ673" s="327"/>
      <c r="AR673" s="327"/>
      <c r="AS673" s="327"/>
      <c r="AT673" s="327"/>
      <c r="AU673" s="327"/>
      <c r="AV673" s="327"/>
      <c r="AW673" s="327"/>
      <c r="AX673" s="327"/>
      <c r="AY673" s="327"/>
      <c r="AZ673" s="327"/>
      <c r="BA673" s="327"/>
      <c r="BB673" s="327"/>
      <c r="BC673" s="327"/>
      <c r="BD673" s="327"/>
      <c r="BE673" s="327"/>
      <c r="BF673" s="327"/>
      <c r="BG673" s="327"/>
      <c r="BH673" s="327"/>
      <c r="BI673" s="327"/>
      <c r="BJ673" s="327"/>
      <c r="BK673" s="354"/>
      <c r="BL673" s="364"/>
      <c r="BM673" s="364"/>
      <c r="BN673" s="365"/>
      <c r="BO673" s="368"/>
      <c r="BP673" s="364"/>
      <c r="BQ673" s="365"/>
      <c r="BR673" s="95"/>
      <c r="BS673" s="71"/>
      <c r="BT673" s="70"/>
      <c r="BU673" s="70"/>
      <c r="BV673" s="70"/>
      <c r="BW673" s="8"/>
      <c r="BX673" s="8"/>
      <c r="BY673" s="8"/>
      <c r="BZ673" s="8"/>
      <c r="CA673" s="8"/>
      <c r="CB673" s="10"/>
    </row>
    <row r="674" spans="3:80" ht="15" customHeight="1" thickTop="1" x14ac:dyDescent="0.25">
      <c r="C674" s="69"/>
      <c r="F674" s="355" t="str">
        <f>IF(ISBLANK(Inputs!A25),"",Inputs!A25)</f>
        <v/>
      </c>
      <c r="G674" s="355"/>
      <c r="H674" s="355" t="str">
        <f>IF(ISBLANK(Inputs!B25),"",Inputs!B25)</f>
        <v/>
      </c>
      <c r="I674" s="355"/>
      <c r="J674" s="355" t="str">
        <f>IF(ISBLANK(Inputs!$A25),"",
MAX(IF(ISNUMBER(AE417),1),
IF(ISNUMBER(AI417),2),
IF(ISNUMBER(AM417),3),
IF(ISNUMBER(AQ417),4),
IF(ISNUMBER(AU417),5),
IF(ISNUMBER(AY417),6),
IF(ISNUMBER(BC417),7),
IF(ISNUMBER(BG417),8),
IF(ISNUMBER(BK417),9),
IF(ISNUMBER(BO417),10)))</f>
        <v/>
      </c>
      <c r="K674" s="355"/>
      <c r="L674" s="355" t="str">
        <f>IF(ISBLANK(Inputs!$A25),"",
_xlfn.LET(
_xlpm.n,J674,
CHOOSE(_xlpm.n,
AE417,AI417,AM417,AQ417,AU417,
AY417,BC417,BG417,BK417,BO417
)
))</f>
        <v/>
      </c>
      <c r="M674" s="355"/>
      <c r="N674" s="355" t="str">
        <f>IF(ISBLANK(Inputs!$A25),"",
Mat.Conc_Alpha.1*Mat.Conc_f.c*Inputs!J25*MIN(L674*Mat.Conc_Beta.1,Inputs!I25))</f>
        <v/>
      </c>
      <c r="O674" s="355"/>
      <c r="P674" s="356" t="str">
        <f>IF(ISBLANK(Inputs!$A25),"",
Mat.Conc_Alpha.1*Mat.Conc_f.c*Inputs!E25*MAX(0,L674*Mat.Conc_Beta.1-Inputs!I25))</f>
        <v/>
      </c>
      <c r="Q674" s="355"/>
      <c r="R674" s="355" t="str">
        <f>IF(ISBLANK(Inputs!$A25),"",Inputs!G25*MIN(Mat.Rebar_f.y,(Mat.Rebar_epsilon.cl*(Inputs!H25-L674)/L674)*Mat.PT_E.s))</f>
        <v/>
      </c>
      <c r="S674" s="355"/>
      <c r="T674" s="355" t="str">
        <f>IF(ISBLANK(Inputs!$A25),"",Inputs!D25*(Mat.PT_f.pu*(1-Mat.PT_k*L674/Inputs!F25)))</f>
        <v/>
      </c>
      <c r="U674" s="355"/>
      <c r="V674" s="355" t="str">
        <f>IF(ISBLANK(Inputs!$A25),"",
(Mat.PT_f.pe/Mat.PT_E.ps)+(Mat.Rebar_epsilon.cl*((Geometry_d.p.Positive-L674)/L674)))</f>
        <v/>
      </c>
      <c r="W674" s="355"/>
      <c r="X674" s="355" t="str">
        <f>IF(ISBLANK(Inputs!$A25),"",
0.5*MIN(L674*Mat.Conc_Beta.1,Geometry_h.f.Positive))</f>
        <v/>
      </c>
      <c r="Y674" s="355"/>
      <c r="Z674" s="355" t="str">
        <f>IF(ISBLANK(Inputs!$A25),"",
IF(P674=0,0,Geometry_h.f.Positive+0.5*MAX(0,L674*Mat.Conc_Beta.1-Geometry_h.f.Positive)))</f>
        <v/>
      </c>
      <c r="AA674" s="355"/>
      <c r="AB674" s="355" t="str">
        <f>IF(ISBLANK(Inputs!$A25),"",
Inputs!H25)</f>
        <v/>
      </c>
      <c r="AC674" s="355"/>
      <c r="AD674" s="355" t="str">
        <f>IF(ISBLANK(Inputs!$A25),"",
Inputs!F25)</f>
        <v/>
      </c>
      <c r="AE674" s="355"/>
      <c r="AF674" s="355" t="str">
        <f>IF(ISBLANK(Inputs!$A25),"",
MAX(0.75,MIN(1,0.75+0.25*(V674-Mat.Rebar_epsilon.cl)/(Mat.Rebar_epsilon.tl-Mat.Rebar_epsilon.cl))))</f>
        <v/>
      </c>
      <c r="AG674" s="355"/>
      <c r="AH674" s="357" t="str">
        <f>IF(ISBLANK(Inputs!$A25),"",
((AD674*T674+AB674*R674-Z674*P674-X674*N674)/12)*AF674)</f>
        <v/>
      </c>
      <c r="AI674" s="357"/>
      <c r="AJ674" s="357"/>
      <c r="AK674" s="355" t="str">
        <f>IF(ISBLANK(Inputs!$A25),"",
MAX(IF(ISNUMBER(AE542),1),
IF(ISNUMBER(AI542),2),
IF(ISNUMBER(AM542),3),
IF(ISNUMBER(AQ542),4),
IF(ISNUMBER(AU542),5),
IF(ISNUMBER(AY542),6),
IF(ISNUMBER(BC542),7),
IF(ISNUMBER(BG542),8),
IF(ISNUMBER(BK542),9),
IF(ISNUMBER(BO542),10)))</f>
        <v/>
      </c>
      <c r="AL674" s="355"/>
      <c r="AM674" s="355" t="str">
        <f>IF(ISBLANK(Inputs!$A25),"",
_xlfn.LET(
_xlpm.n,AK674,
CHOOSE(_xlpm.n,
AE542,AI542,AM542,AQ542,AU542,
AY542,BC542,BG542,BK542,BO542
)
))</f>
        <v/>
      </c>
      <c r="AN674" s="355"/>
      <c r="AO674" s="355" t="str">
        <f>IF(ISBLANK(Inputs!$A25),"",
Mat.Conc_Alpha.1*Mat.Conc_f.c*Geometry_b.Negative*MIN(AM674*Mat.Conc_Beta.1,Geometry_h.f.Negative))</f>
        <v/>
      </c>
      <c r="AP674" s="355"/>
      <c r="AQ674" s="355" t="str">
        <f>IF(ISBLANK(Inputs!$A25),"",
Mat.Conc_Alpha.1*Mat.Conc_f.c*Geometry_b.w*MAX(0,AM674*Mat.Conc_Beta.1-Geometry_h.f.Negative))</f>
        <v/>
      </c>
      <c r="AR674" s="355"/>
      <c r="AS674" s="355" t="str">
        <f>IF(ISBLANK(Inputs!$A25),"",
Mat.Rebar_A.s.Positive*MIN(Mat.Rebar_f.y,(Mat.Rebar_epsilon.cl*(Geometry_d.s.Negative-AM674)/AM674)*Mat.PT_E.s))</f>
        <v/>
      </c>
      <c r="AT674" s="355"/>
      <c r="AU674" s="355" t="str">
        <f>IF(ISBLANK(Inputs!$A25),"",
Mat.PT_A.ps*(Mat.PT_f.pu*(1-Mat.PT_k*AM674/Geometry_d.p.Negative)))</f>
        <v/>
      </c>
      <c r="AV674" s="355"/>
      <c r="AW674" s="355" t="str">
        <f>IF(ISBLANK(Inputs!$A25),"",
(Mat.PT_f.pe/Mat.PT_E.ps)+(Mat.Rebar_epsilon.cl*((Geometry_d.p.Negative-AM674)/AM674)))</f>
        <v/>
      </c>
      <c r="AX674" s="355"/>
      <c r="AY674" s="355" t="str">
        <f>IF(ISBLANK(Inputs!$A25),"",
0.5*MIN(AM674*Mat.Conc_Beta.1,Geometry_h.f.Negative))</f>
        <v/>
      </c>
      <c r="AZ674" s="355"/>
      <c r="BA674" s="355" t="str">
        <f>IF(ISBLANK(Inputs!$A25),"",
IF(AQ674=0,0,Geometry_h.f.Negative+0.5*MAX(0,AM674*Mat.Conc_Beta.1-Geometry_h.f.Negative)))</f>
        <v/>
      </c>
      <c r="BB674" s="355"/>
      <c r="BC674" s="355" t="str">
        <f>IF(ISBLANK(Inputs!$A25),"",
Inputs!L25)</f>
        <v/>
      </c>
      <c r="BD674" s="355"/>
      <c r="BE674" s="355" t="str">
        <f>IF(ISBLANK(Inputs!$A25),"",Inputs!$B$10-Inputs!F25)</f>
        <v/>
      </c>
      <c r="BF674" s="355"/>
      <c r="BG674" s="355" t="str">
        <f>IF(ISBLANK(Inputs!$A25),"",
MAX(0.75,MIN(1,0.75+0.25*(AW674-Mat.Rebar_epsilon.cl)/(Mat.Rebar_epsilon.tl-Mat.Rebar_epsilon.cl))))</f>
        <v/>
      </c>
      <c r="BH674" s="355"/>
      <c r="BI674" s="357" t="str">
        <f>IF(ISBLANK(Inputs!$A25),"",
-((BE674*AU674+BC674*AS674-BA674*AQ674-AY674*AO674)/12)*BG674)</f>
        <v/>
      </c>
      <c r="BJ674" s="357"/>
      <c r="BK674" s="357"/>
      <c r="BL674" s="357" t="str">
        <f>IF(ISBLANK(Inputs!C25),"",Inputs!C25)</f>
        <v/>
      </c>
      <c r="BM674" s="357"/>
      <c r="BN674" s="357"/>
      <c r="BO674" s="373" t="str">
        <f>IF(ISBLANK(Inputs!$A25),"",
IFERROR(IF(BL674&gt;=0,ABS(BL674)/ABS(AH674),ABS(BL674)/ABS(BI674)),""))</f>
        <v/>
      </c>
      <c r="BP674" s="373"/>
      <c r="BQ674" s="373"/>
      <c r="BS674" s="70"/>
      <c r="BT674" s="70"/>
      <c r="BU674" s="70"/>
      <c r="BV674" s="70"/>
      <c r="BW674" s="8"/>
      <c r="BX674" s="8"/>
      <c r="BY674" s="8"/>
      <c r="BZ674" s="8"/>
      <c r="CA674" s="8"/>
      <c r="CB674" s="10"/>
    </row>
    <row r="675" spans="3:80" ht="15" customHeight="1" x14ac:dyDescent="0.25">
      <c r="C675" s="69"/>
      <c r="F675" s="369" t="str">
        <f>IF(ISBLANK(Inputs!A26),"",Inputs!A26)</f>
        <v/>
      </c>
      <c r="G675" s="369"/>
      <c r="H675" s="369" t="str">
        <f>IF(ISBLANK(Inputs!B26),"",Inputs!B26)</f>
        <v/>
      </c>
      <c r="I675" s="369"/>
      <c r="J675" s="369" t="str">
        <f>IF(ISBLANK(Inputs!$A26),"",
MAX(IF(ISNUMBER(AE418),1),
IF(ISNUMBER(AI418),2),
IF(ISNUMBER(AM418),3),
IF(ISNUMBER(AQ418),4),
IF(ISNUMBER(AU418),5),
IF(ISNUMBER(AY418),6),
IF(ISNUMBER(BC418),7),
IF(ISNUMBER(BG418),8),
IF(ISNUMBER(BK418),9),
IF(ISNUMBER(BO418),10)))</f>
        <v/>
      </c>
      <c r="K675" s="369"/>
      <c r="L675" s="369" t="str">
        <f>IF(ISBLANK(Inputs!$A26),"",
_xlfn.LET(
_xlpm.n,J675,
CHOOSE(_xlpm.n,
AE418,AI418,AM418,AQ418,AU418,
AY418,BC418,BG418,BK418,BO418
)
))</f>
        <v/>
      </c>
      <c r="M675" s="369"/>
      <c r="N675" s="369" t="str">
        <f>IF(ISBLANK(Inputs!$A26),"",
Mat.Conc_Alpha.1*Mat.Conc_f.c*Inputs!J26*MIN(L675*Mat.Conc_Beta.1,Inputs!I26))</f>
        <v/>
      </c>
      <c r="O675" s="369"/>
      <c r="P675" s="372" t="str">
        <f>IF(ISBLANK(Inputs!$A26),"",
Mat.Conc_Alpha.1*Mat.Conc_f.c*Inputs!E26*MAX(0,L675*Mat.Conc_Beta.1-Inputs!I26))</f>
        <v/>
      </c>
      <c r="Q675" s="369"/>
      <c r="R675" s="369" t="str">
        <f>IF(ISBLANK(Inputs!$A26),"",Inputs!G26*MIN(Mat.Rebar_f.y,(Mat.Rebar_epsilon.cl*(Inputs!H26-L675)/L675)*Mat.PT_E.s))</f>
        <v/>
      </c>
      <c r="S675" s="369"/>
      <c r="T675" s="369" t="str">
        <f>IF(ISBLANK(Inputs!$A26),"",Inputs!D26*(Mat.PT_f.pu*(1-Mat.PT_k*L675/Inputs!F26)))</f>
        <v/>
      </c>
      <c r="U675" s="369"/>
      <c r="V675" s="369" t="str">
        <f>IF(ISBLANK(Inputs!$A26),"",
(Mat.PT_f.pe/Mat.PT_E.ps)+(Mat.Rebar_epsilon.cl*((Geometry_d.p.Positive-L675)/L675)))</f>
        <v/>
      </c>
      <c r="W675" s="369"/>
      <c r="X675" s="369" t="str">
        <f>IF(ISBLANK(Inputs!$A26),"",
0.5*MIN(L675*Mat.Conc_Beta.1,Geometry_h.f.Positive))</f>
        <v/>
      </c>
      <c r="Y675" s="369"/>
      <c r="Z675" s="369" t="str">
        <f>IF(ISBLANK(Inputs!$A26),"",
IF(P675=0,0,Geometry_h.f.Positive+0.5*MAX(0,L675*Mat.Conc_Beta.1-Geometry_h.f.Positive)))</f>
        <v/>
      </c>
      <c r="AA675" s="369"/>
      <c r="AB675" s="369" t="str">
        <f>IF(ISBLANK(Inputs!$A26),"",
Inputs!H26)</f>
        <v/>
      </c>
      <c r="AC675" s="369"/>
      <c r="AD675" s="369" t="str">
        <f>IF(ISBLANK(Inputs!$A26),"",
Inputs!F26)</f>
        <v/>
      </c>
      <c r="AE675" s="369"/>
      <c r="AF675" s="369" t="str">
        <f>IF(ISBLANK(Inputs!$A26),"",
MAX(0.75,MIN(1,0.75+0.25*(V675-Mat.Rebar_epsilon.cl)/(Mat.Rebar_epsilon.tl-Mat.Rebar_epsilon.cl))))</f>
        <v/>
      </c>
      <c r="AG675" s="369"/>
      <c r="AH675" s="370" t="str">
        <f>IF(ISBLANK(Inputs!$A26),"",
((AD675*T675+AB675*R675-Z675*P675-X675*N675)/12)*AF675)</f>
        <v/>
      </c>
      <c r="AI675" s="370"/>
      <c r="AJ675" s="370"/>
      <c r="AK675" s="369" t="str">
        <f>IF(ISBLANK(Inputs!$A26),"",
MAX(IF(ISNUMBER(AE543),1),
IF(ISNUMBER(AI543),2),
IF(ISNUMBER(AM543),3),
IF(ISNUMBER(AQ543),4),
IF(ISNUMBER(AU543),5),
IF(ISNUMBER(AY543),6),
IF(ISNUMBER(BC543),7),
IF(ISNUMBER(BG543),8),
IF(ISNUMBER(BK543),9),
IF(ISNUMBER(BO543),10)))</f>
        <v/>
      </c>
      <c r="AL675" s="369"/>
      <c r="AM675" s="369" t="str">
        <f>IF(ISBLANK(Inputs!$A26),"",
_xlfn.LET(
_xlpm.n,AK675,
CHOOSE(_xlpm.n,
AE543,AI543,AM543,AQ543,AU543,
AY543,BC543,BG543,BK543,BO543
)
))</f>
        <v/>
      </c>
      <c r="AN675" s="369"/>
      <c r="AO675" s="369" t="str">
        <f>IF(ISBLANK(Inputs!$A26),"",
Mat.Conc_Alpha.1*Mat.Conc_f.c*Geometry_b.Negative*MIN(AM675*Mat.Conc_Beta.1,Geometry_h.f.Negative))</f>
        <v/>
      </c>
      <c r="AP675" s="369"/>
      <c r="AQ675" s="369" t="str">
        <f>IF(ISBLANK(Inputs!$A26),"",
Mat.Conc_Alpha.1*Mat.Conc_f.c*Geometry_b.w*MAX(0,AM675*Mat.Conc_Beta.1-Geometry_h.f.Negative))</f>
        <v/>
      </c>
      <c r="AR675" s="369"/>
      <c r="AS675" s="369" t="str">
        <f>IF(ISBLANK(Inputs!$A26),"",
Mat.Rebar_A.s.Positive*MIN(Mat.Rebar_f.y,(Mat.Rebar_epsilon.cl*(Geometry_d.s.Negative-AM675)/AM675)*Mat.PT_E.s))</f>
        <v/>
      </c>
      <c r="AT675" s="369"/>
      <c r="AU675" s="369" t="str">
        <f>IF(ISBLANK(Inputs!$A26),"",
Mat.PT_A.ps*(Mat.PT_f.pu*(1-Mat.PT_k*AM675/Geometry_d.p.Negative)))</f>
        <v/>
      </c>
      <c r="AV675" s="369"/>
      <c r="AW675" s="369" t="str">
        <f>IF(ISBLANK(Inputs!$A26),"",
(Mat.PT_f.pe/Mat.PT_E.ps)+(Mat.Rebar_epsilon.cl*((Geometry_d.p.Negative-AM675)/AM675)))</f>
        <v/>
      </c>
      <c r="AX675" s="369"/>
      <c r="AY675" s="369" t="str">
        <f>IF(ISBLANK(Inputs!$A26),"",
0.5*MIN(AM675*Mat.Conc_Beta.1,Geometry_h.f.Negative))</f>
        <v/>
      </c>
      <c r="AZ675" s="369"/>
      <c r="BA675" s="369" t="str">
        <f>IF(ISBLANK(Inputs!$A26),"",
IF(AQ675=0,0,Geometry_h.f.Negative+0.5*MAX(0,AM675*Mat.Conc_Beta.1-Geometry_h.f.Negative)))</f>
        <v/>
      </c>
      <c r="BB675" s="369"/>
      <c r="BC675" s="369" t="str">
        <f>IF(ISBLANK(Inputs!$A26),"",
Inputs!L26)</f>
        <v/>
      </c>
      <c r="BD675" s="369"/>
      <c r="BE675" s="369" t="str">
        <f>IF(ISBLANK(Inputs!$A26),"",Inputs!$B$10-Inputs!F26)</f>
        <v/>
      </c>
      <c r="BF675" s="369"/>
      <c r="BG675" s="369" t="str">
        <f>IF(ISBLANK(Inputs!$A26),"",
MAX(0.75,MIN(1,0.75+0.25*(AW675-Mat.Rebar_epsilon.cl)/(Mat.Rebar_epsilon.tl-Mat.Rebar_epsilon.cl))))</f>
        <v/>
      </c>
      <c r="BH675" s="369"/>
      <c r="BI675" s="370" t="str">
        <f>IF(ISBLANK(Inputs!$A26),"",
-((BE675*AU675+BC675*AS675-BA675*AQ675-AY675*AO675)/12)*BG675)</f>
        <v/>
      </c>
      <c r="BJ675" s="370"/>
      <c r="BK675" s="370"/>
      <c r="BL675" s="370" t="str">
        <f>IF(ISBLANK(Inputs!C26),"",Inputs!C26)</f>
        <v/>
      </c>
      <c r="BM675" s="370"/>
      <c r="BN675" s="370"/>
      <c r="BO675" s="374" t="str">
        <f>IF(ISBLANK(Inputs!$A26),"",
IFERROR(IF(BL675&gt;=0,ABS(BL675)/ABS(AH675),ABS(BL675)/ABS(BI675)),""))</f>
        <v/>
      </c>
      <c r="BP675" s="374"/>
      <c r="BQ675" s="374"/>
      <c r="BS675" s="70"/>
      <c r="BT675" s="70"/>
      <c r="BU675" s="70"/>
      <c r="BV675" s="70"/>
      <c r="BW675" s="8"/>
      <c r="BX675" s="8"/>
      <c r="BY675" s="8"/>
      <c r="BZ675" s="8"/>
      <c r="CA675" s="8"/>
      <c r="CB675" s="10"/>
    </row>
    <row r="676" spans="3:80" ht="15" customHeight="1" x14ac:dyDescent="0.25">
      <c r="C676" s="69"/>
      <c r="F676" s="369" t="str">
        <f>IF(ISBLANK(Inputs!A27),"",Inputs!A27)</f>
        <v/>
      </c>
      <c r="G676" s="369"/>
      <c r="H676" s="369" t="str">
        <f>IF(ISBLANK(Inputs!B27),"",Inputs!B27)</f>
        <v/>
      </c>
      <c r="I676" s="369"/>
      <c r="J676" s="369" t="str">
        <f>IF(ISBLANK(Inputs!$A27),"",
MAX(IF(ISNUMBER(AE419),1),
IF(ISNUMBER(AI419),2),
IF(ISNUMBER(AM419),3),
IF(ISNUMBER(AQ419),4),
IF(ISNUMBER(AU419),5),
IF(ISNUMBER(AY419),6),
IF(ISNUMBER(BC419),7),
IF(ISNUMBER(BG419),8),
IF(ISNUMBER(BK419),9),
IF(ISNUMBER(BO419),10)))</f>
        <v/>
      </c>
      <c r="K676" s="369"/>
      <c r="L676" s="369" t="str">
        <f>IF(ISBLANK(Inputs!$A27),"",
_xlfn.LET(
_xlpm.n,J676,
CHOOSE(_xlpm.n,
AE419,AI419,AM419,AQ419,AU419,
AY419,BC419,BG419,BK419,BO419
)
))</f>
        <v/>
      </c>
      <c r="M676" s="369"/>
      <c r="N676" s="369" t="str">
        <f>IF(ISBLANK(Inputs!$A27),"",
Mat.Conc_Alpha.1*Mat.Conc_f.c*Inputs!J27*MIN(L676*Mat.Conc_Beta.1,Inputs!I27))</f>
        <v/>
      </c>
      <c r="O676" s="369"/>
      <c r="P676" s="372" t="str">
        <f>IF(ISBLANK(Inputs!$A27),"",
Mat.Conc_Alpha.1*Mat.Conc_f.c*Inputs!E27*MAX(0,L676*Mat.Conc_Beta.1-Inputs!I27))</f>
        <v/>
      </c>
      <c r="Q676" s="369"/>
      <c r="R676" s="369" t="str">
        <f>IF(ISBLANK(Inputs!$A27),"",Inputs!G27*MIN(Mat.Rebar_f.y,(Mat.Rebar_epsilon.cl*(Inputs!H27-L676)/L676)*Mat.PT_E.s))</f>
        <v/>
      </c>
      <c r="S676" s="369"/>
      <c r="T676" s="369" t="str">
        <f>IF(ISBLANK(Inputs!$A27),"",Inputs!D27*(Mat.PT_f.pu*(1-Mat.PT_k*L676/Inputs!F27)))</f>
        <v/>
      </c>
      <c r="U676" s="369"/>
      <c r="V676" s="369" t="str">
        <f>IF(ISBLANK(Inputs!$A27),"",
(Mat.PT_f.pe/Mat.PT_E.ps)+(Mat.Rebar_epsilon.cl*((Geometry_d.p.Positive-L676)/L676)))</f>
        <v/>
      </c>
      <c r="W676" s="369"/>
      <c r="X676" s="369" t="str">
        <f>IF(ISBLANK(Inputs!$A27),"",
0.5*MIN(L676*Mat.Conc_Beta.1,Geometry_h.f.Positive))</f>
        <v/>
      </c>
      <c r="Y676" s="369"/>
      <c r="Z676" s="369" t="str">
        <f>IF(ISBLANK(Inputs!$A27),"",
IF(P676=0,0,Geometry_h.f.Positive+0.5*MAX(0,L676*Mat.Conc_Beta.1-Geometry_h.f.Positive)))</f>
        <v/>
      </c>
      <c r="AA676" s="369"/>
      <c r="AB676" s="369" t="str">
        <f>IF(ISBLANK(Inputs!$A27),"",
Inputs!H27)</f>
        <v/>
      </c>
      <c r="AC676" s="369"/>
      <c r="AD676" s="369" t="str">
        <f>IF(ISBLANK(Inputs!$A27),"",
Inputs!F27)</f>
        <v/>
      </c>
      <c r="AE676" s="369"/>
      <c r="AF676" s="369" t="str">
        <f>IF(ISBLANK(Inputs!$A27),"",
MAX(0.75,MIN(1,0.75+0.25*(V676-Mat.Rebar_epsilon.cl)/(Mat.Rebar_epsilon.tl-Mat.Rebar_epsilon.cl))))</f>
        <v/>
      </c>
      <c r="AG676" s="369"/>
      <c r="AH676" s="370" t="str">
        <f>IF(ISBLANK(Inputs!$A27),"",
((AD676*T676+AB676*R676-Z676*P676-X676*N676)/12)*AF676)</f>
        <v/>
      </c>
      <c r="AI676" s="370"/>
      <c r="AJ676" s="370"/>
      <c r="AK676" s="369" t="str">
        <f>IF(ISBLANK(Inputs!$A27),"",
MAX(IF(ISNUMBER(AE544),1),
IF(ISNUMBER(AI544),2),
IF(ISNUMBER(AM544),3),
IF(ISNUMBER(AQ544),4),
IF(ISNUMBER(AU544),5),
IF(ISNUMBER(AY544),6),
IF(ISNUMBER(BC544),7),
IF(ISNUMBER(BG544),8),
IF(ISNUMBER(BK544),9),
IF(ISNUMBER(BO544),10)))</f>
        <v/>
      </c>
      <c r="AL676" s="369"/>
      <c r="AM676" s="369" t="str">
        <f>IF(ISBLANK(Inputs!$A27),"",
_xlfn.LET(
_xlpm.n,AK676,
CHOOSE(_xlpm.n,
AE544,AI544,AM544,AQ544,AU544,
AY544,BC544,BG544,BK544,BO544
)
))</f>
        <v/>
      </c>
      <c r="AN676" s="369"/>
      <c r="AO676" s="369" t="str">
        <f>IF(ISBLANK(Inputs!$A27),"",
Mat.Conc_Alpha.1*Mat.Conc_f.c*Geometry_b.Negative*MIN(AM676*Mat.Conc_Beta.1,Geometry_h.f.Negative))</f>
        <v/>
      </c>
      <c r="AP676" s="369"/>
      <c r="AQ676" s="369" t="str">
        <f>IF(ISBLANK(Inputs!$A27),"",
Mat.Conc_Alpha.1*Mat.Conc_f.c*Geometry_b.w*MAX(0,AM676*Mat.Conc_Beta.1-Geometry_h.f.Negative))</f>
        <v/>
      </c>
      <c r="AR676" s="369"/>
      <c r="AS676" s="369" t="str">
        <f>IF(ISBLANK(Inputs!$A27),"",
Mat.Rebar_A.s.Positive*MIN(Mat.Rebar_f.y,(Mat.Rebar_epsilon.cl*(Geometry_d.s.Negative-AM676)/AM676)*Mat.PT_E.s))</f>
        <v/>
      </c>
      <c r="AT676" s="369"/>
      <c r="AU676" s="369" t="str">
        <f>IF(ISBLANK(Inputs!$A27),"",
Mat.PT_A.ps*(Mat.PT_f.pu*(1-Mat.PT_k*AM676/Geometry_d.p.Negative)))</f>
        <v/>
      </c>
      <c r="AV676" s="369"/>
      <c r="AW676" s="369" t="str">
        <f>IF(ISBLANK(Inputs!$A27),"",
(Mat.PT_f.pe/Mat.PT_E.ps)+(Mat.Rebar_epsilon.cl*((Geometry_d.p.Negative-AM676)/AM676)))</f>
        <v/>
      </c>
      <c r="AX676" s="369"/>
      <c r="AY676" s="369" t="str">
        <f>IF(ISBLANK(Inputs!$A27),"",
0.5*MIN(AM676*Mat.Conc_Beta.1,Geometry_h.f.Negative))</f>
        <v/>
      </c>
      <c r="AZ676" s="369"/>
      <c r="BA676" s="369" t="str">
        <f>IF(ISBLANK(Inputs!$A27),"",
IF(AQ676=0,0,Geometry_h.f.Negative+0.5*MAX(0,AM676*Mat.Conc_Beta.1-Geometry_h.f.Negative)))</f>
        <v/>
      </c>
      <c r="BB676" s="369"/>
      <c r="BC676" s="369" t="str">
        <f>IF(ISBLANK(Inputs!$A27),"",
Inputs!L27)</f>
        <v/>
      </c>
      <c r="BD676" s="369"/>
      <c r="BE676" s="369" t="str">
        <f>IF(ISBLANK(Inputs!$A27),"",Inputs!$B$10-Inputs!F27)</f>
        <v/>
      </c>
      <c r="BF676" s="369"/>
      <c r="BG676" s="369" t="str">
        <f>IF(ISBLANK(Inputs!$A27),"",
MAX(0.75,MIN(1,0.75+0.25*(AW676-Mat.Rebar_epsilon.cl)/(Mat.Rebar_epsilon.tl-Mat.Rebar_epsilon.cl))))</f>
        <v/>
      </c>
      <c r="BH676" s="369"/>
      <c r="BI676" s="370" t="str">
        <f>IF(ISBLANK(Inputs!$A27),"",
-((BE676*AU676+BC676*AS676-BA676*AQ676-AY676*AO676)/12)*BG676)</f>
        <v/>
      </c>
      <c r="BJ676" s="370"/>
      <c r="BK676" s="370"/>
      <c r="BL676" s="370" t="str">
        <f>IF(ISBLANK(Inputs!C27),"",Inputs!C27)</f>
        <v/>
      </c>
      <c r="BM676" s="370"/>
      <c r="BN676" s="370"/>
      <c r="BO676" s="374" t="str">
        <f>IF(ISBLANK(Inputs!$A27),"",
IFERROR(IF(BL676&gt;=0,ABS(BL676)/ABS(AH676),ABS(BL676)/ABS(BI676)),""))</f>
        <v/>
      </c>
      <c r="BP676" s="374"/>
      <c r="BQ676" s="374"/>
      <c r="BR676" s="59"/>
      <c r="BS676" s="70"/>
      <c r="BT676" s="70"/>
      <c r="BU676" s="70"/>
      <c r="BV676" s="70"/>
      <c r="BW676" s="8"/>
      <c r="BX676" s="8"/>
      <c r="BY676" s="8"/>
      <c r="BZ676" s="8"/>
      <c r="CA676" s="8"/>
      <c r="CB676" s="10"/>
    </row>
    <row r="677" spans="3:80" ht="15" customHeight="1" x14ac:dyDescent="0.25">
      <c r="C677" s="69"/>
      <c r="F677" s="369" t="str">
        <f>IF(ISBLANK(Inputs!A28),"",Inputs!A28)</f>
        <v/>
      </c>
      <c r="G677" s="369"/>
      <c r="H677" s="369" t="str">
        <f>IF(ISBLANK(Inputs!B28),"",Inputs!B28)</f>
        <v/>
      </c>
      <c r="I677" s="369"/>
      <c r="J677" s="369" t="str">
        <f>IF(ISBLANK(Inputs!$A28),"",
MAX(IF(ISNUMBER(AE420),1),
IF(ISNUMBER(AI420),2),
IF(ISNUMBER(AM420),3),
IF(ISNUMBER(AQ420),4),
IF(ISNUMBER(AU420),5),
IF(ISNUMBER(AY420),6),
IF(ISNUMBER(BC420),7),
IF(ISNUMBER(BG420),8),
IF(ISNUMBER(BK420),9),
IF(ISNUMBER(BO420),10)))</f>
        <v/>
      </c>
      <c r="K677" s="369"/>
      <c r="L677" s="369" t="str">
        <f>IF(ISBLANK(Inputs!$A28),"",
_xlfn.LET(
_xlpm.n,J677,
CHOOSE(_xlpm.n,
AE420,AI420,AM420,AQ420,AU420,
AY420,BC420,BG420,BK420,BO420
)
))</f>
        <v/>
      </c>
      <c r="M677" s="369"/>
      <c r="N677" s="369" t="str">
        <f>IF(ISBLANK(Inputs!$A28),"",
Mat.Conc_Alpha.1*Mat.Conc_f.c*Inputs!J28*MIN(L677*Mat.Conc_Beta.1,Inputs!I28))</f>
        <v/>
      </c>
      <c r="O677" s="369"/>
      <c r="P677" s="372" t="str">
        <f>IF(ISBLANK(Inputs!$A28),"",
Mat.Conc_Alpha.1*Mat.Conc_f.c*Inputs!E28*MAX(0,L677*Mat.Conc_Beta.1-Inputs!I28))</f>
        <v/>
      </c>
      <c r="Q677" s="369"/>
      <c r="R677" s="369" t="str">
        <f>IF(ISBLANK(Inputs!$A28),"",Inputs!G28*MIN(Mat.Rebar_f.y,(Mat.Rebar_epsilon.cl*(Inputs!H28-L677)/L677)*Mat.PT_E.s))</f>
        <v/>
      </c>
      <c r="S677" s="369"/>
      <c r="T677" s="369" t="str">
        <f>IF(ISBLANK(Inputs!$A28),"",Inputs!D28*(Mat.PT_f.pu*(1-Mat.PT_k*L677/Inputs!F28)))</f>
        <v/>
      </c>
      <c r="U677" s="369"/>
      <c r="V677" s="369" t="str">
        <f>IF(ISBLANK(Inputs!$A28),"",
(Mat.PT_f.pe/Mat.PT_E.ps)+(Mat.Rebar_epsilon.cl*((Geometry_d.p.Positive-L677)/L677)))</f>
        <v/>
      </c>
      <c r="W677" s="369"/>
      <c r="X677" s="369" t="str">
        <f>IF(ISBLANK(Inputs!$A28),"",
0.5*MIN(L677*Mat.Conc_Beta.1,Geometry_h.f.Positive))</f>
        <v/>
      </c>
      <c r="Y677" s="369"/>
      <c r="Z677" s="369" t="str">
        <f>IF(ISBLANK(Inputs!$A28),"",
IF(P677=0,0,Geometry_h.f.Positive+0.5*MAX(0,L677*Mat.Conc_Beta.1-Geometry_h.f.Positive)))</f>
        <v/>
      </c>
      <c r="AA677" s="369"/>
      <c r="AB677" s="369" t="str">
        <f>IF(ISBLANK(Inputs!$A28),"",
Inputs!H28)</f>
        <v/>
      </c>
      <c r="AC677" s="369"/>
      <c r="AD677" s="369" t="str">
        <f>IF(ISBLANK(Inputs!$A28),"",
Inputs!F28)</f>
        <v/>
      </c>
      <c r="AE677" s="369"/>
      <c r="AF677" s="369" t="str">
        <f>IF(ISBLANK(Inputs!$A28),"",
MAX(0.75,MIN(1,0.75+0.25*(V677-Mat.Rebar_epsilon.cl)/(Mat.Rebar_epsilon.tl-Mat.Rebar_epsilon.cl))))</f>
        <v/>
      </c>
      <c r="AG677" s="369"/>
      <c r="AH677" s="370" t="str">
        <f>IF(ISBLANK(Inputs!$A28),"",
((AD677*T677+AB677*R677-Z677*P677-X677*N677)/12)*AF677)</f>
        <v/>
      </c>
      <c r="AI677" s="370"/>
      <c r="AJ677" s="370"/>
      <c r="AK677" s="369" t="str">
        <f>IF(ISBLANK(Inputs!$A28),"",
MAX(IF(ISNUMBER(AE545),1),
IF(ISNUMBER(AI545),2),
IF(ISNUMBER(AM545),3),
IF(ISNUMBER(AQ545),4),
IF(ISNUMBER(AU545),5),
IF(ISNUMBER(AY545),6),
IF(ISNUMBER(BC545),7),
IF(ISNUMBER(BG545),8),
IF(ISNUMBER(BK545),9),
IF(ISNUMBER(BO545),10)))</f>
        <v/>
      </c>
      <c r="AL677" s="369"/>
      <c r="AM677" s="369" t="str">
        <f>IF(ISBLANK(Inputs!$A28),"",
_xlfn.LET(
_xlpm.n,AK677,
CHOOSE(_xlpm.n,
AE545,AI545,AM545,AQ545,AU545,
AY545,BC545,BG545,BK545,BO545
)
))</f>
        <v/>
      </c>
      <c r="AN677" s="369"/>
      <c r="AO677" s="369" t="str">
        <f>IF(ISBLANK(Inputs!$A28),"",
Mat.Conc_Alpha.1*Mat.Conc_f.c*Geometry_b.Negative*MIN(AM677*Mat.Conc_Beta.1,Geometry_h.f.Negative))</f>
        <v/>
      </c>
      <c r="AP677" s="369"/>
      <c r="AQ677" s="369" t="str">
        <f>IF(ISBLANK(Inputs!$A28),"",
Mat.Conc_Alpha.1*Mat.Conc_f.c*Geometry_b.w*MAX(0,AM677*Mat.Conc_Beta.1-Geometry_h.f.Negative))</f>
        <v/>
      </c>
      <c r="AR677" s="369"/>
      <c r="AS677" s="369" t="str">
        <f>IF(ISBLANK(Inputs!$A28),"",
Mat.Rebar_A.s.Positive*MIN(Mat.Rebar_f.y,(Mat.Rebar_epsilon.cl*(Geometry_d.s.Negative-AM677)/AM677)*Mat.PT_E.s))</f>
        <v/>
      </c>
      <c r="AT677" s="369"/>
      <c r="AU677" s="369" t="str">
        <f>IF(ISBLANK(Inputs!$A28),"",
Mat.PT_A.ps*(Mat.PT_f.pu*(1-Mat.PT_k*AM677/Geometry_d.p.Negative)))</f>
        <v/>
      </c>
      <c r="AV677" s="369"/>
      <c r="AW677" s="369" t="str">
        <f>IF(ISBLANK(Inputs!$A28),"",
(Mat.PT_f.pe/Mat.PT_E.ps)+(Mat.Rebar_epsilon.cl*((Geometry_d.p.Negative-AM677)/AM677)))</f>
        <v/>
      </c>
      <c r="AX677" s="369"/>
      <c r="AY677" s="369" t="str">
        <f>IF(ISBLANK(Inputs!$A28),"",
0.5*MIN(AM677*Mat.Conc_Beta.1,Geometry_h.f.Negative))</f>
        <v/>
      </c>
      <c r="AZ677" s="369"/>
      <c r="BA677" s="369" t="str">
        <f>IF(ISBLANK(Inputs!$A28),"",
IF(AQ677=0,0,Geometry_h.f.Negative+0.5*MAX(0,AM677*Mat.Conc_Beta.1-Geometry_h.f.Negative)))</f>
        <v/>
      </c>
      <c r="BB677" s="369"/>
      <c r="BC677" s="369" t="str">
        <f>IF(ISBLANK(Inputs!$A28),"",
Inputs!L28)</f>
        <v/>
      </c>
      <c r="BD677" s="369"/>
      <c r="BE677" s="369" t="str">
        <f>IF(ISBLANK(Inputs!$A28),"",Inputs!$B$10-Inputs!F28)</f>
        <v/>
      </c>
      <c r="BF677" s="369"/>
      <c r="BG677" s="369" t="str">
        <f>IF(ISBLANK(Inputs!$A28),"",
MAX(0.75,MIN(1,0.75+0.25*(AW677-Mat.Rebar_epsilon.cl)/(Mat.Rebar_epsilon.tl-Mat.Rebar_epsilon.cl))))</f>
        <v/>
      </c>
      <c r="BH677" s="369"/>
      <c r="BI677" s="370" t="str">
        <f>IF(ISBLANK(Inputs!$A28),"",
-((BE677*AU677+BC677*AS677-BA677*AQ677-AY677*AO677)/12)*BG677)</f>
        <v/>
      </c>
      <c r="BJ677" s="370"/>
      <c r="BK677" s="370"/>
      <c r="BL677" s="370" t="str">
        <f>IF(ISBLANK(Inputs!C28),"",Inputs!C28)</f>
        <v/>
      </c>
      <c r="BM677" s="370"/>
      <c r="BN677" s="370"/>
      <c r="BO677" s="374" t="str">
        <f>IF(ISBLANK(Inputs!$A28),"",
IFERROR(IF(BL677&gt;=0,ABS(BL677)/ABS(AH677),ABS(BL677)/ABS(BI677)),""))</f>
        <v/>
      </c>
      <c r="BP677" s="374"/>
      <c r="BQ677" s="374"/>
      <c r="BR677" s="59"/>
      <c r="BS677" s="70"/>
      <c r="BT677" s="70"/>
      <c r="BU677" s="70"/>
      <c r="BV677" s="70"/>
      <c r="BW677" s="8"/>
      <c r="BX677" s="8"/>
      <c r="BY677" s="8"/>
      <c r="BZ677" s="8"/>
      <c r="CA677" s="8"/>
      <c r="CB677" s="10"/>
    </row>
    <row r="678" spans="3:80" ht="15" customHeight="1" x14ac:dyDescent="0.25">
      <c r="C678" s="69"/>
      <c r="F678" s="369" t="str">
        <f>IF(ISBLANK(Inputs!A29),"",Inputs!A29)</f>
        <v/>
      </c>
      <c r="G678" s="369"/>
      <c r="H678" s="369" t="str">
        <f>IF(ISBLANK(Inputs!B29),"",Inputs!B29)</f>
        <v/>
      </c>
      <c r="I678" s="369"/>
      <c r="J678" s="369" t="str">
        <f>IF(ISBLANK(Inputs!$A29),"",
MAX(IF(ISNUMBER(AE421),1),
IF(ISNUMBER(AI421),2),
IF(ISNUMBER(AM421),3),
IF(ISNUMBER(AQ421),4),
IF(ISNUMBER(AU421),5),
IF(ISNUMBER(AY421),6),
IF(ISNUMBER(BC421),7),
IF(ISNUMBER(BG421),8),
IF(ISNUMBER(BK421),9),
IF(ISNUMBER(BO421),10)))</f>
        <v/>
      </c>
      <c r="K678" s="369"/>
      <c r="L678" s="369" t="str">
        <f>IF(ISBLANK(Inputs!$A29),"",
_xlfn.LET(
_xlpm.n,J678,
CHOOSE(_xlpm.n,
AE421,AI421,AM421,AQ421,AU421,
AY421,BC421,BG421,BK421,BO421
)
))</f>
        <v/>
      </c>
      <c r="M678" s="369"/>
      <c r="N678" s="369" t="str">
        <f>IF(ISBLANK(Inputs!$A29),"",
Mat.Conc_Alpha.1*Mat.Conc_f.c*Inputs!J29*MIN(L678*Mat.Conc_Beta.1,Inputs!I29))</f>
        <v/>
      </c>
      <c r="O678" s="369"/>
      <c r="P678" s="372" t="str">
        <f>IF(ISBLANK(Inputs!$A29),"",
Mat.Conc_Alpha.1*Mat.Conc_f.c*Inputs!E29*MAX(0,L678*Mat.Conc_Beta.1-Inputs!I29))</f>
        <v/>
      </c>
      <c r="Q678" s="369"/>
      <c r="R678" s="369" t="str">
        <f>IF(ISBLANK(Inputs!$A29),"",Inputs!G29*MIN(Mat.Rebar_f.y,(Mat.Rebar_epsilon.cl*(Inputs!H29-L678)/L678)*Mat.PT_E.s))</f>
        <v/>
      </c>
      <c r="S678" s="369"/>
      <c r="T678" s="369" t="str">
        <f>IF(ISBLANK(Inputs!$A29),"",Inputs!D29*(Mat.PT_f.pu*(1-Mat.PT_k*L678/Inputs!F29)))</f>
        <v/>
      </c>
      <c r="U678" s="369"/>
      <c r="V678" s="369" t="str">
        <f>IF(ISBLANK(Inputs!$A29),"",
(Mat.PT_f.pe/Mat.PT_E.ps)+(Mat.Rebar_epsilon.cl*((Geometry_d.p.Positive-L678)/L678)))</f>
        <v/>
      </c>
      <c r="W678" s="369"/>
      <c r="X678" s="369" t="str">
        <f>IF(ISBLANK(Inputs!$A29),"",
0.5*MIN(L678*Mat.Conc_Beta.1,Geometry_h.f.Positive))</f>
        <v/>
      </c>
      <c r="Y678" s="369"/>
      <c r="Z678" s="369" t="str">
        <f>IF(ISBLANK(Inputs!$A29),"",
IF(P678=0,0,Geometry_h.f.Positive+0.5*MAX(0,L678*Mat.Conc_Beta.1-Geometry_h.f.Positive)))</f>
        <v/>
      </c>
      <c r="AA678" s="369"/>
      <c r="AB678" s="369" t="str">
        <f>IF(ISBLANK(Inputs!$A29),"",
Inputs!H29)</f>
        <v/>
      </c>
      <c r="AC678" s="369"/>
      <c r="AD678" s="369" t="str">
        <f>IF(ISBLANK(Inputs!$A29),"",
Inputs!F29)</f>
        <v/>
      </c>
      <c r="AE678" s="369"/>
      <c r="AF678" s="369" t="str">
        <f>IF(ISBLANK(Inputs!$A29),"",
MAX(0.75,MIN(1,0.75+0.25*(V678-Mat.Rebar_epsilon.cl)/(Mat.Rebar_epsilon.tl-Mat.Rebar_epsilon.cl))))</f>
        <v/>
      </c>
      <c r="AG678" s="369"/>
      <c r="AH678" s="370" t="str">
        <f>IF(ISBLANK(Inputs!$A29),"",
((AD678*T678+AB678*R678-Z678*P678-X678*N678)/12)*AF678)</f>
        <v/>
      </c>
      <c r="AI678" s="370"/>
      <c r="AJ678" s="370"/>
      <c r="AK678" s="369" t="str">
        <f>IF(ISBLANK(Inputs!$A29),"",
MAX(IF(ISNUMBER(AE546),1),
IF(ISNUMBER(AI546),2),
IF(ISNUMBER(AM546),3),
IF(ISNUMBER(AQ546),4),
IF(ISNUMBER(AU546),5),
IF(ISNUMBER(AY546),6),
IF(ISNUMBER(BC546),7),
IF(ISNUMBER(BG546),8),
IF(ISNUMBER(BK546),9),
IF(ISNUMBER(BO546),10)))</f>
        <v/>
      </c>
      <c r="AL678" s="369"/>
      <c r="AM678" s="369" t="str">
        <f>IF(ISBLANK(Inputs!$A29),"",
_xlfn.LET(
_xlpm.n,AK678,
CHOOSE(_xlpm.n,
AE546,AI546,AM546,AQ546,AU546,
AY546,BC546,BG546,BK546,BO546
)
))</f>
        <v/>
      </c>
      <c r="AN678" s="369"/>
      <c r="AO678" s="369" t="str">
        <f>IF(ISBLANK(Inputs!$A29),"",
Mat.Conc_Alpha.1*Mat.Conc_f.c*Geometry_b.Negative*MIN(AM678*Mat.Conc_Beta.1,Geometry_h.f.Negative))</f>
        <v/>
      </c>
      <c r="AP678" s="369"/>
      <c r="AQ678" s="369" t="str">
        <f>IF(ISBLANK(Inputs!$A29),"",
Mat.Conc_Alpha.1*Mat.Conc_f.c*Geometry_b.w*MAX(0,AM678*Mat.Conc_Beta.1-Geometry_h.f.Negative))</f>
        <v/>
      </c>
      <c r="AR678" s="369"/>
      <c r="AS678" s="369" t="str">
        <f>IF(ISBLANK(Inputs!$A29),"",
Mat.Rebar_A.s.Positive*MIN(Mat.Rebar_f.y,(Mat.Rebar_epsilon.cl*(Geometry_d.s.Negative-AM678)/AM678)*Mat.PT_E.s))</f>
        <v/>
      </c>
      <c r="AT678" s="369"/>
      <c r="AU678" s="369" t="str">
        <f>IF(ISBLANK(Inputs!$A29),"",
Mat.PT_A.ps*(Mat.PT_f.pu*(1-Mat.PT_k*AM678/Geometry_d.p.Negative)))</f>
        <v/>
      </c>
      <c r="AV678" s="369"/>
      <c r="AW678" s="369" t="str">
        <f>IF(ISBLANK(Inputs!$A29),"",
(Mat.PT_f.pe/Mat.PT_E.ps)+(Mat.Rebar_epsilon.cl*((Geometry_d.p.Negative-AM678)/AM678)))</f>
        <v/>
      </c>
      <c r="AX678" s="369"/>
      <c r="AY678" s="369" t="str">
        <f>IF(ISBLANK(Inputs!$A29),"",
0.5*MIN(AM678*Mat.Conc_Beta.1,Geometry_h.f.Negative))</f>
        <v/>
      </c>
      <c r="AZ678" s="369"/>
      <c r="BA678" s="369" t="str">
        <f>IF(ISBLANK(Inputs!$A29),"",
IF(AQ678=0,0,Geometry_h.f.Negative+0.5*MAX(0,AM678*Mat.Conc_Beta.1-Geometry_h.f.Negative)))</f>
        <v/>
      </c>
      <c r="BB678" s="369"/>
      <c r="BC678" s="369" t="str">
        <f>IF(ISBLANK(Inputs!$A29),"",
Inputs!L29)</f>
        <v/>
      </c>
      <c r="BD678" s="369"/>
      <c r="BE678" s="369" t="str">
        <f>IF(ISBLANK(Inputs!$A29),"",Inputs!$B$10-Inputs!F29)</f>
        <v/>
      </c>
      <c r="BF678" s="369"/>
      <c r="BG678" s="369" t="str">
        <f>IF(ISBLANK(Inputs!$A29),"",
MAX(0.75,MIN(1,0.75+0.25*(AW678-Mat.Rebar_epsilon.cl)/(Mat.Rebar_epsilon.tl-Mat.Rebar_epsilon.cl))))</f>
        <v/>
      </c>
      <c r="BH678" s="369"/>
      <c r="BI678" s="370" t="str">
        <f>IF(ISBLANK(Inputs!$A29),"",
-((BE678*AU678+BC678*AS678-BA678*AQ678-AY678*AO678)/12)*BG678)</f>
        <v/>
      </c>
      <c r="BJ678" s="370"/>
      <c r="BK678" s="370"/>
      <c r="BL678" s="370" t="str">
        <f>IF(ISBLANK(Inputs!C29),"",Inputs!C29)</f>
        <v/>
      </c>
      <c r="BM678" s="370"/>
      <c r="BN678" s="370"/>
      <c r="BO678" s="374" t="str">
        <f>IF(ISBLANK(Inputs!$A29),"",
IFERROR(IF(BL678&gt;=0,ABS(BL678)/ABS(AH678),ABS(BL678)/ABS(BI678)),""))</f>
        <v/>
      </c>
      <c r="BP678" s="374"/>
      <c r="BQ678" s="374"/>
      <c r="BR678" s="59"/>
      <c r="BS678" s="70"/>
      <c r="BT678" s="70"/>
      <c r="BU678" s="70"/>
      <c r="BV678" s="70"/>
      <c r="BW678" s="8"/>
      <c r="BX678" s="8"/>
      <c r="BY678" s="8"/>
      <c r="BZ678" s="8"/>
      <c r="CA678" s="8"/>
      <c r="CB678" s="10"/>
    </row>
    <row r="679" spans="3:80" ht="15" customHeight="1" x14ac:dyDescent="0.25">
      <c r="C679" s="69"/>
      <c r="F679" s="369" t="str">
        <f>IF(ISBLANK(Inputs!A30),"",Inputs!A30)</f>
        <v/>
      </c>
      <c r="G679" s="369"/>
      <c r="H679" s="369" t="str">
        <f>IF(ISBLANK(Inputs!B30),"",Inputs!B30)</f>
        <v/>
      </c>
      <c r="I679" s="369"/>
      <c r="J679" s="369" t="str">
        <f>IF(ISBLANK(Inputs!$A30),"",
MAX(IF(ISNUMBER(AE422),1),
IF(ISNUMBER(AI422),2),
IF(ISNUMBER(AM422),3),
IF(ISNUMBER(AQ422),4),
IF(ISNUMBER(AU422),5),
IF(ISNUMBER(AY422),6),
IF(ISNUMBER(BC422),7),
IF(ISNUMBER(BG422),8),
IF(ISNUMBER(BK422),9),
IF(ISNUMBER(BO422),10)))</f>
        <v/>
      </c>
      <c r="K679" s="369"/>
      <c r="L679" s="369" t="str">
        <f>IF(ISBLANK(Inputs!$A30),"",
_xlfn.LET(
_xlpm.n,J679,
CHOOSE(_xlpm.n,
AE422,AI422,AM422,AQ422,AU422,
AY422,BC422,BG422,BK422,BO422
)
))</f>
        <v/>
      </c>
      <c r="M679" s="369"/>
      <c r="N679" s="369" t="str">
        <f>IF(ISBLANK(Inputs!$A30),"",
Mat.Conc_Alpha.1*Mat.Conc_f.c*Inputs!J30*MIN(L679*Mat.Conc_Beta.1,Inputs!I30))</f>
        <v/>
      </c>
      <c r="O679" s="369"/>
      <c r="P679" s="372" t="str">
        <f>IF(ISBLANK(Inputs!$A30),"",
Mat.Conc_Alpha.1*Mat.Conc_f.c*Inputs!E30*MAX(0,L679*Mat.Conc_Beta.1-Inputs!I30))</f>
        <v/>
      </c>
      <c r="Q679" s="369"/>
      <c r="R679" s="369" t="str">
        <f>IF(ISBLANK(Inputs!$A30),"",Inputs!G30*MIN(Mat.Rebar_f.y,(Mat.Rebar_epsilon.cl*(Inputs!H30-L679)/L679)*Mat.PT_E.s))</f>
        <v/>
      </c>
      <c r="S679" s="369"/>
      <c r="T679" s="369" t="str">
        <f>IF(ISBLANK(Inputs!$A30),"",Inputs!D30*(Mat.PT_f.pu*(1-Mat.PT_k*L679/Inputs!F30)))</f>
        <v/>
      </c>
      <c r="U679" s="369"/>
      <c r="V679" s="369" t="str">
        <f>IF(ISBLANK(Inputs!$A30),"",
(Mat.PT_f.pe/Mat.PT_E.ps)+(Mat.Rebar_epsilon.cl*((Geometry_d.p.Positive-L679)/L679)))</f>
        <v/>
      </c>
      <c r="W679" s="369"/>
      <c r="X679" s="369" t="str">
        <f>IF(ISBLANK(Inputs!$A30),"",
0.5*MIN(L679*Mat.Conc_Beta.1,Geometry_h.f.Positive))</f>
        <v/>
      </c>
      <c r="Y679" s="369"/>
      <c r="Z679" s="369" t="str">
        <f>IF(ISBLANK(Inputs!$A30),"",
IF(P679=0,0,Geometry_h.f.Positive+0.5*MAX(0,L679*Mat.Conc_Beta.1-Geometry_h.f.Positive)))</f>
        <v/>
      </c>
      <c r="AA679" s="369"/>
      <c r="AB679" s="369" t="str">
        <f>IF(ISBLANK(Inputs!$A30),"",
Inputs!H30)</f>
        <v/>
      </c>
      <c r="AC679" s="369"/>
      <c r="AD679" s="369" t="str">
        <f>IF(ISBLANK(Inputs!$A30),"",
Inputs!F30)</f>
        <v/>
      </c>
      <c r="AE679" s="369"/>
      <c r="AF679" s="369" t="str">
        <f>IF(ISBLANK(Inputs!$A30),"",
MAX(0.75,MIN(1,0.75+0.25*(V679-Mat.Rebar_epsilon.cl)/(Mat.Rebar_epsilon.tl-Mat.Rebar_epsilon.cl))))</f>
        <v/>
      </c>
      <c r="AG679" s="369"/>
      <c r="AH679" s="370" t="str">
        <f>IF(ISBLANK(Inputs!$A30),"",
((AD679*T679+AB679*R679-Z679*P679-X679*N679)/12)*AF679)</f>
        <v/>
      </c>
      <c r="AI679" s="370"/>
      <c r="AJ679" s="370"/>
      <c r="AK679" s="369" t="str">
        <f>IF(ISBLANK(Inputs!$A30),"",
MAX(IF(ISNUMBER(AE547),1),
IF(ISNUMBER(AI547),2),
IF(ISNUMBER(AM547),3),
IF(ISNUMBER(AQ547),4),
IF(ISNUMBER(AU547),5),
IF(ISNUMBER(AY547),6),
IF(ISNUMBER(BC547),7),
IF(ISNUMBER(BG547),8),
IF(ISNUMBER(BK547),9),
IF(ISNUMBER(BO547),10)))</f>
        <v/>
      </c>
      <c r="AL679" s="369"/>
      <c r="AM679" s="369" t="str">
        <f>IF(ISBLANK(Inputs!$A30),"",
_xlfn.LET(
_xlpm.n,AK679,
CHOOSE(_xlpm.n,
AE547,AI547,AM547,AQ547,AU547,
AY547,BC547,BG547,BK547,BO547
)
))</f>
        <v/>
      </c>
      <c r="AN679" s="369"/>
      <c r="AO679" s="369" t="str">
        <f>IF(ISBLANK(Inputs!$A30),"",
Mat.Conc_Alpha.1*Mat.Conc_f.c*Geometry_b.Negative*MIN(AM679*Mat.Conc_Beta.1,Geometry_h.f.Negative))</f>
        <v/>
      </c>
      <c r="AP679" s="369"/>
      <c r="AQ679" s="369" t="str">
        <f>IF(ISBLANK(Inputs!$A30),"",
Mat.Conc_Alpha.1*Mat.Conc_f.c*Geometry_b.w*MAX(0,AM679*Mat.Conc_Beta.1-Geometry_h.f.Negative))</f>
        <v/>
      </c>
      <c r="AR679" s="369"/>
      <c r="AS679" s="369" t="str">
        <f>IF(ISBLANK(Inputs!$A30),"",
Mat.Rebar_A.s.Positive*MIN(Mat.Rebar_f.y,(Mat.Rebar_epsilon.cl*(Geometry_d.s.Negative-AM679)/AM679)*Mat.PT_E.s))</f>
        <v/>
      </c>
      <c r="AT679" s="369"/>
      <c r="AU679" s="369" t="str">
        <f>IF(ISBLANK(Inputs!$A30),"",
Mat.PT_A.ps*(Mat.PT_f.pu*(1-Mat.PT_k*AM679/Geometry_d.p.Negative)))</f>
        <v/>
      </c>
      <c r="AV679" s="369"/>
      <c r="AW679" s="369" t="str">
        <f>IF(ISBLANK(Inputs!$A30),"",
(Mat.PT_f.pe/Mat.PT_E.ps)+(Mat.Rebar_epsilon.cl*((Geometry_d.p.Negative-AM679)/AM679)))</f>
        <v/>
      </c>
      <c r="AX679" s="369"/>
      <c r="AY679" s="369" t="str">
        <f>IF(ISBLANK(Inputs!$A30),"",
0.5*MIN(AM679*Mat.Conc_Beta.1,Geometry_h.f.Negative))</f>
        <v/>
      </c>
      <c r="AZ679" s="369"/>
      <c r="BA679" s="369" t="str">
        <f>IF(ISBLANK(Inputs!$A30),"",
IF(AQ679=0,0,Geometry_h.f.Negative+0.5*MAX(0,AM679*Mat.Conc_Beta.1-Geometry_h.f.Negative)))</f>
        <v/>
      </c>
      <c r="BB679" s="369"/>
      <c r="BC679" s="369" t="str">
        <f>IF(ISBLANK(Inputs!$A30),"",
Inputs!L30)</f>
        <v/>
      </c>
      <c r="BD679" s="369"/>
      <c r="BE679" s="369" t="str">
        <f>IF(ISBLANK(Inputs!$A30),"",Inputs!$B$10-Inputs!F30)</f>
        <v/>
      </c>
      <c r="BF679" s="369"/>
      <c r="BG679" s="369" t="str">
        <f>IF(ISBLANK(Inputs!$A30),"",
MAX(0.75,MIN(1,0.75+0.25*(AW679-Mat.Rebar_epsilon.cl)/(Mat.Rebar_epsilon.tl-Mat.Rebar_epsilon.cl))))</f>
        <v/>
      </c>
      <c r="BH679" s="369"/>
      <c r="BI679" s="370" t="str">
        <f>IF(ISBLANK(Inputs!$A30),"",
-((BE679*AU679+BC679*AS679-BA679*AQ679-AY679*AO679)/12)*BG679)</f>
        <v/>
      </c>
      <c r="BJ679" s="370"/>
      <c r="BK679" s="370"/>
      <c r="BL679" s="370" t="str">
        <f>IF(ISBLANK(Inputs!C30),"",Inputs!C30)</f>
        <v/>
      </c>
      <c r="BM679" s="370"/>
      <c r="BN679" s="370"/>
      <c r="BO679" s="374" t="str">
        <f>IF(ISBLANK(Inputs!$A30),"",
IFERROR(IF(BL679&gt;=0,ABS(BL679)/ABS(AH679),ABS(BL679)/ABS(BI679)),""))</f>
        <v/>
      </c>
      <c r="BP679" s="374"/>
      <c r="BQ679" s="374"/>
      <c r="BR679" s="59"/>
      <c r="BS679" s="70"/>
      <c r="BT679" s="70"/>
      <c r="BU679" s="70"/>
      <c r="BV679" s="70"/>
      <c r="BW679" s="8"/>
      <c r="BX679" s="8"/>
      <c r="BY679" s="8"/>
      <c r="BZ679" s="8"/>
      <c r="CA679" s="8"/>
      <c r="CB679" s="10"/>
    </row>
    <row r="680" spans="3:80" ht="15" customHeight="1" x14ac:dyDescent="0.25">
      <c r="C680" s="69"/>
      <c r="F680" s="369" t="str">
        <f>IF(ISBLANK(Inputs!A31),"",Inputs!A31)</f>
        <v/>
      </c>
      <c r="G680" s="369"/>
      <c r="H680" s="369" t="str">
        <f>IF(ISBLANK(Inputs!B31),"",Inputs!B31)</f>
        <v/>
      </c>
      <c r="I680" s="369"/>
      <c r="J680" s="369" t="str">
        <f>IF(ISBLANK(Inputs!$A31),"",
MAX(IF(ISNUMBER(AE423),1),
IF(ISNUMBER(AI423),2),
IF(ISNUMBER(AM423),3),
IF(ISNUMBER(AQ423),4),
IF(ISNUMBER(AU423),5),
IF(ISNUMBER(AY423),6),
IF(ISNUMBER(BC423),7),
IF(ISNUMBER(BG423),8),
IF(ISNUMBER(BK423),9),
IF(ISNUMBER(BO423),10)))</f>
        <v/>
      </c>
      <c r="K680" s="369"/>
      <c r="L680" s="369" t="str">
        <f>IF(ISBLANK(Inputs!$A31),"",
_xlfn.LET(
_xlpm.n,J680,
CHOOSE(_xlpm.n,
AE423,AI423,AM423,AQ423,AU423,
AY423,BC423,BG423,BK423,BO423
)
))</f>
        <v/>
      </c>
      <c r="M680" s="369"/>
      <c r="N680" s="369" t="str">
        <f>IF(ISBLANK(Inputs!$A31),"",
Mat.Conc_Alpha.1*Mat.Conc_f.c*Inputs!J31*MIN(L680*Mat.Conc_Beta.1,Inputs!I31))</f>
        <v/>
      </c>
      <c r="O680" s="369"/>
      <c r="P680" s="372" t="str">
        <f>IF(ISBLANK(Inputs!$A31),"",
Mat.Conc_Alpha.1*Mat.Conc_f.c*Inputs!E31*MAX(0,L680*Mat.Conc_Beta.1-Inputs!I31))</f>
        <v/>
      </c>
      <c r="Q680" s="369"/>
      <c r="R680" s="369" t="str">
        <f>IF(ISBLANK(Inputs!$A31),"",Inputs!G31*MIN(Mat.Rebar_f.y,(Mat.Rebar_epsilon.cl*(Inputs!H31-L680)/L680)*Mat.PT_E.s))</f>
        <v/>
      </c>
      <c r="S680" s="369"/>
      <c r="T680" s="369" t="str">
        <f>IF(ISBLANK(Inputs!$A31),"",Inputs!D31*(Mat.PT_f.pu*(1-Mat.PT_k*L680/Inputs!F31)))</f>
        <v/>
      </c>
      <c r="U680" s="369"/>
      <c r="V680" s="369" t="str">
        <f>IF(ISBLANK(Inputs!$A31),"",
(Mat.PT_f.pe/Mat.PT_E.ps)+(Mat.Rebar_epsilon.cl*((Geometry_d.p.Positive-L680)/L680)))</f>
        <v/>
      </c>
      <c r="W680" s="369"/>
      <c r="X680" s="369" t="str">
        <f>IF(ISBLANK(Inputs!$A31),"",
0.5*MIN(L680*Mat.Conc_Beta.1,Geometry_h.f.Positive))</f>
        <v/>
      </c>
      <c r="Y680" s="369"/>
      <c r="Z680" s="369" t="str">
        <f>IF(ISBLANK(Inputs!$A31),"",
IF(P680=0,0,Geometry_h.f.Positive+0.5*MAX(0,L680*Mat.Conc_Beta.1-Geometry_h.f.Positive)))</f>
        <v/>
      </c>
      <c r="AA680" s="369"/>
      <c r="AB680" s="369" t="str">
        <f>IF(ISBLANK(Inputs!$A31),"",
Inputs!H31)</f>
        <v/>
      </c>
      <c r="AC680" s="369"/>
      <c r="AD680" s="369" t="str">
        <f>IF(ISBLANK(Inputs!$A31),"",
Inputs!F31)</f>
        <v/>
      </c>
      <c r="AE680" s="369"/>
      <c r="AF680" s="369" t="str">
        <f>IF(ISBLANK(Inputs!$A31),"",
MAX(0.75,MIN(1,0.75+0.25*(V680-Mat.Rebar_epsilon.cl)/(Mat.Rebar_epsilon.tl-Mat.Rebar_epsilon.cl))))</f>
        <v/>
      </c>
      <c r="AG680" s="369"/>
      <c r="AH680" s="370" t="str">
        <f>IF(ISBLANK(Inputs!$A31),"",
((AD680*T680+AB680*R680-Z680*P680-X680*N680)/12)*AF680)</f>
        <v/>
      </c>
      <c r="AI680" s="370"/>
      <c r="AJ680" s="370"/>
      <c r="AK680" s="369" t="str">
        <f>IF(ISBLANK(Inputs!$A31),"",
MAX(IF(ISNUMBER(AE548),1),
IF(ISNUMBER(AI548),2),
IF(ISNUMBER(AM548),3),
IF(ISNUMBER(AQ548),4),
IF(ISNUMBER(AU548),5),
IF(ISNUMBER(AY548),6),
IF(ISNUMBER(BC548),7),
IF(ISNUMBER(BG548),8),
IF(ISNUMBER(BK548),9),
IF(ISNUMBER(BO548),10)))</f>
        <v/>
      </c>
      <c r="AL680" s="369"/>
      <c r="AM680" s="369" t="str">
        <f>IF(ISBLANK(Inputs!$A31),"",
_xlfn.LET(
_xlpm.n,AK680,
CHOOSE(_xlpm.n,
AE548,AI548,AM548,AQ548,AU548,
AY548,BC548,BG548,BK548,BO548
)
))</f>
        <v/>
      </c>
      <c r="AN680" s="369"/>
      <c r="AO680" s="369" t="str">
        <f>IF(ISBLANK(Inputs!$A31),"",
Mat.Conc_Alpha.1*Mat.Conc_f.c*Geometry_b.Negative*MIN(AM680*Mat.Conc_Beta.1,Geometry_h.f.Negative))</f>
        <v/>
      </c>
      <c r="AP680" s="369"/>
      <c r="AQ680" s="369" t="str">
        <f>IF(ISBLANK(Inputs!$A31),"",
Mat.Conc_Alpha.1*Mat.Conc_f.c*Geometry_b.w*MAX(0,AM680*Mat.Conc_Beta.1-Geometry_h.f.Negative))</f>
        <v/>
      </c>
      <c r="AR680" s="369"/>
      <c r="AS680" s="369" t="str">
        <f>IF(ISBLANK(Inputs!$A31),"",
Mat.Rebar_A.s.Positive*MIN(Mat.Rebar_f.y,(Mat.Rebar_epsilon.cl*(Geometry_d.s.Negative-AM680)/AM680)*Mat.PT_E.s))</f>
        <v/>
      </c>
      <c r="AT680" s="369"/>
      <c r="AU680" s="369" t="str">
        <f>IF(ISBLANK(Inputs!$A31),"",
Mat.PT_A.ps*(Mat.PT_f.pu*(1-Mat.PT_k*AM680/Geometry_d.p.Negative)))</f>
        <v/>
      </c>
      <c r="AV680" s="369"/>
      <c r="AW680" s="369" t="str">
        <f>IF(ISBLANK(Inputs!$A31),"",
(Mat.PT_f.pe/Mat.PT_E.ps)+(Mat.Rebar_epsilon.cl*((Geometry_d.p.Negative-AM680)/AM680)))</f>
        <v/>
      </c>
      <c r="AX680" s="369"/>
      <c r="AY680" s="369" t="str">
        <f>IF(ISBLANK(Inputs!$A31),"",
0.5*MIN(AM680*Mat.Conc_Beta.1,Geometry_h.f.Negative))</f>
        <v/>
      </c>
      <c r="AZ680" s="369"/>
      <c r="BA680" s="369" t="str">
        <f>IF(ISBLANK(Inputs!$A31),"",
IF(AQ680=0,0,Geometry_h.f.Negative+0.5*MAX(0,AM680*Mat.Conc_Beta.1-Geometry_h.f.Negative)))</f>
        <v/>
      </c>
      <c r="BB680" s="369"/>
      <c r="BC680" s="369" t="str">
        <f>IF(ISBLANK(Inputs!$A31),"",
Inputs!L31)</f>
        <v/>
      </c>
      <c r="BD680" s="369"/>
      <c r="BE680" s="369" t="str">
        <f>IF(ISBLANK(Inputs!$A31),"",Inputs!$B$10-Inputs!F31)</f>
        <v/>
      </c>
      <c r="BF680" s="369"/>
      <c r="BG680" s="369" t="str">
        <f>IF(ISBLANK(Inputs!$A31),"",
MAX(0.75,MIN(1,0.75+0.25*(AW680-Mat.Rebar_epsilon.cl)/(Mat.Rebar_epsilon.tl-Mat.Rebar_epsilon.cl))))</f>
        <v/>
      </c>
      <c r="BH680" s="369"/>
      <c r="BI680" s="370" t="str">
        <f>IF(ISBLANK(Inputs!$A31),"",
-((BE680*AU680+BC680*AS680-BA680*AQ680-AY680*AO680)/12)*BG680)</f>
        <v/>
      </c>
      <c r="BJ680" s="370"/>
      <c r="BK680" s="370"/>
      <c r="BL680" s="370" t="str">
        <f>IF(ISBLANK(Inputs!C31),"",Inputs!C31)</f>
        <v/>
      </c>
      <c r="BM680" s="370"/>
      <c r="BN680" s="370"/>
      <c r="BO680" s="374" t="str">
        <f>IF(ISBLANK(Inputs!$A31),"",
IFERROR(IF(BL680&gt;=0,ABS(BL680)/ABS(AH680),ABS(BL680)/ABS(BI680)),""))</f>
        <v/>
      </c>
      <c r="BP680" s="374"/>
      <c r="BQ680" s="374"/>
      <c r="BR680" s="59"/>
      <c r="BS680" s="70"/>
      <c r="BT680" s="70"/>
      <c r="BU680" s="70"/>
      <c r="BV680" s="70"/>
      <c r="BW680" s="8"/>
      <c r="BX680" s="8"/>
      <c r="BY680" s="8"/>
      <c r="BZ680" s="8"/>
      <c r="CA680" s="8"/>
      <c r="CB680" s="10"/>
    </row>
    <row r="681" spans="3:80" ht="15" customHeight="1" x14ac:dyDescent="0.25">
      <c r="C681" s="69"/>
      <c r="F681" s="369" t="str">
        <f>IF(ISBLANK(Inputs!A32),"",Inputs!A32)</f>
        <v/>
      </c>
      <c r="G681" s="369"/>
      <c r="H681" s="369" t="str">
        <f>IF(ISBLANK(Inputs!B32),"",Inputs!B32)</f>
        <v/>
      </c>
      <c r="I681" s="369"/>
      <c r="J681" s="369" t="str">
        <f>IF(ISBLANK(Inputs!$A32),"",
MAX(IF(ISNUMBER(AE424),1),
IF(ISNUMBER(AI424),2),
IF(ISNUMBER(AM424),3),
IF(ISNUMBER(AQ424),4),
IF(ISNUMBER(AU424),5),
IF(ISNUMBER(AY424),6),
IF(ISNUMBER(BC424),7),
IF(ISNUMBER(BG424),8),
IF(ISNUMBER(BK424),9),
IF(ISNUMBER(BO424),10)))</f>
        <v/>
      </c>
      <c r="K681" s="369"/>
      <c r="L681" s="369" t="str">
        <f>IF(ISBLANK(Inputs!$A32),"",
_xlfn.LET(
_xlpm.n,J681,
CHOOSE(_xlpm.n,
AE424,AI424,AM424,AQ424,AU424,
AY424,BC424,BG424,BK424,BO424
)
))</f>
        <v/>
      </c>
      <c r="M681" s="369"/>
      <c r="N681" s="369" t="str">
        <f>IF(ISBLANK(Inputs!$A32),"",
Mat.Conc_Alpha.1*Mat.Conc_f.c*Inputs!J32*MIN(L681*Mat.Conc_Beta.1,Inputs!I32))</f>
        <v/>
      </c>
      <c r="O681" s="369"/>
      <c r="P681" s="372" t="str">
        <f>IF(ISBLANK(Inputs!$A32),"",
Mat.Conc_Alpha.1*Mat.Conc_f.c*Inputs!E32*MAX(0,L681*Mat.Conc_Beta.1-Inputs!I32))</f>
        <v/>
      </c>
      <c r="Q681" s="369"/>
      <c r="R681" s="369" t="str">
        <f>IF(ISBLANK(Inputs!$A32),"",Inputs!G32*MIN(Mat.Rebar_f.y,(Mat.Rebar_epsilon.cl*(Inputs!H32-L681)/L681)*Mat.PT_E.s))</f>
        <v/>
      </c>
      <c r="S681" s="369"/>
      <c r="T681" s="369" t="str">
        <f>IF(ISBLANK(Inputs!$A32),"",Inputs!D32*(Mat.PT_f.pu*(1-Mat.PT_k*L681/Inputs!F32)))</f>
        <v/>
      </c>
      <c r="U681" s="369"/>
      <c r="V681" s="369" t="str">
        <f>IF(ISBLANK(Inputs!$A32),"",
(Mat.PT_f.pe/Mat.PT_E.ps)+(Mat.Rebar_epsilon.cl*((Geometry_d.p.Positive-L681)/L681)))</f>
        <v/>
      </c>
      <c r="W681" s="369"/>
      <c r="X681" s="369" t="str">
        <f>IF(ISBLANK(Inputs!$A32),"",
0.5*MIN(L681*Mat.Conc_Beta.1,Geometry_h.f.Positive))</f>
        <v/>
      </c>
      <c r="Y681" s="369"/>
      <c r="Z681" s="369" t="str">
        <f>IF(ISBLANK(Inputs!$A32),"",
IF(P681=0,0,Geometry_h.f.Positive+0.5*MAX(0,L681*Mat.Conc_Beta.1-Geometry_h.f.Positive)))</f>
        <v/>
      </c>
      <c r="AA681" s="369"/>
      <c r="AB681" s="369" t="str">
        <f>IF(ISBLANK(Inputs!$A32),"",
Inputs!H32)</f>
        <v/>
      </c>
      <c r="AC681" s="369"/>
      <c r="AD681" s="369" t="str">
        <f>IF(ISBLANK(Inputs!$A32),"",
Inputs!F32)</f>
        <v/>
      </c>
      <c r="AE681" s="369"/>
      <c r="AF681" s="369" t="str">
        <f>IF(ISBLANK(Inputs!$A32),"",
MAX(0.75,MIN(1,0.75+0.25*(V681-Mat.Rebar_epsilon.cl)/(Mat.Rebar_epsilon.tl-Mat.Rebar_epsilon.cl))))</f>
        <v/>
      </c>
      <c r="AG681" s="369"/>
      <c r="AH681" s="370" t="str">
        <f>IF(ISBLANK(Inputs!$A32),"",
((AD681*T681+AB681*R681-Z681*P681-X681*N681)/12)*AF681)</f>
        <v/>
      </c>
      <c r="AI681" s="370"/>
      <c r="AJ681" s="370"/>
      <c r="AK681" s="369" t="str">
        <f>IF(ISBLANK(Inputs!$A32),"",
MAX(IF(ISNUMBER(AE549),1),
IF(ISNUMBER(AI549),2),
IF(ISNUMBER(AM549),3),
IF(ISNUMBER(AQ549),4),
IF(ISNUMBER(AU549),5),
IF(ISNUMBER(AY549),6),
IF(ISNUMBER(BC549),7),
IF(ISNUMBER(BG549),8),
IF(ISNUMBER(BK549),9),
IF(ISNUMBER(BO549),10)))</f>
        <v/>
      </c>
      <c r="AL681" s="369"/>
      <c r="AM681" s="369" t="str">
        <f>IF(ISBLANK(Inputs!$A32),"",
_xlfn.LET(
_xlpm.n,AK681,
CHOOSE(_xlpm.n,
AE549,AI549,AM549,AQ549,AU549,
AY549,BC549,BG549,BK549,BO549
)
))</f>
        <v/>
      </c>
      <c r="AN681" s="369"/>
      <c r="AO681" s="369" t="str">
        <f>IF(ISBLANK(Inputs!$A32),"",
Mat.Conc_Alpha.1*Mat.Conc_f.c*Geometry_b.Negative*MIN(AM681*Mat.Conc_Beta.1,Geometry_h.f.Negative))</f>
        <v/>
      </c>
      <c r="AP681" s="369"/>
      <c r="AQ681" s="369" t="str">
        <f>IF(ISBLANK(Inputs!$A32),"",
Mat.Conc_Alpha.1*Mat.Conc_f.c*Geometry_b.w*MAX(0,AM681*Mat.Conc_Beta.1-Geometry_h.f.Negative))</f>
        <v/>
      </c>
      <c r="AR681" s="369"/>
      <c r="AS681" s="369" t="str">
        <f>IF(ISBLANK(Inputs!$A32),"",
Mat.Rebar_A.s.Positive*MIN(Mat.Rebar_f.y,(Mat.Rebar_epsilon.cl*(Geometry_d.s.Negative-AM681)/AM681)*Mat.PT_E.s))</f>
        <v/>
      </c>
      <c r="AT681" s="369"/>
      <c r="AU681" s="369" t="str">
        <f>IF(ISBLANK(Inputs!$A32),"",
Mat.PT_A.ps*(Mat.PT_f.pu*(1-Mat.PT_k*AM681/Geometry_d.p.Negative)))</f>
        <v/>
      </c>
      <c r="AV681" s="369"/>
      <c r="AW681" s="369" t="str">
        <f>IF(ISBLANK(Inputs!$A32),"",
(Mat.PT_f.pe/Mat.PT_E.ps)+(Mat.Rebar_epsilon.cl*((Geometry_d.p.Negative-AM681)/AM681)))</f>
        <v/>
      </c>
      <c r="AX681" s="369"/>
      <c r="AY681" s="369" t="str">
        <f>IF(ISBLANK(Inputs!$A32),"",
0.5*MIN(AM681*Mat.Conc_Beta.1,Geometry_h.f.Negative))</f>
        <v/>
      </c>
      <c r="AZ681" s="369"/>
      <c r="BA681" s="369" t="str">
        <f>IF(ISBLANK(Inputs!$A32),"",
IF(AQ681=0,0,Geometry_h.f.Negative+0.5*MAX(0,AM681*Mat.Conc_Beta.1-Geometry_h.f.Negative)))</f>
        <v/>
      </c>
      <c r="BB681" s="369"/>
      <c r="BC681" s="369" t="str">
        <f>IF(ISBLANK(Inputs!$A32),"",
Inputs!L32)</f>
        <v/>
      </c>
      <c r="BD681" s="369"/>
      <c r="BE681" s="369" t="str">
        <f>IF(ISBLANK(Inputs!$A32),"",Inputs!$B$10-Inputs!F32)</f>
        <v/>
      </c>
      <c r="BF681" s="369"/>
      <c r="BG681" s="369" t="str">
        <f>IF(ISBLANK(Inputs!$A32),"",
MAX(0.75,MIN(1,0.75+0.25*(AW681-Mat.Rebar_epsilon.cl)/(Mat.Rebar_epsilon.tl-Mat.Rebar_epsilon.cl))))</f>
        <v/>
      </c>
      <c r="BH681" s="369"/>
      <c r="BI681" s="370" t="str">
        <f>IF(ISBLANK(Inputs!$A32),"",
-((BE681*AU681+BC681*AS681-BA681*AQ681-AY681*AO681)/12)*BG681)</f>
        <v/>
      </c>
      <c r="BJ681" s="370"/>
      <c r="BK681" s="370"/>
      <c r="BL681" s="370" t="str">
        <f>IF(ISBLANK(Inputs!C32),"",Inputs!C32)</f>
        <v/>
      </c>
      <c r="BM681" s="370"/>
      <c r="BN681" s="370"/>
      <c r="BO681" s="374" t="str">
        <f>IF(ISBLANK(Inputs!$A32),"",
IFERROR(IF(BL681&gt;=0,ABS(BL681)/ABS(AH681),ABS(BL681)/ABS(BI681)),""))</f>
        <v/>
      </c>
      <c r="BP681" s="374"/>
      <c r="BQ681" s="374"/>
      <c r="BR681" s="59"/>
      <c r="BS681" s="70"/>
      <c r="BT681" s="70"/>
      <c r="BU681" s="70"/>
      <c r="BV681" s="70"/>
      <c r="BW681" s="8"/>
      <c r="BX681" s="8"/>
      <c r="BY681" s="8"/>
      <c r="BZ681" s="8"/>
      <c r="CA681" s="8"/>
      <c r="CB681" s="10"/>
    </row>
    <row r="682" spans="3:80" ht="15" customHeight="1" x14ac:dyDescent="0.25">
      <c r="C682" s="69"/>
      <c r="F682" s="369" t="str">
        <f>IF(ISBLANK(Inputs!A33),"",Inputs!A33)</f>
        <v/>
      </c>
      <c r="G682" s="369"/>
      <c r="H682" s="369" t="str">
        <f>IF(ISBLANK(Inputs!B33),"",Inputs!B33)</f>
        <v/>
      </c>
      <c r="I682" s="369"/>
      <c r="J682" s="369" t="str">
        <f>IF(ISBLANK(Inputs!$A33),"",
MAX(IF(ISNUMBER(AE425),1),
IF(ISNUMBER(AI425),2),
IF(ISNUMBER(AM425),3),
IF(ISNUMBER(AQ425),4),
IF(ISNUMBER(AU425),5),
IF(ISNUMBER(AY425),6),
IF(ISNUMBER(BC425),7),
IF(ISNUMBER(BG425),8),
IF(ISNUMBER(BK425),9),
IF(ISNUMBER(BO425),10)))</f>
        <v/>
      </c>
      <c r="K682" s="369"/>
      <c r="L682" s="369" t="str">
        <f>IF(ISBLANK(Inputs!$A33),"",
_xlfn.LET(
_xlpm.n,J682,
CHOOSE(_xlpm.n,
AE425,AI425,AM425,AQ425,AU425,
AY425,BC425,BG425,BK425,BO425
)
))</f>
        <v/>
      </c>
      <c r="M682" s="369"/>
      <c r="N682" s="369" t="str">
        <f>IF(ISBLANK(Inputs!$A33),"",
Mat.Conc_Alpha.1*Mat.Conc_f.c*Inputs!J33*MIN(L682*Mat.Conc_Beta.1,Inputs!I33))</f>
        <v/>
      </c>
      <c r="O682" s="369"/>
      <c r="P682" s="372" t="str">
        <f>IF(ISBLANK(Inputs!$A33),"",
Mat.Conc_Alpha.1*Mat.Conc_f.c*Inputs!E33*MAX(0,L682*Mat.Conc_Beta.1-Inputs!I33))</f>
        <v/>
      </c>
      <c r="Q682" s="369"/>
      <c r="R682" s="369" t="str">
        <f>IF(ISBLANK(Inputs!$A33),"",Inputs!G33*MIN(Mat.Rebar_f.y,(Mat.Rebar_epsilon.cl*(Inputs!H33-L682)/L682)*Mat.PT_E.s))</f>
        <v/>
      </c>
      <c r="S682" s="369"/>
      <c r="T682" s="369" t="str">
        <f>IF(ISBLANK(Inputs!$A33),"",Inputs!D33*(Mat.PT_f.pu*(1-Mat.PT_k*L682/Inputs!F33)))</f>
        <v/>
      </c>
      <c r="U682" s="369"/>
      <c r="V682" s="369" t="str">
        <f>IF(ISBLANK(Inputs!$A33),"",
(Mat.PT_f.pe/Mat.PT_E.ps)+(Mat.Rebar_epsilon.cl*((Geometry_d.p.Positive-L682)/L682)))</f>
        <v/>
      </c>
      <c r="W682" s="369"/>
      <c r="X682" s="369" t="str">
        <f>IF(ISBLANK(Inputs!$A33),"",
0.5*MIN(L682*Mat.Conc_Beta.1,Geometry_h.f.Positive))</f>
        <v/>
      </c>
      <c r="Y682" s="369"/>
      <c r="Z682" s="369" t="str">
        <f>IF(ISBLANK(Inputs!$A33),"",
IF(P682=0,0,Geometry_h.f.Positive+0.5*MAX(0,L682*Mat.Conc_Beta.1-Geometry_h.f.Positive)))</f>
        <v/>
      </c>
      <c r="AA682" s="369"/>
      <c r="AB682" s="369" t="str">
        <f>IF(ISBLANK(Inputs!$A33),"",
Inputs!H33)</f>
        <v/>
      </c>
      <c r="AC682" s="369"/>
      <c r="AD682" s="369" t="str">
        <f>IF(ISBLANK(Inputs!$A33),"",
Inputs!F33)</f>
        <v/>
      </c>
      <c r="AE682" s="369"/>
      <c r="AF682" s="369" t="str">
        <f>IF(ISBLANK(Inputs!$A33),"",
MAX(0.75,MIN(1,0.75+0.25*(V682-Mat.Rebar_epsilon.cl)/(Mat.Rebar_epsilon.tl-Mat.Rebar_epsilon.cl))))</f>
        <v/>
      </c>
      <c r="AG682" s="369"/>
      <c r="AH682" s="370" t="str">
        <f>IF(ISBLANK(Inputs!$A33),"",
((AD682*T682+AB682*R682-Z682*P682-X682*N682)/12)*AF682)</f>
        <v/>
      </c>
      <c r="AI682" s="370"/>
      <c r="AJ682" s="370"/>
      <c r="AK682" s="369" t="str">
        <f>IF(ISBLANK(Inputs!$A33),"",
MAX(IF(ISNUMBER(AE550),1),
IF(ISNUMBER(AI550),2),
IF(ISNUMBER(AM550),3),
IF(ISNUMBER(AQ550),4),
IF(ISNUMBER(AU550),5),
IF(ISNUMBER(AY550),6),
IF(ISNUMBER(BC550),7),
IF(ISNUMBER(BG550),8),
IF(ISNUMBER(BK550),9),
IF(ISNUMBER(BO550),10)))</f>
        <v/>
      </c>
      <c r="AL682" s="369"/>
      <c r="AM682" s="369" t="str">
        <f>IF(ISBLANK(Inputs!$A33),"",
_xlfn.LET(
_xlpm.n,AK682,
CHOOSE(_xlpm.n,
AE550,AI550,AM550,AQ550,AU550,
AY550,BC550,BG550,BK550,BO550
)
))</f>
        <v/>
      </c>
      <c r="AN682" s="369"/>
      <c r="AO682" s="369" t="str">
        <f>IF(ISBLANK(Inputs!$A33),"",
Mat.Conc_Alpha.1*Mat.Conc_f.c*Geometry_b.Negative*MIN(AM682*Mat.Conc_Beta.1,Geometry_h.f.Negative))</f>
        <v/>
      </c>
      <c r="AP682" s="369"/>
      <c r="AQ682" s="369" t="str">
        <f>IF(ISBLANK(Inputs!$A33),"",
Mat.Conc_Alpha.1*Mat.Conc_f.c*Geometry_b.w*MAX(0,AM682*Mat.Conc_Beta.1-Geometry_h.f.Negative))</f>
        <v/>
      </c>
      <c r="AR682" s="369"/>
      <c r="AS682" s="369" t="str">
        <f>IF(ISBLANK(Inputs!$A33),"",
Mat.Rebar_A.s.Positive*MIN(Mat.Rebar_f.y,(Mat.Rebar_epsilon.cl*(Geometry_d.s.Negative-AM682)/AM682)*Mat.PT_E.s))</f>
        <v/>
      </c>
      <c r="AT682" s="369"/>
      <c r="AU682" s="369" t="str">
        <f>IF(ISBLANK(Inputs!$A33),"",
Mat.PT_A.ps*(Mat.PT_f.pu*(1-Mat.PT_k*AM682/Geometry_d.p.Negative)))</f>
        <v/>
      </c>
      <c r="AV682" s="369"/>
      <c r="AW682" s="369" t="str">
        <f>IF(ISBLANK(Inputs!$A33),"",
(Mat.PT_f.pe/Mat.PT_E.ps)+(Mat.Rebar_epsilon.cl*((Geometry_d.p.Negative-AM682)/AM682)))</f>
        <v/>
      </c>
      <c r="AX682" s="369"/>
      <c r="AY682" s="369" t="str">
        <f>IF(ISBLANK(Inputs!$A33),"",
0.5*MIN(AM682*Mat.Conc_Beta.1,Geometry_h.f.Negative))</f>
        <v/>
      </c>
      <c r="AZ682" s="369"/>
      <c r="BA682" s="369" t="str">
        <f>IF(ISBLANK(Inputs!$A33),"",
IF(AQ682=0,0,Geometry_h.f.Negative+0.5*MAX(0,AM682*Mat.Conc_Beta.1-Geometry_h.f.Negative)))</f>
        <v/>
      </c>
      <c r="BB682" s="369"/>
      <c r="BC682" s="369" t="str">
        <f>IF(ISBLANK(Inputs!$A33),"",
Inputs!L33)</f>
        <v/>
      </c>
      <c r="BD682" s="369"/>
      <c r="BE682" s="369" t="str">
        <f>IF(ISBLANK(Inputs!$A33),"",Inputs!$B$10-Inputs!F33)</f>
        <v/>
      </c>
      <c r="BF682" s="369"/>
      <c r="BG682" s="369" t="str">
        <f>IF(ISBLANK(Inputs!$A33),"",
MAX(0.75,MIN(1,0.75+0.25*(AW682-Mat.Rebar_epsilon.cl)/(Mat.Rebar_epsilon.tl-Mat.Rebar_epsilon.cl))))</f>
        <v/>
      </c>
      <c r="BH682" s="369"/>
      <c r="BI682" s="370" t="str">
        <f>IF(ISBLANK(Inputs!$A33),"",
-((BE682*AU682+BC682*AS682-BA682*AQ682-AY682*AO682)/12)*BG682)</f>
        <v/>
      </c>
      <c r="BJ682" s="370"/>
      <c r="BK682" s="370"/>
      <c r="BL682" s="370" t="str">
        <f>IF(ISBLANK(Inputs!C33),"",Inputs!C33)</f>
        <v/>
      </c>
      <c r="BM682" s="370"/>
      <c r="BN682" s="370"/>
      <c r="BO682" s="374" t="str">
        <f>IF(ISBLANK(Inputs!$A33),"",
IFERROR(IF(BL682&gt;=0,ABS(BL682)/ABS(AH682),ABS(BL682)/ABS(BI682)),""))</f>
        <v/>
      </c>
      <c r="BP682" s="374"/>
      <c r="BQ682" s="374"/>
      <c r="BR682" s="59"/>
      <c r="BS682" s="70"/>
      <c r="BT682" s="70"/>
      <c r="BU682" s="70"/>
      <c r="BV682" s="70"/>
      <c r="BW682" s="8"/>
      <c r="BX682" s="8"/>
      <c r="BY682" s="8"/>
      <c r="BZ682" s="8"/>
      <c r="CA682" s="8"/>
      <c r="CB682" s="10"/>
    </row>
    <row r="683" spans="3:80" ht="15" customHeight="1" x14ac:dyDescent="0.25">
      <c r="C683" s="69"/>
      <c r="F683" s="369" t="str">
        <f>IF(ISBLANK(Inputs!A34),"",Inputs!A34)</f>
        <v/>
      </c>
      <c r="G683" s="369"/>
      <c r="H683" s="369" t="str">
        <f>IF(ISBLANK(Inputs!B34),"",Inputs!B34)</f>
        <v/>
      </c>
      <c r="I683" s="369"/>
      <c r="J683" s="369" t="str">
        <f>IF(ISBLANK(Inputs!$A34),"",
MAX(IF(ISNUMBER(AE426),1),
IF(ISNUMBER(AI426),2),
IF(ISNUMBER(AM426),3),
IF(ISNUMBER(AQ426),4),
IF(ISNUMBER(AU426),5),
IF(ISNUMBER(AY426),6),
IF(ISNUMBER(BC426),7),
IF(ISNUMBER(BG426),8),
IF(ISNUMBER(BK426),9),
IF(ISNUMBER(BO426),10)))</f>
        <v/>
      </c>
      <c r="K683" s="369"/>
      <c r="L683" s="369" t="str">
        <f>IF(ISBLANK(Inputs!$A34),"",
_xlfn.LET(
_xlpm.n,J683,
CHOOSE(_xlpm.n,
AE426,AI426,AM426,AQ426,AU426,
AY426,BC426,BG426,BK426,BO426
)
))</f>
        <v/>
      </c>
      <c r="M683" s="369"/>
      <c r="N683" s="369" t="str">
        <f>IF(ISBLANK(Inputs!$A34),"",
Mat.Conc_Alpha.1*Mat.Conc_f.c*Inputs!J34*MIN(L683*Mat.Conc_Beta.1,Inputs!I34))</f>
        <v/>
      </c>
      <c r="O683" s="369"/>
      <c r="P683" s="372" t="str">
        <f>IF(ISBLANK(Inputs!$A34),"",
Mat.Conc_Alpha.1*Mat.Conc_f.c*Inputs!E34*MAX(0,L683*Mat.Conc_Beta.1-Inputs!I34))</f>
        <v/>
      </c>
      <c r="Q683" s="369"/>
      <c r="R683" s="369" t="str">
        <f>IF(ISBLANK(Inputs!$A34),"",Inputs!G34*MIN(Mat.Rebar_f.y,(Mat.Rebar_epsilon.cl*(Inputs!H34-L683)/L683)*Mat.PT_E.s))</f>
        <v/>
      </c>
      <c r="S683" s="369"/>
      <c r="T683" s="369" t="str">
        <f>IF(ISBLANK(Inputs!$A34),"",Inputs!D34*(Mat.PT_f.pu*(1-Mat.PT_k*L683/Inputs!F34)))</f>
        <v/>
      </c>
      <c r="U683" s="369"/>
      <c r="V683" s="369" t="str">
        <f>IF(ISBLANK(Inputs!$A34),"",
(Mat.PT_f.pe/Mat.PT_E.ps)+(Mat.Rebar_epsilon.cl*((Geometry_d.p.Positive-L683)/L683)))</f>
        <v/>
      </c>
      <c r="W683" s="369"/>
      <c r="X683" s="369" t="str">
        <f>IF(ISBLANK(Inputs!$A34),"",
0.5*MIN(L683*Mat.Conc_Beta.1,Geometry_h.f.Positive))</f>
        <v/>
      </c>
      <c r="Y683" s="369"/>
      <c r="Z683" s="369" t="str">
        <f>IF(ISBLANK(Inputs!$A34),"",
IF(P683=0,0,Geometry_h.f.Positive+0.5*MAX(0,L683*Mat.Conc_Beta.1-Geometry_h.f.Positive)))</f>
        <v/>
      </c>
      <c r="AA683" s="369"/>
      <c r="AB683" s="369" t="str">
        <f>IF(ISBLANK(Inputs!$A34),"",
Inputs!H34)</f>
        <v/>
      </c>
      <c r="AC683" s="369"/>
      <c r="AD683" s="369" t="str">
        <f>IF(ISBLANK(Inputs!$A34),"",
Inputs!F34)</f>
        <v/>
      </c>
      <c r="AE683" s="369"/>
      <c r="AF683" s="369" t="str">
        <f>IF(ISBLANK(Inputs!$A34),"",
MAX(0.75,MIN(1,0.75+0.25*(V683-Mat.Rebar_epsilon.cl)/(Mat.Rebar_epsilon.tl-Mat.Rebar_epsilon.cl))))</f>
        <v/>
      </c>
      <c r="AG683" s="369"/>
      <c r="AH683" s="370" t="str">
        <f>IF(ISBLANK(Inputs!$A34),"",
((AD683*T683+AB683*R683-Z683*P683-X683*N683)/12)*AF683)</f>
        <v/>
      </c>
      <c r="AI683" s="370"/>
      <c r="AJ683" s="370"/>
      <c r="AK683" s="369" t="str">
        <f>IF(ISBLANK(Inputs!$A34),"",
MAX(IF(ISNUMBER(AE551),1),
IF(ISNUMBER(AI551),2),
IF(ISNUMBER(AM551),3),
IF(ISNUMBER(AQ551),4),
IF(ISNUMBER(AU551),5),
IF(ISNUMBER(AY551),6),
IF(ISNUMBER(BC551),7),
IF(ISNUMBER(BG551),8),
IF(ISNUMBER(BK551),9),
IF(ISNUMBER(BO551),10)))</f>
        <v/>
      </c>
      <c r="AL683" s="369"/>
      <c r="AM683" s="369" t="str">
        <f>IF(ISBLANK(Inputs!$A34),"",
_xlfn.LET(
_xlpm.n,AK683,
CHOOSE(_xlpm.n,
AE551,AI551,AM551,AQ551,AU551,
AY551,BC551,BG551,BK551,BO551
)
))</f>
        <v/>
      </c>
      <c r="AN683" s="369"/>
      <c r="AO683" s="369" t="str">
        <f>IF(ISBLANK(Inputs!$A34),"",
Mat.Conc_Alpha.1*Mat.Conc_f.c*Geometry_b.Negative*MIN(AM683*Mat.Conc_Beta.1,Geometry_h.f.Negative))</f>
        <v/>
      </c>
      <c r="AP683" s="369"/>
      <c r="AQ683" s="369" t="str">
        <f>IF(ISBLANK(Inputs!$A34),"",
Mat.Conc_Alpha.1*Mat.Conc_f.c*Geometry_b.w*MAX(0,AM683*Mat.Conc_Beta.1-Geometry_h.f.Negative))</f>
        <v/>
      </c>
      <c r="AR683" s="369"/>
      <c r="AS683" s="369" t="str">
        <f>IF(ISBLANK(Inputs!$A34),"",
Mat.Rebar_A.s.Positive*MIN(Mat.Rebar_f.y,(Mat.Rebar_epsilon.cl*(Geometry_d.s.Negative-AM683)/AM683)*Mat.PT_E.s))</f>
        <v/>
      </c>
      <c r="AT683" s="369"/>
      <c r="AU683" s="369" t="str">
        <f>IF(ISBLANK(Inputs!$A34),"",
Mat.PT_A.ps*(Mat.PT_f.pu*(1-Mat.PT_k*AM683/Geometry_d.p.Negative)))</f>
        <v/>
      </c>
      <c r="AV683" s="369"/>
      <c r="AW683" s="369" t="str">
        <f>IF(ISBLANK(Inputs!$A34),"",
(Mat.PT_f.pe/Mat.PT_E.ps)+(Mat.Rebar_epsilon.cl*((Geometry_d.p.Negative-AM683)/AM683)))</f>
        <v/>
      </c>
      <c r="AX683" s="369"/>
      <c r="AY683" s="369" t="str">
        <f>IF(ISBLANK(Inputs!$A34),"",
0.5*MIN(AM683*Mat.Conc_Beta.1,Geometry_h.f.Negative))</f>
        <v/>
      </c>
      <c r="AZ683" s="369"/>
      <c r="BA683" s="369" t="str">
        <f>IF(ISBLANK(Inputs!$A34),"",
IF(AQ683=0,0,Geometry_h.f.Negative+0.5*MAX(0,AM683*Mat.Conc_Beta.1-Geometry_h.f.Negative)))</f>
        <v/>
      </c>
      <c r="BB683" s="369"/>
      <c r="BC683" s="369" t="str">
        <f>IF(ISBLANK(Inputs!$A34),"",
Inputs!L34)</f>
        <v/>
      </c>
      <c r="BD683" s="369"/>
      <c r="BE683" s="369" t="str">
        <f>IF(ISBLANK(Inputs!$A34),"",Inputs!$B$10-Inputs!F34)</f>
        <v/>
      </c>
      <c r="BF683" s="369"/>
      <c r="BG683" s="369" t="str">
        <f>IF(ISBLANK(Inputs!$A34),"",
MAX(0.75,MIN(1,0.75+0.25*(AW683-Mat.Rebar_epsilon.cl)/(Mat.Rebar_epsilon.tl-Mat.Rebar_epsilon.cl))))</f>
        <v/>
      </c>
      <c r="BH683" s="369"/>
      <c r="BI683" s="370" t="str">
        <f>IF(ISBLANK(Inputs!$A34),"",
-((BE683*AU683+BC683*AS683-BA683*AQ683-AY683*AO683)/12)*BG683)</f>
        <v/>
      </c>
      <c r="BJ683" s="370"/>
      <c r="BK683" s="370"/>
      <c r="BL683" s="370" t="str">
        <f>IF(ISBLANK(Inputs!C34),"",Inputs!C34)</f>
        <v/>
      </c>
      <c r="BM683" s="370"/>
      <c r="BN683" s="370"/>
      <c r="BO683" s="374" t="str">
        <f>IF(ISBLANK(Inputs!$A34),"",
IFERROR(IF(BL683&gt;=0,ABS(BL683)/ABS(AH683),ABS(BL683)/ABS(BI683)),""))</f>
        <v/>
      </c>
      <c r="BP683" s="374"/>
      <c r="BQ683" s="374"/>
      <c r="BR683" s="59"/>
      <c r="BS683" s="70"/>
      <c r="BT683" s="70"/>
      <c r="BU683" s="70"/>
      <c r="BV683" s="70"/>
      <c r="BW683" s="8"/>
      <c r="BX683" s="8"/>
      <c r="BY683" s="8"/>
      <c r="BZ683" s="8"/>
      <c r="CA683" s="8"/>
      <c r="CB683" s="10"/>
    </row>
    <row r="684" spans="3:80" ht="15" customHeight="1" x14ac:dyDescent="0.25">
      <c r="C684" s="69"/>
      <c r="F684" s="369" t="str">
        <f>IF(ISBLANK(Inputs!A35),"",Inputs!A35)</f>
        <v/>
      </c>
      <c r="G684" s="369"/>
      <c r="H684" s="369" t="str">
        <f>IF(ISBLANK(Inputs!B35),"",Inputs!B35)</f>
        <v/>
      </c>
      <c r="I684" s="369"/>
      <c r="J684" s="369" t="str">
        <f>IF(ISBLANK(Inputs!$A35),"",
MAX(IF(ISNUMBER(AE427),1),
IF(ISNUMBER(AI427),2),
IF(ISNUMBER(AM427),3),
IF(ISNUMBER(AQ427),4),
IF(ISNUMBER(AU427),5),
IF(ISNUMBER(AY427),6),
IF(ISNUMBER(BC427),7),
IF(ISNUMBER(BG427),8),
IF(ISNUMBER(BK427),9),
IF(ISNUMBER(BO427),10)))</f>
        <v/>
      </c>
      <c r="K684" s="369"/>
      <c r="L684" s="369" t="str">
        <f>IF(ISBLANK(Inputs!$A35),"",
_xlfn.LET(
_xlpm.n,J684,
CHOOSE(_xlpm.n,
AE427,AI427,AM427,AQ427,AU427,
AY427,BC427,BG427,BK427,BO427
)
))</f>
        <v/>
      </c>
      <c r="M684" s="369"/>
      <c r="N684" s="369" t="str">
        <f>IF(ISBLANK(Inputs!$A35),"",
Mat.Conc_Alpha.1*Mat.Conc_f.c*Inputs!J35*MIN(L684*Mat.Conc_Beta.1,Inputs!I35))</f>
        <v/>
      </c>
      <c r="O684" s="369"/>
      <c r="P684" s="372" t="str">
        <f>IF(ISBLANK(Inputs!$A35),"",
Mat.Conc_Alpha.1*Mat.Conc_f.c*Inputs!E35*MAX(0,L684*Mat.Conc_Beta.1-Inputs!I35))</f>
        <v/>
      </c>
      <c r="Q684" s="369"/>
      <c r="R684" s="369" t="str">
        <f>IF(ISBLANK(Inputs!$A35),"",Inputs!G35*MIN(Mat.Rebar_f.y,(Mat.Rebar_epsilon.cl*(Inputs!H35-L684)/L684)*Mat.PT_E.s))</f>
        <v/>
      </c>
      <c r="S684" s="369"/>
      <c r="T684" s="369" t="str">
        <f>IF(ISBLANK(Inputs!$A35),"",Inputs!D35*(Mat.PT_f.pu*(1-Mat.PT_k*L684/Inputs!F35)))</f>
        <v/>
      </c>
      <c r="U684" s="369"/>
      <c r="V684" s="369" t="str">
        <f>IF(ISBLANK(Inputs!$A35),"",
(Mat.PT_f.pe/Mat.PT_E.ps)+(Mat.Rebar_epsilon.cl*((Geometry_d.p.Positive-L684)/L684)))</f>
        <v/>
      </c>
      <c r="W684" s="369"/>
      <c r="X684" s="369" t="str">
        <f>IF(ISBLANK(Inputs!$A35),"",
0.5*MIN(L684*Mat.Conc_Beta.1,Geometry_h.f.Positive))</f>
        <v/>
      </c>
      <c r="Y684" s="369"/>
      <c r="Z684" s="369" t="str">
        <f>IF(ISBLANK(Inputs!$A35),"",
IF(P684=0,0,Geometry_h.f.Positive+0.5*MAX(0,L684*Mat.Conc_Beta.1-Geometry_h.f.Positive)))</f>
        <v/>
      </c>
      <c r="AA684" s="369"/>
      <c r="AB684" s="369" t="str">
        <f>IF(ISBLANK(Inputs!$A35),"",
Inputs!H35)</f>
        <v/>
      </c>
      <c r="AC684" s="369"/>
      <c r="AD684" s="369" t="str">
        <f>IF(ISBLANK(Inputs!$A35),"",
Inputs!F35)</f>
        <v/>
      </c>
      <c r="AE684" s="369"/>
      <c r="AF684" s="369" t="str">
        <f>IF(ISBLANK(Inputs!$A35),"",
MAX(0.75,MIN(1,0.75+0.25*(V684-Mat.Rebar_epsilon.cl)/(Mat.Rebar_epsilon.tl-Mat.Rebar_epsilon.cl))))</f>
        <v/>
      </c>
      <c r="AG684" s="369"/>
      <c r="AH684" s="370" t="str">
        <f>IF(ISBLANK(Inputs!$A35),"",
((AD684*T684+AB684*R684-Z684*P684-X684*N684)/12)*AF684)</f>
        <v/>
      </c>
      <c r="AI684" s="370"/>
      <c r="AJ684" s="370"/>
      <c r="AK684" s="369" t="str">
        <f>IF(ISBLANK(Inputs!$A35),"",
MAX(IF(ISNUMBER(AE552),1),
IF(ISNUMBER(AI552),2),
IF(ISNUMBER(AM552),3),
IF(ISNUMBER(AQ552),4),
IF(ISNUMBER(AU552),5),
IF(ISNUMBER(AY552),6),
IF(ISNUMBER(BC552),7),
IF(ISNUMBER(BG552),8),
IF(ISNUMBER(BK552),9),
IF(ISNUMBER(BO552),10)))</f>
        <v/>
      </c>
      <c r="AL684" s="369"/>
      <c r="AM684" s="369" t="str">
        <f>IF(ISBLANK(Inputs!$A35),"",
_xlfn.LET(
_xlpm.n,AK684,
CHOOSE(_xlpm.n,
AE552,AI552,AM552,AQ552,AU552,
AY552,BC552,BG552,BK552,BO552
)
))</f>
        <v/>
      </c>
      <c r="AN684" s="369"/>
      <c r="AO684" s="369" t="str">
        <f>IF(ISBLANK(Inputs!$A35),"",
Mat.Conc_Alpha.1*Mat.Conc_f.c*Geometry_b.Negative*MIN(AM684*Mat.Conc_Beta.1,Geometry_h.f.Negative))</f>
        <v/>
      </c>
      <c r="AP684" s="369"/>
      <c r="AQ684" s="369" t="str">
        <f>IF(ISBLANK(Inputs!$A35),"",
Mat.Conc_Alpha.1*Mat.Conc_f.c*Geometry_b.w*MAX(0,AM684*Mat.Conc_Beta.1-Geometry_h.f.Negative))</f>
        <v/>
      </c>
      <c r="AR684" s="369"/>
      <c r="AS684" s="369" t="str">
        <f>IF(ISBLANK(Inputs!$A35),"",
Mat.Rebar_A.s.Positive*MIN(Mat.Rebar_f.y,(Mat.Rebar_epsilon.cl*(Geometry_d.s.Negative-AM684)/AM684)*Mat.PT_E.s))</f>
        <v/>
      </c>
      <c r="AT684" s="369"/>
      <c r="AU684" s="369" t="str">
        <f>IF(ISBLANK(Inputs!$A35),"",
Mat.PT_A.ps*(Mat.PT_f.pu*(1-Mat.PT_k*AM684/Geometry_d.p.Negative)))</f>
        <v/>
      </c>
      <c r="AV684" s="369"/>
      <c r="AW684" s="369" t="str">
        <f>IF(ISBLANK(Inputs!$A35),"",
(Mat.PT_f.pe/Mat.PT_E.ps)+(Mat.Rebar_epsilon.cl*((Geometry_d.p.Negative-AM684)/AM684)))</f>
        <v/>
      </c>
      <c r="AX684" s="369"/>
      <c r="AY684" s="369" t="str">
        <f>IF(ISBLANK(Inputs!$A35),"",
0.5*MIN(AM684*Mat.Conc_Beta.1,Geometry_h.f.Negative))</f>
        <v/>
      </c>
      <c r="AZ684" s="369"/>
      <c r="BA684" s="369" t="str">
        <f>IF(ISBLANK(Inputs!$A35),"",
IF(AQ684=0,0,Geometry_h.f.Negative+0.5*MAX(0,AM684*Mat.Conc_Beta.1-Geometry_h.f.Negative)))</f>
        <v/>
      </c>
      <c r="BB684" s="369"/>
      <c r="BC684" s="369" t="str">
        <f>IF(ISBLANK(Inputs!$A35),"",
Inputs!L35)</f>
        <v/>
      </c>
      <c r="BD684" s="369"/>
      <c r="BE684" s="369" t="str">
        <f>IF(ISBLANK(Inputs!$A35),"",Inputs!$B$10-Inputs!F35)</f>
        <v/>
      </c>
      <c r="BF684" s="369"/>
      <c r="BG684" s="369" t="str">
        <f>IF(ISBLANK(Inputs!$A35),"",
MAX(0.75,MIN(1,0.75+0.25*(AW684-Mat.Rebar_epsilon.cl)/(Mat.Rebar_epsilon.tl-Mat.Rebar_epsilon.cl))))</f>
        <v/>
      </c>
      <c r="BH684" s="369"/>
      <c r="BI684" s="370" t="str">
        <f>IF(ISBLANK(Inputs!$A35),"",
-((BE684*AU684+BC684*AS684-BA684*AQ684-AY684*AO684)/12)*BG684)</f>
        <v/>
      </c>
      <c r="BJ684" s="370"/>
      <c r="BK684" s="370"/>
      <c r="BL684" s="370" t="str">
        <f>IF(ISBLANK(Inputs!C35),"",Inputs!C35)</f>
        <v/>
      </c>
      <c r="BM684" s="370"/>
      <c r="BN684" s="370"/>
      <c r="BO684" s="374" t="str">
        <f>IF(ISBLANK(Inputs!$A35),"",
IFERROR(IF(BL684&gt;=0,ABS(BL684)/ABS(AH684),ABS(BL684)/ABS(BI684)),""))</f>
        <v/>
      </c>
      <c r="BP684" s="374"/>
      <c r="BQ684" s="374"/>
      <c r="BR684" s="59"/>
      <c r="BS684" s="70"/>
      <c r="BT684" s="70"/>
      <c r="BU684" s="70"/>
      <c r="BV684" s="70"/>
      <c r="BW684" s="8"/>
      <c r="BX684" s="8"/>
      <c r="BY684" s="8"/>
      <c r="BZ684" s="8"/>
      <c r="CA684" s="8"/>
      <c r="CB684" s="10"/>
    </row>
    <row r="685" spans="3:80" ht="15" customHeight="1" x14ac:dyDescent="0.25">
      <c r="C685" s="69"/>
      <c r="F685" s="369" t="str">
        <f>IF(ISBLANK(Inputs!A36),"",Inputs!A36)</f>
        <v/>
      </c>
      <c r="G685" s="369"/>
      <c r="H685" s="369" t="str">
        <f>IF(ISBLANK(Inputs!B36),"",Inputs!B36)</f>
        <v/>
      </c>
      <c r="I685" s="369"/>
      <c r="J685" s="369" t="str">
        <f>IF(ISBLANK(Inputs!$A36),"",
MAX(IF(ISNUMBER(AE428),1),
IF(ISNUMBER(AI428),2),
IF(ISNUMBER(AM428),3),
IF(ISNUMBER(AQ428),4),
IF(ISNUMBER(AU428),5),
IF(ISNUMBER(AY428),6),
IF(ISNUMBER(BC428),7),
IF(ISNUMBER(BG428),8),
IF(ISNUMBER(BK428),9),
IF(ISNUMBER(BO428),10)))</f>
        <v/>
      </c>
      <c r="K685" s="369"/>
      <c r="L685" s="369" t="str">
        <f>IF(ISBLANK(Inputs!$A36),"",
_xlfn.LET(
_xlpm.n,J685,
CHOOSE(_xlpm.n,
AE428,AI428,AM428,AQ428,AU428,
AY428,BC428,BG428,BK428,BO428
)
))</f>
        <v/>
      </c>
      <c r="M685" s="369"/>
      <c r="N685" s="369" t="str">
        <f>IF(ISBLANK(Inputs!$A36),"",
Mat.Conc_Alpha.1*Mat.Conc_f.c*Inputs!J36*MIN(L685*Mat.Conc_Beta.1,Inputs!I36))</f>
        <v/>
      </c>
      <c r="O685" s="369"/>
      <c r="P685" s="372" t="str">
        <f>IF(ISBLANK(Inputs!$A36),"",
Mat.Conc_Alpha.1*Mat.Conc_f.c*Inputs!E36*MAX(0,L685*Mat.Conc_Beta.1-Inputs!I36))</f>
        <v/>
      </c>
      <c r="Q685" s="369"/>
      <c r="R685" s="369" t="str">
        <f>IF(ISBLANK(Inputs!$A36),"",Inputs!G36*MIN(Mat.Rebar_f.y,(Mat.Rebar_epsilon.cl*(Inputs!H36-L685)/L685)*Mat.PT_E.s))</f>
        <v/>
      </c>
      <c r="S685" s="369"/>
      <c r="T685" s="369" t="str">
        <f>IF(ISBLANK(Inputs!$A36),"",Inputs!D36*(Mat.PT_f.pu*(1-Mat.PT_k*L685/Inputs!F36)))</f>
        <v/>
      </c>
      <c r="U685" s="369"/>
      <c r="V685" s="369" t="str">
        <f>IF(ISBLANK(Inputs!$A36),"",
(Mat.PT_f.pe/Mat.PT_E.ps)+(Mat.Rebar_epsilon.cl*((Geometry_d.p.Positive-L685)/L685)))</f>
        <v/>
      </c>
      <c r="W685" s="369"/>
      <c r="X685" s="369" t="str">
        <f>IF(ISBLANK(Inputs!$A36),"",
0.5*MIN(L685*Mat.Conc_Beta.1,Geometry_h.f.Positive))</f>
        <v/>
      </c>
      <c r="Y685" s="369"/>
      <c r="Z685" s="369" t="str">
        <f>IF(ISBLANK(Inputs!$A36),"",
IF(P685=0,0,Geometry_h.f.Positive+0.5*MAX(0,L685*Mat.Conc_Beta.1-Geometry_h.f.Positive)))</f>
        <v/>
      </c>
      <c r="AA685" s="369"/>
      <c r="AB685" s="369" t="str">
        <f>IF(ISBLANK(Inputs!$A36),"",
Inputs!H36)</f>
        <v/>
      </c>
      <c r="AC685" s="369"/>
      <c r="AD685" s="369" t="str">
        <f>IF(ISBLANK(Inputs!$A36),"",
Inputs!F36)</f>
        <v/>
      </c>
      <c r="AE685" s="369"/>
      <c r="AF685" s="369" t="str">
        <f>IF(ISBLANK(Inputs!$A36),"",
MAX(0.75,MIN(1,0.75+0.25*(V685-Mat.Rebar_epsilon.cl)/(Mat.Rebar_epsilon.tl-Mat.Rebar_epsilon.cl))))</f>
        <v/>
      </c>
      <c r="AG685" s="369"/>
      <c r="AH685" s="370" t="str">
        <f>IF(ISBLANK(Inputs!$A36),"",
((AD685*T685+AB685*R685-Z685*P685-X685*N685)/12)*AF685)</f>
        <v/>
      </c>
      <c r="AI685" s="370"/>
      <c r="AJ685" s="370"/>
      <c r="AK685" s="369" t="str">
        <f>IF(ISBLANK(Inputs!$A36),"",
MAX(IF(ISNUMBER(AE553),1),
IF(ISNUMBER(AI553),2),
IF(ISNUMBER(AM553),3),
IF(ISNUMBER(AQ553),4),
IF(ISNUMBER(AU553),5),
IF(ISNUMBER(AY553),6),
IF(ISNUMBER(BC553),7),
IF(ISNUMBER(BG553),8),
IF(ISNUMBER(BK553),9),
IF(ISNUMBER(BO553),10)))</f>
        <v/>
      </c>
      <c r="AL685" s="369"/>
      <c r="AM685" s="369" t="str">
        <f>IF(ISBLANK(Inputs!$A36),"",
_xlfn.LET(
_xlpm.n,AK685,
CHOOSE(_xlpm.n,
AE553,AI553,AM553,AQ553,AU553,
AY553,BC553,BG553,BK553,BO553
)
))</f>
        <v/>
      </c>
      <c r="AN685" s="369"/>
      <c r="AO685" s="369" t="str">
        <f>IF(ISBLANK(Inputs!$A36),"",
Mat.Conc_Alpha.1*Mat.Conc_f.c*Geometry_b.Negative*MIN(AM685*Mat.Conc_Beta.1,Geometry_h.f.Negative))</f>
        <v/>
      </c>
      <c r="AP685" s="369"/>
      <c r="AQ685" s="369" t="str">
        <f>IF(ISBLANK(Inputs!$A36),"",
Mat.Conc_Alpha.1*Mat.Conc_f.c*Geometry_b.w*MAX(0,AM685*Mat.Conc_Beta.1-Geometry_h.f.Negative))</f>
        <v/>
      </c>
      <c r="AR685" s="369"/>
      <c r="AS685" s="369" t="str">
        <f>IF(ISBLANK(Inputs!$A36),"",
Mat.Rebar_A.s.Positive*MIN(Mat.Rebar_f.y,(Mat.Rebar_epsilon.cl*(Geometry_d.s.Negative-AM685)/AM685)*Mat.PT_E.s))</f>
        <v/>
      </c>
      <c r="AT685" s="369"/>
      <c r="AU685" s="369" t="str">
        <f>IF(ISBLANK(Inputs!$A36),"",
Mat.PT_A.ps*(Mat.PT_f.pu*(1-Mat.PT_k*AM685/Geometry_d.p.Negative)))</f>
        <v/>
      </c>
      <c r="AV685" s="369"/>
      <c r="AW685" s="369" t="str">
        <f>IF(ISBLANK(Inputs!$A36),"",
(Mat.PT_f.pe/Mat.PT_E.ps)+(Mat.Rebar_epsilon.cl*((Geometry_d.p.Negative-AM685)/AM685)))</f>
        <v/>
      </c>
      <c r="AX685" s="369"/>
      <c r="AY685" s="369" t="str">
        <f>IF(ISBLANK(Inputs!$A36),"",
0.5*MIN(AM685*Mat.Conc_Beta.1,Geometry_h.f.Negative))</f>
        <v/>
      </c>
      <c r="AZ685" s="369"/>
      <c r="BA685" s="369" t="str">
        <f>IF(ISBLANK(Inputs!$A36),"",
IF(AQ685=0,0,Geometry_h.f.Negative+0.5*MAX(0,AM685*Mat.Conc_Beta.1-Geometry_h.f.Negative)))</f>
        <v/>
      </c>
      <c r="BB685" s="369"/>
      <c r="BC685" s="369" t="str">
        <f>IF(ISBLANK(Inputs!$A36),"",
Inputs!L36)</f>
        <v/>
      </c>
      <c r="BD685" s="369"/>
      <c r="BE685" s="369" t="str">
        <f>IF(ISBLANK(Inputs!$A36),"",Inputs!$B$10-Inputs!F36)</f>
        <v/>
      </c>
      <c r="BF685" s="369"/>
      <c r="BG685" s="369" t="str">
        <f>IF(ISBLANK(Inputs!$A36),"",
MAX(0.75,MIN(1,0.75+0.25*(AW685-Mat.Rebar_epsilon.cl)/(Mat.Rebar_epsilon.tl-Mat.Rebar_epsilon.cl))))</f>
        <v/>
      </c>
      <c r="BH685" s="369"/>
      <c r="BI685" s="370" t="str">
        <f>IF(ISBLANK(Inputs!$A36),"",
-((BE685*AU685+BC685*AS685-BA685*AQ685-AY685*AO685)/12)*BG685)</f>
        <v/>
      </c>
      <c r="BJ685" s="370"/>
      <c r="BK685" s="370"/>
      <c r="BL685" s="370" t="str">
        <f>IF(ISBLANK(Inputs!C36),"",Inputs!C36)</f>
        <v/>
      </c>
      <c r="BM685" s="370"/>
      <c r="BN685" s="370"/>
      <c r="BO685" s="374" t="str">
        <f>IF(ISBLANK(Inputs!$A36),"",
IFERROR(IF(BL685&gt;=0,ABS(BL685)/ABS(AH685),ABS(BL685)/ABS(BI685)),""))</f>
        <v/>
      </c>
      <c r="BP685" s="374"/>
      <c r="BQ685" s="374"/>
      <c r="BR685" s="59"/>
      <c r="BS685" s="70"/>
      <c r="BT685" s="70"/>
      <c r="BU685" s="70"/>
      <c r="BV685" s="70"/>
      <c r="BW685" s="8"/>
      <c r="BX685" s="8"/>
      <c r="BY685" s="8"/>
      <c r="BZ685" s="8"/>
      <c r="CA685" s="8"/>
      <c r="CB685" s="10"/>
    </row>
    <row r="686" spans="3:80" ht="15" customHeight="1" x14ac:dyDescent="0.25">
      <c r="C686" s="69"/>
      <c r="F686" s="369" t="str">
        <f>IF(ISBLANK(Inputs!A37),"",Inputs!A37)</f>
        <v/>
      </c>
      <c r="G686" s="369"/>
      <c r="H686" s="369" t="str">
        <f>IF(ISBLANK(Inputs!B37),"",Inputs!B37)</f>
        <v/>
      </c>
      <c r="I686" s="369"/>
      <c r="J686" s="369" t="str">
        <f>IF(ISBLANK(Inputs!$A37),"",
MAX(IF(ISNUMBER(AE429),1),
IF(ISNUMBER(AI429),2),
IF(ISNUMBER(AM429),3),
IF(ISNUMBER(AQ429),4),
IF(ISNUMBER(AU429),5),
IF(ISNUMBER(AY429),6),
IF(ISNUMBER(BC429),7),
IF(ISNUMBER(BG429),8),
IF(ISNUMBER(BK429),9),
IF(ISNUMBER(BO429),10)))</f>
        <v/>
      </c>
      <c r="K686" s="369"/>
      <c r="L686" s="369" t="str">
        <f>IF(ISBLANK(Inputs!$A37),"",
_xlfn.LET(
_xlpm.n,J686,
CHOOSE(_xlpm.n,
AE429,AI429,AM429,AQ429,AU429,
AY429,BC429,BG429,BK429,BO429
)
))</f>
        <v/>
      </c>
      <c r="M686" s="369"/>
      <c r="N686" s="369" t="str">
        <f>IF(ISBLANK(Inputs!$A37),"",
Mat.Conc_Alpha.1*Mat.Conc_f.c*Inputs!J37*MIN(L686*Mat.Conc_Beta.1,Inputs!I37))</f>
        <v/>
      </c>
      <c r="O686" s="369"/>
      <c r="P686" s="372" t="str">
        <f>IF(ISBLANK(Inputs!$A37),"",
Mat.Conc_Alpha.1*Mat.Conc_f.c*Inputs!E37*MAX(0,L686*Mat.Conc_Beta.1-Inputs!I37))</f>
        <v/>
      </c>
      <c r="Q686" s="369"/>
      <c r="R686" s="369" t="str">
        <f>IF(ISBLANK(Inputs!$A37),"",Inputs!G37*MIN(Mat.Rebar_f.y,(Mat.Rebar_epsilon.cl*(Inputs!H37-L686)/L686)*Mat.PT_E.s))</f>
        <v/>
      </c>
      <c r="S686" s="369"/>
      <c r="T686" s="369" t="str">
        <f>IF(ISBLANK(Inputs!$A37),"",Inputs!D37*(Mat.PT_f.pu*(1-Mat.PT_k*L686/Inputs!F37)))</f>
        <v/>
      </c>
      <c r="U686" s="369"/>
      <c r="V686" s="369" t="str">
        <f>IF(ISBLANK(Inputs!$A37),"",
(Mat.PT_f.pe/Mat.PT_E.ps)+(Mat.Rebar_epsilon.cl*((Geometry_d.p.Positive-L686)/L686)))</f>
        <v/>
      </c>
      <c r="W686" s="369"/>
      <c r="X686" s="369" t="str">
        <f>IF(ISBLANK(Inputs!$A37),"",
0.5*MIN(L686*Mat.Conc_Beta.1,Geometry_h.f.Positive))</f>
        <v/>
      </c>
      <c r="Y686" s="369"/>
      <c r="Z686" s="369" t="str">
        <f>IF(ISBLANK(Inputs!$A37),"",
IF(P686=0,0,Geometry_h.f.Positive+0.5*MAX(0,L686*Mat.Conc_Beta.1-Geometry_h.f.Positive)))</f>
        <v/>
      </c>
      <c r="AA686" s="369"/>
      <c r="AB686" s="369" t="str">
        <f>IF(ISBLANK(Inputs!$A37),"",
Inputs!H37)</f>
        <v/>
      </c>
      <c r="AC686" s="369"/>
      <c r="AD686" s="369" t="str">
        <f>IF(ISBLANK(Inputs!$A37),"",
Inputs!F37)</f>
        <v/>
      </c>
      <c r="AE686" s="369"/>
      <c r="AF686" s="369" t="str">
        <f>IF(ISBLANK(Inputs!$A37),"",
MAX(0.75,MIN(1,0.75+0.25*(V686-Mat.Rebar_epsilon.cl)/(Mat.Rebar_epsilon.tl-Mat.Rebar_epsilon.cl))))</f>
        <v/>
      </c>
      <c r="AG686" s="369"/>
      <c r="AH686" s="370" t="str">
        <f>IF(ISBLANK(Inputs!$A37),"",
((AD686*T686+AB686*R686-Z686*P686-X686*N686)/12)*AF686)</f>
        <v/>
      </c>
      <c r="AI686" s="370"/>
      <c r="AJ686" s="370"/>
      <c r="AK686" s="369" t="str">
        <f>IF(ISBLANK(Inputs!$A37),"",
MAX(IF(ISNUMBER(AE554),1),
IF(ISNUMBER(AI554),2),
IF(ISNUMBER(AM554),3),
IF(ISNUMBER(AQ554),4),
IF(ISNUMBER(AU554),5),
IF(ISNUMBER(AY554),6),
IF(ISNUMBER(BC554),7),
IF(ISNUMBER(BG554),8),
IF(ISNUMBER(BK554),9),
IF(ISNUMBER(BO554),10)))</f>
        <v/>
      </c>
      <c r="AL686" s="369"/>
      <c r="AM686" s="369" t="str">
        <f>IF(ISBLANK(Inputs!$A37),"",
_xlfn.LET(
_xlpm.n,AK686,
CHOOSE(_xlpm.n,
AE554,AI554,AM554,AQ554,AU554,
AY554,BC554,BG554,BK554,BO554
)
))</f>
        <v/>
      </c>
      <c r="AN686" s="369"/>
      <c r="AO686" s="369" t="str">
        <f>IF(ISBLANK(Inputs!$A37),"",
Mat.Conc_Alpha.1*Mat.Conc_f.c*Geometry_b.Negative*MIN(AM686*Mat.Conc_Beta.1,Geometry_h.f.Negative))</f>
        <v/>
      </c>
      <c r="AP686" s="369"/>
      <c r="AQ686" s="369" t="str">
        <f>IF(ISBLANK(Inputs!$A37),"",
Mat.Conc_Alpha.1*Mat.Conc_f.c*Geometry_b.w*MAX(0,AM686*Mat.Conc_Beta.1-Geometry_h.f.Negative))</f>
        <v/>
      </c>
      <c r="AR686" s="369"/>
      <c r="AS686" s="369" t="str">
        <f>IF(ISBLANK(Inputs!$A37),"",
Mat.Rebar_A.s.Positive*MIN(Mat.Rebar_f.y,(Mat.Rebar_epsilon.cl*(Geometry_d.s.Negative-AM686)/AM686)*Mat.PT_E.s))</f>
        <v/>
      </c>
      <c r="AT686" s="369"/>
      <c r="AU686" s="369" t="str">
        <f>IF(ISBLANK(Inputs!$A37),"",
Mat.PT_A.ps*(Mat.PT_f.pu*(1-Mat.PT_k*AM686/Geometry_d.p.Negative)))</f>
        <v/>
      </c>
      <c r="AV686" s="369"/>
      <c r="AW686" s="369" t="str">
        <f>IF(ISBLANK(Inputs!$A37),"",
(Mat.PT_f.pe/Mat.PT_E.ps)+(Mat.Rebar_epsilon.cl*((Geometry_d.p.Negative-AM686)/AM686)))</f>
        <v/>
      </c>
      <c r="AX686" s="369"/>
      <c r="AY686" s="369" t="str">
        <f>IF(ISBLANK(Inputs!$A37),"",
0.5*MIN(AM686*Mat.Conc_Beta.1,Geometry_h.f.Negative))</f>
        <v/>
      </c>
      <c r="AZ686" s="369"/>
      <c r="BA686" s="369" t="str">
        <f>IF(ISBLANK(Inputs!$A37),"",
IF(AQ686=0,0,Geometry_h.f.Negative+0.5*MAX(0,AM686*Mat.Conc_Beta.1-Geometry_h.f.Negative)))</f>
        <v/>
      </c>
      <c r="BB686" s="369"/>
      <c r="BC686" s="369" t="str">
        <f>IF(ISBLANK(Inputs!$A37),"",
Inputs!L37)</f>
        <v/>
      </c>
      <c r="BD686" s="369"/>
      <c r="BE686" s="369" t="str">
        <f>IF(ISBLANK(Inputs!$A37),"",Inputs!$B$10-Inputs!F37)</f>
        <v/>
      </c>
      <c r="BF686" s="369"/>
      <c r="BG686" s="369" t="str">
        <f>IF(ISBLANK(Inputs!$A37),"",
MAX(0.75,MIN(1,0.75+0.25*(AW686-Mat.Rebar_epsilon.cl)/(Mat.Rebar_epsilon.tl-Mat.Rebar_epsilon.cl))))</f>
        <v/>
      </c>
      <c r="BH686" s="369"/>
      <c r="BI686" s="370" t="str">
        <f>IF(ISBLANK(Inputs!$A37),"",
-((BE686*AU686+BC686*AS686-BA686*AQ686-AY686*AO686)/12)*BG686)</f>
        <v/>
      </c>
      <c r="BJ686" s="370"/>
      <c r="BK686" s="370"/>
      <c r="BL686" s="370" t="str">
        <f>IF(ISBLANK(Inputs!C37),"",Inputs!C37)</f>
        <v/>
      </c>
      <c r="BM686" s="370"/>
      <c r="BN686" s="370"/>
      <c r="BO686" s="374" t="str">
        <f>IF(ISBLANK(Inputs!$A37),"",
IFERROR(IF(BL686&gt;=0,ABS(BL686)/ABS(AH686),ABS(BL686)/ABS(BI686)),""))</f>
        <v/>
      </c>
      <c r="BP686" s="374"/>
      <c r="BQ686" s="374"/>
      <c r="BR686" s="59"/>
      <c r="BS686" s="70"/>
      <c r="BT686" s="70"/>
      <c r="BU686" s="70"/>
      <c r="BV686" s="70"/>
      <c r="BW686" s="8"/>
      <c r="BX686" s="8"/>
      <c r="BY686" s="8"/>
      <c r="BZ686" s="8"/>
      <c r="CA686" s="8"/>
      <c r="CB686" s="10"/>
    </row>
    <row r="687" spans="3:80" ht="15" customHeight="1" x14ac:dyDescent="0.25">
      <c r="C687" s="69"/>
      <c r="F687" s="369" t="str">
        <f>IF(ISBLANK(Inputs!A38),"",Inputs!A38)</f>
        <v/>
      </c>
      <c r="G687" s="369"/>
      <c r="H687" s="369" t="str">
        <f>IF(ISBLANK(Inputs!B38),"",Inputs!B38)</f>
        <v/>
      </c>
      <c r="I687" s="369"/>
      <c r="J687" s="369" t="str">
        <f>IF(ISBLANK(Inputs!$A38),"",
MAX(IF(ISNUMBER(AE430),1),
IF(ISNUMBER(AI430),2),
IF(ISNUMBER(AM430),3),
IF(ISNUMBER(AQ430),4),
IF(ISNUMBER(AU430),5),
IF(ISNUMBER(AY430),6),
IF(ISNUMBER(BC430),7),
IF(ISNUMBER(BG430),8),
IF(ISNUMBER(BK430),9),
IF(ISNUMBER(BO430),10)))</f>
        <v/>
      </c>
      <c r="K687" s="369"/>
      <c r="L687" s="369" t="str">
        <f>IF(ISBLANK(Inputs!$A38),"",
_xlfn.LET(
_xlpm.n,J687,
CHOOSE(_xlpm.n,
AE430,AI430,AM430,AQ430,AU430,
AY430,BC430,BG430,BK430,BO430
)
))</f>
        <v/>
      </c>
      <c r="M687" s="369"/>
      <c r="N687" s="369" t="str">
        <f>IF(ISBLANK(Inputs!$A38),"",
Mat.Conc_Alpha.1*Mat.Conc_f.c*Inputs!J38*MIN(L687*Mat.Conc_Beta.1,Inputs!I38))</f>
        <v/>
      </c>
      <c r="O687" s="369"/>
      <c r="P687" s="372" t="str">
        <f>IF(ISBLANK(Inputs!$A38),"",
Mat.Conc_Alpha.1*Mat.Conc_f.c*Inputs!E38*MAX(0,L687*Mat.Conc_Beta.1-Inputs!I38))</f>
        <v/>
      </c>
      <c r="Q687" s="369"/>
      <c r="R687" s="369" t="str">
        <f>IF(ISBLANK(Inputs!$A38),"",Inputs!G38*MIN(Mat.Rebar_f.y,(Mat.Rebar_epsilon.cl*(Inputs!H38-L687)/L687)*Mat.PT_E.s))</f>
        <v/>
      </c>
      <c r="S687" s="369"/>
      <c r="T687" s="369" t="str">
        <f>IF(ISBLANK(Inputs!$A38),"",Inputs!D38*(Mat.PT_f.pu*(1-Mat.PT_k*L687/Inputs!F38)))</f>
        <v/>
      </c>
      <c r="U687" s="369"/>
      <c r="V687" s="369" t="str">
        <f>IF(ISBLANK(Inputs!$A38),"",
(Mat.PT_f.pe/Mat.PT_E.ps)+(Mat.Rebar_epsilon.cl*((Geometry_d.p.Positive-L687)/L687)))</f>
        <v/>
      </c>
      <c r="W687" s="369"/>
      <c r="X687" s="369" t="str">
        <f>IF(ISBLANK(Inputs!$A38),"",
0.5*MIN(L687*Mat.Conc_Beta.1,Geometry_h.f.Positive))</f>
        <v/>
      </c>
      <c r="Y687" s="369"/>
      <c r="Z687" s="369" t="str">
        <f>IF(ISBLANK(Inputs!$A38),"",
IF(P687=0,0,Geometry_h.f.Positive+0.5*MAX(0,L687*Mat.Conc_Beta.1-Geometry_h.f.Positive)))</f>
        <v/>
      </c>
      <c r="AA687" s="369"/>
      <c r="AB687" s="369" t="str">
        <f>IF(ISBLANK(Inputs!$A38),"",
Inputs!H38)</f>
        <v/>
      </c>
      <c r="AC687" s="369"/>
      <c r="AD687" s="369" t="str">
        <f>IF(ISBLANK(Inputs!$A38),"",
Inputs!F38)</f>
        <v/>
      </c>
      <c r="AE687" s="369"/>
      <c r="AF687" s="369" t="str">
        <f>IF(ISBLANK(Inputs!$A38),"",
MAX(0.75,MIN(1,0.75+0.25*(V687-Mat.Rebar_epsilon.cl)/(Mat.Rebar_epsilon.tl-Mat.Rebar_epsilon.cl))))</f>
        <v/>
      </c>
      <c r="AG687" s="369"/>
      <c r="AH687" s="370" t="str">
        <f>IF(ISBLANK(Inputs!$A38),"",
((AD687*T687+AB687*R687-Z687*P687-X687*N687)/12)*AF687)</f>
        <v/>
      </c>
      <c r="AI687" s="370"/>
      <c r="AJ687" s="370"/>
      <c r="AK687" s="369" t="str">
        <f>IF(ISBLANK(Inputs!$A38),"",
MAX(IF(ISNUMBER(AE555),1),
IF(ISNUMBER(AI555),2),
IF(ISNUMBER(AM555),3),
IF(ISNUMBER(AQ555),4),
IF(ISNUMBER(AU555),5),
IF(ISNUMBER(AY555),6),
IF(ISNUMBER(BC555),7),
IF(ISNUMBER(BG555),8),
IF(ISNUMBER(BK555),9),
IF(ISNUMBER(BO555),10)))</f>
        <v/>
      </c>
      <c r="AL687" s="369"/>
      <c r="AM687" s="369" t="str">
        <f>IF(ISBLANK(Inputs!$A38),"",
_xlfn.LET(
_xlpm.n,AK687,
CHOOSE(_xlpm.n,
AE555,AI555,AM555,AQ555,AU555,
AY555,BC555,BG555,BK555,BO555
)
))</f>
        <v/>
      </c>
      <c r="AN687" s="369"/>
      <c r="AO687" s="369" t="str">
        <f>IF(ISBLANK(Inputs!$A38),"",
Mat.Conc_Alpha.1*Mat.Conc_f.c*Geometry_b.Negative*MIN(AM687*Mat.Conc_Beta.1,Geometry_h.f.Negative))</f>
        <v/>
      </c>
      <c r="AP687" s="369"/>
      <c r="AQ687" s="369" t="str">
        <f>IF(ISBLANK(Inputs!$A38),"",
Mat.Conc_Alpha.1*Mat.Conc_f.c*Geometry_b.w*MAX(0,AM687*Mat.Conc_Beta.1-Geometry_h.f.Negative))</f>
        <v/>
      </c>
      <c r="AR687" s="369"/>
      <c r="AS687" s="369" t="str">
        <f>IF(ISBLANK(Inputs!$A38),"",
Mat.Rebar_A.s.Positive*MIN(Mat.Rebar_f.y,(Mat.Rebar_epsilon.cl*(Geometry_d.s.Negative-AM687)/AM687)*Mat.PT_E.s))</f>
        <v/>
      </c>
      <c r="AT687" s="369"/>
      <c r="AU687" s="369" t="str">
        <f>IF(ISBLANK(Inputs!$A38),"",
Mat.PT_A.ps*(Mat.PT_f.pu*(1-Mat.PT_k*AM687/Geometry_d.p.Negative)))</f>
        <v/>
      </c>
      <c r="AV687" s="369"/>
      <c r="AW687" s="369" t="str">
        <f>IF(ISBLANK(Inputs!$A38),"",
(Mat.PT_f.pe/Mat.PT_E.ps)+(Mat.Rebar_epsilon.cl*((Geometry_d.p.Negative-AM687)/AM687)))</f>
        <v/>
      </c>
      <c r="AX687" s="369"/>
      <c r="AY687" s="369" t="str">
        <f>IF(ISBLANK(Inputs!$A38),"",
0.5*MIN(AM687*Mat.Conc_Beta.1,Geometry_h.f.Negative))</f>
        <v/>
      </c>
      <c r="AZ687" s="369"/>
      <c r="BA687" s="369" t="str">
        <f>IF(ISBLANK(Inputs!$A38),"",
IF(AQ687=0,0,Geometry_h.f.Negative+0.5*MAX(0,AM687*Mat.Conc_Beta.1-Geometry_h.f.Negative)))</f>
        <v/>
      </c>
      <c r="BB687" s="369"/>
      <c r="BC687" s="369" t="str">
        <f>IF(ISBLANK(Inputs!$A38),"",
Inputs!L38)</f>
        <v/>
      </c>
      <c r="BD687" s="369"/>
      <c r="BE687" s="369" t="str">
        <f>IF(ISBLANK(Inputs!$A38),"",Inputs!$B$10-Inputs!F38)</f>
        <v/>
      </c>
      <c r="BF687" s="369"/>
      <c r="BG687" s="369" t="str">
        <f>IF(ISBLANK(Inputs!$A38),"",
MAX(0.75,MIN(1,0.75+0.25*(AW687-Mat.Rebar_epsilon.cl)/(Mat.Rebar_epsilon.tl-Mat.Rebar_epsilon.cl))))</f>
        <v/>
      </c>
      <c r="BH687" s="369"/>
      <c r="BI687" s="370" t="str">
        <f>IF(ISBLANK(Inputs!$A38),"",
-((BE687*AU687+BC687*AS687-BA687*AQ687-AY687*AO687)/12)*BG687)</f>
        <v/>
      </c>
      <c r="BJ687" s="370"/>
      <c r="BK687" s="370"/>
      <c r="BL687" s="370" t="str">
        <f>IF(ISBLANK(Inputs!C38),"",Inputs!C38)</f>
        <v/>
      </c>
      <c r="BM687" s="370"/>
      <c r="BN687" s="370"/>
      <c r="BO687" s="374" t="str">
        <f>IF(ISBLANK(Inputs!$A38),"",
IFERROR(IF(BL687&gt;=0,ABS(BL687)/ABS(AH687),ABS(BL687)/ABS(BI687)),""))</f>
        <v/>
      </c>
      <c r="BP687" s="374"/>
      <c r="BQ687" s="374"/>
      <c r="BR687" s="59"/>
      <c r="BS687" s="70"/>
      <c r="BT687" s="70"/>
      <c r="BU687" s="70"/>
      <c r="BV687" s="70"/>
      <c r="BW687" s="8"/>
      <c r="BX687" s="8"/>
      <c r="BY687" s="8"/>
      <c r="BZ687" s="8"/>
      <c r="CA687" s="8"/>
      <c r="CB687" s="10"/>
    </row>
    <row r="688" spans="3:80" ht="15" customHeight="1" x14ac:dyDescent="0.25">
      <c r="C688" s="69"/>
      <c r="F688" s="369" t="str">
        <f>IF(ISBLANK(Inputs!A39),"",Inputs!A39)</f>
        <v/>
      </c>
      <c r="G688" s="369"/>
      <c r="H688" s="369" t="str">
        <f>IF(ISBLANK(Inputs!B39),"",Inputs!B39)</f>
        <v/>
      </c>
      <c r="I688" s="369"/>
      <c r="J688" s="369" t="str">
        <f>IF(ISBLANK(Inputs!$A39),"",
MAX(IF(ISNUMBER(AE431),1),
IF(ISNUMBER(AI431),2),
IF(ISNUMBER(AM431),3),
IF(ISNUMBER(AQ431),4),
IF(ISNUMBER(AU431),5),
IF(ISNUMBER(AY431),6),
IF(ISNUMBER(BC431),7),
IF(ISNUMBER(BG431),8),
IF(ISNUMBER(BK431),9),
IF(ISNUMBER(BO431),10)))</f>
        <v/>
      </c>
      <c r="K688" s="369"/>
      <c r="L688" s="369" t="str">
        <f>IF(ISBLANK(Inputs!$A39),"",
_xlfn.LET(
_xlpm.n,J688,
CHOOSE(_xlpm.n,
AE431,AI431,AM431,AQ431,AU431,
AY431,BC431,BG431,BK431,BO431
)
))</f>
        <v/>
      </c>
      <c r="M688" s="369"/>
      <c r="N688" s="369" t="str">
        <f>IF(ISBLANK(Inputs!$A39),"",
Mat.Conc_Alpha.1*Mat.Conc_f.c*Inputs!J39*MIN(L688*Mat.Conc_Beta.1,Inputs!I39))</f>
        <v/>
      </c>
      <c r="O688" s="369"/>
      <c r="P688" s="372" t="str">
        <f>IF(ISBLANK(Inputs!$A39),"",
Mat.Conc_Alpha.1*Mat.Conc_f.c*Inputs!E39*MAX(0,L688*Mat.Conc_Beta.1-Inputs!I39))</f>
        <v/>
      </c>
      <c r="Q688" s="369"/>
      <c r="R688" s="369" t="str">
        <f>IF(ISBLANK(Inputs!$A39),"",Inputs!G39*MIN(Mat.Rebar_f.y,(Mat.Rebar_epsilon.cl*(Inputs!H39-L688)/L688)*Mat.PT_E.s))</f>
        <v/>
      </c>
      <c r="S688" s="369"/>
      <c r="T688" s="369" t="str">
        <f>IF(ISBLANK(Inputs!$A39),"",Inputs!D39*(Mat.PT_f.pu*(1-Mat.PT_k*L688/Inputs!F39)))</f>
        <v/>
      </c>
      <c r="U688" s="369"/>
      <c r="V688" s="369" t="str">
        <f>IF(ISBLANK(Inputs!$A39),"",
(Mat.PT_f.pe/Mat.PT_E.ps)+(Mat.Rebar_epsilon.cl*((Geometry_d.p.Positive-L688)/L688)))</f>
        <v/>
      </c>
      <c r="W688" s="369"/>
      <c r="X688" s="369" t="str">
        <f>IF(ISBLANK(Inputs!$A39),"",
0.5*MIN(L688*Mat.Conc_Beta.1,Geometry_h.f.Positive))</f>
        <v/>
      </c>
      <c r="Y688" s="369"/>
      <c r="Z688" s="369" t="str">
        <f>IF(ISBLANK(Inputs!$A39),"",
IF(P688=0,0,Geometry_h.f.Positive+0.5*MAX(0,L688*Mat.Conc_Beta.1-Geometry_h.f.Positive)))</f>
        <v/>
      </c>
      <c r="AA688" s="369"/>
      <c r="AB688" s="369" t="str">
        <f>IF(ISBLANK(Inputs!$A39),"",
Inputs!H39)</f>
        <v/>
      </c>
      <c r="AC688" s="369"/>
      <c r="AD688" s="369" t="str">
        <f>IF(ISBLANK(Inputs!$A39),"",
Inputs!F39)</f>
        <v/>
      </c>
      <c r="AE688" s="369"/>
      <c r="AF688" s="369" t="str">
        <f>IF(ISBLANK(Inputs!$A39),"",
MAX(0.75,MIN(1,0.75+0.25*(V688-Mat.Rebar_epsilon.cl)/(Mat.Rebar_epsilon.tl-Mat.Rebar_epsilon.cl))))</f>
        <v/>
      </c>
      <c r="AG688" s="369"/>
      <c r="AH688" s="370" t="str">
        <f>IF(ISBLANK(Inputs!$A39),"",
((AD688*T688+AB688*R688-Z688*P688-X688*N688)/12)*AF688)</f>
        <v/>
      </c>
      <c r="AI688" s="370"/>
      <c r="AJ688" s="370"/>
      <c r="AK688" s="369" t="str">
        <f>IF(ISBLANK(Inputs!$A39),"",
MAX(IF(ISNUMBER(AE556),1),
IF(ISNUMBER(AI556),2),
IF(ISNUMBER(AM556),3),
IF(ISNUMBER(AQ556),4),
IF(ISNUMBER(AU556),5),
IF(ISNUMBER(AY556),6),
IF(ISNUMBER(BC556),7),
IF(ISNUMBER(BG556),8),
IF(ISNUMBER(BK556),9),
IF(ISNUMBER(BO556),10)))</f>
        <v/>
      </c>
      <c r="AL688" s="369"/>
      <c r="AM688" s="369" t="str">
        <f>IF(ISBLANK(Inputs!$A39),"",
_xlfn.LET(
_xlpm.n,AK688,
CHOOSE(_xlpm.n,
AE556,AI556,AM556,AQ556,AU556,
AY556,BC556,BG556,BK556,BO556
)
))</f>
        <v/>
      </c>
      <c r="AN688" s="369"/>
      <c r="AO688" s="369" t="str">
        <f>IF(ISBLANK(Inputs!$A39),"",
Mat.Conc_Alpha.1*Mat.Conc_f.c*Geometry_b.Negative*MIN(AM688*Mat.Conc_Beta.1,Geometry_h.f.Negative))</f>
        <v/>
      </c>
      <c r="AP688" s="369"/>
      <c r="AQ688" s="369" t="str">
        <f>IF(ISBLANK(Inputs!$A39),"",
Mat.Conc_Alpha.1*Mat.Conc_f.c*Geometry_b.w*MAX(0,AM688*Mat.Conc_Beta.1-Geometry_h.f.Negative))</f>
        <v/>
      </c>
      <c r="AR688" s="369"/>
      <c r="AS688" s="369" t="str">
        <f>IF(ISBLANK(Inputs!$A39),"",
Mat.Rebar_A.s.Positive*MIN(Mat.Rebar_f.y,(Mat.Rebar_epsilon.cl*(Geometry_d.s.Negative-AM688)/AM688)*Mat.PT_E.s))</f>
        <v/>
      </c>
      <c r="AT688" s="369"/>
      <c r="AU688" s="369" t="str">
        <f>IF(ISBLANK(Inputs!$A39),"",
Mat.PT_A.ps*(Mat.PT_f.pu*(1-Mat.PT_k*AM688/Geometry_d.p.Negative)))</f>
        <v/>
      </c>
      <c r="AV688" s="369"/>
      <c r="AW688" s="369" t="str">
        <f>IF(ISBLANK(Inputs!$A39),"",
(Mat.PT_f.pe/Mat.PT_E.ps)+(Mat.Rebar_epsilon.cl*((Geometry_d.p.Negative-AM688)/AM688)))</f>
        <v/>
      </c>
      <c r="AX688" s="369"/>
      <c r="AY688" s="369" t="str">
        <f>IF(ISBLANK(Inputs!$A39),"",
0.5*MIN(AM688*Mat.Conc_Beta.1,Geometry_h.f.Negative))</f>
        <v/>
      </c>
      <c r="AZ688" s="369"/>
      <c r="BA688" s="369" t="str">
        <f>IF(ISBLANK(Inputs!$A39),"",
IF(AQ688=0,0,Geometry_h.f.Negative+0.5*MAX(0,AM688*Mat.Conc_Beta.1-Geometry_h.f.Negative)))</f>
        <v/>
      </c>
      <c r="BB688" s="369"/>
      <c r="BC688" s="369" t="str">
        <f>IF(ISBLANK(Inputs!$A39),"",
Inputs!L39)</f>
        <v/>
      </c>
      <c r="BD688" s="369"/>
      <c r="BE688" s="369" t="str">
        <f>IF(ISBLANK(Inputs!$A39),"",Inputs!$B$10-Inputs!F39)</f>
        <v/>
      </c>
      <c r="BF688" s="369"/>
      <c r="BG688" s="369" t="str">
        <f>IF(ISBLANK(Inputs!$A39),"",
MAX(0.75,MIN(1,0.75+0.25*(AW688-Mat.Rebar_epsilon.cl)/(Mat.Rebar_epsilon.tl-Mat.Rebar_epsilon.cl))))</f>
        <v/>
      </c>
      <c r="BH688" s="369"/>
      <c r="BI688" s="370" t="str">
        <f>IF(ISBLANK(Inputs!$A39),"",
-((BE688*AU688+BC688*AS688-BA688*AQ688-AY688*AO688)/12)*BG688)</f>
        <v/>
      </c>
      <c r="BJ688" s="370"/>
      <c r="BK688" s="370"/>
      <c r="BL688" s="370" t="str">
        <f>IF(ISBLANK(Inputs!C39),"",Inputs!C39)</f>
        <v/>
      </c>
      <c r="BM688" s="370"/>
      <c r="BN688" s="370"/>
      <c r="BO688" s="374" t="str">
        <f>IF(ISBLANK(Inputs!$A39),"",
IFERROR(IF(BL688&gt;=0,ABS(BL688)/ABS(AH688),ABS(BL688)/ABS(BI688)),""))</f>
        <v/>
      </c>
      <c r="BP688" s="374"/>
      <c r="BQ688" s="374"/>
      <c r="BR688" s="59"/>
      <c r="BS688" s="70"/>
      <c r="BT688" s="70"/>
      <c r="BU688" s="70"/>
      <c r="BV688" s="70"/>
      <c r="BW688" s="8"/>
      <c r="BX688" s="8"/>
      <c r="BY688" s="8"/>
      <c r="BZ688" s="8"/>
      <c r="CA688" s="8"/>
      <c r="CB688" s="10"/>
    </row>
    <row r="689" spans="3:80" ht="15" customHeight="1" x14ac:dyDescent="0.25">
      <c r="C689" s="69"/>
      <c r="F689" s="369" t="str">
        <f>IF(ISBLANK(Inputs!A40),"",Inputs!A40)</f>
        <v/>
      </c>
      <c r="G689" s="369"/>
      <c r="H689" s="369" t="str">
        <f>IF(ISBLANK(Inputs!B40),"",Inputs!B40)</f>
        <v/>
      </c>
      <c r="I689" s="369"/>
      <c r="J689" s="369" t="str">
        <f>IF(ISBLANK(Inputs!$A40),"",
MAX(IF(ISNUMBER(AE432),1),
IF(ISNUMBER(AI432),2),
IF(ISNUMBER(AM432),3),
IF(ISNUMBER(AQ432),4),
IF(ISNUMBER(AU432),5),
IF(ISNUMBER(AY432),6),
IF(ISNUMBER(BC432),7),
IF(ISNUMBER(BG432),8),
IF(ISNUMBER(BK432),9),
IF(ISNUMBER(BO432),10)))</f>
        <v/>
      </c>
      <c r="K689" s="369"/>
      <c r="L689" s="369" t="str">
        <f>IF(ISBLANK(Inputs!$A40),"",
_xlfn.LET(
_xlpm.n,J689,
CHOOSE(_xlpm.n,
AE432,AI432,AM432,AQ432,AU432,
AY432,BC432,BG432,BK432,BO432
)
))</f>
        <v/>
      </c>
      <c r="M689" s="369"/>
      <c r="N689" s="369" t="str">
        <f>IF(ISBLANK(Inputs!$A40),"",
Mat.Conc_Alpha.1*Mat.Conc_f.c*Inputs!J40*MIN(L689*Mat.Conc_Beta.1,Inputs!I40))</f>
        <v/>
      </c>
      <c r="O689" s="369"/>
      <c r="P689" s="372" t="str">
        <f>IF(ISBLANK(Inputs!$A40),"",
Mat.Conc_Alpha.1*Mat.Conc_f.c*Inputs!E40*MAX(0,L689*Mat.Conc_Beta.1-Inputs!I40))</f>
        <v/>
      </c>
      <c r="Q689" s="369"/>
      <c r="R689" s="369" t="str">
        <f>IF(ISBLANK(Inputs!$A40),"",Inputs!G40*MIN(Mat.Rebar_f.y,(Mat.Rebar_epsilon.cl*(Inputs!H40-L689)/L689)*Mat.PT_E.s))</f>
        <v/>
      </c>
      <c r="S689" s="369"/>
      <c r="T689" s="369" t="str">
        <f>IF(ISBLANK(Inputs!$A40),"",Inputs!D40*(Mat.PT_f.pu*(1-Mat.PT_k*L689/Inputs!F40)))</f>
        <v/>
      </c>
      <c r="U689" s="369"/>
      <c r="V689" s="369" t="str">
        <f>IF(ISBLANK(Inputs!$A40),"",
(Mat.PT_f.pe/Mat.PT_E.ps)+(Mat.Rebar_epsilon.cl*((Geometry_d.p.Positive-L689)/L689)))</f>
        <v/>
      </c>
      <c r="W689" s="369"/>
      <c r="X689" s="369" t="str">
        <f>IF(ISBLANK(Inputs!$A40),"",
0.5*MIN(L689*Mat.Conc_Beta.1,Geometry_h.f.Positive))</f>
        <v/>
      </c>
      <c r="Y689" s="369"/>
      <c r="Z689" s="369" t="str">
        <f>IF(ISBLANK(Inputs!$A40),"",
IF(P689=0,0,Geometry_h.f.Positive+0.5*MAX(0,L689*Mat.Conc_Beta.1-Geometry_h.f.Positive)))</f>
        <v/>
      </c>
      <c r="AA689" s="369"/>
      <c r="AB689" s="369" t="str">
        <f>IF(ISBLANK(Inputs!$A40),"",
Inputs!H40)</f>
        <v/>
      </c>
      <c r="AC689" s="369"/>
      <c r="AD689" s="369" t="str">
        <f>IF(ISBLANK(Inputs!$A40),"",
Inputs!F40)</f>
        <v/>
      </c>
      <c r="AE689" s="369"/>
      <c r="AF689" s="369" t="str">
        <f>IF(ISBLANK(Inputs!$A40),"",
MAX(0.75,MIN(1,0.75+0.25*(V689-Mat.Rebar_epsilon.cl)/(Mat.Rebar_epsilon.tl-Mat.Rebar_epsilon.cl))))</f>
        <v/>
      </c>
      <c r="AG689" s="369"/>
      <c r="AH689" s="370" t="str">
        <f>IF(ISBLANK(Inputs!$A40),"",
((AD689*T689+AB689*R689-Z689*P689-X689*N689)/12)*AF689)</f>
        <v/>
      </c>
      <c r="AI689" s="370"/>
      <c r="AJ689" s="370"/>
      <c r="AK689" s="369" t="str">
        <f>IF(ISBLANK(Inputs!$A40),"",
MAX(IF(ISNUMBER(AE557),1),
IF(ISNUMBER(AI557),2),
IF(ISNUMBER(AM557),3),
IF(ISNUMBER(AQ557),4),
IF(ISNUMBER(AU557),5),
IF(ISNUMBER(AY557),6),
IF(ISNUMBER(BC557),7),
IF(ISNUMBER(BG557),8),
IF(ISNUMBER(BK557),9),
IF(ISNUMBER(BO557),10)))</f>
        <v/>
      </c>
      <c r="AL689" s="369"/>
      <c r="AM689" s="369" t="str">
        <f>IF(ISBLANK(Inputs!$A40),"",
_xlfn.LET(
_xlpm.n,AK689,
CHOOSE(_xlpm.n,
AE557,AI557,AM557,AQ557,AU557,
AY557,BC557,BG557,BK557,BO557
)
))</f>
        <v/>
      </c>
      <c r="AN689" s="369"/>
      <c r="AO689" s="369" t="str">
        <f>IF(ISBLANK(Inputs!$A40),"",
Mat.Conc_Alpha.1*Mat.Conc_f.c*Geometry_b.Negative*MIN(AM689*Mat.Conc_Beta.1,Geometry_h.f.Negative))</f>
        <v/>
      </c>
      <c r="AP689" s="369"/>
      <c r="AQ689" s="369" t="str">
        <f>IF(ISBLANK(Inputs!$A40),"",
Mat.Conc_Alpha.1*Mat.Conc_f.c*Geometry_b.w*MAX(0,AM689*Mat.Conc_Beta.1-Geometry_h.f.Negative))</f>
        <v/>
      </c>
      <c r="AR689" s="369"/>
      <c r="AS689" s="369" t="str">
        <f>IF(ISBLANK(Inputs!$A40),"",
Mat.Rebar_A.s.Positive*MIN(Mat.Rebar_f.y,(Mat.Rebar_epsilon.cl*(Geometry_d.s.Negative-AM689)/AM689)*Mat.PT_E.s))</f>
        <v/>
      </c>
      <c r="AT689" s="369"/>
      <c r="AU689" s="369" t="str">
        <f>IF(ISBLANK(Inputs!$A40),"",
Mat.PT_A.ps*(Mat.PT_f.pu*(1-Mat.PT_k*AM689/Geometry_d.p.Negative)))</f>
        <v/>
      </c>
      <c r="AV689" s="369"/>
      <c r="AW689" s="369" t="str">
        <f>IF(ISBLANK(Inputs!$A40),"",
(Mat.PT_f.pe/Mat.PT_E.ps)+(Mat.Rebar_epsilon.cl*((Geometry_d.p.Negative-AM689)/AM689)))</f>
        <v/>
      </c>
      <c r="AX689" s="369"/>
      <c r="AY689" s="369" t="str">
        <f>IF(ISBLANK(Inputs!$A40),"",
0.5*MIN(AM689*Mat.Conc_Beta.1,Geometry_h.f.Negative))</f>
        <v/>
      </c>
      <c r="AZ689" s="369"/>
      <c r="BA689" s="369" t="str">
        <f>IF(ISBLANK(Inputs!$A40),"",
IF(AQ689=0,0,Geometry_h.f.Negative+0.5*MAX(0,AM689*Mat.Conc_Beta.1-Geometry_h.f.Negative)))</f>
        <v/>
      </c>
      <c r="BB689" s="369"/>
      <c r="BC689" s="369" t="str">
        <f>IF(ISBLANK(Inputs!$A40),"",
Inputs!L40)</f>
        <v/>
      </c>
      <c r="BD689" s="369"/>
      <c r="BE689" s="369" t="str">
        <f>IF(ISBLANK(Inputs!$A40),"",Inputs!$B$10-Inputs!F40)</f>
        <v/>
      </c>
      <c r="BF689" s="369"/>
      <c r="BG689" s="369" t="str">
        <f>IF(ISBLANK(Inputs!$A40),"",
MAX(0.75,MIN(1,0.75+0.25*(AW689-Mat.Rebar_epsilon.cl)/(Mat.Rebar_epsilon.tl-Mat.Rebar_epsilon.cl))))</f>
        <v/>
      </c>
      <c r="BH689" s="369"/>
      <c r="BI689" s="370" t="str">
        <f>IF(ISBLANK(Inputs!$A40),"",
-((BE689*AU689+BC689*AS689-BA689*AQ689-AY689*AO689)/12)*BG689)</f>
        <v/>
      </c>
      <c r="BJ689" s="370"/>
      <c r="BK689" s="370"/>
      <c r="BL689" s="370" t="str">
        <f>IF(ISBLANK(Inputs!C40),"",Inputs!C40)</f>
        <v/>
      </c>
      <c r="BM689" s="370"/>
      <c r="BN689" s="370"/>
      <c r="BO689" s="374" t="str">
        <f>IF(ISBLANK(Inputs!$A40),"",
IFERROR(IF(BL689&gt;=0,ABS(BL689)/ABS(AH689),ABS(BL689)/ABS(BI689)),""))</f>
        <v/>
      </c>
      <c r="BP689" s="374"/>
      <c r="BQ689" s="374"/>
      <c r="BR689" s="59"/>
      <c r="BS689" s="70"/>
      <c r="BT689" s="70"/>
      <c r="BU689" s="70"/>
      <c r="BV689" s="70"/>
      <c r="BW689" s="8"/>
      <c r="BX689" s="8"/>
      <c r="BY689" s="8"/>
      <c r="BZ689" s="8"/>
      <c r="CA689" s="8"/>
      <c r="CB689" s="10"/>
    </row>
    <row r="690" spans="3:80" ht="15" customHeight="1" x14ac:dyDescent="0.25">
      <c r="C690" s="69"/>
      <c r="F690" s="369" t="str">
        <f>IF(ISBLANK(Inputs!A41),"",Inputs!A41)</f>
        <v/>
      </c>
      <c r="G690" s="369"/>
      <c r="H690" s="369" t="str">
        <f>IF(ISBLANK(Inputs!B41),"",Inputs!B41)</f>
        <v/>
      </c>
      <c r="I690" s="369"/>
      <c r="J690" s="369" t="str">
        <f>IF(ISBLANK(Inputs!$A41),"",
MAX(IF(ISNUMBER(AE433),1),
IF(ISNUMBER(AI433),2),
IF(ISNUMBER(AM433),3),
IF(ISNUMBER(AQ433),4),
IF(ISNUMBER(AU433),5),
IF(ISNUMBER(AY433),6),
IF(ISNUMBER(BC433),7),
IF(ISNUMBER(BG433),8),
IF(ISNUMBER(BK433),9),
IF(ISNUMBER(BO433),10)))</f>
        <v/>
      </c>
      <c r="K690" s="369"/>
      <c r="L690" s="369" t="str">
        <f>IF(ISBLANK(Inputs!$A41),"",
_xlfn.LET(
_xlpm.n,J690,
CHOOSE(_xlpm.n,
AE433,AI433,AM433,AQ433,AU433,
AY433,BC433,BG433,BK433,BO433
)
))</f>
        <v/>
      </c>
      <c r="M690" s="369"/>
      <c r="N690" s="369" t="str">
        <f>IF(ISBLANK(Inputs!$A41),"",
Mat.Conc_Alpha.1*Mat.Conc_f.c*Inputs!J41*MIN(L690*Mat.Conc_Beta.1,Inputs!I41))</f>
        <v/>
      </c>
      <c r="O690" s="369"/>
      <c r="P690" s="372" t="str">
        <f>IF(ISBLANK(Inputs!$A41),"",
Mat.Conc_Alpha.1*Mat.Conc_f.c*Inputs!E41*MAX(0,L690*Mat.Conc_Beta.1-Inputs!I41))</f>
        <v/>
      </c>
      <c r="Q690" s="369"/>
      <c r="R690" s="369" t="str">
        <f>IF(ISBLANK(Inputs!$A41),"",Inputs!G41*MIN(Mat.Rebar_f.y,(Mat.Rebar_epsilon.cl*(Inputs!H41-L690)/L690)*Mat.PT_E.s))</f>
        <v/>
      </c>
      <c r="S690" s="369"/>
      <c r="T690" s="369" t="str">
        <f>IF(ISBLANK(Inputs!$A41),"",Inputs!D41*(Mat.PT_f.pu*(1-Mat.PT_k*L690/Inputs!F41)))</f>
        <v/>
      </c>
      <c r="U690" s="369"/>
      <c r="V690" s="369" t="str">
        <f>IF(ISBLANK(Inputs!$A41),"",
(Mat.PT_f.pe/Mat.PT_E.ps)+(Mat.Rebar_epsilon.cl*((Geometry_d.p.Positive-L690)/L690)))</f>
        <v/>
      </c>
      <c r="W690" s="369"/>
      <c r="X690" s="369" t="str">
        <f>IF(ISBLANK(Inputs!$A41),"",
0.5*MIN(L690*Mat.Conc_Beta.1,Geometry_h.f.Positive))</f>
        <v/>
      </c>
      <c r="Y690" s="369"/>
      <c r="Z690" s="369" t="str">
        <f>IF(ISBLANK(Inputs!$A41),"",
IF(P690=0,0,Geometry_h.f.Positive+0.5*MAX(0,L690*Mat.Conc_Beta.1-Geometry_h.f.Positive)))</f>
        <v/>
      </c>
      <c r="AA690" s="369"/>
      <c r="AB690" s="369" t="str">
        <f>IF(ISBLANK(Inputs!$A41),"",
Inputs!H41)</f>
        <v/>
      </c>
      <c r="AC690" s="369"/>
      <c r="AD690" s="369" t="str">
        <f>IF(ISBLANK(Inputs!$A41),"",
Inputs!F41)</f>
        <v/>
      </c>
      <c r="AE690" s="369"/>
      <c r="AF690" s="369" t="str">
        <f>IF(ISBLANK(Inputs!$A41),"",
MAX(0.75,MIN(1,0.75+0.25*(V690-Mat.Rebar_epsilon.cl)/(Mat.Rebar_epsilon.tl-Mat.Rebar_epsilon.cl))))</f>
        <v/>
      </c>
      <c r="AG690" s="369"/>
      <c r="AH690" s="370" t="str">
        <f>IF(ISBLANK(Inputs!$A41),"",
((AD690*T690+AB690*R690-Z690*P690-X690*N690)/12)*AF690)</f>
        <v/>
      </c>
      <c r="AI690" s="370"/>
      <c r="AJ690" s="370"/>
      <c r="AK690" s="369" t="str">
        <f>IF(ISBLANK(Inputs!$A41),"",
MAX(IF(ISNUMBER(AE558),1),
IF(ISNUMBER(AI558),2),
IF(ISNUMBER(AM558),3),
IF(ISNUMBER(AQ558),4),
IF(ISNUMBER(AU558),5),
IF(ISNUMBER(AY558),6),
IF(ISNUMBER(BC558),7),
IF(ISNUMBER(BG558),8),
IF(ISNUMBER(BK558),9),
IF(ISNUMBER(BO558),10)))</f>
        <v/>
      </c>
      <c r="AL690" s="369"/>
      <c r="AM690" s="369" t="str">
        <f>IF(ISBLANK(Inputs!$A41),"",
_xlfn.LET(
_xlpm.n,AK690,
CHOOSE(_xlpm.n,
AE558,AI558,AM558,AQ558,AU558,
AY558,BC558,BG558,BK558,BO558
)
))</f>
        <v/>
      </c>
      <c r="AN690" s="369"/>
      <c r="AO690" s="369" t="str">
        <f>IF(ISBLANK(Inputs!$A41),"",
Mat.Conc_Alpha.1*Mat.Conc_f.c*Geometry_b.Negative*MIN(AM690*Mat.Conc_Beta.1,Geometry_h.f.Negative))</f>
        <v/>
      </c>
      <c r="AP690" s="369"/>
      <c r="AQ690" s="369" t="str">
        <f>IF(ISBLANK(Inputs!$A41),"",
Mat.Conc_Alpha.1*Mat.Conc_f.c*Geometry_b.w*MAX(0,AM690*Mat.Conc_Beta.1-Geometry_h.f.Negative))</f>
        <v/>
      </c>
      <c r="AR690" s="369"/>
      <c r="AS690" s="369" t="str">
        <f>IF(ISBLANK(Inputs!$A41),"",
Mat.Rebar_A.s.Positive*MIN(Mat.Rebar_f.y,(Mat.Rebar_epsilon.cl*(Geometry_d.s.Negative-AM690)/AM690)*Mat.PT_E.s))</f>
        <v/>
      </c>
      <c r="AT690" s="369"/>
      <c r="AU690" s="369" t="str">
        <f>IF(ISBLANK(Inputs!$A41),"",
Mat.PT_A.ps*(Mat.PT_f.pu*(1-Mat.PT_k*AM690/Geometry_d.p.Negative)))</f>
        <v/>
      </c>
      <c r="AV690" s="369"/>
      <c r="AW690" s="369" t="str">
        <f>IF(ISBLANK(Inputs!$A41),"",
(Mat.PT_f.pe/Mat.PT_E.ps)+(Mat.Rebar_epsilon.cl*((Geometry_d.p.Negative-AM690)/AM690)))</f>
        <v/>
      </c>
      <c r="AX690" s="369"/>
      <c r="AY690" s="369" t="str">
        <f>IF(ISBLANK(Inputs!$A41),"",
0.5*MIN(AM690*Mat.Conc_Beta.1,Geometry_h.f.Negative))</f>
        <v/>
      </c>
      <c r="AZ690" s="369"/>
      <c r="BA690" s="369" t="str">
        <f>IF(ISBLANK(Inputs!$A41),"",
IF(AQ690=0,0,Geometry_h.f.Negative+0.5*MAX(0,AM690*Mat.Conc_Beta.1-Geometry_h.f.Negative)))</f>
        <v/>
      </c>
      <c r="BB690" s="369"/>
      <c r="BC690" s="369" t="str">
        <f>IF(ISBLANK(Inputs!$A41),"",
Inputs!L41)</f>
        <v/>
      </c>
      <c r="BD690" s="369"/>
      <c r="BE690" s="369" t="str">
        <f>IF(ISBLANK(Inputs!$A41),"",Inputs!$B$10-Inputs!F41)</f>
        <v/>
      </c>
      <c r="BF690" s="369"/>
      <c r="BG690" s="369" t="str">
        <f>IF(ISBLANK(Inputs!$A41),"",
MAX(0.75,MIN(1,0.75+0.25*(AW690-Mat.Rebar_epsilon.cl)/(Mat.Rebar_epsilon.tl-Mat.Rebar_epsilon.cl))))</f>
        <v/>
      </c>
      <c r="BH690" s="369"/>
      <c r="BI690" s="370" t="str">
        <f>IF(ISBLANK(Inputs!$A41),"",
-((BE690*AU690+BC690*AS690-BA690*AQ690-AY690*AO690)/12)*BG690)</f>
        <v/>
      </c>
      <c r="BJ690" s="370"/>
      <c r="BK690" s="370"/>
      <c r="BL690" s="370" t="str">
        <f>IF(ISBLANK(Inputs!C41),"",Inputs!C41)</f>
        <v/>
      </c>
      <c r="BM690" s="370"/>
      <c r="BN690" s="370"/>
      <c r="BO690" s="374" t="str">
        <f>IF(ISBLANK(Inputs!$A41),"",
IFERROR(IF(BL690&gt;=0,ABS(BL690)/ABS(AH690),ABS(BL690)/ABS(BI690)),""))</f>
        <v/>
      </c>
      <c r="BP690" s="374"/>
      <c r="BQ690" s="374"/>
      <c r="BR690" s="59"/>
      <c r="BS690" s="70"/>
      <c r="BT690" s="70"/>
      <c r="BU690" s="70"/>
      <c r="BV690" s="70"/>
      <c r="BW690" s="8"/>
      <c r="BX690" s="8"/>
      <c r="BY690" s="8"/>
      <c r="BZ690" s="8"/>
      <c r="CA690" s="8"/>
      <c r="CB690" s="10"/>
    </row>
    <row r="691" spans="3:80" ht="15" customHeight="1" x14ac:dyDescent="0.25">
      <c r="C691" s="69"/>
      <c r="F691" s="369" t="str">
        <f>IF(ISBLANK(Inputs!A42),"",Inputs!A42)</f>
        <v/>
      </c>
      <c r="G691" s="369"/>
      <c r="H691" s="369" t="str">
        <f>IF(ISBLANK(Inputs!B42),"",Inputs!B42)</f>
        <v/>
      </c>
      <c r="I691" s="369"/>
      <c r="J691" s="369" t="str">
        <f>IF(ISBLANK(Inputs!$A42),"",
MAX(IF(ISNUMBER(AE434),1),
IF(ISNUMBER(AI434),2),
IF(ISNUMBER(AM434),3),
IF(ISNUMBER(AQ434),4),
IF(ISNUMBER(AU434),5),
IF(ISNUMBER(AY434),6),
IF(ISNUMBER(BC434),7),
IF(ISNUMBER(BG434),8),
IF(ISNUMBER(BK434),9),
IF(ISNUMBER(BO434),10)))</f>
        <v/>
      </c>
      <c r="K691" s="369"/>
      <c r="L691" s="369" t="str">
        <f>IF(ISBLANK(Inputs!$A42),"",
_xlfn.LET(
_xlpm.n,J691,
CHOOSE(_xlpm.n,
AE434,AI434,AM434,AQ434,AU434,
AY434,BC434,BG434,BK434,BO434
)
))</f>
        <v/>
      </c>
      <c r="M691" s="369"/>
      <c r="N691" s="369" t="str">
        <f>IF(ISBLANK(Inputs!$A42),"",
Mat.Conc_Alpha.1*Mat.Conc_f.c*Inputs!J42*MIN(L691*Mat.Conc_Beta.1,Inputs!I42))</f>
        <v/>
      </c>
      <c r="O691" s="369"/>
      <c r="P691" s="372" t="str">
        <f>IF(ISBLANK(Inputs!$A42),"",
Mat.Conc_Alpha.1*Mat.Conc_f.c*Inputs!E42*MAX(0,L691*Mat.Conc_Beta.1-Inputs!I42))</f>
        <v/>
      </c>
      <c r="Q691" s="369"/>
      <c r="R691" s="369" t="str">
        <f>IF(ISBLANK(Inputs!$A42),"",Inputs!G42*MIN(Mat.Rebar_f.y,(Mat.Rebar_epsilon.cl*(Inputs!H42-L691)/L691)*Mat.PT_E.s))</f>
        <v/>
      </c>
      <c r="S691" s="369"/>
      <c r="T691" s="369" t="str">
        <f>IF(ISBLANK(Inputs!$A42),"",Inputs!D42*(Mat.PT_f.pu*(1-Mat.PT_k*L691/Inputs!F42)))</f>
        <v/>
      </c>
      <c r="U691" s="369"/>
      <c r="V691" s="369" t="str">
        <f>IF(ISBLANK(Inputs!$A42),"",
(Mat.PT_f.pe/Mat.PT_E.ps)+(Mat.Rebar_epsilon.cl*((Geometry_d.p.Positive-L691)/L691)))</f>
        <v/>
      </c>
      <c r="W691" s="369"/>
      <c r="X691" s="369" t="str">
        <f>IF(ISBLANK(Inputs!$A42),"",
0.5*MIN(L691*Mat.Conc_Beta.1,Geometry_h.f.Positive))</f>
        <v/>
      </c>
      <c r="Y691" s="369"/>
      <c r="Z691" s="369" t="str">
        <f>IF(ISBLANK(Inputs!$A42),"",
IF(P691=0,0,Geometry_h.f.Positive+0.5*MAX(0,L691*Mat.Conc_Beta.1-Geometry_h.f.Positive)))</f>
        <v/>
      </c>
      <c r="AA691" s="369"/>
      <c r="AB691" s="369" t="str">
        <f>IF(ISBLANK(Inputs!$A42),"",
Inputs!H42)</f>
        <v/>
      </c>
      <c r="AC691" s="369"/>
      <c r="AD691" s="369" t="str">
        <f>IF(ISBLANK(Inputs!$A42),"",
Inputs!F42)</f>
        <v/>
      </c>
      <c r="AE691" s="369"/>
      <c r="AF691" s="369" t="str">
        <f>IF(ISBLANK(Inputs!$A42),"",
MAX(0.75,MIN(1,0.75+0.25*(V691-Mat.Rebar_epsilon.cl)/(Mat.Rebar_epsilon.tl-Mat.Rebar_epsilon.cl))))</f>
        <v/>
      </c>
      <c r="AG691" s="369"/>
      <c r="AH691" s="370" t="str">
        <f>IF(ISBLANK(Inputs!$A42),"",
((AD691*T691+AB691*R691-Z691*P691-X691*N691)/12)*AF691)</f>
        <v/>
      </c>
      <c r="AI691" s="370"/>
      <c r="AJ691" s="370"/>
      <c r="AK691" s="369" t="str">
        <f>IF(ISBLANK(Inputs!$A42),"",
MAX(IF(ISNUMBER(AE559),1),
IF(ISNUMBER(AI559),2),
IF(ISNUMBER(AM559),3),
IF(ISNUMBER(AQ559),4),
IF(ISNUMBER(AU559),5),
IF(ISNUMBER(AY559),6),
IF(ISNUMBER(BC559),7),
IF(ISNUMBER(BG559),8),
IF(ISNUMBER(BK559),9),
IF(ISNUMBER(BO559),10)))</f>
        <v/>
      </c>
      <c r="AL691" s="369"/>
      <c r="AM691" s="369" t="str">
        <f>IF(ISBLANK(Inputs!$A42),"",
_xlfn.LET(
_xlpm.n,AK691,
CHOOSE(_xlpm.n,
AE559,AI559,AM559,AQ559,AU559,
AY559,BC559,BG559,BK559,BO559
)
))</f>
        <v/>
      </c>
      <c r="AN691" s="369"/>
      <c r="AO691" s="369" t="str">
        <f>IF(ISBLANK(Inputs!$A42),"",
Mat.Conc_Alpha.1*Mat.Conc_f.c*Geometry_b.Negative*MIN(AM691*Mat.Conc_Beta.1,Geometry_h.f.Negative))</f>
        <v/>
      </c>
      <c r="AP691" s="369"/>
      <c r="AQ691" s="369" t="str">
        <f>IF(ISBLANK(Inputs!$A42),"",
Mat.Conc_Alpha.1*Mat.Conc_f.c*Geometry_b.w*MAX(0,AM691*Mat.Conc_Beta.1-Geometry_h.f.Negative))</f>
        <v/>
      </c>
      <c r="AR691" s="369"/>
      <c r="AS691" s="369" t="str">
        <f>IF(ISBLANK(Inputs!$A42),"",
Mat.Rebar_A.s.Positive*MIN(Mat.Rebar_f.y,(Mat.Rebar_epsilon.cl*(Geometry_d.s.Negative-AM691)/AM691)*Mat.PT_E.s))</f>
        <v/>
      </c>
      <c r="AT691" s="369"/>
      <c r="AU691" s="369" t="str">
        <f>IF(ISBLANK(Inputs!$A42),"",
Mat.PT_A.ps*(Mat.PT_f.pu*(1-Mat.PT_k*AM691/Geometry_d.p.Negative)))</f>
        <v/>
      </c>
      <c r="AV691" s="369"/>
      <c r="AW691" s="369" t="str">
        <f>IF(ISBLANK(Inputs!$A42),"",
(Mat.PT_f.pe/Mat.PT_E.ps)+(Mat.Rebar_epsilon.cl*((Geometry_d.p.Negative-AM691)/AM691)))</f>
        <v/>
      </c>
      <c r="AX691" s="369"/>
      <c r="AY691" s="369" t="str">
        <f>IF(ISBLANK(Inputs!$A42),"",
0.5*MIN(AM691*Mat.Conc_Beta.1,Geometry_h.f.Negative))</f>
        <v/>
      </c>
      <c r="AZ691" s="369"/>
      <c r="BA691" s="369" t="str">
        <f>IF(ISBLANK(Inputs!$A42),"",
IF(AQ691=0,0,Geometry_h.f.Negative+0.5*MAX(0,AM691*Mat.Conc_Beta.1-Geometry_h.f.Negative)))</f>
        <v/>
      </c>
      <c r="BB691" s="369"/>
      <c r="BC691" s="369" t="str">
        <f>IF(ISBLANK(Inputs!$A42),"",
Inputs!L42)</f>
        <v/>
      </c>
      <c r="BD691" s="369"/>
      <c r="BE691" s="369" t="str">
        <f>IF(ISBLANK(Inputs!$A42),"",Inputs!$B$10-Inputs!F42)</f>
        <v/>
      </c>
      <c r="BF691" s="369"/>
      <c r="BG691" s="369" t="str">
        <f>IF(ISBLANK(Inputs!$A42),"",
MAX(0.75,MIN(1,0.75+0.25*(AW691-Mat.Rebar_epsilon.cl)/(Mat.Rebar_epsilon.tl-Mat.Rebar_epsilon.cl))))</f>
        <v/>
      </c>
      <c r="BH691" s="369"/>
      <c r="BI691" s="370" t="str">
        <f>IF(ISBLANK(Inputs!$A42),"",
-((BE691*AU691+BC691*AS691-BA691*AQ691-AY691*AO691)/12)*BG691)</f>
        <v/>
      </c>
      <c r="BJ691" s="370"/>
      <c r="BK691" s="370"/>
      <c r="BL691" s="370" t="str">
        <f>IF(ISBLANK(Inputs!C42),"",Inputs!C42)</f>
        <v/>
      </c>
      <c r="BM691" s="370"/>
      <c r="BN691" s="370"/>
      <c r="BO691" s="374" t="str">
        <f>IF(ISBLANK(Inputs!$A42),"",
IFERROR(IF(BL691&gt;=0,ABS(BL691)/ABS(AH691),ABS(BL691)/ABS(BI691)),""))</f>
        <v/>
      </c>
      <c r="BP691" s="374"/>
      <c r="BQ691" s="374"/>
      <c r="BR691" s="59"/>
      <c r="BS691" s="70"/>
      <c r="BT691" s="70"/>
      <c r="BU691" s="70"/>
      <c r="BV691" s="70"/>
      <c r="BW691" s="8"/>
      <c r="BX691" s="8"/>
      <c r="BY691" s="8"/>
      <c r="BZ691" s="8"/>
      <c r="CA691" s="8"/>
      <c r="CB691" s="10"/>
    </row>
    <row r="692" spans="3:80" ht="15" customHeight="1" x14ac:dyDescent="0.25">
      <c r="C692" s="69"/>
      <c r="F692" s="369" t="str">
        <f>IF(ISBLANK(Inputs!A43),"",Inputs!A43)</f>
        <v/>
      </c>
      <c r="G692" s="369"/>
      <c r="H692" s="369" t="str">
        <f>IF(ISBLANK(Inputs!B43),"",Inputs!B43)</f>
        <v/>
      </c>
      <c r="I692" s="369"/>
      <c r="J692" s="369" t="str">
        <f>IF(ISBLANK(Inputs!$A43),"",
MAX(IF(ISNUMBER(AE435),1),
IF(ISNUMBER(AI435),2),
IF(ISNUMBER(AM435),3),
IF(ISNUMBER(AQ435),4),
IF(ISNUMBER(AU435),5),
IF(ISNUMBER(AY435),6),
IF(ISNUMBER(BC435),7),
IF(ISNUMBER(BG435),8),
IF(ISNUMBER(BK435),9),
IF(ISNUMBER(BO435),10)))</f>
        <v/>
      </c>
      <c r="K692" s="369"/>
      <c r="L692" s="369" t="str">
        <f>IF(ISBLANK(Inputs!$A43),"",
_xlfn.LET(
_xlpm.n,J692,
CHOOSE(_xlpm.n,
AE435,AI435,AM435,AQ435,AU435,
AY435,BC435,BG435,BK435,BO435
)
))</f>
        <v/>
      </c>
      <c r="M692" s="369"/>
      <c r="N692" s="369" t="str">
        <f>IF(ISBLANK(Inputs!$A43),"",
Mat.Conc_Alpha.1*Mat.Conc_f.c*Inputs!J43*MIN(L692*Mat.Conc_Beta.1,Inputs!I43))</f>
        <v/>
      </c>
      <c r="O692" s="369"/>
      <c r="P692" s="372" t="str">
        <f>IF(ISBLANK(Inputs!$A43),"",
Mat.Conc_Alpha.1*Mat.Conc_f.c*Inputs!E43*MAX(0,L692*Mat.Conc_Beta.1-Inputs!I43))</f>
        <v/>
      </c>
      <c r="Q692" s="369"/>
      <c r="R692" s="369" t="str">
        <f>IF(ISBLANK(Inputs!$A43),"",Inputs!G43*MIN(Mat.Rebar_f.y,(Mat.Rebar_epsilon.cl*(Inputs!H43-L692)/L692)*Mat.PT_E.s))</f>
        <v/>
      </c>
      <c r="S692" s="369"/>
      <c r="T692" s="369" t="str">
        <f>IF(ISBLANK(Inputs!$A43),"",Inputs!D43*(Mat.PT_f.pu*(1-Mat.PT_k*L692/Inputs!F43)))</f>
        <v/>
      </c>
      <c r="U692" s="369"/>
      <c r="V692" s="369" t="str">
        <f>IF(ISBLANK(Inputs!$A43),"",
(Mat.PT_f.pe/Mat.PT_E.ps)+(Mat.Rebar_epsilon.cl*((Geometry_d.p.Positive-L692)/L692)))</f>
        <v/>
      </c>
      <c r="W692" s="369"/>
      <c r="X692" s="369" t="str">
        <f>IF(ISBLANK(Inputs!$A43),"",
0.5*MIN(L692*Mat.Conc_Beta.1,Geometry_h.f.Positive))</f>
        <v/>
      </c>
      <c r="Y692" s="369"/>
      <c r="Z692" s="369" t="str">
        <f>IF(ISBLANK(Inputs!$A43),"",
IF(P692=0,0,Geometry_h.f.Positive+0.5*MAX(0,L692*Mat.Conc_Beta.1-Geometry_h.f.Positive)))</f>
        <v/>
      </c>
      <c r="AA692" s="369"/>
      <c r="AB692" s="369" t="str">
        <f>IF(ISBLANK(Inputs!$A43),"",
Inputs!H43)</f>
        <v/>
      </c>
      <c r="AC692" s="369"/>
      <c r="AD692" s="369" t="str">
        <f>IF(ISBLANK(Inputs!$A43),"",
Inputs!F43)</f>
        <v/>
      </c>
      <c r="AE692" s="369"/>
      <c r="AF692" s="369" t="str">
        <f>IF(ISBLANK(Inputs!$A43),"",
MAX(0.75,MIN(1,0.75+0.25*(V692-Mat.Rebar_epsilon.cl)/(Mat.Rebar_epsilon.tl-Mat.Rebar_epsilon.cl))))</f>
        <v/>
      </c>
      <c r="AG692" s="369"/>
      <c r="AH692" s="370" t="str">
        <f>IF(ISBLANK(Inputs!$A43),"",
((AD692*T692+AB692*R692-Z692*P692-X692*N692)/12)*AF692)</f>
        <v/>
      </c>
      <c r="AI692" s="370"/>
      <c r="AJ692" s="370"/>
      <c r="AK692" s="369" t="str">
        <f>IF(ISBLANK(Inputs!$A43),"",
MAX(IF(ISNUMBER(AE560),1),
IF(ISNUMBER(AI560),2),
IF(ISNUMBER(AM560),3),
IF(ISNUMBER(AQ560),4),
IF(ISNUMBER(AU560),5),
IF(ISNUMBER(AY560),6),
IF(ISNUMBER(BC560),7),
IF(ISNUMBER(BG560),8),
IF(ISNUMBER(BK560),9),
IF(ISNUMBER(BO560),10)))</f>
        <v/>
      </c>
      <c r="AL692" s="369"/>
      <c r="AM692" s="369" t="str">
        <f>IF(ISBLANK(Inputs!$A43),"",
_xlfn.LET(
_xlpm.n,AK692,
CHOOSE(_xlpm.n,
AE560,AI560,AM560,AQ560,AU560,
AY560,BC560,BG560,BK560,BO560
)
))</f>
        <v/>
      </c>
      <c r="AN692" s="369"/>
      <c r="AO692" s="369" t="str">
        <f>IF(ISBLANK(Inputs!$A43),"",
Mat.Conc_Alpha.1*Mat.Conc_f.c*Geometry_b.Negative*MIN(AM692*Mat.Conc_Beta.1,Geometry_h.f.Negative))</f>
        <v/>
      </c>
      <c r="AP692" s="369"/>
      <c r="AQ692" s="369" t="str">
        <f>IF(ISBLANK(Inputs!$A43),"",
Mat.Conc_Alpha.1*Mat.Conc_f.c*Geometry_b.w*MAX(0,AM692*Mat.Conc_Beta.1-Geometry_h.f.Negative))</f>
        <v/>
      </c>
      <c r="AR692" s="369"/>
      <c r="AS692" s="369" t="str">
        <f>IF(ISBLANK(Inputs!$A43),"",
Mat.Rebar_A.s.Positive*MIN(Mat.Rebar_f.y,(Mat.Rebar_epsilon.cl*(Geometry_d.s.Negative-AM692)/AM692)*Mat.PT_E.s))</f>
        <v/>
      </c>
      <c r="AT692" s="369"/>
      <c r="AU692" s="369" t="str">
        <f>IF(ISBLANK(Inputs!$A43),"",
Mat.PT_A.ps*(Mat.PT_f.pu*(1-Mat.PT_k*AM692/Geometry_d.p.Negative)))</f>
        <v/>
      </c>
      <c r="AV692" s="369"/>
      <c r="AW692" s="369" t="str">
        <f>IF(ISBLANK(Inputs!$A43),"",
(Mat.PT_f.pe/Mat.PT_E.ps)+(Mat.Rebar_epsilon.cl*((Geometry_d.p.Negative-AM692)/AM692)))</f>
        <v/>
      </c>
      <c r="AX692" s="369"/>
      <c r="AY692" s="369" t="str">
        <f>IF(ISBLANK(Inputs!$A43),"",
0.5*MIN(AM692*Mat.Conc_Beta.1,Geometry_h.f.Negative))</f>
        <v/>
      </c>
      <c r="AZ692" s="369"/>
      <c r="BA692" s="369" t="str">
        <f>IF(ISBLANK(Inputs!$A43),"",
IF(AQ692=0,0,Geometry_h.f.Negative+0.5*MAX(0,AM692*Mat.Conc_Beta.1-Geometry_h.f.Negative)))</f>
        <v/>
      </c>
      <c r="BB692" s="369"/>
      <c r="BC692" s="369" t="str">
        <f>IF(ISBLANK(Inputs!$A43),"",
Inputs!L43)</f>
        <v/>
      </c>
      <c r="BD692" s="369"/>
      <c r="BE692" s="369" t="str">
        <f>IF(ISBLANK(Inputs!$A43),"",Inputs!$B$10-Inputs!F43)</f>
        <v/>
      </c>
      <c r="BF692" s="369"/>
      <c r="BG692" s="369" t="str">
        <f>IF(ISBLANK(Inputs!$A43),"",
MAX(0.75,MIN(1,0.75+0.25*(AW692-Mat.Rebar_epsilon.cl)/(Mat.Rebar_epsilon.tl-Mat.Rebar_epsilon.cl))))</f>
        <v/>
      </c>
      <c r="BH692" s="369"/>
      <c r="BI692" s="370" t="str">
        <f>IF(ISBLANK(Inputs!$A43),"",
-((BE692*AU692+BC692*AS692-BA692*AQ692-AY692*AO692)/12)*BG692)</f>
        <v/>
      </c>
      <c r="BJ692" s="370"/>
      <c r="BK692" s="370"/>
      <c r="BL692" s="370" t="str">
        <f>IF(ISBLANK(Inputs!C43),"",Inputs!C43)</f>
        <v/>
      </c>
      <c r="BM692" s="370"/>
      <c r="BN692" s="370"/>
      <c r="BO692" s="374" t="str">
        <f>IF(ISBLANK(Inputs!$A43),"",
IFERROR(IF(BL692&gt;=0,ABS(BL692)/ABS(AH692),ABS(BL692)/ABS(BI692)),""))</f>
        <v/>
      </c>
      <c r="BP692" s="374"/>
      <c r="BQ692" s="374"/>
      <c r="BR692" s="59"/>
      <c r="BS692" s="70"/>
      <c r="BT692" s="70"/>
      <c r="BU692" s="70"/>
      <c r="BV692" s="70"/>
      <c r="BW692" s="8"/>
      <c r="BX692" s="8"/>
      <c r="BY692" s="8"/>
      <c r="BZ692" s="8"/>
      <c r="CA692" s="8"/>
      <c r="CB692" s="10"/>
    </row>
    <row r="693" spans="3:80" ht="15" customHeight="1" x14ac:dyDescent="0.25">
      <c r="C693" s="69"/>
      <c r="F693" s="369" t="str">
        <f>IF(ISBLANK(Inputs!A44),"",Inputs!A44)</f>
        <v/>
      </c>
      <c r="G693" s="369"/>
      <c r="H693" s="369" t="str">
        <f>IF(ISBLANK(Inputs!B44),"",Inputs!B44)</f>
        <v/>
      </c>
      <c r="I693" s="369"/>
      <c r="J693" s="369" t="str">
        <f>IF(ISBLANK(Inputs!$A44),"",
MAX(IF(ISNUMBER(AE436),1),
IF(ISNUMBER(AI436),2),
IF(ISNUMBER(AM436),3),
IF(ISNUMBER(AQ436),4),
IF(ISNUMBER(AU436),5),
IF(ISNUMBER(AY436),6),
IF(ISNUMBER(BC436),7),
IF(ISNUMBER(BG436),8),
IF(ISNUMBER(BK436),9),
IF(ISNUMBER(BO436),10)))</f>
        <v/>
      </c>
      <c r="K693" s="369"/>
      <c r="L693" s="369" t="str">
        <f>IF(ISBLANK(Inputs!$A44),"",
_xlfn.LET(
_xlpm.n,J693,
CHOOSE(_xlpm.n,
AE436,AI436,AM436,AQ436,AU436,
AY436,BC436,BG436,BK436,BO436
)
))</f>
        <v/>
      </c>
      <c r="M693" s="369"/>
      <c r="N693" s="369" t="str">
        <f>IF(ISBLANK(Inputs!$A44),"",
Mat.Conc_Alpha.1*Mat.Conc_f.c*Inputs!J44*MIN(L693*Mat.Conc_Beta.1,Inputs!I44))</f>
        <v/>
      </c>
      <c r="O693" s="369"/>
      <c r="P693" s="372" t="str">
        <f>IF(ISBLANK(Inputs!$A44),"",
Mat.Conc_Alpha.1*Mat.Conc_f.c*Inputs!E44*MAX(0,L693*Mat.Conc_Beta.1-Inputs!I44))</f>
        <v/>
      </c>
      <c r="Q693" s="369"/>
      <c r="R693" s="369" t="str">
        <f>IF(ISBLANK(Inputs!$A44),"",Inputs!G44*MIN(Mat.Rebar_f.y,(Mat.Rebar_epsilon.cl*(Inputs!H44-L693)/L693)*Mat.PT_E.s))</f>
        <v/>
      </c>
      <c r="S693" s="369"/>
      <c r="T693" s="369" t="str">
        <f>IF(ISBLANK(Inputs!$A44),"",Inputs!D44*(Mat.PT_f.pu*(1-Mat.PT_k*L693/Inputs!F44)))</f>
        <v/>
      </c>
      <c r="U693" s="369"/>
      <c r="V693" s="369" t="str">
        <f>IF(ISBLANK(Inputs!$A44),"",
(Mat.PT_f.pe/Mat.PT_E.ps)+(Mat.Rebar_epsilon.cl*((Geometry_d.p.Positive-L693)/L693)))</f>
        <v/>
      </c>
      <c r="W693" s="369"/>
      <c r="X693" s="369" t="str">
        <f>IF(ISBLANK(Inputs!$A44),"",
0.5*MIN(L693*Mat.Conc_Beta.1,Geometry_h.f.Positive))</f>
        <v/>
      </c>
      <c r="Y693" s="369"/>
      <c r="Z693" s="369" t="str">
        <f>IF(ISBLANK(Inputs!$A44),"",
IF(P693=0,0,Geometry_h.f.Positive+0.5*MAX(0,L693*Mat.Conc_Beta.1-Geometry_h.f.Positive)))</f>
        <v/>
      </c>
      <c r="AA693" s="369"/>
      <c r="AB693" s="369" t="str">
        <f>IF(ISBLANK(Inputs!$A44),"",
Inputs!H44)</f>
        <v/>
      </c>
      <c r="AC693" s="369"/>
      <c r="AD693" s="369" t="str">
        <f>IF(ISBLANK(Inputs!$A44),"",
Inputs!F44)</f>
        <v/>
      </c>
      <c r="AE693" s="369"/>
      <c r="AF693" s="369" t="str">
        <f>IF(ISBLANK(Inputs!$A44),"",
MAX(0.75,MIN(1,0.75+0.25*(V693-Mat.Rebar_epsilon.cl)/(Mat.Rebar_epsilon.tl-Mat.Rebar_epsilon.cl))))</f>
        <v/>
      </c>
      <c r="AG693" s="369"/>
      <c r="AH693" s="370" t="str">
        <f>IF(ISBLANK(Inputs!$A44),"",
((AD693*T693+AB693*R693-Z693*P693-X693*N693)/12)*AF693)</f>
        <v/>
      </c>
      <c r="AI693" s="370"/>
      <c r="AJ693" s="370"/>
      <c r="AK693" s="369" t="str">
        <f>IF(ISBLANK(Inputs!$A44),"",
MAX(IF(ISNUMBER(AE561),1),
IF(ISNUMBER(AI561),2),
IF(ISNUMBER(AM561),3),
IF(ISNUMBER(AQ561),4),
IF(ISNUMBER(AU561),5),
IF(ISNUMBER(AY561),6),
IF(ISNUMBER(BC561),7),
IF(ISNUMBER(BG561),8),
IF(ISNUMBER(BK561),9),
IF(ISNUMBER(BO561),10)))</f>
        <v/>
      </c>
      <c r="AL693" s="369"/>
      <c r="AM693" s="369" t="str">
        <f>IF(ISBLANK(Inputs!$A44),"",
_xlfn.LET(
_xlpm.n,AK693,
CHOOSE(_xlpm.n,
AE561,AI561,AM561,AQ561,AU561,
AY561,BC561,BG561,BK561,BO561
)
))</f>
        <v/>
      </c>
      <c r="AN693" s="369"/>
      <c r="AO693" s="369" t="str">
        <f>IF(ISBLANK(Inputs!$A44),"",
Mat.Conc_Alpha.1*Mat.Conc_f.c*Geometry_b.Negative*MIN(AM693*Mat.Conc_Beta.1,Geometry_h.f.Negative))</f>
        <v/>
      </c>
      <c r="AP693" s="369"/>
      <c r="AQ693" s="369" t="str">
        <f>IF(ISBLANK(Inputs!$A44),"",
Mat.Conc_Alpha.1*Mat.Conc_f.c*Geometry_b.w*MAX(0,AM693*Mat.Conc_Beta.1-Geometry_h.f.Negative))</f>
        <v/>
      </c>
      <c r="AR693" s="369"/>
      <c r="AS693" s="369" t="str">
        <f>IF(ISBLANK(Inputs!$A44),"",
Mat.Rebar_A.s.Positive*MIN(Mat.Rebar_f.y,(Mat.Rebar_epsilon.cl*(Geometry_d.s.Negative-AM693)/AM693)*Mat.PT_E.s))</f>
        <v/>
      </c>
      <c r="AT693" s="369"/>
      <c r="AU693" s="369" t="str">
        <f>IF(ISBLANK(Inputs!$A44),"",
Mat.PT_A.ps*(Mat.PT_f.pu*(1-Mat.PT_k*AM693/Geometry_d.p.Negative)))</f>
        <v/>
      </c>
      <c r="AV693" s="369"/>
      <c r="AW693" s="369" t="str">
        <f>IF(ISBLANK(Inputs!$A44),"",
(Mat.PT_f.pe/Mat.PT_E.ps)+(Mat.Rebar_epsilon.cl*((Geometry_d.p.Negative-AM693)/AM693)))</f>
        <v/>
      </c>
      <c r="AX693" s="369"/>
      <c r="AY693" s="369" t="str">
        <f>IF(ISBLANK(Inputs!$A44),"",
0.5*MIN(AM693*Mat.Conc_Beta.1,Geometry_h.f.Negative))</f>
        <v/>
      </c>
      <c r="AZ693" s="369"/>
      <c r="BA693" s="369" t="str">
        <f>IF(ISBLANK(Inputs!$A44),"",
IF(AQ693=0,0,Geometry_h.f.Negative+0.5*MAX(0,AM693*Mat.Conc_Beta.1-Geometry_h.f.Negative)))</f>
        <v/>
      </c>
      <c r="BB693" s="369"/>
      <c r="BC693" s="369" t="str">
        <f>IF(ISBLANK(Inputs!$A44),"",
Inputs!L44)</f>
        <v/>
      </c>
      <c r="BD693" s="369"/>
      <c r="BE693" s="369" t="str">
        <f>IF(ISBLANK(Inputs!$A44),"",Inputs!$B$10-Inputs!F44)</f>
        <v/>
      </c>
      <c r="BF693" s="369"/>
      <c r="BG693" s="369" t="str">
        <f>IF(ISBLANK(Inputs!$A44),"",
MAX(0.75,MIN(1,0.75+0.25*(AW693-Mat.Rebar_epsilon.cl)/(Mat.Rebar_epsilon.tl-Mat.Rebar_epsilon.cl))))</f>
        <v/>
      </c>
      <c r="BH693" s="369"/>
      <c r="BI693" s="370" t="str">
        <f>IF(ISBLANK(Inputs!$A44),"",
-((BE693*AU693+BC693*AS693-BA693*AQ693-AY693*AO693)/12)*BG693)</f>
        <v/>
      </c>
      <c r="BJ693" s="370"/>
      <c r="BK693" s="370"/>
      <c r="BL693" s="370" t="str">
        <f>IF(ISBLANK(Inputs!C44),"",Inputs!C44)</f>
        <v/>
      </c>
      <c r="BM693" s="370"/>
      <c r="BN693" s="370"/>
      <c r="BO693" s="374" t="str">
        <f>IF(ISBLANK(Inputs!$A44),"",
IFERROR(IF(BL693&gt;=0,ABS(BL693)/ABS(AH693),ABS(BL693)/ABS(BI693)),""))</f>
        <v/>
      </c>
      <c r="BP693" s="374"/>
      <c r="BQ693" s="374"/>
      <c r="BR693" s="59"/>
      <c r="BS693" s="70"/>
      <c r="BT693" s="70"/>
      <c r="BU693" s="70"/>
      <c r="BV693" s="70"/>
      <c r="BW693" s="8"/>
      <c r="BX693" s="8"/>
      <c r="BY693" s="8"/>
      <c r="BZ693" s="8"/>
      <c r="CA693" s="8"/>
      <c r="CB693" s="10"/>
    </row>
    <row r="694" spans="3:80" ht="15" customHeight="1" x14ac:dyDescent="0.25">
      <c r="C694" s="69"/>
      <c r="F694" s="369" t="str">
        <f>IF(ISBLANK(Inputs!A45),"",Inputs!A45)</f>
        <v/>
      </c>
      <c r="G694" s="369"/>
      <c r="H694" s="369" t="str">
        <f>IF(ISBLANK(Inputs!B45),"",Inputs!B45)</f>
        <v/>
      </c>
      <c r="I694" s="369"/>
      <c r="J694" s="369" t="str">
        <f>IF(ISBLANK(Inputs!$A45),"",
MAX(IF(ISNUMBER(AE437),1),
IF(ISNUMBER(AI437),2),
IF(ISNUMBER(AM437),3),
IF(ISNUMBER(AQ437),4),
IF(ISNUMBER(AU437),5),
IF(ISNUMBER(AY437),6),
IF(ISNUMBER(BC437),7),
IF(ISNUMBER(BG437),8),
IF(ISNUMBER(BK437),9),
IF(ISNUMBER(BO437),10)))</f>
        <v/>
      </c>
      <c r="K694" s="369"/>
      <c r="L694" s="369" t="str">
        <f>IF(ISBLANK(Inputs!$A45),"",
_xlfn.LET(
_xlpm.n,J694,
CHOOSE(_xlpm.n,
AE437,AI437,AM437,AQ437,AU437,
AY437,BC437,BG437,BK437,BO437
)
))</f>
        <v/>
      </c>
      <c r="M694" s="369"/>
      <c r="N694" s="369" t="str">
        <f>IF(ISBLANK(Inputs!$A45),"",
Mat.Conc_Alpha.1*Mat.Conc_f.c*Inputs!J45*MIN(L694*Mat.Conc_Beta.1,Inputs!I45))</f>
        <v/>
      </c>
      <c r="O694" s="369"/>
      <c r="P694" s="372" t="str">
        <f>IF(ISBLANK(Inputs!$A45),"",
Mat.Conc_Alpha.1*Mat.Conc_f.c*Inputs!E45*MAX(0,L694*Mat.Conc_Beta.1-Inputs!I45))</f>
        <v/>
      </c>
      <c r="Q694" s="369"/>
      <c r="R694" s="369" t="str">
        <f>IF(ISBLANK(Inputs!$A45),"",Inputs!G45*MIN(Mat.Rebar_f.y,(Mat.Rebar_epsilon.cl*(Inputs!H45-L694)/L694)*Mat.PT_E.s))</f>
        <v/>
      </c>
      <c r="S694" s="369"/>
      <c r="T694" s="369" t="str">
        <f>IF(ISBLANK(Inputs!$A45),"",Inputs!D45*(Mat.PT_f.pu*(1-Mat.PT_k*L694/Inputs!F45)))</f>
        <v/>
      </c>
      <c r="U694" s="369"/>
      <c r="V694" s="369" t="str">
        <f>IF(ISBLANK(Inputs!$A45),"",
(Mat.PT_f.pe/Mat.PT_E.ps)+(Mat.Rebar_epsilon.cl*((Geometry_d.p.Positive-L694)/L694)))</f>
        <v/>
      </c>
      <c r="W694" s="369"/>
      <c r="X694" s="369" t="str">
        <f>IF(ISBLANK(Inputs!$A45),"",
0.5*MIN(L694*Mat.Conc_Beta.1,Geometry_h.f.Positive))</f>
        <v/>
      </c>
      <c r="Y694" s="369"/>
      <c r="Z694" s="369" t="str">
        <f>IF(ISBLANK(Inputs!$A45),"",
IF(P694=0,0,Geometry_h.f.Positive+0.5*MAX(0,L694*Mat.Conc_Beta.1-Geometry_h.f.Positive)))</f>
        <v/>
      </c>
      <c r="AA694" s="369"/>
      <c r="AB694" s="369" t="str">
        <f>IF(ISBLANK(Inputs!$A45),"",
Inputs!H45)</f>
        <v/>
      </c>
      <c r="AC694" s="369"/>
      <c r="AD694" s="369" t="str">
        <f>IF(ISBLANK(Inputs!$A45),"",
Inputs!F45)</f>
        <v/>
      </c>
      <c r="AE694" s="369"/>
      <c r="AF694" s="369" t="str">
        <f>IF(ISBLANK(Inputs!$A45),"",
MAX(0.75,MIN(1,0.75+0.25*(V694-Mat.Rebar_epsilon.cl)/(Mat.Rebar_epsilon.tl-Mat.Rebar_epsilon.cl))))</f>
        <v/>
      </c>
      <c r="AG694" s="369"/>
      <c r="AH694" s="370" t="str">
        <f>IF(ISBLANK(Inputs!$A45),"",
((AD694*T694+AB694*R694-Z694*P694-X694*N694)/12)*AF694)</f>
        <v/>
      </c>
      <c r="AI694" s="370"/>
      <c r="AJ694" s="370"/>
      <c r="AK694" s="369" t="str">
        <f>IF(ISBLANK(Inputs!$A45),"",
MAX(IF(ISNUMBER(AE562),1),
IF(ISNUMBER(AI562),2),
IF(ISNUMBER(AM562),3),
IF(ISNUMBER(AQ562),4),
IF(ISNUMBER(AU562),5),
IF(ISNUMBER(AY562),6),
IF(ISNUMBER(BC562),7),
IF(ISNUMBER(BG562),8),
IF(ISNUMBER(BK562),9),
IF(ISNUMBER(BO562),10)))</f>
        <v/>
      </c>
      <c r="AL694" s="369"/>
      <c r="AM694" s="369" t="str">
        <f>IF(ISBLANK(Inputs!$A45),"",
_xlfn.LET(
_xlpm.n,AK694,
CHOOSE(_xlpm.n,
AE562,AI562,AM562,AQ562,AU562,
AY562,BC562,BG562,BK562,BO562
)
))</f>
        <v/>
      </c>
      <c r="AN694" s="369"/>
      <c r="AO694" s="369" t="str">
        <f>IF(ISBLANK(Inputs!$A45),"",
Mat.Conc_Alpha.1*Mat.Conc_f.c*Geometry_b.Negative*MIN(AM694*Mat.Conc_Beta.1,Geometry_h.f.Negative))</f>
        <v/>
      </c>
      <c r="AP694" s="369"/>
      <c r="AQ694" s="369" t="str">
        <f>IF(ISBLANK(Inputs!$A45),"",
Mat.Conc_Alpha.1*Mat.Conc_f.c*Geometry_b.w*MAX(0,AM694*Mat.Conc_Beta.1-Geometry_h.f.Negative))</f>
        <v/>
      </c>
      <c r="AR694" s="369"/>
      <c r="AS694" s="369" t="str">
        <f>IF(ISBLANK(Inputs!$A45),"",
Mat.Rebar_A.s.Positive*MIN(Mat.Rebar_f.y,(Mat.Rebar_epsilon.cl*(Geometry_d.s.Negative-AM694)/AM694)*Mat.PT_E.s))</f>
        <v/>
      </c>
      <c r="AT694" s="369"/>
      <c r="AU694" s="369" t="str">
        <f>IF(ISBLANK(Inputs!$A45),"",
Mat.PT_A.ps*(Mat.PT_f.pu*(1-Mat.PT_k*AM694/Geometry_d.p.Negative)))</f>
        <v/>
      </c>
      <c r="AV694" s="369"/>
      <c r="AW694" s="369" t="str">
        <f>IF(ISBLANK(Inputs!$A45),"",
(Mat.PT_f.pe/Mat.PT_E.ps)+(Mat.Rebar_epsilon.cl*((Geometry_d.p.Negative-AM694)/AM694)))</f>
        <v/>
      </c>
      <c r="AX694" s="369"/>
      <c r="AY694" s="369" t="str">
        <f>IF(ISBLANK(Inputs!$A45),"",
0.5*MIN(AM694*Mat.Conc_Beta.1,Geometry_h.f.Negative))</f>
        <v/>
      </c>
      <c r="AZ694" s="369"/>
      <c r="BA694" s="369" t="str">
        <f>IF(ISBLANK(Inputs!$A45),"",
IF(AQ694=0,0,Geometry_h.f.Negative+0.5*MAX(0,AM694*Mat.Conc_Beta.1-Geometry_h.f.Negative)))</f>
        <v/>
      </c>
      <c r="BB694" s="369"/>
      <c r="BC694" s="369" t="str">
        <f>IF(ISBLANK(Inputs!$A45),"",
Inputs!L45)</f>
        <v/>
      </c>
      <c r="BD694" s="369"/>
      <c r="BE694" s="369" t="str">
        <f>IF(ISBLANK(Inputs!$A45),"",Inputs!$B$10-Inputs!F45)</f>
        <v/>
      </c>
      <c r="BF694" s="369"/>
      <c r="BG694" s="369" t="str">
        <f>IF(ISBLANK(Inputs!$A45),"",
MAX(0.75,MIN(1,0.75+0.25*(AW694-Mat.Rebar_epsilon.cl)/(Mat.Rebar_epsilon.tl-Mat.Rebar_epsilon.cl))))</f>
        <v/>
      </c>
      <c r="BH694" s="369"/>
      <c r="BI694" s="370" t="str">
        <f>IF(ISBLANK(Inputs!$A45),"",
-((BE694*AU694+BC694*AS694-BA694*AQ694-AY694*AO694)/12)*BG694)</f>
        <v/>
      </c>
      <c r="BJ694" s="370"/>
      <c r="BK694" s="370"/>
      <c r="BL694" s="370" t="str">
        <f>IF(ISBLANK(Inputs!C45),"",Inputs!C45)</f>
        <v/>
      </c>
      <c r="BM694" s="370"/>
      <c r="BN694" s="370"/>
      <c r="BO694" s="374" t="str">
        <f>IF(ISBLANK(Inputs!$A45),"",
IFERROR(IF(BL694&gt;=0,ABS(BL694)/ABS(AH694),ABS(BL694)/ABS(BI694)),""))</f>
        <v/>
      </c>
      <c r="BP694" s="374"/>
      <c r="BQ694" s="374"/>
      <c r="BR694" s="59"/>
      <c r="BS694" s="70"/>
      <c r="BT694" s="70"/>
      <c r="BU694" s="70"/>
      <c r="BV694" s="70"/>
      <c r="BW694" s="8"/>
      <c r="BX694" s="8"/>
      <c r="BY694" s="8"/>
      <c r="BZ694" s="8"/>
      <c r="CA694" s="8"/>
      <c r="CB694" s="10"/>
    </row>
    <row r="695" spans="3:80" ht="15" customHeight="1" x14ac:dyDescent="0.25">
      <c r="C695" s="69"/>
      <c r="F695" s="369" t="str">
        <f>IF(ISBLANK(Inputs!A46),"",Inputs!A46)</f>
        <v/>
      </c>
      <c r="G695" s="369"/>
      <c r="H695" s="369" t="str">
        <f>IF(ISBLANK(Inputs!B46),"",Inputs!B46)</f>
        <v/>
      </c>
      <c r="I695" s="369"/>
      <c r="J695" s="369" t="str">
        <f>IF(ISBLANK(Inputs!$A46),"",
MAX(IF(ISNUMBER(AE438),1),
IF(ISNUMBER(AI438),2),
IF(ISNUMBER(AM438),3),
IF(ISNUMBER(AQ438),4),
IF(ISNUMBER(AU438),5),
IF(ISNUMBER(AY438),6),
IF(ISNUMBER(BC438),7),
IF(ISNUMBER(BG438),8),
IF(ISNUMBER(BK438),9),
IF(ISNUMBER(BO438),10)))</f>
        <v/>
      </c>
      <c r="K695" s="369"/>
      <c r="L695" s="369" t="str">
        <f>IF(ISBLANK(Inputs!$A46),"",
_xlfn.LET(
_xlpm.n,J695,
CHOOSE(_xlpm.n,
AE438,AI438,AM438,AQ438,AU438,
AY438,BC438,BG438,BK438,BO438
)
))</f>
        <v/>
      </c>
      <c r="M695" s="369"/>
      <c r="N695" s="369" t="str">
        <f>IF(ISBLANK(Inputs!$A46),"",
Mat.Conc_Alpha.1*Mat.Conc_f.c*Inputs!J46*MIN(L695*Mat.Conc_Beta.1,Inputs!I46))</f>
        <v/>
      </c>
      <c r="O695" s="369"/>
      <c r="P695" s="372" t="str">
        <f>IF(ISBLANK(Inputs!$A46),"",
Mat.Conc_Alpha.1*Mat.Conc_f.c*Inputs!E46*MAX(0,L695*Mat.Conc_Beta.1-Inputs!I46))</f>
        <v/>
      </c>
      <c r="Q695" s="369"/>
      <c r="R695" s="369" t="str">
        <f>IF(ISBLANK(Inputs!$A46),"",Inputs!G46*MIN(Mat.Rebar_f.y,(Mat.Rebar_epsilon.cl*(Inputs!H46-L695)/L695)*Mat.PT_E.s))</f>
        <v/>
      </c>
      <c r="S695" s="369"/>
      <c r="T695" s="369" t="str">
        <f>IF(ISBLANK(Inputs!$A46),"",Inputs!D46*(Mat.PT_f.pu*(1-Mat.PT_k*L695/Inputs!F46)))</f>
        <v/>
      </c>
      <c r="U695" s="369"/>
      <c r="V695" s="369" t="str">
        <f>IF(ISBLANK(Inputs!$A46),"",
(Mat.PT_f.pe/Mat.PT_E.ps)+(Mat.Rebar_epsilon.cl*((Geometry_d.p.Positive-L695)/L695)))</f>
        <v/>
      </c>
      <c r="W695" s="369"/>
      <c r="X695" s="369" t="str">
        <f>IF(ISBLANK(Inputs!$A46),"",
0.5*MIN(L695*Mat.Conc_Beta.1,Geometry_h.f.Positive))</f>
        <v/>
      </c>
      <c r="Y695" s="369"/>
      <c r="Z695" s="369" t="str">
        <f>IF(ISBLANK(Inputs!$A46),"",
IF(P695=0,0,Geometry_h.f.Positive+0.5*MAX(0,L695*Mat.Conc_Beta.1-Geometry_h.f.Positive)))</f>
        <v/>
      </c>
      <c r="AA695" s="369"/>
      <c r="AB695" s="369" t="str">
        <f>IF(ISBLANK(Inputs!$A46),"",
Inputs!H46)</f>
        <v/>
      </c>
      <c r="AC695" s="369"/>
      <c r="AD695" s="369" t="str">
        <f>IF(ISBLANK(Inputs!$A46),"",
Inputs!F46)</f>
        <v/>
      </c>
      <c r="AE695" s="369"/>
      <c r="AF695" s="369" t="str">
        <f>IF(ISBLANK(Inputs!$A46),"",
MAX(0.75,MIN(1,0.75+0.25*(V695-Mat.Rebar_epsilon.cl)/(Mat.Rebar_epsilon.tl-Mat.Rebar_epsilon.cl))))</f>
        <v/>
      </c>
      <c r="AG695" s="369"/>
      <c r="AH695" s="370" t="str">
        <f>IF(ISBLANK(Inputs!$A46),"",
((AD695*T695+AB695*R695-Z695*P695-X695*N695)/12)*AF695)</f>
        <v/>
      </c>
      <c r="AI695" s="370"/>
      <c r="AJ695" s="370"/>
      <c r="AK695" s="369" t="str">
        <f>IF(ISBLANK(Inputs!$A46),"",
MAX(IF(ISNUMBER(AE563),1),
IF(ISNUMBER(AI563),2),
IF(ISNUMBER(AM563),3),
IF(ISNUMBER(AQ563),4),
IF(ISNUMBER(AU563),5),
IF(ISNUMBER(AY563),6),
IF(ISNUMBER(BC563),7),
IF(ISNUMBER(BG563),8),
IF(ISNUMBER(BK563),9),
IF(ISNUMBER(BO563),10)))</f>
        <v/>
      </c>
      <c r="AL695" s="369"/>
      <c r="AM695" s="369" t="str">
        <f>IF(ISBLANK(Inputs!$A46),"",
_xlfn.LET(
_xlpm.n,AK695,
CHOOSE(_xlpm.n,
AE563,AI563,AM563,AQ563,AU563,
AY563,BC563,BG563,BK563,BO563
)
))</f>
        <v/>
      </c>
      <c r="AN695" s="369"/>
      <c r="AO695" s="369" t="str">
        <f>IF(ISBLANK(Inputs!$A46),"",
Mat.Conc_Alpha.1*Mat.Conc_f.c*Geometry_b.Negative*MIN(AM695*Mat.Conc_Beta.1,Geometry_h.f.Negative))</f>
        <v/>
      </c>
      <c r="AP695" s="369"/>
      <c r="AQ695" s="369" t="str">
        <f>IF(ISBLANK(Inputs!$A46),"",
Mat.Conc_Alpha.1*Mat.Conc_f.c*Geometry_b.w*MAX(0,AM695*Mat.Conc_Beta.1-Geometry_h.f.Negative))</f>
        <v/>
      </c>
      <c r="AR695" s="369"/>
      <c r="AS695" s="369" t="str">
        <f>IF(ISBLANK(Inputs!$A46),"",
Mat.Rebar_A.s.Positive*MIN(Mat.Rebar_f.y,(Mat.Rebar_epsilon.cl*(Geometry_d.s.Negative-AM695)/AM695)*Mat.PT_E.s))</f>
        <v/>
      </c>
      <c r="AT695" s="369"/>
      <c r="AU695" s="369" t="str">
        <f>IF(ISBLANK(Inputs!$A46),"",
Mat.PT_A.ps*(Mat.PT_f.pu*(1-Mat.PT_k*AM695/Geometry_d.p.Negative)))</f>
        <v/>
      </c>
      <c r="AV695" s="369"/>
      <c r="AW695" s="369" t="str">
        <f>IF(ISBLANK(Inputs!$A46),"",
(Mat.PT_f.pe/Mat.PT_E.ps)+(Mat.Rebar_epsilon.cl*((Geometry_d.p.Negative-AM695)/AM695)))</f>
        <v/>
      </c>
      <c r="AX695" s="369"/>
      <c r="AY695" s="369" t="str">
        <f>IF(ISBLANK(Inputs!$A46),"",
0.5*MIN(AM695*Mat.Conc_Beta.1,Geometry_h.f.Negative))</f>
        <v/>
      </c>
      <c r="AZ695" s="369"/>
      <c r="BA695" s="369" t="str">
        <f>IF(ISBLANK(Inputs!$A46),"",
IF(AQ695=0,0,Geometry_h.f.Negative+0.5*MAX(0,AM695*Mat.Conc_Beta.1-Geometry_h.f.Negative)))</f>
        <v/>
      </c>
      <c r="BB695" s="369"/>
      <c r="BC695" s="369" t="str">
        <f>IF(ISBLANK(Inputs!$A46),"",
Inputs!L46)</f>
        <v/>
      </c>
      <c r="BD695" s="369"/>
      <c r="BE695" s="369" t="str">
        <f>IF(ISBLANK(Inputs!$A46),"",Inputs!$B$10-Inputs!F46)</f>
        <v/>
      </c>
      <c r="BF695" s="369"/>
      <c r="BG695" s="369" t="str">
        <f>IF(ISBLANK(Inputs!$A46),"",
MAX(0.75,MIN(1,0.75+0.25*(AW695-Mat.Rebar_epsilon.cl)/(Mat.Rebar_epsilon.tl-Mat.Rebar_epsilon.cl))))</f>
        <v/>
      </c>
      <c r="BH695" s="369"/>
      <c r="BI695" s="370" t="str">
        <f>IF(ISBLANK(Inputs!$A46),"",
-((BE695*AU695+BC695*AS695-BA695*AQ695-AY695*AO695)/12)*BG695)</f>
        <v/>
      </c>
      <c r="BJ695" s="370"/>
      <c r="BK695" s="370"/>
      <c r="BL695" s="370" t="str">
        <f>IF(ISBLANK(Inputs!C46),"",Inputs!C46)</f>
        <v/>
      </c>
      <c r="BM695" s="370"/>
      <c r="BN695" s="370"/>
      <c r="BO695" s="374" t="str">
        <f>IF(ISBLANK(Inputs!$A46),"",
IFERROR(IF(BL695&gt;=0,ABS(BL695)/ABS(AH695),ABS(BL695)/ABS(BI695)),""))</f>
        <v/>
      </c>
      <c r="BP695" s="374"/>
      <c r="BQ695" s="374"/>
      <c r="BR695" s="59"/>
      <c r="BS695" s="70"/>
      <c r="BT695" s="70"/>
      <c r="BU695" s="70"/>
      <c r="BV695" s="70"/>
      <c r="BW695" s="8"/>
      <c r="BX695" s="8"/>
      <c r="BY695" s="8"/>
      <c r="BZ695" s="8"/>
      <c r="CA695" s="8"/>
      <c r="CB695" s="10"/>
    </row>
    <row r="696" spans="3:80" ht="15" customHeight="1" x14ac:dyDescent="0.25">
      <c r="C696" s="69"/>
      <c r="F696" s="369" t="str">
        <f>IF(ISBLANK(Inputs!A47),"",Inputs!A47)</f>
        <v/>
      </c>
      <c r="G696" s="369"/>
      <c r="H696" s="369" t="str">
        <f>IF(ISBLANK(Inputs!B47),"",Inputs!B47)</f>
        <v/>
      </c>
      <c r="I696" s="369"/>
      <c r="J696" s="369" t="str">
        <f>IF(ISBLANK(Inputs!$A47),"",
MAX(IF(ISNUMBER(AE439),1),
IF(ISNUMBER(AI439),2),
IF(ISNUMBER(AM439),3),
IF(ISNUMBER(AQ439),4),
IF(ISNUMBER(AU439),5),
IF(ISNUMBER(AY439),6),
IF(ISNUMBER(BC439),7),
IF(ISNUMBER(BG439),8),
IF(ISNUMBER(BK439),9),
IF(ISNUMBER(BO439),10)))</f>
        <v/>
      </c>
      <c r="K696" s="369"/>
      <c r="L696" s="369" t="str">
        <f>IF(ISBLANK(Inputs!$A47),"",
_xlfn.LET(
_xlpm.n,J696,
CHOOSE(_xlpm.n,
AE439,AI439,AM439,AQ439,AU439,
AY439,BC439,BG439,BK439,BO439
)
))</f>
        <v/>
      </c>
      <c r="M696" s="369"/>
      <c r="N696" s="369" t="str">
        <f>IF(ISBLANK(Inputs!$A47),"",
Mat.Conc_Alpha.1*Mat.Conc_f.c*Inputs!J47*MIN(L696*Mat.Conc_Beta.1,Inputs!I47))</f>
        <v/>
      </c>
      <c r="O696" s="369"/>
      <c r="P696" s="372" t="str">
        <f>IF(ISBLANK(Inputs!$A47),"",
Mat.Conc_Alpha.1*Mat.Conc_f.c*Inputs!E47*MAX(0,L696*Mat.Conc_Beta.1-Inputs!I47))</f>
        <v/>
      </c>
      <c r="Q696" s="369"/>
      <c r="R696" s="369" t="str">
        <f>IF(ISBLANK(Inputs!$A47),"",Inputs!G47*MIN(Mat.Rebar_f.y,(Mat.Rebar_epsilon.cl*(Inputs!H47-L696)/L696)*Mat.PT_E.s))</f>
        <v/>
      </c>
      <c r="S696" s="369"/>
      <c r="T696" s="369" t="str">
        <f>IF(ISBLANK(Inputs!$A47),"",Inputs!D47*(Mat.PT_f.pu*(1-Mat.PT_k*L696/Inputs!F47)))</f>
        <v/>
      </c>
      <c r="U696" s="369"/>
      <c r="V696" s="369" t="str">
        <f>IF(ISBLANK(Inputs!$A47),"",
(Mat.PT_f.pe/Mat.PT_E.ps)+(Mat.Rebar_epsilon.cl*((Geometry_d.p.Positive-L696)/L696)))</f>
        <v/>
      </c>
      <c r="W696" s="369"/>
      <c r="X696" s="369" t="str">
        <f>IF(ISBLANK(Inputs!$A47),"",
0.5*MIN(L696*Mat.Conc_Beta.1,Geometry_h.f.Positive))</f>
        <v/>
      </c>
      <c r="Y696" s="369"/>
      <c r="Z696" s="369" t="str">
        <f>IF(ISBLANK(Inputs!$A47),"",
IF(P696=0,0,Geometry_h.f.Positive+0.5*MAX(0,L696*Mat.Conc_Beta.1-Geometry_h.f.Positive)))</f>
        <v/>
      </c>
      <c r="AA696" s="369"/>
      <c r="AB696" s="369" t="str">
        <f>IF(ISBLANK(Inputs!$A47),"",
Inputs!H47)</f>
        <v/>
      </c>
      <c r="AC696" s="369"/>
      <c r="AD696" s="369" t="str">
        <f>IF(ISBLANK(Inputs!$A47),"",
Inputs!F47)</f>
        <v/>
      </c>
      <c r="AE696" s="369"/>
      <c r="AF696" s="369" t="str">
        <f>IF(ISBLANK(Inputs!$A47),"",
MAX(0.75,MIN(1,0.75+0.25*(V696-Mat.Rebar_epsilon.cl)/(Mat.Rebar_epsilon.tl-Mat.Rebar_epsilon.cl))))</f>
        <v/>
      </c>
      <c r="AG696" s="369"/>
      <c r="AH696" s="370" t="str">
        <f>IF(ISBLANK(Inputs!$A47),"",
((AD696*T696+AB696*R696-Z696*P696-X696*N696)/12)*AF696)</f>
        <v/>
      </c>
      <c r="AI696" s="370"/>
      <c r="AJ696" s="370"/>
      <c r="AK696" s="369" t="str">
        <f>IF(ISBLANK(Inputs!$A47),"",
MAX(IF(ISNUMBER(AE564),1),
IF(ISNUMBER(AI564),2),
IF(ISNUMBER(AM564),3),
IF(ISNUMBER(AQ564),4),
IF(ISNUMBER(AU564),5),
IF(ISNUMBER(AY564),6),
IF(ISNUMBER(BC564),7),
IF(ISNUMBER(BG564),8),
IF(ISNUMBER(BK564),9),
IF(ISNUMBER(BO564),10)))</f>
        <v/>
      </c>
      <c r="AL696" s="369"/>
      <c r="AM696" s="369" t="str">
        <f>IF(ISBLANK(Inputs!$A47),"",
_xlfn.LET(
_xlpm.n,AK696,
CHOOSE(_xlpm.n,
AE564,AI564,AM564,AQ564,AU564,
AY564,BC564,BG564,BK564,BO564
)
))</f>
        <v/>
      </c>
      <c r="AN696" s="369"/>
      <c r="AO696" s="369" t="str">
        <f>IF(ISBLANK(Inputs!$A47),"",
Mat.Conc_Alpha.1*Mat.Conc_f.c*Geometry_b.Negative*MIN(AM696*Mat.Conc_Beta.1,Geometry_h.f.Negative))</f>
        <v/>
      </c>
      <c r="AP696" s="369"/>
      <c r="AQ696" s="369" t="str">
        <f>IF(ISBLANK(Inputs!$A47),"",
Mat.Conc_Alpha.1*Mat.Conc_f.c*Geometry_b.w*MAX(0,AM696*Mat.Conc_Beta.1-Geometry_h.f.Negative))</f>
        <v/>
      </c>
      <c r="AR696" s="369"/>
      <c r="AS696" s="369" t="str">
        <f>IF(ISBLANK(Inputs!$A47),"",
Mat.Rebar_A.s.Positive*MIN(Mat.Rebar_f.y,(Mat.Rebar_epsilon.cl*(Geometry_d.s.Negative-AM696)/AM696)*Mat.PT_E.s))</f>
        <v/>
      </c>
      <c r="AT696" s="369"/>
      <c r="AU696" s="369" t="str">
        <f>IF(ISBLANK(Inputs!$A47),"",
Mat.PT_A.ps*(Mat.PT_f.pu*(1-Mat.PT_k*AM696/Geometry_d.p.Negative)))</f>
        <v/>
      </c>
      <c r="AV696" s="369"/>
      <c r="AW696" s="369" t="str">
        <f>IF(ISBLANK(Inputs!$A47),"",
(Mat.PT_f.pe/Mat.PT_E.ps)+(Mat.Rebar_epsilon.cl*((Geometry_d.p.Negative-AM696)/AM696)))</f>
        <v/>
      </c>
      <c r="AX696" s="369"/>
      <c r="AY696" s="369" t="str">
        <f>IF(ISBLANK(Inputs!$A47),"",
0.5*MIN(AM696*Mat.Conc_Beta.1,Geometry_h.f.Negative))</f>
        <v/>
      </c>
      <c r="AZ696" s="369"/>
      <c r="BA696" s="369" t="str">
        <f>IF(ISBLANK(Inputs!$A47),"",
IF(AQ696=0,0,Geometry_h.f.Negative+0.5*MAX(0,AM696*Mat.Conc_Beta.1-Geometry_h.f.Negative)))</f>
        <v/>
      </c>
      <c r="BB696" s="369"/>
      <c r="BC696" s="369" t="str">
        <f>IF(ISBLANK(Inputs!$A47),"",
Inputs!L47)</f>
        <v/>
      </c>
      <c r="BD696" s="369"/>
      <c r="BE696" s="369" t="str">
        <f>IF(ISBLANK(Inputs!$A47),"",Inputs!$B$10-Inputs!F47)</f>
        <v/>
      </c>
      <c r="BF696" s="369"/>
      <c r="BG696" s="369" t="str">
        <f>IF(ISBLANK(Inputs!$A47),"",
MAX(0.75,MIN(1,0.75+0.25*(AW696-Mat.Rebar_epsilon.cl)/(Mat.Rebar_epsilon.tl-Mat.Rebar_epsilon.cl))))</f>
        <v/>
      </c>
      <c r="BH696" s="369"/>
      <c r="BI696" s="370" t="str">
        <f>IF(ISBLANK(Inputs!$A47),"",
-((BE696*AU696+BC696*AS696-BA696*AQ696-AY696*AO696)/12)*BG696)</f>
        <v/>
      </c>
      <c r="BJ696" s="370"/>
      <c r="BK696" s="370"/>
      <c r="BL696" s="370" t="str">
        <f>IF(ISBLANK(Inputs!C47),"",Inputs!C47)</f>
        <v/>
      </c>
      <c r="BM696" s="370"/>
      <c r="BN696" s="370"/>
      <c r="BO696" s="374" t="str">
        <f>IF(ISBLANK(Inputs!$A47),"",
IFERROR(IF(BL696&gt;=0,ABS(BL696)/ABS(AH696),ABS(BL696)/ABS(BI696)),""))</f>
        <v/>
      </c>
      <c r="BP696" s="374"/>
      <c r="BQ696" s="374"/>
      <c r="BR696" s="59"/>
      <c r="BS696" s="70"/>
      <c r="BT696" s="70"/>
      <c r="BU696" s="70"/>
      <c r="BV696" s="70"/>
      <c r="BW696" s="8"/>
      <c r="BX696" s="8"/>
      <c r="BY696" s="8"/>
      <c r="BZ696" s="8"/>
      <c r="CA696" s="8"/>
      <c r="CB696" s="10"/>
    </row>
    <row r="697" spans="3:80" ht="15" customHeight="1" x14ac:dyDescent="0.25">
      <c r="C697" s="69"/>
      <c r="F697" s="369" t="str">
        <f>IF(ISBLANK(Inputs!A48),"",Inputs!A48)</f>
        <v/>
      </c>
      <c r="G697" s="369"/>
      <c r="H697" s="369" t="str">
        <f>IF(ISBLANK(Inputs!B48),"",Inputs!B48)</f>
        <v/>
      </c>
      <c r="I697" s="369"/>
      <c r="J697" s="369" t="str">
        <f>IF(ISBLANK(Inputs!$A48),"",
MAX(IF(ISNUMBER(AE440),1),
IF(ISNUMBER(AI440),2),
IF(ISNUMBER(AM440),3),
IF(ISNUMBER(AQ440),4),
IF(ISNUMBER(AU440),5),
IF(ISNUMBER(AY440),6),
IF(ISNUMBER(BC440),7),
IF(ISNUMBER(BG440),8),
IF(ISNUMBER(BK440),9),
IF(ISNUMBER(BO440),10)))</f>
        <v/>
      </c>
      <c r="K697" s="369"/>
      <c r="L697" s="369" t="str">
        <f>IF(ISBLANK(Inputs!$A48),"",
_xlfn.LET(
_xlpm.n,J697,
CHOOSE(_xlpm.n,
AE440,AI440,AM440,AQ440,AU440,
AY440,BC440,BG440,BK440,BO440
)
))</f>
        <v/>
      </c>
      <c r="M697" s="369"/>
      <c r="N697" s="369" t="str">
        <f>IF(ISBLANK(Inputs!$A48),"",
Mat.Conc_Alpha.1*Mat.Conc_f.c*Inputs!J48*MIN(L697*Mat.Conc_Beta.1,Inputs!I48))</f>
        <v/>
      </c>
      <c r="O697" s="369"/>
      <c r="P697" s="372" t="str">
        <f>IF(ISBLANK(Inputs!$A48),"",
Mat.Conc_Alpha.1*Mat.Conc_f.c*Inputs!E48*MAX(0,L697*Mat.Conc_Beta.1-Inputs!I48))</f>
        <v/>
      </c>
      <c r="Q697" s="369"/>
      <c r="R697" s="369" t="str">
        <f>IF(ISBLANK(Inputs!$A48),"",Inputs!G48*MIN(Mat.Rebar_f.y,(Mat.Rebar_epsilon.cl*(Inputs!H48-L697)/L697)*Mat.PT_E.s))</f>
        <v/>
      </c>
      <c r="S697" s="369"/>
      <c r="T697" s="369" t="str">
        <f>IF(ISBLANK(Inputs!$A48),"",Inputs!D48*(Mat.PT_f.pu*(1-Mat.PT_k*L697/Inputs!F48)))</f>
        <v/>
      </c>
      <c r="U697" s="369"/>
      <c r="V697" s="369" t="str">
        <f>IF(ISBLANK(Inputs!$A48),"",
(Mat.PT_f.pe/Mat.PT_E.ps)+(Mat.Rebar_epsilon.cl*((Geometry_d.p.Positive-L697)/L697)))</f>
        <v/>
      </c>
      <c r="W697" s="369"/>
      <c r="X697" s="369" t="str">
        <f>IF(ISBLANK(Inputs!$A48),"",
0.5*MIN(L697*Mat.Conc_Beta.1,Geometry_h.f.Positive))</f>
        <v/>
      </c>
      <c r="Y697" s="369"/>
      <c r="Z697" s="369" t="str">
        <f>IF(ISBLANK(Inputs!$A48),"",
IF(P697=0,0,Geometry_h.f.Positive+0.5*MAX(0,L697*Mat.Conc_Beta.1-Geometry_h.f.Positive)))</f>
        <v/>
      </c>
      <c r="AA697" s="369"/>
      <c r="AB697" s="369" t="str">
        <f>IF(ISBLANK(Inputs!$A48),"",
Inputs!H48)</f>
        <v/>
      </c>
      <c r="AC697" s="369"/>
      <c r="AD697" s="369" t="str">
        <f>IF(ISBLANK(Inputs!$A48),"",
Inputs!F48)</f>
        <v/>
      </c>
      <c r="AE697" s="369"/>
      <c r="AF697" s="369" t="str">
        <f>IF(ISBLANK(Inputs!$A48),"",
MAX(0.75,MIN(1,0.75+0.25*(V697-Mat.Rebar_epsilon.cl)/(Mat.Rebar_epsilon.tl-Mat.Rebar_epsilon.cl))))</f>
        <v/>
      </c>
      <c r="AG697" s="369"/>
      <c r="AH697" s="370" t="str">
        <f>IF(ISBLANK(Inputs!$A48),"",
((AD697*T697+AB697*R697-Z697*P697-X697*N697)/12)*AF697)</f>
        <v/>
      </c>
      <c r="AI697" s="370"/>
      <c r="AJ697" s="370"/>
      <c r="AK697" s="369" t="str">
        <f>IF(ISBLANK(Inputs!$A48),"",
MAX(IF(ISNUMBER(AE565),1),
IF(ISNUMBER(AI565),2),
IF(ISNUMBER(AM565),3),
IF(ISNUMBER(AQ565),4),
IF(ISNUMBER(AU565),5),
IF(ISNUMBER(AY565),6),
IF(ISNUMBER(BC565),7),
IF(ISNUMBER(BG565),8),
IF(ISNUMBER(BK565),9),
IF(ISNUMBER(BO565),10)))</f>
        <v/>
      </c>
      <c r="AL697" s="369"/>
      <c r="AM697" s="369" t="str">
        <f>IF(ISBLANK(Inputs!$A48),"",
_xlfn.LET(
_xlpm.n,AK697,
CHOOSE(_xlpm.n,
AE565,AI565,AM565,AQ565,AU565,
AY565,BC565,BG565,BK565,BO565
)
))</f>
        <v/>
      </c>
      <c r="AN697" s="369"/>
      <c r="AO697" s="369" t="str">
        <f>IF(ISBLANK(Inputs!$A48),"",
Mat.Conc_Alpha.1*Mat.Conc_f.c*Geometry_b.Negative*MIN(AM697*Mat.Conc_Beta.1,Geometry_h.f.Negative))</f>
        <v/>
      </c>
      <c r="AP697" s="369"/>
      <c r="AQ697" s="369" t="str">
        <f>IF(ISBLANK(Inputs!$A48),"",
Mat.Conc_Alpha.1*Mat.Conc_f.c*Geometry_b.w*MAX(0,AM697*Mat.Conc_Beta.1-Geometry_h.f.Negative))</f>
        <v/>
      </c>
      <c r="AR697" s="369"/>
      <c r="AS697" s="369" t="str">
        <f>IF(ISBLANK(Inputs!$A48),"",
Mat.Rebar_A.s.Positive*MIN(Mat.Rebar_f.y,(Mat.Rebar_epsilon.cl*(Geometry_d.s.Negative-AM697)/AM697)*Mat.PT_E.s))</f>
        <v/>
      </c>
      <c r="AT697" s="369"/>
      <c r="AU697" s="369" t="str">
        <f>IF(ISBLANK(Inputs!$A48),"",
Mat.PT_A.ps*(Mat.PT_f.pu*(1-Mat.PT_k*AM697/Geometry_d.p.Negative)))</f>
        <v/>
      </c>
      <c r="AV697" s="369"/>
      <c r="AW697" s="369" t="str">
        <f>IF(ISBLANK(Inputs!$A48),"",
(Mat.PT_f.pe/Mat.PT_E.ps)+(Mat.Rebar_epsilon.cl*((Geometry_d.p.Negative-AM697)/AM697)))</f>
        <v/>
      </c>
      <c r="AX697" s="369"/>
      <c r="AY697" s="369" t="str">
        <f>IF(ISBLANK(Inputs!$A48),"",
0.5*MIN(AM697*Mat.Conc_Beta.1,Geometry_h.f.Negative))</f>
        <v/>
      </c>
      <c r="AZ697" s="369"/>
      <c r="BA697" s="369" t="str">
        <f>IF(ISBLANK(Inputs!$A48),"",
IF(AQ697=0,0,Geometry_h.f.Negative+0.5*MAX(0,AM697*Mat.Conc_Beta.1-Geometry_h.f.Negative)))</f>
        <v/>
      </c>
      <c r="BB697" s="369"/>
      <c r="BC697" s="369" t="str">
        <f>IF(ISBLANK(Inputs!$A48),"",
Inputs!L48)</f>
        <v/>
      </c>
      <c r="BD697" s="369"/>
      <c r="BE697" s="369" t="str">
        <f>IF(ISBLANK(Inputs!$A48),"",Inputs!$B$10-Inputs!F48)</f>
        <v/>
      </c>
      <c r="BF697" s="369"/>
      <c r="BG697" s="369" t="str">
        <f>IF(ISBLANK(Inputs!$A48),"",
MAX(0.75,MIN(1,0.75+0.25*(AW697-Mat.Rebar_epsilon.cl)/(Mat.Rebar_epsilon.tl-Mat.Rebar_epsilon.cl))))</f>
        <v/>
      </c>
      <c r="BH697" s="369"/>
      <c r="BI697" s="370" t="str">
        <f>IF(ISBLANK(Inputs!$A48),"",
-((BE697*AU697+BC697*AS697-BA697*AQ697-AY697*AO697)/12)*BG697)</f>
        <v/>
      </c>
      <c r="BJ697" s="370"/>
      <c r="BK697" s="370"/>
      <c r="BL697" s="370" t="str">
        <f>IF(ISBLANK(Inputs!C48),"",Inputs!C48)</f>
        <v/>
      </c>
      <c r="BM697" s="370"/>
      <c r="BN697" s="370"/>
      <c r="BO697" s="374" t="str">
        <f>IF(ISBLANK(Inputs!$A48),"",
IFERROR(IF(BL697&gt;=0,ABS(BL697)/ABS(AH697),ABS(BL697)/ABS(BI697)),""))</f>
        <v/>
      </c>
      <c r="BP697" s="374"/>
      <c r="BQ697" s="374"/>
      <c r="BR697" s="59"/>
      <c r="BS697" s="70"/>
      <c r="BT697" s="70"/>
      <c r="BU697" s="70"/>
      <c r="BV697" s="70"/>
      <c r="BW697" s="8"/>
      <c r="BX697" s="8"/>
      <c r="BY697" s="8"/>
      <c r="BZ697" s="8"/>
      <c r="CA697" s="8"/>
      <c r="CB697" s="10"/>
    </row>
    <row r="698" spans="3:80" ht="15" customHeight="1" x14ac:dyDescent="0.25">
      <c r="C698" s="69"/>
      <c r="F698" s="369" t="str">
        <f>IF(ISBLANK(Inputs!A49),"",Inputs!A49)</f>
        <v/>
      </c>
      <c r="G698" s="369"/>
      <c r="H698" s="369" t="str">
        <f>IF(ISBLANK(Inputs!B49),"",Inputs!B49)</f>
        <v/>
      </c>
      <c r="I698" s="369"/>
      <c r="J698" s="369" t="str">
        <f>IF(ISBLANK(Inputs!$A49),"",
MAX(IF(ISNUMBER(AE441),1),
IF(ISNUMBER(AI441),2),
IF(ISNUMBER(AM441),3),
IF(ISNUMBER(AQ441),4),
IF(ISNUMBER(AU441),5),
IF(ISNUMBER(AY441),6),
IF(ISNUMBER(BC441),7),
IF(ISNUMBER(BG441),8),
IF(ISNUMBER(BK441),9),
IF(ISNUMBER(BO441),10)))</f>
        <v/>
      </c>
      <c r="K698" s="369"/>
      <c r="L698" s="369" t="str">
        <f>IF(ISBLANK(Inputs!$A49),"",
_xlfn.LET(
_xlpm.n,J698,
CHOOSE(_xlpm.n,
AE441,AI441,AM441,AQ441,AU441,
AY441,BC441,BG441,BK441,BO441
)
))</f>
        <v/>
      </c>
      <c r="M698" s="369"/>
      <c r="N698" s="369" t="str">
        <f>IF(ISBLANK(Inputs!$A49),"",
Mat.Conc_Alpha.1*Mat.Conc_f.c*Inputs!J49*MIN(L698*Mat.Conc_Beta.1,Inputs!I49))</f>
        <v/>
      </c>
      <c r="O698" s="369"/>
      <c r="P698" s="372" t="str">
        <f>IF(ISBLANK(Inputs!$A49),"",
Mat.Conc_Alpha.1*Mat.Conc_f.c*Inputs!E49*MAX(0,L698*Mat.Conc_Beta.1-Inputs!I49))</f>
        <v/>
      </c>
      <c r="Q698" s="369"/>
      <c r="R698" s="369" t="str">
        <f>IF(ISBLANK(Inputs!$A49),"",Inputs!G49*MIN(Mat.Rebar_f.y,(Mat.Rebar_epsilon.cl*(Inputs!H49-L698)/L698)*Mat.PT_E.s))</f>
        <v/>
      </c>
      <c r="S698" s="369"/>
      <c r="T698" s="369" t="str">
        <f>IF(ISBLANK(Inputs!$A49),"",Inputs!D49*(Mat.PT_f.pu*(1-Mat.PT_k*L698/Inputs!F49)))</f>
        <v/>
      </c>
      <c r="U698" s="369"/>
      <c r="V698" s="369" t="str">
        <f>IF(ISBLANK(Inputs!$A49),"",
(Mat.PT_f.pe/Mat.PT_E.ps)+(Mat.Rebar_epsilon.cl*((Geometry_d.p.Positive-L698)/L698)))</f>
        <v/>
      </c>
      <c r="W698" s="369"/>
      <c r="X698" s="369" t="str">
        <f>IF(ISBLANK(Inputs!$A49),"",
0.5*MIN(L698*Mat.Conc_Beta.1,Geometry_h.f.Positive))</f>
        <v/>
      </c>
      <c r="Y698" s="369"/>
      <c r="Z698" s="369" t="str">
        <f>IF(ISBLANK(Inputs!$A49),"",
IF(P698=0,0,Geometry_h.f.Positive+0.5*MAX(0,L698*Mat.Conc_Beta.1-Geometry_h.f.Positive)))</f>
        <v/>
      </c>
      <c r="AA698" s="369"/>
      <c r="AB698" s="369" t="str">
        <f>IF(ISBLANK(Inputs!$A49),"",
Inputs!H49)</f>
        <v/>
      </c>
      <c r="AC698" s="369"/>
      <c r="AD698" s="369" t="str">
        <f>IF(ISBLANK(Inputs!$A49),"",
Inputs!F49)</f>
        <v/>
      </c>
      <c r="AE698" s="369"/>
      <c r="AF698" s="369" t="str">
        <f>IF(ISBLANK(Inputs!$A49),"",
MAX(0.75,MIN(1,0.75+0.25*(V698-Mat.Rebar_epsilon.cl)/(Mat.Rebar_epsilon.tl-Mat.Rebar_epsilon.cl))))</f>
        <v/>
      </c>
      <c r="AG698" s="369"/>
      <c r="AH698" s="370" t="str">
        <f>IF(ISBLANK(Inputs!$A49),"",
((AD698*T698+AB698*R698-Z698*P698-X698*N698)/12)*AF698)</f>
        <v/>
      </c>
      <c r="AI698" s="370"/>
      <c r="AJ698" s="370"/>
      <c r="AK698" s="369" t="str">
        <f>IF(ISBLANK(Inputs!$A49),"",
MAX(IF(ISNUMBER(AE566),1),
IF(ISNUMBER(AI566),2),
IF(ISNUMBER(AM566),3),
IF(ISNUMBER(AQ566),4),
IF(ISNUMBER(AU566),5),
IF(ISNUMBER(AY566),6),
IF(ISNUMBER(BC566),7),
IF(ISNUMBER(BG566),8),
IF(ISNUMBER(BK566),9),
IF(ISNUMBER(BO566),10)))</f>
        <v/>
      </c>
      <c r="AL698" s="369"/>
      <c r="AM698" s="369" t="str">
        <f>IF(ISBLANK(Inputs!$A49),"",
_xlfn.LET(
_xlpm.n,AK698,
CHOOSE(_xlpm.n,
AE566,AI566,AM566,AQ566,AU566,
AY566,BC566,BG566,BK566,BO566
)
))</f>
        <v/>
      </c>
      <c r="AN698" s="369"/>
      <c r="AO698" s="369" t="str">
        <f>IF(ISBLANK(Inputs!$A49),"",
Mat.Conc_Alpha.1*Mat.Conc_f.c*Geometry_b.Negative*MIN(AM698*Mat.Conc_Beta.1,Geometry_h.f.Negative))</f>
        <v/>
      </c>
      <c r="AP698" s="369"/>
      <c r="AQ698" s="369" t="str">
        <f>IF(ISBLANK(Inputs!$A49),"",
Mat.Conc_Alpha.1*Mat.Conc_f.c*Geometry_b.w*MAX(0,AM698*Mat.Conc_Beta.1-Geometry_h.f.Negative))</f>
        <v/>
      </c>
      <c r="AR698" s="369"/>
      <c r="AS698" s="369" t="str">
        <f>IF(ISBLANK(Inputs!$A49),"",
Mat.Rebar_A.s.Positive*MIN(Mat.Rebar_f.y,(Mat.Rebar_epsilon.cl*(Geometry_d.s.Negative-AM698)/AM698)*Mat.PT_E.s))</f>
        <v/>
      </c>
      <c r="AT698" s="369"/>
      <c r="AU698" s="369" t="str">
        <f>IF(ISBLANK(Inputs!$A49),"",
Mat.PT_A.ps*(Mat.PT_f.pu*(1-Mat.PT_k*AM698/Geometry_d.p.Negative)))</f>
        <v/>
      </c>
      <c r="AV698" s="369"/>
      <c r="AW698" s="369" t="str">
        <f>IF(ISBLANK(Inputs!$A49),"",
(Mat.PT_f.pe/Mat.PT_E.ps)+(Mat.Rebar_epsilon.cl*((Geometry_d.p.Negative-AM698)/AM698)))</f>
        <v/>
      </c>
      <c r="AX698" s="369"/>
      <c r="AY698" s="369" t="str">
        <f>IF(ISBLANK(Inputs!$A49),"",
0.5*MIN(AM698*Mat.Conc_Beta.1,Geometry_h.f.Negative))</f>
        <v/>
      </c>
      <c r="AZ698" s="369"/>
      <c r="BA698" s="369" t="str">
        <f>IF(ISBLANK(Inputs!$A49),"",
IF(AQ698=0,0,Geometry_h.f.Negative+0.5*MAX(0,AM698*Mat.Conc_Beta.1-Geometry_h.f.Negative)))</f>
        <v/>
      </c>
      <c r="BB698" s="369"/>
      <c r="BC698" s="369" t="str">
        <f>IF(ISBLANK(Inputs!$A49),"",
Inputs!L49)</f>
        <v/>
      </c>
      <c r="BD698" s="369"/>
      <c r="BE698" s="369" t="str">
        <f>IF(ISBLANK(Inputs!$A49),"",Inputs!$B$10-Inputs!F49)</f>
        <v/>
      </c>
      <c r="BF698" s="369"/>
      <c r="BG698" s="369" t="str">
        <f>IF(ISBLANK(Inputs!$A49),"",
MAX(0.75,MIN(1,0.75+0.25*(AW698-Mat.Rebar_epsilon.cl)/(Mat.Rebar_epsilon.tl-Mat.Rebar_epsilon.cl))))</f>
        <v/>
      </c>
      <c r="BH698" s="369"/>
      <c r="BI698" s="370" t="str">
        <f>IF(ISBLANK(Inputs!$A49),"",
-((BE698*AU698+BC698*AS698-BA698*AQ698-AY698*AO698)/12)*BG698)</f>
        <v/>
      </c>
      <c r="BJ698" s="370"/>
      <c r="BK698" s="370"/>
      <c r="BL698" s="370" t="str">
        <f>IF(ISBLANK(Inputs!C49),"",Inputs!C49)</f>
        <v/>
      </c>
      <c r="BM698" s="370"/>
      <c r="BN698" s="370"/>
      <c r="BO698" s="374" t="str">
        <f>IF(ISBLANK(Inputs!$A49),"",
IFERROR(IF(BL698&gt;=0,ABS(BL698)/ABS(AH698),ABS(BL698)/ABS(BI698)),""))</f>
        <v/>
      </c>
      <c r="BP698" s="374"/>
      <c r="BQ698" s="374"/>
      <c r="BR698" s="59"/>
      <c r="BS698" s="70"/>
      <c r="BT698" s="70"/>
      <c r="BU698" s="70"/>
      <c r="BV698" s="70"/>
      <c r="BW698" s="8"/>
      <c r="BX698" s="8"/>
      <c r="BY698" s="8"/>
      <c r="BZ698" s="8"/>
      <c r="CA698" s="8"/>
      <c r="CB698" s="10"/>
    </row>
    <row r="699" spans="3:80" ht="15" customHeight="1" x14ac:dyDescent="0.25">
      <c r="C699" s="69"/>
      <c r="F699" s="369" t="str">
        <f>IF(ISBLANK(Inputs!A50),"",Inputs!A50)</f>
        <v/>
      </c>
      <c r="G699" s="369"/>
      <c r="H699" s="369" t="str">
        <f>IF(ISBLANK(Inputs!B50),"",Inputs!B50)</f>
        <v/>
      </c>
      <c r="I699" s="369"/>
      <c r="J699" s="369" t="str">
        <f>IF(ISBLANK(Inputs!$A50),"",
MAX(IF(ISNUMBER(AE442),1),
IF(ISNUMBER(AI442),2),
IF(ISNUMBER(AM442),3),
IF(ISNUMBER(AQ442),4),
IF(ISNUMBER(AU442),5),
IF(ISNUMBER(AY442),6),
IF(ISNUMBER(BC442),7),
IF(ISNUMBER(BG442),8),
IF(ISNUMBER(BK442),9),
IF(ISNUMBER(BO442),10)))</f>
        <v/>
      </c>
      <c r="K699" s="369"/>
      <c r="L699" s="369" t="str">
        <f>IF(ISBLANK(Inputs!$A50),"",
_xlfn.LET(
_xlpm.n,J699,
CHOOSE(_xlpm.n,
AE442,AI442,AM442,AQ442,AU442,
AY442,BC442,BG442,BK442,BO442
)
))</f>
        <v/>
      </c>
      <c r="M699" s="369"/>
      <c r="N699" s="369" t="str">
        <f>IF(ISBLANK(Inputs!$A50),"",
Mat.Conc_Alpha.1*Mat.Conc_f.c*Inputs!J50*MIN(L699*Mat.Conc_Beta.1,Inputs!I50))</f>
        <v/>
      </c>
      <c r="O699" s="369"/>
      <c r="P699" s="372" t="str">
        <f>IF(ISBLANK(Inputs!$A50),"",
Mat.Conc_Alpha.1*Mat.Conc_f.c*Inputs!E50*MAX(0,L699*Mat.Conc_Beta.1-Inputs!I50))</f>
        <v/>
      </c>
      <c r="Q699" s="369"/>
      <c r="R699" s="369" t="str">
        <f>IF(ISBLANK(Inputs!$A50),"",Inputs!G50*MIN(Mat.Rebar_f.y,(Mat.Rebar_epsilon.cl*(Inputs!H50-L699)/L699)*Mat.PT_E.s))</f>
        <v/>
      </c>
      <c r="S699" s="369"/>
      <c r="T699" s="369" t="str">
        <f>IF(ISBLANK(Inputs!$A50),"",Inputs!D50*(Mat.PT_f.pu*(1-Mat.PT_k*L699/Inputs!F50)))</f>
        <v/>
      </c>
      <c r="U699" s="369"/>
      <c r="V699" s="369" t="str">
        <f>IF(ISBLANK(Inputs!$A50),"",
(Mat.PT_f.pe/Mat.PT_E.ps)+(Mat.Rebar_epsilon.cl*((Geometry_d.p.Positive-L699)/L699)))</f>
        <v/>
      </c>
      <c r="W699" s="369"/>
      <c r="X699" s="369" t="str">
        <f>IF(ISBLANK(Inputs!$A50),"",
0.5*MIN(L699*Mat.Conc_Beta.1,Geometry_h.f.Positive))</f>
        <v/>
      </c>
      <c r="Y699" s="369"/>
      <c r="Z699" s="369" t="str">
        <f>IF(ISBLANK(Inputs!$A50),"",
IF(P699=0,0,Geometry_h.f.Positive+0.5*MAX(0,L699*Mat.Conc_Beta.1-Geometry_h.f.Positive)))</f>
        <v/>
      </c>
      <c r="AA699" s="369"/>
      <c r="AB699" s="369" t="str">
        <f>IF(ISBLANK(Inputs!$A50),"",
Inputs!H50)</f>
        <v/>
      </c>
      <c r="AC699" s="369"/>
      <c r="AD699" s="369" t="str">
        <f>IF(ISBLANK(Inputs!$A50),"",
Inputs!F50)</f>
        <v/>
      </c>
      <c r="AE699" s="369"/>
      <c r="AF699" s="369" t="str">
        <f>IF(ISBLANK(Inputs!$A50),"",
MAX(0.75,MIN(1,0.75+0.25*(V699-Mat.Rebar_epsilon.cl)/(Mat.Rebar_epsilon.tl-Mat.Rebar_epsilon.cl))))</f>
        <v/>
      </c>
      <c r="AG699" s="369"/>
      <c r="AH699" s="370" t="str">
        <f>IF(ISBLANK(Inputs!$A50),"",
((AD699*T699+AB699*R699-Z699*P699-X699*N699)/12)*AF699)</f>
        <v/>
      </c>
      <c r="AI699" s="370"/>
      <c r="AJ699" s="370"/>
      <c r="AK699" s="369" t="str">
        <f>IF(ISBLANK(Inputs!$A50),"",
MAX(IF(ISNUMBER(AE567),1),
IF(ISNUMBER(AI567),2),
IF(ISNUMBER(AM567),3),
IF(ISNUMBER(AQ567),4),
IF(ISNUMBER(AU567),5),
IF(ISNUMBER(AY567),6),
IF(ISNUMBER(BC567),7),
IF(ISNUMBER(BG567),8),
IF(ISNUMBER(BK567),9),
IF(ISNUMBER(BO567),10)))</f>
        <v/>
      </c>
      <c r="AL699" s="369"/>
      <c r="AM699" s="369" t="str">
        <f>IF(ISBLANK(Inputs!$A50),"",
_xlfn.LET(
_xlpm.n,AK699,
CHOOSE(_xlpm.n,
AE567,AI567,AM567,AQ567,AU567,
AY567,BC567,BG567,BK567,BO567
)
))</f>
        <v/>
      </c>
      <c r="AN699" s="369"/>
      <c r="AO699" s="369" t="str">
        <f>IF(ISBLANK(Inputs!$A50),"",
Mat.Conc_Alpha.1*Mat.Conc_f.c*Geometry_b.Negative*MIN(AM699*Mat.Conc_Beta.1,Geometry_h.f.Negative))</f>
        <v/>
      </c>
      <c r="AP699" s="369"/>
      <c r="AQ699" s="369" t="str">
        <f>IF(ISBLANK(Inputs!$A50),"",
Mat.Conc_Alpha.1*Mat.Conc_f.c*Geometry_b.w*MAX(0,AM699*Mat.Conc_Beta.1-Geometry_h.f.Negative))</f>
        <v/>
      </c>
      <c r="AR699" s="369"/>
      <c r="AS699" s="369" t="str">
        <f>IF(ISBLANK(Inputs!$A50),"",
Mat.Rebar_A.s.Positive*MIN(Mat.Rebar_f.y,(Mat.Rebar_epsilon.cl*(Geometry_d.s.Negative-AM699)/AM699)*Mat.PT_E.s))</f>
        <v/>
      </c>
      <c r="AT699" s="369"/>
      <c r="AU699" s="369" t="str">
        <f>IF(ISBLANK(Inputs!$A50),"",
Mat.PT_A.ps*(Mat.PT_f.pu*(1-Mat.PT_k*AM699/Geometry_d.p.Negative)))</f>
        <v/>
      </c>
      <c r="AV699" s="369"/>
      <c r="AW699" s="369" t="str">
        <f>IF(ISBLANK(Inputs!$A50),"",
(Mat.PT_f.pe/Mat.PT_E.ps)+(Mat.Rebar_epsilon.cl*((Geometry_d.p.Negative-AM699)/AM699)))</f>
        <v/>
      </c>
      <c r="AX699" s="369"/>
      <c r="AY699" s="369" t="str">
        <f>IF(ISBLANK(Inputs!$A50),"",
0.5*MIN(AM699*Mat.Conc_Beta.1,Geometry_h.f.Negative))</f>
        <v/>
      </c>
      <c r="AZ699" s="369"/>
      <c r="BA699" s="369" t="str">
        <f>IF(ISBLANK(Inputs!$A50),"",
IF(AQ699=0,0,Geometry_h.f.Negative+0.5*MAX(0,AM699*Mat.Conc_Beta.1-Geometry_h.f.Negative)))</f>
        <v/>
      </c>
      <c r="BB699" s="369"/>
      <c r="BC699" s="369" t="str">
        <f>IF(ISBLANK(Inputs!$A50),"",
Inputs!L50)</f>
        <v/>
      </c>
      <c r="BD699" s="369"/>
      <c r="BE699" s="369" t="str">
        <f>IF(ISBLANK(Inputs!$A50),"",Inputs!$B$10-Inputs!F50)</f>
        <v/>
      </c>
      <c r="BF699" s="369"/>
      <c r="BG699" s="369" t="str">
        <f>IF(ISBLANK(Inputs!$A50),"",
MAX(0.75,MIN(1,0.75+0.25*(AW699-Mat.Rebar_epsilon.cl)/(Mat.Rebar_epsilon.tl-Mat.Rebar_epsilon.cl))))</f>
        <v/>
      </c>
      <c r="BH699" s="369"/>
      <c r="BI699" s="370" t="str">
        <f>IF(ISBLANK(Inputs!$A50),"",
-((BE699*AU699+BC699*AS699-BA699*AQ699-AY699*AO699)/12)*BG699)</f>
        <v/>
      </c>
      <c r="BJ699" s="370"/>
      <c r="BK699" s="370"/>
      <c r="BL699" s="370" t="str">
        <f>IF(ISBLANK(Inputs!C50),"",Inputs!C50)</f>
        <v/>
      </c>
      <c r="BM699" s="370"/>
      <c r="BN699" s="370"/>
      <c r="BO699" s="374" t="str">
        <f>IF(ISBLANK(Inputs!$A50),"",
IFERROR(IF(BL699&gt;=0,ABS(BL699)/ABS(AH699),ABS(BL699)/ABS(BI699)),""))</f>
        <v/>
      </c>
      <c r="BP699" s="374"/>
      <c r="BQ699" s="374"/>
      <c r="BR699" s="59"/>
      <c r="BS699" s="70"/>
      <c r="BT699" s="70"/>
      <c r="BU699" s="70"/>
      <c r="BV699" s="70"/>
      <c r="BW699" s="8"/>
      <c r="BX699" s="8"/>
      <c r="BY699" s="8"/>
      <c r="BZ699" s="8"/>
      <c r="CA699" s="8"/>
      <c r="CB699" s="10"/>
    </row>
    <row r="700" spans="3:80" ht="15" customHeight="1" x14ac:dyDescent="0.25">
      <c r="C700" s="69"/>
      <c r="F700" s="369" t="str">
        <f>IF(ISBLANK(Inputs!A51),"",Inputs!A51)</f>
        <v/>
      </c>
      <c r="G700" s="369"/>
      <c r="H700" s="369" t="str">
        <f>IF(ISBLANK(Inputs!B51),"",Inputs!B51)</f>
        <v/>
      </c>
      <c r="I700" s="369"/>
      <c r="J700" s="369" t="str">
        <f>IF(ISBLANK(Inputs!$A51),"",
MAX(IF(ISNUMBER(AE443),1),
IF(ISNUMBER(AI443),2),
IF(ISNUMBER(AM443),3),
IF(ISNUMBER(AQ443),4),
IF(ISNUMBER(AU443),5),
IF(ISNUMBER(AY443),6),
IF(ISNUMBER(BC443),7),
IF(ISNUMBER(BG443),8),
IF(ISNUMBER(BK443),9),
IF(ISNUMBER(BO443),10)))</f>
        <v/>
      </c>
      <c r="K700" s="369"/>
      <c r="L700" s="369" t="str">
        <f>IF(ISBLANK(Inputs!$A51),"",
_xlfn.LET(
_xlpm.n,J700,
CHOOSE(_xlpm.n,
AE443,AI443,AM443,AQ443,AU443,
AY443,BC443,BG443,BK443,BO443
)
))</f>
        <v/>
      </c>
      <c r="M700" s="369"/>
      <c r="N700" s="369" t="str">
        <f>IF(ISBLANK(Inputs!$A51),"",
Mat.Conc_Alpha.1*Mat.Conc_f.c*Inputs!J51*MIN(L700*Mat.Conc_Beta.1,Inputs!I51))</f>
        <v/>
      </c>
      <c r="O700" s="369"/>
      <c r="P700" s="372" t="str">
        <f>IF(ISBLANK(Inputs!$A51),"",
Mat.Conc_Alpha.1*Mat.Conc_f.c*Inputs!E51*MAX(0,L700*Mat.Conc_Beta.1-Inputs!I51))</f>
        <v/>
      </c>
      <c r="Q700" s="369"/>
      <c r="R700" s="369" t="str">
        <f>IF(ISBLANK(Inputs!$A51),"",Inputs!G51*MIN(Mat.Rebar_f.y,(Mat.Rebar_epsilon.cl*(Inputs!H51-L700)/L700)*Mat.PT_E.s))</f>
        <v/>
      </c>
      <c r="S700" s="369"/>
      <c r="T700" s="369" t="str">
        <f>IF(ISBLANK(Inputs!$A51),"",Inputs!D51*(Mat.PT_f.pu*(1-Mat.PT_k*L700/Inputs!F51)))</f>
        <v/>
      </c>
      <c r="U700" s="369"/>
      <c r="V700" s="369" t="str">
        <f>IF(ISBLANK(Inputs!$A51),"",
(Mat.PT_f.pe/Mat.PT_E.ps)+(Mat.Rebar_epsilon.cl*((Geometry_d.p.Positive-L700)/L700)))</f>
        <v/>
      </c>
      <c r="W700" s="369"/>
      <c r="X700" s="369" t="str">
        <f>IF(ISBLANK(Inputs!$A51),"",
0.5*MIN(L700*Mat.Conc_Beta.1,Geometry_h.f.Positive))</f>
        <v/>
      </c>
      <c r="Y700" s="369"/>
      <c r="Z700" s="369" t="str">
        <f>IF(ISBLANK(Inputs!$A51),"",
IF(P700=0,0,Geometry_h.f.Positive+0.5*MAX(0,L700*Mat.Conc_Beta.1-Geometry_h.f.Positive)))</f>
        <v/>
      </c>
      <c r="AA700" s="369"/>
      <c r="AB700" s="369" t="str">
        <f>IF(ISBLANK(Inputs!$A51),"",
Inputs!H51)</f>
        <v/>
      </c>
      <c r="AC700" s="369"/>
      <c r="AD700" s="369" t="str">
        <f>IF(ISBLANK(Inputs!$A51),"",
Inputs!F51)</f>
        <v/>
      </c>
      <c r="AE700" s="369"/>
      <c r="AF700" s="369" t="str">
        <f>IF(ISBLANK(Inputs!$A51),"",
MAX(0.75,MIN(1,0.75+0.25*(V700-Mat.Rebar_epsilon.cl)/(Mat.Rebar_epsilon.tl-Mat.Rebar_epsilon.cl))))</f>
        <v/>
      </c>
      <c r="AG700" s="369"/>
      <c r="AH700" s="370" t="str">
        <f>IF(ISBLANK(Inputs!$A51),"",
((AD700*T700+AB700*R700-Z700*P700-X700*N700)/12)*AF700)</f>
        <v/>
      </c>
      <c r="AI700" s="370"/>
      <c r="AJ700" s="370"/>
      <c r="AK700" s="369" t="str">
        <f>IF(ISBLANK(Inputs!$A51),"",
MAX(IF(ISNUMBER(AE568),1),
IF(ISNUMBER(AI568),2),
IF(ISNUMBER(AM568),3),
IF(ISNUMBER(AQ568),4),
IF(ISNUMBER(AU568),5),
IF(ISNUMBER(AY568),6),
IF(ISNUMBER(BC568),7),
IF(ISNUMBER(BG568),8),
IF(ISNUMBER(BK568),9),
IF(ISNUMBER(BO568),10)))</f>
        <v/>
      </c>
      <c r="AL700" s="369"/>
      <c r="AM700" s="369" t="str">
        <f>IF(ISBLANK(Inputs!$A51),"",
_xlfn.LET(
_xlpm.n,AK700,
CHOOSE(_xlpm.n,
AE568,AI568,AM568,AQ568,AU568,
AY568,BC568,BG568,BK568,BO568
)
))</f>
        <v/>
      </c>
      <c r="AN700" s="369"/>
      <c r="AO700" s="369" t="str">
        <f>IF(ISBLANK(Inputs!$A51),"",
Mat.Conc_Alpha.1*Mat.Conc_f.c*Geometry_b.Negative*MIN(AM700*Mat.Conc_Beta.1,Geometry_h.f.Negative))</f>
        <v/>
      </c>
      <c r="AP700" s="369"/>
      <c r="AQ700" s="369" t="str">
        <f>IF(ISBLANK(Inputs!$A51),"",
Mat.Conc_Alpha.1*Mat.Conc_f.c*Geometry_b.w*MAX(0,AM700*Mat.Conc_Beta.1-Geometry_h.f.Negative))</f>
        <v/>
      </c>
      <c r="AR700" s="369"/>
      <c r="AS700" s="369" t="str">
        <f>IF(ISBLANK(Inputs!$A51),"",
Mat.Rebar_A.s.Positive*MIN(Mat.Rebar_f.y,(Mat.Rebar_epsilon.cl*(Geometry_d.s.Negative-AM700)/AM700)*Mat.PT_E.s))</f>
        <v/>
      </c>
      <c r="AT700" s="369"/>
      <c r="AU700" s="369" t="str">
        <f>IF(ISBLANK(Inputs!$A51),"",
Mat.PT_A.ps*(Mat.PT_f.pu*(1-Mat.PT_k*AM700/Geometry_d.p.Negative)))</f>
        <v/>
      </c>
      <c r="AV700" s="369"/>
      <c r="AW700" s="369" t="str">
        <f>IF(ISBLANK(Inputs!$A51),"",
(Mat.PT_f.pe/Mat.PT_E.ps)+(Mat.Rebar_epsilon.cl*((Geometry_d.p.Negative-AM700)/AM700)))</f>
        <v/>
      </c>
      <c r="AX700" s="369"/>
      <c r="AY700" s="369" t="str">
        <f>IF(ISBLANK(Inputs!$A51),"",
0.5*MIN(AM700*Mat.Conc_Beta.1,Geometry_h.f.Negative))</f>
        <v/>
      </c>
      <c r="AZ700" s="369"/>
      <c r="BA700" s="369" t="str">
        <f>IF(ISBLANK(Inputs!$A51),"",
IF(AQ700=0,0,Geometry_h.f.Negative+0.5*MAX(0,AM700*Mat.Conc_Beta.1-Geometry_h.f.Negative)))</f>
        <v/>
      </c>
      <c r="BB700" s="369"/>
      <c r="BC700" s="369" t="str">
        <f>IF(ISBLANK(Inputs!$A51),"",
Inputs!L51)</f>
        <v/>
      </c>
      <c r="BD700" s="369"/>
      <c r="BE700" s="369" t="str">
        <f>IF(ISBLANK(Inputs!$A51),"",Inputs!$B$10-Inputs!F51)</f>
        <v/>
      </c>
      <c r="BF700" s="369"/>
      <c r="BG700" s="369" t="str">
        <f>IF(ISBLANK(Inputs!$A51),"",
MAX(0.75,MIN(1,0.75+0.25*(AW700-Mat.Rebar_epsilon.cl)/(Mat.Rebar_epsilon.tl-Mat.Rebar_epsilon.cl))))</f>
        <v/>
      </c>
      <c r="BH700" s="369"/>
      <c r="BI700" s="370" t="str">
        <f>IF(ISBLANK(Inputs!$A51),"",
-((BE700*AU700+BC700*AS700-BA700*AQ700-AY700*AO700)/12)*BG700)</f>
        <v/>
      </c>
      <c r="BJ700" s="370"/>
      <c r="BK700" s="370"/>
      <c r="BL700" s="370" t="str">
        <f>IF(ISBLANK(Inputs!C51),"",Inputs!C51)</f>
        <v/>
      </c>
      <c r="BM700" s="370"/>
      <c r="BN700" s="370"/>
      <c r="BO700" s="374" t="str">
        <f>IF(ISBLANK(Inputs!$A51),"",
IFERROR(IF(BL700&gt;=0,ABS(BL700)/ABS(AH700),ABS(BL700)/ABS(BI700)),""))</f>
        <v/>
      </c>
      <c r="BP700" s="374"/>
      <c r="BQ700" s="374"/>
      <c r="BR700" s="59"/>
      <c r="BS700" s="70"/>
      <c r="BT700" s="70"/>
      <c r="BU700" s="70"/>
      <c r="BV700" s="70"/>
      <c r="BW700" s="8"/>
      <c r="BX700" s="8"/>
      <c r="BY700" s="8"/>
      <c r="BZ700" s="8"/>
      <c r="CA700" s="8"/>
      <c r="CB700" s="10"/>
    </row>
    <row r="701" spans="3:80" ht="15" customHeight="1" x14ac:dyDescent="0.25">
      <c r="C701" s="69"/>
      <c r="F701" s="369" t="str">
        <f>IF(ISBLANK(Inputs!A52),"",Inputs!A52)</f>
        <v/>
      </c>
      <c r="G701" s="369"/>
      <c r="H701" s="369" t="str">
        <f>IF(ISBLANK(Inputs!B52),"",Inputs!B52)</f>
        <v/>
      </c>
      <c r="I701" s="369"/>
      <c r="J701" s="369" t="str">
        <f>IF(ISBLANK(Inputs!$A52),"",
MAX(IF(ISNUMBER(AE444),1),
IF(ISNUMBER(AI444),2),
IF(ISNUMBER(AM444),3),
IF(ISNUMBER(AQ444),4),
IF(ISNUMBER(AU444),5),
IF(ISNUMBER(AY444),6),
IF(ISNUMBER(BC444),7),
IF(ISNUMBER(BG444),8),
IF(ISNUMBER(BK444),9),
IF(ISNUMBER(BO444),10)))</f>
        <v/>
      </c>
      <c r="K701" s="369"/>
      <c r="L701" s="369" t="str">
        <f>IF(ISBLANK(Inputs!$A52),"",
_xlfn.LET(
_xlpm.n,J701,
CHOOSE(_xlpm.n,
AE444,AI444,AM444,AQ444,AU444,
AY444,BC444,BG444,BK444,BO444
)
))</f>
        <v/>
      </c>
      <c r="M701" s="369"/>
      <c r="N701" s="369" t="str">
        <f>IF(ISBLANK(Inputs!$A52),"",
Mat.Conc_Alpha.1*Mat.Conc_f.c*Inputs!J52*MIN(L701*Mat.Conc_Beta.1,Inputs!I52))</f>
        <v/>
      </c>
      <c r="O701" s="369"/>
      <c r="P701" s="372" t="str">
        <f>IF(ISBLANK(Inputs!$A52),"",
Mat.Conc_Alpha.1*Mat.Conc_f.c*Inputs!E52*MAX(0,L701*Mat.Conc_Beta.1-Inputs!I52))</f>
        <v/>
      </c>
      <c r="Q701" s="369"/>
      <c r="R701" s="369" t="str">
        <f>IF(ISBLANK(Inputs!$A52),"",Inputs!G52*MIN(Mat.Rebar_f.y,(Mat.Rebar_epsilon.cl*(Inputs!H52-L701)/L701)*Mat.PT_E.s))</f>
        <v/>
      </c>
      <c r="S701" s="369"/>
      <c r="T701" s="369" t="str">
        <f>IF(ISBLANK(Inputs!$A52),"",Inputs!D52*(Mat.PT_f.pu*(1-Mat.PT_k*L701/Inputs!F52)))</f>
        <v/>
      </c>
      <c r="U701" s="369"/>
      <c r="V701" s="369" t="str">
        <f>IF(ISBLANK(Inputs!$A52),"",
(Mat.PT_f.pe/Mat.PT_E.ps)+(Mat.Rebar_epsilon.cl*((Geometry_d.p.Positive-L701)/L701)))</f>
        <v/>
      </c>
      <c r="W701" s="369"/>
      <c r="X701" s="369" t="str">
        <f>IF(ISBLANK(Inputs!$A52),"",
0.5*MIN(L701*Mat.Conc_Beta.1,Geometry_h.f.Positive))</f>
        <v/>
      </c>
      <c r="Y701" s="369"/>
      <c r="Z701" s="369" t="str">
        <f>IF(ISBLANK(Inputs!$A52),"",
IF(P701=0,0,Geometry_h.f.Positive+0.5*MAX(0,L701*Mat.Conc_Beta.1-Geometry_h.f.Positive)))</f>
        <v/>
      </c>
      <c r="AA701" s="369"/>
      <c r="AB701" s="369" t="str">
        <f>IF(ISBLANK(Inputs!$A52),"",
Inputs!H52)</f>
        <v/>
      </c>
      <c r="AC701" s="369"/>
      <c r="AD701" s="369" t="str">
        <f>IF(ISBLANK(Inputs!$A52),"",
Inputs!F52)</f>
        <v/>
      </c>
      <c r="AE701" s="369"/>
      <c r="AF701" s="369" t="str">
        <f>IF(ISBLANK(Inputs!$A52),"",
MAX(0.75,MIN(1,0.75+0.25*(V701-Mat.Rebar_epsilon.cl)/(Mat.Rebar_epsilon.tl-Mat.Rebar_epsilon.cl))))</f>
        <v/>
      </c>
      <c r="AG701" s="369"/>
      <c r="AH701" s="370" t="str">
        <f>IF(ISBLANK(Inputs!$A52),"",
((AD701*T701+AB701*R701-Z701*P701-X701*N701)/12)*AF701)</f>
        <v/>
      </c>
      <c r="AI701" s="370"/>
      <c r="AJ701" s="370"/>
      <c r="AK701" s="369" t="str">
        <f>IF(ISBLANK(Inputs!$A52),"",
MAX(IF(ISNUMBER(AE569),1),
IF(ISNUMBER(AI569),2),
IF(ISNUMBER(AM569),3),
IF(ISNUMBER(AQ569),4),
IF(ISNUMBER(AU569),5),
IF(ISNUMBER(AY569),6),
IF(ISNUMBER(BC569),7),
IF(ISNUMBER(BG569),8),
IF(ISNUMBER(BK569),9),
IF(ISNUMBER(BO569),10)))</f>
        <v/>
      </c>
      <c r="AL701" s="369"/>
      <c r="AM701" s="369" t="str">
        <f>IF(ISBLANK(Inputs!$A52),"",
_xlfn.LET(
_xlpm.n,AK701,
CHOOSE(_xlpm.n,
AE569,AI569,AM569,AQ569,AU569,
AY569,BC569,BG569,BK569,BO569
)
))</f>
        <v/>
      </c>
      <c r="AN701" s="369"/>
      <c r="AO701" s="369" t="str">
        <f>IF(ISBLANK(Inputs!$A52),"",
Mat.Conc_Alpha.1*Mat.Conc_f.c*Geometry_b.Negative*MIN(AM701*Mat.Conc_Beta.1,Geometry_h.f.Negative))</f>
        <v/>
      </c>
      <c r="AP701" s="369"/>
      <c r="AQ701" s="369" t="str">
        <f>IF(ISBLANK(Inputs!$A52),"",
Mat.Conc_Alpha.1*Mat.Conc_f.c*Geometry_b.w*MAX(0,AM701*Mat.Conc_Beta.1-Geometry_h.f.Negative))</f>
        <v/>
      </c>
      <c r="AR701" s="369"/>
      <c r="AS701" s="369" t="str">
        <f>IF(ISBLANK(Inputs!$A52),"",
Mat.Rebar_A.s.Positive*MIN(Mat.Rebar_f.y,(Mat.Rebar_epsilon.cl*(Geometry_d.s.Negative-AM701)/AM701)*Mat.PT_E.s))</f>
        <v/>
      </c>
      <c r="AT701" s="369"/>
      <c r="AU701" s="369" t="str">
        <f>IF(ISBLANK(Inputs!$A52),"",
Mat.PT_A.ps*(Mat.PT_f.pu*(1-Mat.PT_k*AM701/Geometry_d.p.Negative)))</f>
        <v/>
      </c>
      <c r="AV701" s="369"/>
      <c r="AW701" s="369" t="str">
        <f>IF(ISBLANK(Inputs!$A52),"",
(Mat.PT_f.pe/Mat.PT_E.ps)+(Mat.Rebar_epsilon.cl*((Geometry_d.p.Negative-AM701)/AM701)))</f>
        <v/>
      </c>
      <c r="AX701" s="369"/>
      <c r="AY701" s="369" t="str">
        <f>IF(ISBLANK(Inputs!$A52),"",
0.5*MIN(AM701*Mat.Conc_Beta.1,Geometry_h.f.Negative))</f>
        <v/>
      </c>
      <c r="AZ701" s="369"/>
      <c r="BA701" s="369" t="str">
        <f>IF(ISBLANK(Inputs!$A52),"",
IF(AQ701=0,0,Geometry_h.f.Negative+0.5*MAX(0,AM701*Mat.Conc_Beta.1-Geometry_h.f.Negative)))</f>
        <v/>
      </c>
      <c r="BB701" s="369"/>
      <c r="BC701" s="369" t="str">
        <f>IF(ISBLANK(Inputs!$A52),"",
Inputs!L52)</f>
        <v/>
      </c>
      <c r="BD701" s="369"/>
      <c r="BE701" s="369" t="str">
        <f>IF(ISBLANK(Inputs!$A52),"",Inputs!$B$10-Inputs!F52)</f>
        <v/>
      </c>
      <c r="BF701" s="369"/>
      <c r="BG701" s="369" t="str">
        <f>IF(ISBLANK(Inputs!$A52),"",
MAX(0.75,MIN(1,0.75+0.25*(AW701-Mat.Rebar_epsilon.cl)/(Mat.Rebar_epsilon.tl-Mat.Rebar_epsilon.cl))))</f>
        <v/>
      </c>
      <c r="BH701" s="369"/>
      <c r="BI701" s="370" t="str">
        <f>IF(ISBLANK(Inputs!$A52),"",
-((BE701*AU701+BC701*AS701-BA701*AQ701-AY701*AO701)/12)*BG701)</f>
        <v/>
      </c>
      <c r="BJ701" s="370"/>
      <c r="BK701" s="370"/>
      <c r="BL701" s="370" t="str">
        <f>IF(ISBLANK(Inputs!C52),"",Inputs!C52)</f>
        <v/>
      </c>
      <c r="BM701" s="370"/>
      <c r="BN701" s="370"/>
      <c r="BO701" s="374" t="str">
        <f>IF(ISBLANK(Inputs!$A52),"",
IFERROR(IF(BL701&gt;=0,ABS(BL701)/ABS(AH701),ABS(BL701)/ABS(BI701)),""))</f>
        <v/>
      </c>
      <c r="BP701" s="374"/>
      <c r="BQ701" s="374"/>
      <c r="BR701" s="59"/>
      <c r="BS701" s="70"/>
      <c r="BT701" s="70"/>
      <c r="BU701" s="70"/>
      <c r="BV701" s="70"/>
      <c r="BW701" s="8"/>
      <c r="BX701" s="8"/>
      <c r="BY701" s="8"/>
      <c r="BZ701" s="8"/>
      <c r="CA701" s="8"/>
      <c r="CB701" s="10"/>
    </row>
    <row r="702" spans="3:80" ht="15" customHeight="1" x14ac:dyDescent="0.25">
      <c r="C702" s="69"/>
      <c r="F702" s="369" t="str">
        <f>IF(ISBLANK(Inputs!A53),"",Inputs!A53)</f>
        <v/>
      </c>
      <c r="G702" s="369"/>
      <c r="H702" s="369" t="str">
        <f>IF(ISBLANK(Inputs!B53),"",Inputs!B53)</f>
        <v/>
      </c>
      <c r="I702" s="369"/>
      <c r="J702" s="369" t="str">
        <f>IF(ISBLANK(Inputs!$A53),"",
MAX(IF(ISNUMBER(AE445),1),
IF(ISNUMBER(AI445),2),
IF(ISNUMBER(AM445),3),
IF(ISNUMBER(AQ445),4),
IF(ISNUMBER(AU445),5),
IF(ISNUMBER(AY445),6),
IF(ISNUMBER(BC445),7),
IF(ISNUMBER(BG445),8),
IF(ISNUMBER(BK445),9),
IF(ISNUMBER(BO445),10)))</f>
        <v/>
      </c>
      <c r="K702" s="369"/>
      <c r="L702" s="369" t="str">
        <f>IF(ISBLANK(Inputs!$A53),"",
_xlfn.LET(
_xlpm.n,J702,
CHOOSE(_xlpm.n,
AE445,AI445,AM445,AQ445,AU445,
AY445,BC445,BG445,BK445,BO445
)
))</f>
        <v/>
      </c>
      <c r="M702" s="369"/>
      <c r="N702" s="369" t="str">
        <f>IF(ISBLANK(Inputs!$A53),"",
Mat.Conc_Alpha.1*Mat.Conc_f.c*Inputs!J53*MIN(L702*Mat.Conc_Beta.1,Inputs!I53))</f>
        <v/>
      </c>
      <c r="O702" s="369"/>
      <c r="P702" s="372" t="str">
        <f>IF(ISBLANK(Inputs!$A53),"",
Mat.Conc_Alpha.1*Mat.Conc_f.c*Inputs!E53*MAX(0,L702*Mat.Conc_Beta.1-Inputs!I53))</f>
        <v/>
      </c>
      <c r="Q702" s="369"/>
      <c r="R702" s="369" t="str">
        <f>IF(ISBLANK(Inputs!$A53),"",Inputs!G53*MIN(Mat.Rebar_f.y,(Mat.Rebar_epsilon.cl*(Inputs!H53-L702)/L702)*Mat.PT_E.s))</f>
        <v/>
      </c>
      <c r="S702" s="369"/>
      <c r="T702" s="369" t="str">
        <f>IF(ISBLANK(Inputs!$A53),"",Inputs!D53*(Mat.PT_f.pu*(1-Mat.PT_k*L702/Inputs!F53)))</f>
        <v/>
      </c>
      <c r="U702" s="369"/>
      <c r="V702" s="369" t="str">
        <f>IF(ISBLANK(Inputs!$A53),"",
(Mat.PT_f.pe/Mat.PT_E.ps)+(Mat.Rebar_epsilon.cl*((Geometry_d.p.Positive-L702)/L702)))</f>
        <v/>
      </c>
      <c r="W702" s="369"/>
      <c r="X702" s="369" t="str">
        <f>IF(ISBLANK(Inputs!$A53),"",
0.5*MIN(L702*Mat.Conc_Beta.1,Geometry_h.f.Positive))</f>
        <v/>
      </c>
      <c r="Y702" s="369"/>
      <c r="Z702" s="369" t="str">
        <f>IF(ISBLANK(Inputs!$A53),"",
IF(P702=0,0,Geometry_h.f.Positive+0.5*MAX(0,L702*Mat.Conc_Beta.1-Geometry_h.f.Positive)))</f>
        <v/>
      </c>
      <c r="AA702" s="369"/>
      <c r="AB702" s="369" t="str">
        <f>IF(ISBLANK(Inputs!$A53),"",
Inputs!H53)</f>
        <v/>
      </c>
      <c r="AC702" s="369"/>
      <c r="AD702" s="369" t="str">
        <f>IF(ISBLANK(Inputs!$A53),"",
Inputs!F53)</f>
        <v/>
      </c>
      <c r="AE702" s="369"/>
      <c r="AF702" s="369" t="str">
        <f>IF(ISBLANK(Inputs!$A53),"",
MAX(0.75,MIN(1,0.75+0.25*(V702-Mat.Rebar_epsilon.cl)/(Mat.Rebar_epsilon.tl-Mat.Rebar_epsilon.cl))))</f>
        <v/>
      </c>
      <c r="AG702" s="369"/>
      <c r="AH702" s="370" t="str">
        <f>IF(ISBLANK(Inputs!$A53),"",
((AD702*T702+AB702*R702-Z702*P702-X702*N702)/12)*AF702)</f>
        <v/>
      </c>
      <c r="AI702" s="370"/>
      <c r="AJ702" s="370"/>
      <c r="AK702" s="369" t="str">
        <f>IF(ISBLANK(Inputs!$A53),"",
MAX(IF(ISNUMBER(AE570),1),
IF(ISNUMBER(AI570),2),
IF(ISNUMBER(AM570),3),
IF(ISNUMBER(AQ570),4),
IF(ISNUMBER(AU570),5),
IF(ISNUMBER(AY570),6),
IF(ISNUMBER(BC570),7),
IF(ISNUMBER(BG570),8),
IF(ISNUMBER(BK570),9),
IF(ISNUMBER(BO570),10)))</f>
        <v/>
      </c>
      <c r="AL702" s="369"/>
      <c r="AM702" s="369" t="str">
        <f>IF(ISBLANK(Inputs!$A53),"",
_xlfn.LET(
_xlpm.n,AK702,
CHOOSE(_xlpm.n,
AE570,AI570,AM570,AQ570,AU570,
AY570,BC570,BG570,BK570,BO570
)
))</f>
        <v/>
      </c>
      <c r="AN702" s="369"/>
      <c r="AO702" s="369" t="str">
        <f>IF(ISBLANK(Inputs!$A53),"",
Mat.Conc_Alpha.1*Mat.Conc_f.c*Geometry_b.Negative*MIN(AM702*Mat.Conc_Beta.1,Geometry_h.f.Negative))</f>
        <v/>
      </c>
      <c r="AP702" s="369"/>
      <c r="AQ702" s="369" t="str">
        <f>IF(ISBLANK(Inputs!$A53),"",
Mat.Conc_Alpha.1*Mat.Conc_f.c*Geometry_b.w*MAX(0,AM702*Mat.Conc_Beta.1-Geometry_h.f.Negative))</f>
        <v/>
      </c>
      <c r="AR702" s="369"/>
      <c r="AS702" s="369" t="str">
        <f>IF(ISBLANK(Inputs!$A53),"",
Mat.Rebar_A.s.Positive*MIN(Mat.Rebar_f.y,(Mat.Rebar_epsilon.cl*(Geometry_d.s.Negative-AM702)/AM702)*Mat.PT_E.s))</f>
        <v/>
      </c>
      <c r="AT702" s="369"/>
      <c r="AU702" s="369" t="str">
        <f>IF(ISBLANK(Inputs!$A53),"",
Mat.PT_A.ps*(Mat.PT_f.pu*(1-Mat.PT_k*AM702/Geometry_d.p.Negative)))</f>
        <v/>
      </c>
      <c r="AV702" s="369"/>
      <c r="AW702" s="369" t="str">
        <f>IF(ISBLANK(Inputs!$A53),"",
(Mat.PT_f.pe/Mat.PT_E.ps)+(Mat.Rebar_epsilon.cl*((Geometry_d.p.Negative-AM702)/AM702)))</f>
        <v/>
      </c>
      <c r="AX702" s="369"/>
      <c r="AY702" s="369" t="str">
        <f>IF(ISBLANK(Inputs!$A53),"",
0.5*MIN(AM702*Mat.Conc_Beta.1,Geometry_h.f.Negative))</f>
        <v/>
      </c>
      <c r="AZ702" s="369"/>
      <c r="BA702" s="369" t="str">
        <f>IF(ISBLANK(Inputs!$A53),"",
IF(AQ702=0,0,Geometry_h.f.Negative+0.5*MAX(0,AM702*Mat.Conc_Beta.1-Geometry_h.f.Negative)))</f>
        <v/>
      </c>
      <c r="BB702" s="369"/>
      <c r="BC702" s="369" t="str">
        <f>IF(ISBLANK(Inputs!$A53),"",
Inputs!L53)</f>
        <v/>
      </c>
      <c r="BD702" s="369"/>
      <c r="BE702" s="369" t="str">
        <f>IF(ISBLANK(Inputs!$A53),"",Inputs!$B$10-Inputs!F53)</f>
        <v/>
      </c>
      <c r="BF702" s="369"/>
      <c r="BG702" s="369" t="str">
        <f>IF(ISBLANK(Inputs!$A53),"",
MAX(0.75,MIN(1,0.75+0.25*(AW702-Mat.Rebar_epsilon.cl)/(Mat.Rebar_epsilon.tl-Mat.Rebar_epsilon.cl))))</f>
        <v/>
      </c>
      <c r="BH702" s="369"/>
      <c r="BI702" s="370" t="str">
        <f>IF(ISBLANK(Inputs!$A53),"",
-((BE702*AU702+BC702*AS702-BA702*AQ702-AY702*AO702)/12)*BG702)</f>
        <v/>
      </c>
      <c r="BJ702" s="370"/>
      <c r="BK702" s="370"/>
      <c r="BL702" s="370" t="str">
        <f>IF(ISBLANK(Inputs!C53),"",Inputs!C53)</f>
        <v/>
      </c>
      <c r="BM702" s="370"/>
      <c r="BN702" s="370"/>
      <c r="BO702" s="374" t="str">
        <f>IF(ISBLANK(Inputs!$A53),"",
IFERROR(IF(BL702&gt;=0,ABS(BL702)/ABS(AH702),ABS(BL702)/ABS(BI702)),""))</f>
        <v/>
      </c>
      <c r="BP702" s="374"/>
      <c r="BQ702" s="374"/>
      <c r="BR702" s="59"/>
      <c r="BS702" s="70"/>
      <c r="BT702" s="70"/>
      <c r="BU702" s="70"/>
      <c r="BV702" s="70"/>
      <c r="BW702" s="8"/>
      <c r="BX702" s="8"/>
      <c r="BY702" s="8"/>
      <c r="BZ702" s="8"/>
      <c r="CA702" s="8"/>
      <c r="CB702" s="10"/>
    </row>
    <row r="703" spans="3:80" ht="15" customHeight="1" x14ac:dyDescent="0.25">
      <c r="C703" s="69"/>
      <c r="F703" s="369" t="str">
        <f>IF(ISBLANK(Inputs!A54),"",Inputs!A54)</f>
        <v/>
      </c>
      <c r="G703" s="369"/>
      <c r="H703" s="369" t="str">
        <f>IF(ISBLANK(Inputs!B54),"",Inputs!B54)</f>
        <v/>
      </c>
      <c r="I703" s="369"/>
      <c r="J703" s="369" t="str">
        <f>IF(ISBLANK(Inputs!$A54),"",
MAX(IF(ISNUMBER(AE446),1),
IF(ISNUMBER(AI446),2),
IF(ISNUMBER(AM446),3),
IF(ISNUMBER(AQ446),4),
IF(ISNUMBER(AU446),5),
IF(ISNUMBER(AY446),6),
IF(ISNUMBER(BC446),7),
IF(ISNUMBER(BG446),8),
IF(ISNUMBER(BK446),9),
IF(ISNUMBER(BO446),10)))</f>
        <v/>
      </c>
      <c r="K703" s="369"/>
      <c r="L703" s="369" t="str">
        <f>IF(ISBLANK(Inputs!$A54),"",
_xlfn.LET(
_xlpm.n,J703,
CHOOSE(_xlpm.n,
AE446,AI446,AM446,AQ446,AU446,
AY446,BC446,BG446,BK446,BO446
)
))</f>
        <v/>
      </c>
      <c r="M703" s="369"/>
      <c r="N703" s="369" t="str">
        <f>IF(ISBLANK(Inputs!$A54),"",
Mat.Conc_Alpha.1*Mat.Conc_f.c*Inputs!J54*MIN(L703*Mat.Conc_Beta.1,Inputs!I54))</f>
        <v/>
      </c>
      <c r="O703" s="369"/>
      <c r="P703" s="372" t="str">
        <f>IF(ISBLANK(Inputs!$A54),"",
Mat.Conc_Alpha.1*Mat.Conc_f.c*Inputs!E54*MAX(0,L703*Mat.Conc_Beta.1-Inputs!I54))</f>
        <v/>
      </c>
      <c r="Q703" s="369"/>
      <c r="R703" s="369" t="str">
        <f>IF(ISBLANK(Inputs!$A54),"",Inputs!G54*MIN(Mat.Rebar_f.y,(Mat.Rebar_epsilon.cl*(Inputs!H54-L703)/L703)*Mat.PT_E.s))</f>
        <v/>
      </c>
      <c r="S703" s="369"/>
      <c r="T703" s="369" t="str">
        <f>IF(ISBLANK(Inputs!$A54),"",Inputs!D54*(Mat.PT_f.pu*(1-Mat.PT_k*L703/Inputs!F54)))</f>
        <v/>
      </c>
      <c r="U703" s="369"/>
      <c r="V703" s="369" t="str">
        <f>IF(ISBLANK(Inputs!$A54),"",
(Mat.PT_f.pe/Mat.PT_E.ps)+(Mat.Rebar_epsilon.cl*((Geometry_d.p.Positive-L703)/L703)))</f>
        <v/>
      </c>
      <c r="W703" s="369"/>
      <c r="X703" s="369" t="str">
        <f>IF(ISBLANK(Inputs!$A54),"",
0.5*MIN(L703*Mat.Conc_Beta.1,Geometry_h.f.Positive))</f>
        <v/>
      </c>
      <c r="Y703" s="369"/>
      <c r="Z703" s="369" t="str">
        <f>IF(ISBLANK(Inputs!$A54),"",
IF(P703=0,0,Geometry_h.f.Positive+0.5*MAX(0,L703*Mat.Conc_Beta.1-Geometry_h.f.Positive)))</f>
        <v/>
      </c>
      <c r="AA703" s="369"/>
      <c r="AB703" s="369" t="str">
        <f>IF(ISBLANK(Inputs!$A54),"",
Inputs!H54)</f>
        <v/>
      </c>
      <c r="AC703" s="369"/>
      <c r="AD703" s="369" t="str">
        <f>IF(ISBLANK(Inputs!$A54),"",
Inputs!F54)</f>
        <v/>
      </c>
      <c r="AE703" s="369"/>
      <c r="AF703" s="369" t="str">
        <f>IF(ISBLANK(Inputs!$A54),"",
MAX(0.75,MIN(1,0.75+0.25*(V703-Mat.Rebar_epsilon.cl)/(Mat.Rebar_epsilon.tl-Mat.Rebar_epsilon.cl))))</f>
        <v/>
      </c>
      <c r="AG703" s="369"/>
      <c r="AH703" s="370" t="str">
        <f>IF(ISBLANK(Inputs!$A54),"",
((AD703*T703+AB703*R703-Z703*P703-X703*N703)/12)*AF703)</f>
        <v/>
      </c>
      <c r="AI703" s="370"/>
      <c r="AJ703" s="370"/>
      <c r="AK703" s="369" t="str">
        <f>IF(ISBLANK(Inputs!$A54),"",
MAX(IF(ISNUMBER(AE571),1),
IF(ISNUMBER(AI571),2),
IF(ISNUMBER(AM571),3),
IF(ISNUMBER(AQ571),4),
IF(ISNUMBER(AU571),5),
IF(ISNUMBER(AY571),6),
IF(ISNUMBER(BC571),7),
IF(ISNUMBER(BG571),8),
IF(ISNUMBER(BK571),9),
IF(ISNUMBER(BO571),10)))</f>
        <v/>
      </c>
      <c r="AL703" s="369"/>
      <c r="AM703" s="369" t="str">
        <f>IF(ISBLANK(Inputs!$A54),"",
_xlfn.LET(
_xlpm.n,AK703,
CHOOSE(_xlpm.n,
AE571,AI571,AM571,AQ571,AU571,
AY571,BC571,BG571,BK571,BO571
)
))</f>
        <v/>
      </c>
      <c r="AN703" s="369"/>
      <c r="AO703" s="369" t="str">
        <f>IF(ISBLANK(Inputs!$A54),"",
Mat.Conc_Alpha.1*Mat.Conc_f.c*Geometry_b.Negative*MIN(AM703*Mat.Conc_Beta.1,Geometry_h.f.Negative))</f>
        <v/>
      </c>
      <c r="AP703" s="369"/>
      <c r="AQ703" s="369" t="str">
        <f>IF(ISBLANK(Inputs!$A54),"",
Mat.Conc_Alpha.1*Mat.Conc_f.c*Geometry_b.w*MAX(0,AM703*Mat.Conc_Beta.1-Geometry_h.f.Negative))</f>
        <v/>
      </c>
      <c r="AR703" s="369"/>
      <c r="AS703" s="369" t="str">
        <f>IF(ISBLANK(Inputs!$A54),"",
Mat.Rebar_A.s.Positive*MIN(Mat.Rebar_f.y,(Mat.Rebar_epsilon.cl*(Geometry_d.s.Negative-AM703)/AM703)*Mat.PT_E.s))</f>
        <v/>
      </c>
      <c r="AT703" s="369"/>
      <c r="AU703" s="369" t="str">
        <f>IF(ISBLANK(Inputs!$A54),"",
Mat.PT_A.ps*(Mat.PT_f.pu*(1-Mat.PT_k*AM703/Geometry_d.p.Negative)))</f>
        <v/>
      </c>
      <c r="AV703" s="369"/>
      <c r="AW703" s="369" t="str">
        <f>IF(ISBLANK(Inputs!$A54),"",
(Mat.PT_f.pe/Mat.PT_E.ps)+(Mat.Rebar_epsilon.cl*((Geometry_d.p.Negative-AM703)/AM703)))</f>
        <v/>
      </c>
      <c r="AX703" s="369"/>
      <c r="AY703" s="369" t="str">
        <f>IF(ISBLANK(Inputs!$A54),"",
0.5*MIN(AM703*Mat.Conc_Beta.1,Geometry_h.f.Negative))</f>
        <v/>
      </c>
      <c r="AZ703" s="369"/>
      <c r="BA703" s="369" t="str">
        <f>IF(ISBLANK(Inputs!$A54),"",
IF(AQ703=0,0,Geometry_h.f.Negative+0.5*MAX(0,AM703*Mat.Conc_Beta.1-Geometry_h.f.Negative)))</f>
        <v/>
      </c>
      <c r="BB703" s="369"/>
      <c r="BC703" s="369" t="str">
        <f>IF(ISBLANK(Inputs!$A54),"",
Inputs!L54)</f>
        <v/>
      </c>
      <c r="BD703" s="369"/>
      <c r="BE703" s="369" t="str">
        <f>IF(ISBLANK(Inputs!$A54),"",Inputs!$B$10-Inputs!F54)</f>
        <v/>
      </c>
      <c r="BF703" s="369"/>
      <c r="BG703" s="369" t="str">
        <f>IF(ISBLANK(Inputs!$A54),"",
MAX(0.75,MIN(1,0.75+0.25*(AW703-Mat.Rebar_epsilon.cl)/(Mat.Rebar_epsilon.tl-Mat.Rebar_epsilon.cl))))</f>
        <v/>
      </c>
      <c r="BH703" s="369"/>
      <c r="BI703" s="370" t="str">
        <f>IF(ISBLANK(Inputs!$A54),"",
-((BE703*AU703+BC703*AS703-BA703*AQ703-AY703*AO703)/12)*BG703)</f>
        <v/>
      </c>
      <c r="BJ703" s="370"/>
      <c r="BK703" s="370"/>
      <c r="BL703" s="370" t="str">
        <f>IF(ISBLANK(Inputs!C54),"",Inputs!C54)</f>
        <v/>
      </c>
      <c r="BM703" s="370"/>
      <c r="BN703" s="370"/>
      <c r="BO703" s="374" t="str">
        <f>IF(ISBLANK(Inputs!$A54),"",
IFERROR(IF(BL703&gt;=0,ABS(BL703)/ABS(AH703),ABS(BL703)/ABS(BI703)),""))</f>
        <v/>
      </c>
      <c r="BP703" s="374"/>
      <c r="BQ703" s="374"/>
      <c r="BR703" s="59"/>
      <c r="BS703" s="70"/>
      <c r="BT703" s="70"/>
      <c r="BU703" s="70"/>
      <c r="BV703" s="70"/>
      <c r="BW703" s="8"/>
      <c r="BX703" s="8"/>
      <c r="BY703" s="8"/>
      <c r="BZ703" s="8"/>
      <c r="CA703" s="8"/>
      <c r="CB703" s="10"/>
    </row>
    <row r="704" spans="3:80" ht="15" customHeight="1" x14ac:dyDescent="0.25">
      <c r="C704" s="69"/>
      <c r="F704" s="369" t="str">
        <f>IF(ISBLANK(Inputs!A55),"",Inputs!A55)</f>
        <v/>
      </c>
      <c r="G704" s="369"/>
      <c r="H704" s="369" t="str">
        <f>IF(ISBLANK(Inputs!B55),"",Inputs!B55)</f>
        <v/>
      </c>
      <c r="I704" s="369"/>
      <c r="J704" s="369" t="str">
        <f>IF(ISBLANK(Inputs!$A55),"",
MAX(IF(ISNUMBER(AE447),1),
IF(ISNUMBER(AI447),2),
IF(ISNUMBER(AM447),3),
IF(ISNUMBER(AQ447),4),
IF(ISNUMBER(AU447),5),
IF(ISNUMBER(AY447),6),
IF(ISNUMBER(BC447),7),
IF(ISNUMBER(BG447),8),
IF(ISNUMBER(BK447),9),
IF(ISNUMBER(BO447),10)))</f>
        <v/>
      </c>
      <c r="K704" s="369"/>
      <c r="L704" s="369" t="str">
        <f>IF(ISBLANK(Inputs!$A55),"",
_xlfn.LET(
_xlpm.n,J704,
CHOOSE(_xlpm.n,
AE447,AI447,AM447,AQ447,AU447,
AY447,BC447,BG447,BK447,BO447
)
))</f>
        <v/>
      </c>
      <c r="M704" s="369"/>
      <c r="N704" s="369" t="str">
        <f>IF(ISBLANK(Inputs!$A55),"",
Mat.Conc_Alpha.1*Mat.Conc_f.c*Inputs!J55*MIN(L704*Mat.Conc_Beta.1,Inputs!I55))</f>
        <v/>
      </c>
      <c r="O704" s="369"/>
      <c r="P704" s="372" t="str">
        <f>IF(ISBLANK(Inputs!$A55),"",
Mat.Conc_Alpha.1*Mat.Conc_f.c*Inputs!E55*MAX(0,L704*Mat.Conc_Beta.1-Inputs!I55))</f>
        <v/>
      </c>
      <c r="Q704" s="369"/>
      <c r="R704" s="369" t="str">
        <f>IF(ISBLANK(Inputs!$A55),"",Inputs!G55*MIN(Mat.Rebar_f.y,(Mat.Rebar_epsilon.cl*(Inputs!H55-L704)/L704)*Mat.PT_E.s))</f>
        <v/>
      </c>
      <c r="S704" s="369"/>
      <c r="T704" s="369" t="str">
        <f>IF(ISBLANK(Inputs!$A55),"",Inputs!D55*(Mat.PT_f.pu*(1-Mat.PT_k*L704/Inputs!F55)))</f>
        <v/>
      </c>
      <c r="U704" s="369"/>
      <c r="V704" s="369" t="str">
        <f>IF(ISBLANK(Inputs!$A55),"",
(Mat.PT_f.pe/Mat.PT_E.ps)+(Mat.Rebar_epsilon.cl*((Geometry_d.p.Positive-L704)/L704)))</f>
        <v/>
      </c>
      <c r="W704" s="369"/>
      <c r="X704" s="369" t="str">
        <f>IF(ISBLANK(Inputs!$A55),"",
0.5*MIN(L704*Mat.Conc_Beta.1,Geometry_h.f.Positive))</f>
        <v/>
      </c>
      <c r="Y704" s="369"/>
      <c r="Z704" s="369" t="str">
        <f>IF(ISBLANK(Inputs!$A55),"",
IF(P704=0,0,Geometry_h.f.Positive+0.5*MAX(0,L704*Mat.Conc_Beta.1-Geometry_h.f.Positive)))</f>
        <v/>
      </c>
      <c r="AA704" s="369"/>
      <c r="AB704" s="369" t="str">
        <f>IF(ISBLANK(Inputs!$A55),"",
Inputs!H55)</f>
        <v/>
      </c>
      <c r="AC704" s="369"/>
      <c r="AD704" s="369" t="str">
        <f>IF(ISBLANK(Inputs!$A55),"",
Inputs!F55)</f>
        <v/>
      </c>
      <c r="AE704" s="369"/>
      <c r="AF704" s="369" t="str">
        <f>IF(ISBLANK(Inputs!$A55),"",
MAX(0.75,MIN(1,0.75+0.25*(V704-Mat.Rebar_epsilon.cl)/(Mat.Rebar_epsilon.tl-Mat.Rebar_epsilon.cl))))</f>
        <v/>
      </c>
      <c r="AG704" s="369"/>
      <c r="AH704" s="370" t="str">
        <f>IF(ISBLANK(Inputs!$A55),"",
((AD704*T704+AB704*R704-Z704*P704-X704*N704)/12)*AF704)</f>
        <v/>
      </c>
      <c r="AI704" s="370"/>
      <c r="AJ704" s="370"/>
      <c r="AK704" s="369" t="str">
        <f>IF(ISBLANK(Inputs!$A55),"",
MAX(IF(ISNUMBER(AE572),1),
IF(ISNUMBER(AI572),2),
IF(ISNUMBER(AM572),3),
IF(ISNUMBER(AQ572),4),
IF(ISNUMBER(AU572),5),
IF(ISNUMBER(AY572),6),
IF(ISNUMBER(BC572),7),
IF(ISNUMBER(BG572),8),
IF(ISNUMBER(BK572),9),
IF(ISNUMBER(BO572),10)))</f>
        <v/>
      </c>
      <c r="AL704" s="369"/>
      <c r="AM704" s="369" t="str">
        <f>IF(ISBLANK(Inputs!$A55),"",
_xlfn.LET(
_xlpm.n,AK704,
CHOOSE(_xlpm.n,
AE572,AI572,AM572,AQ572,AU572,
AY572,BC572,BG572,BK572,BO572
)
))</f>
        <v/>
      </c>
      <c r="AN704" s="369"/>
      <c r="AO704" s="369" t="str">
        <f>IF(ISBLANK(Inputs!$A55),"",
Mat.Conc_Alpha.1*Mat.Conc_f.c*Geometry_b.Negative*MIN(AM704*Mat.Conc_Beta.1,Geometry_h.f.Negative))</f>
        <v/>
      </c>
      <c r="AP704" s="369"/>
      <c r="AQ704" s="369" t="str">
        <f>IF(ISBLANK(Inputs!$A55),"",
Mat.Conc_Alpha.1*Mat.Conc_f.c*Geometry_b.w*MAX(0,AM704*Mat.Conc_Beta.1-Geometry_h.f.Negative))</f>
        <v/>
      </c>
      <c r="AR704" s="369"/>
      <c r="AS704" s="369" t="str">
        <f>IF(ISBLANK(Inputs!$A55),"",
Mat.Rebar_A.s.Positive*MIN(Mat.Rebar_f.y,(Mat.Rebar_epsilon.cl*(Geometry_d.s.Negative-AM704)/AM704)*Mat.PT_E.s))</f>
        <v/>
      </c>
      <c r="AT704" s="369"/>
      <c r="AU704" s="369" t="str">
        <f>IF(ISBLANK(Inputs!$A55),"",
Mat.PT_A.ps*(Mat.PT_f.pu*(1-Mat.PT_k*AM704/Geometry_d.p.Negative)))</f>
        <v/>
      </c>
      <c r="AV704" s="369"/>
      <c r="AW704" s="369" t="str">
        <f>IF(ISBLANK(Inputs!$A55),"",
(Mat.PT_f.pe/Mat.PT_E.ps)+(Mat.Rebar_epsilon.cl*((Geometry_d.p.Negative-AM704)/AM704)))</f>
        <v/>
      </c>
      <c r="AX704" s="369"/>
      <c r="AY704" s="369" t="str">
        <f>IF(ISBLANK(Inputs!$A55),"",
0.5*MIN(AM704*Mat.Conc_Beta.1,Geometry_h.f.Negative))</f>
        <v/>
      </c>
      <c r="AZ704" s="369"/>
      <c r="BA704" s="369" t="str">
        <f>IF(ISBLANK(Inputs!$A55),"",
IF(AQ704=0,0,Geometry_h.f.Negative+0.5*MAX(0,AM704*Mat.Conc_Beta.1-Geometry_h.f.Negative)))</f>
        <v/>
      </c>
      <c r="BB704" s="369"/>
      <c r="BC704" s="369" t="str">
        <f>IF(ISBLANK(Inputs!$A55),"",
Inputs!L55)</f>
        <v/>
      </c>
      <c r="BD704" s="369"/>
      <c r="BE704" s="369" t="str">
        <f>IF(ISBLANK(Inputs!$A55),"",Inputs!$B$10-Inputs!F55)</f>
        <v/>
      </c>
      <c r="BF704" s="369"/>
      <c r="BG704" s="369" t="str">
        <f>IF(ISBLANK(Inputs!$A55),"",
MAX(0.75,MIN(1,0.75+0.25*(AW704-Mat.Rebar_epsilon.cl)/(Mat.Rebar_epsilon.tl-Mat.Rebar_epsilon.cl))))</f>
        <v/>
      </c>
      <c r="BH704" s="369"/>
      <c r="BI704" s="370" t="str">
        <f>IF(ISBLANK(Inputs!$A55),"",
-((BE704*AU704+BC704*AS704-BA704*AQ704-AY704*AO704)/12)*BG704)</f>
        <v/>
      </c>
      <c r="BJ704" s="370"/>
      <c r="BK704" s="370"/>
      <c r="BL704" s="370" t="str">
        <f>IF(ISBLANK(Inputs!C55),"",Inputs!C55)</f>
        <v/>
      </c>
      <c r="BM704" s="370"/>
      <c r="BN704" s="370"/>
      <c r="BO704" s="374" t="str">
        <f>IF(ISBLANK(Inputs!$A55),"",
IFERROR(IF(BL704&gt;=0,ABS(BL704)/ABS(AH704),ABS(BL704)/ABS(BI704)),""))</f>
        <v/>
      </c>
      <c r="BP704" s="374"/>
      <c r="BQ704" s="374"/>
      <c r="BR704" s="59"/>
      <c r="BS704" s="70"/>
      <c r="BT704" s="70"/>
      <c r="BU704" s="70"/>
      <c r="BV704" s="70"/>
      <c r="BW704" s="8"/>
      <c r="BX704" s="8"/>
      <c r="BY704" s="8"/>
      <c r="BZ704" s="8"/>
      <c r="CA704" s="8"/>
      <c r="CB704" s="10"/>
    </row>
    <row r="705" spans="3:80" ht="15" customHeight="1" x14ac:dyDescent="0.25">
      <c r="C705" s="69"/>
      <c r="F705" s="369" t="str">
        <f>IF(ISBLANK(Inputs!A56),"",Inputs!A56)</f>
        <v/>
      </c>
      <c r="G705" s="369"/>
      <c r="H705" s="369" t="str">
        <f>IF(ISBLANK(Inputs!B56),"",Inputs!B56)</f>
        <v/>
      </c>
      <c r="I705" s="369"/>
      <c r="J705" s="369" t="str">
        <f>IF(ISBLANK(Inputs!$A56),"",
MAX(IF(ISNUMBER(AE448),1),
IF(ISNUMBER(AI448),2),
IF(ISNUMBER(AM448),3),
IF(ISNUMBER(AQ448),4),
IF(ISNUMBER(AU448),5),
IF(ISNUMBER(AY448),6),
IF(ISNUMBER(BC448),7),
IF(ISNUMBER(BG448),8),
IF(ISNUMBER(BK448),9),
IF(ISNUMBER(BO448),10)))</f>
        <v/>
      </c>
      <c r="K705" s="369"/>
      <c r="L705" s="369" t="str">
        <f>IF(ISBLANK(Inputs!$A56),"",
_xlfn.LET(
_xlpm.n,J705,
CHOOSE(_xlpm.n,
AE448,AI448,AM448,AQ448,AU448,
AY448,BC448,BG448,BK448,BO448
)
))</f>
        <v/>
      </c>
      <c r="M705" s="369"/>
      <c r="N705" s="369" t="str">
        <f>IF(ISBLANK(Inputs!$A56),"",
Mat.Conc_Alpha.1*Mat.Conc_f.c*Inputs!J56*MIN(L705*Mat.Conc_Beta.1,Inputs!I56))</f>
        <v/>
      </c>
      <c r="O705" s="369"/>
      <c r="P705" s="372" t="str">
        <f>IF(ISBLANK(Inputs!$A56),"",
Mat.Conc_Alpha.1*Mat.Conc_f.c*Inputs!E56*MAX(0,L705*Mat.Conc_Beta.1-Inputs!I56))</f>
        <v/>
      </c>
      <c r="Q705" s="369"/>
      <c r="R705" s="369" t="str">
        <f>IF(ISBLANK(Inputs!$A56),"",Inputs!G56*MIN(Mat.Rebar_f.y,(Mat.Rebar_epsilon.cl*(Inputs!H56-L705)/L705)*Mat.PT_E.s))</f>
        <v/>
      </c>
      <c r="S705" s="369"/>
      <c r="T705" s="369" t="str">
        <f>IF(ISBLANK(Inputs!$A56),"",Inputs!D56*(Mat.PT_f.pu*(1-Mat.PT_k*L705/Inputs!F56)))</f>
        <v/>
      </c>
      <c r="U705" s="369"/>
      <c r="V705" s="369" t="str">
        <f>IF(ISBLANK(Inputs!$A56),"",
(Mat.PT_f.pe/Mat.PT_E.ps)+(Mat.Rebar_epsilon.cl*((Geometry_d.p.Positive-L705)/L705)))</f>
        <v/>
      </c>
      <c r="W705" s="369"/>
      <c r="X705" s="369" t="str">
        <f>IF(ISBLANK(Inputs!$A56),"",
0.5*MIN(L705*Mat.Conc_Beta.1,Geometry_h.f.Positive))</f>
        <v/>
      </c>
      <c r="Y705" s="369"/>
      <c r="Z705" s="369" t="str">
        <f>IF(ISBLANK(Inputs!$A56),"",
IF(P705=0,0,Geometry_h.f.Positive+0.5*MAX(0,L705*Mat.Conc_Beta.1-Geometry_h.f.Positive)))</f>
        <v/>
      </c>
      <c r="AA705" s="369"/>
      <c r="AB705" s="369" t="str">
        <f>IF(ISBLANK(Inputs!$A56),"",
Inputs!H56)</f>
        <v/>
      </c>
      <c r="AC705" s="369"/>
      <c r="AD705" s="369" t="str">
        <f>IF(ISBLANK(Inputs!$A56),"",
Inputs!F56)</f>
        <v/>
      </c>
      <c r="AE705" s="369"/>
      <c r="AF705" s="369" t="str">
        <f>IF(ISBLANK(Inputs!$A56),"",
MAX(0.75,MIN(1,0.75+0.25*(V705-Mat.Rebar_epsilon.cl)/(Mat.Rebar_epsilon.tl-Mat.Rebar_epsilon.cl))))</f>
        <v/>
      </c>
      <c r="AG705" s="369"/>
      <c r="AH705" s="370" t="str">
        <f>IF(ISBLANK(Inputs!$A56),"",
((AD705*T705+AB705*R705-Z705*P705-X705*N705)/12)*AF705)</f>
        <v/>
      </c>
      <c r="AI705" s="370"/>
      <c r="AJ705" s="370"/>
      <c r="AK705" s="369" t="str">
        <f>IF(ISBLANK(Inputs!$A56),"",
MAX(IF(ISNUMBER(AE573),1),
IF(ISNUMBER(AI573),2),
IF(ISNUMBER(AM573),3),
IF(ISNUMBER(AQ573),4),
IF(ISNUMBER(AU573),5),
IF(ISNUMBER(AY573),6),
IF(ISNUMBER(BC573),7),
IF(ISNUMBER(BG573),8),
IF(ISNUMBER(BK573),9),
IF(ISNUMBER(BO573),10)))</f>
        <v/>
      </c>
      <c r="AL705" s="369"/>
      <c r="AM705" s="369" t="str">
        <f>IF(ISBLANK(Inputs!$A56),"",
_xlfn.LET(
_xlpm.n,AK705,
CHOOSE(_xlpm.n,
AE573,AI573,AM573,AQ573,AU573,
AY573,BC573,BG573,BK573,BO573
)
))</f>
        <v/>
      </c>
      <c r="AN705" s="369"/>
      <c r="AO705" s="369" t="str">
        <f>IF(ISBLANK(Inputs!$A56),"",
Mat.Conc_Alpha.1*Mat.Conc_f.c*Geometry_b.Negative*MIN(AM705*Mat.Conc_Beta.1,Geometry_h.f.Negative))</f>
        <v/>
      </c>
      <c r="AP705" s="369"/>
      <c r="AQ705" s="369" t="str">
        <f>IF(ISBLANK(Inputs!$A56),"",
Mat.Conc_Alpha.1*Mat.Conc_f.c*Geometry_b.w*MAX(0,AM705*Mat.Conc_Beta.1-Geometry_h.f.Negative))</f>
        <v/>
      </c>
      <c r="AR705" s="369"/>
      <c r="AS705" s="369" t="str">
        <f>IF(ISBLANK(Inputs!$A56),"",
Mat.Rebar_A.s.Positive*MIN(Mat.Rebar_f.y,(Mat.Rebar_epsilon.cl*(Geometry_d.s.Negative-AM705)/AM705)*Mat.PT_E.s))</f>
        <v/>
      </c>
      <c r="AT705" s="369"/>
      <c r="AU705" s="369" t="str">
        <f>IF(ISBLANK(Inputs!$A56),"",
Mat.PT_A.ps*(Mat.PT_f.pu*(1-Mat.PT_k*AM705/Geometry_d.p.Negative)))</f>
        <v/>
      </c>
      <c r="AV705" s="369"/>
      <c r="AW705" s="369" t="str">
        <f>IF(ISBLANK(Inputs!$A56),"",
(Mat.PT_f.pe/Mat.PT_E.ps)+(Mat.Rebar_epsilon.cl*((Geometry_d.p.Negative-AM705)/AM705)))</f>
        <v/>
      </c>
      <c r="AX705" s="369"/>
      <c r="AY705" s="369" t="str">
        <f>IF(ISBLANK(Inputs!$A56),"",
0.5*MIN(AM705*Mat.Conc_Beta.1,Geometry_h.f.Negative))</f>
        <v/>
      </c>
      <c r="AZ705" s="369"/>
      <c r="BA705" s="369" t="str">
        <f>IF(ISBLANK(Inputs!$A56),"",
IF(AQ705=0,0,Geometry_h.f.Negative+0.5*MAX(0,AM705*Mat.Conc_Beta.1-Geometry_h.f.Negative)))</f>
        <v/>
      </c>
      <c r="BB705" s="369"/>
      <c r="BC705" s="369" t="str">
        <f>IF(ISBLANK(Inputs!$A56),"",
Inputs!L56)</f>
        <v/>
      </c>
      <c r="BD705" s="369"/>
      <c r="BE705" s="369" t="str">
        <f>IF(ISBLANK(Inputs!$A56),"",Inputs!$B$10-Inputs!F56)</f>
        <v/>
      </c>
      <c r="BF705" s="369"/>
      <c r="BG705" s="369" t="str">
        <f>IF(ISBLANK(Inputs!$A56),"",
MAX(0.75,MIN(1,0.75+0.25*(AW705-Mat.Rebar_epsilon.cl)/(Mat.Rebar_epsilon.tl-Mat.Rebar_epsilon.cl))))</f>
        <v/>
      </c>
      <c r="BH705" s="369"/>
      <c r="BI705" s="370" t="str">
        <f>IF(ISBLANK(Inputs!$A56),"",
-((BE705*AU705+BC705*AS705-BA705*AQ705-AY705*AO705)/12)*BG705)</f>
        <v/>
      </c>
      <c r="BJ705" s="370"/>
      <c r="BK705" s="370"/>
      <c r="BL705" s="370" t="str">
        <f>IF(ISBLANK(Inputs!C56),"",Inputs!C56)</f>
        <v/>
      </c>
      <c r="BM705" s="370"/>
      <c r="BN705" s="370"/>
      <c r="BO705" s="374" t="str">
        <f>IF(ISBLANK(Inputs!$A56),"",
IFERROR(IF(BL705&gt;=0,ABS(BL705)/ABS(AH705),ABS(BL705)/ABS(BI705)),""))</f>
        <v/>
      </c>
      <c r="BP705" s="374"/>
      <c r="BQ705" s="374"/>
      <c r="BR705" s="59"/>
      <c r="BS705" s="70"/>
      <c r="BT705" s="70"/>
      <c r="BU705" s="70"/>
      <c r="BV705" s="70"/>
      <c r="BW705" s="8"/>
      <c r="BX705" s="8"/>
      <c r="BY705" s="8"/>
      <c r="BZ705" s="8"/>
      <c r="CA705" s="8"/>
      <c r="CB705" s="10"/>
    </row>
    <row r="706" spans="3:80" ht="15" customHeight="1" x14ac:dyDescent="0.25">
      <c r="C706" s="69"/>
      <c r="F706" s="369" t="str">
        <f>IF(ISBLANK(Inputs!A57),"",Inputs!A57)</f>
        <v/>
      </c>
      <c r="G706" s="369"/>
      <c r="H706" s="369" t="str">
        <f>IF(ISBLANK(Inputs!B57),"",Inputs!B57)</f>
        <v/>
      </c>
      <c r="I706" s="369"/>
      <c r="J706" s="369" t="str">
        <f>IF(ISBLANK(Inputs!$A57),"",
MAX(IF(ISNUMBER(AE449),1),
IF(ISNUMBER(AI449),2),
IF(ISNUMBER(AM449),3),
IF(ISNUMBER(AQ449),4),
IF(ISNUMBER(AU449),5),
IF(ISNUMBER(AY449),6),
IF(ISNUMBER(BC449),7),
IF(ISNUMBER(BG449),8),
IF(ISNUMBER(BK449),9),
IF(ISNUMBER(BO449),10)))</f>
        <v/>
      </c>
      <c r="K706" s="369"/>
      <c r="L706" s="369" t="str">
        <f>IF(ISBLANK(Inputs!$A57),"",
_xlfn.LET(
_xlpm.n,J706,
CHOOSE(_xlpm.n,
AE449,AI449,AM449,AQ449,AU449,
AY449,BC449,BG449,BK449,BO449
)
))</f>
        <v/>
      </c>
      <c r="M706" s="369"/>
      <c r="N706" s="369" t="str">
        <f>IF(ISBLANK(Inputs!$A57),"",
Mat.Conc_Alpha.1*Mat.Conc_f.c*Inputs!J57*MIN(L706*Mat.Conc_Beta.1,Inputs!I57))</f>
        <v/>
      </c>
      <c r="O706" s="369"/>
      <c r="P706" s="372" t="str">
        <f>IF(ISBLANK(Inputs!$A57),"",
Mat.Conc_Alpha.1*Mat.Conc_f.c*Inputs!E57*MAX(0,L706*Mat.Conc_Beta.1-Inputs!I57))</f>
        <v/>
      </c>
      <c r="Q706" s="369"/>
      <c r="R706" s="369" t="str">
        <f>IF(ISBLANK(Inputs!$A57),"",Inputs!G57*MIN(Mat.Rebar_f.y,(Mat.Rebar_epsilon.cl*(Inputs!H57-L706)/L706)*Mat.PT_E.s))</f>
        <v/>
      </c>
      <c r="S706" s="369"/>
      <c r="T706" s="369" t="str">
        <f>IF(ISBLANK(Inputs!$A57),"",Inputs!D57*(Mat.PT_f.pu*(1-Mat.PT_k*L706/Inputs!F57)))</f>
        <v/>
      </c>
      <c r="U706" s="369"/>
      <c r="V706" s="369" t="str">
        <f>IF(ISBLANK(Inputs!$A57),"",
(Mat.PT_f.pe/Mat.PT_E.ps)+(Mat.Rebar_epsilon.cl*((Geometry_d.p.Positive-L706)/L706)))</f>
        <v/>
      </c>
      <c r="W706" s="369"/>
      <c r="X706" s="369" t="str">
        <f>IF(ISBLANK(Inputs!$A57),"",
0.5*MIN(L706*Mat.Conc_Beta.1,Geometry_h.f.Positive))</f>
        <v/>
      </c>
      <c r="Y706" s="369"/>
      <c r="Z706" s="369" t="str">
        <f>IF(ISBLANK(Inputs!$A57),"",
IF(P706=0,0,Geometry_h.f.Positive+0.5*MAX(0,L706*Mat.Conc_Beta.1-Geometry_h.f.Positive)))</f>
        <v/>
      </c>
      <c r="AA706" s="369"/>
      <c r="AB706" s="369" t="str">
        <f>IF(ISBLANK(Inputs!$A57),"",
Inputs!H57)</f>
        <v/>
      </c>
      <c r="AC706" s="369"/>
      <c r="AD706" s="369" t="str">
        <f>IF(ISBLANK(Inputs!$A57),"",
Inputs!F57)</f>
        <v/>
      </c>
      <c r="AE706" s="369"/>
      <c r="AF706" s="369" t="str">
        <f>IF(ISBLANK(Inputs!$A57),"",
MAX(0.75,MIN(1,0.75+0.25*(V706-Mat.Rebar_epsilon.cl)/(Mat.Rebar_epsilon.tl-Mat.Rebar_epsilon.cl))))</f>
        <v/>
      </c>
      <c r="AG706" s="369"/>
      <c r="AH706" s="370" t="str">
        <f>IF(ISBLANK(Inputs!$A57),"",
((AD706*T706+AB706*R706-Z706*P706-X706*N706)/12)*AF706)</f>
        <v/>
      </c>
      <c r="AI706" s="370"/>
      <c r="AJ706" s="370"/>
      <c r="AK706" s="369" t="str">
        <f>IF(ISBLANK(Inputs!$A57),"",
MAX(IF(ISNUMBER(AE574),1),
IF(ISNUMBER(AI574),2),
IF(ISNUMBER(AM574),3),
IF(ISNUMBER(AQ574),4),
IF(ISNUMBER(AU574),5),
IF(ISNUMBER(AY574),6),
IF(ISNUMBER(BC574),7),
IF(ISNUMBER(BG574),8),
IF(ISNUMBER(BK574),9),
IF(ISNUMBER(BO574),10)))</f>
        <v/>
      </c>
      <c r="AL706" s="369"/>
      <c r="AM706" s="369" t="str">
        <f>IF(ISBLANK(Inputs!$A57),"",
_xlfn.LET(
_xlpm.n,AK706,
CHOOSE(_xlpm.n,
AE574,AI574,AM574,AQ574,AU574,
AY574,BC574,BG574,BK574,BO574
)
))</f>
        <v/>
      </c>
      <c r="AN706" s="369"/>
      <c r="AO706" s="369" t="str">
        <f>IF(ISBLANK(Inputs!$A57),"",
Mat.Conc_Alpha.1*Mat.Conc_f.c*Geometry_b.Negative*MIN(AM706*Mat.Conc_Beta.1,Geometry_h.f.Negative))</f>
        <v/>
      </c>
      <c r="AP706" s="369"/>
      <c r="AQ706" s="369" t="str">
        <f>IF(ISBLANK(Inputs!$A57),"",
Mat.Conc_Alpha.1*Mat.Conc_f.c*Geometry_b.w*MAX(0,AM706*Mat.Conc_Beta.1-Geometry_h.f.Negative))</f>
        <v/>
      </c>
      <c r="AR706" s="369"/>
      <c r="AS706" s="369" t="str">
        <f>IF(ISBLANK(Inputs!$A57),"",
Mat.Rebar_A.s.Positive*MIN(Mat.Rebar_f.y,(Mat.Rebar_epsilon.cl*(Geometry_d.s.Negative-AM706)/AM706)*Mat.PT_E.s))</f>
        <v/>
      </c>
      <c r="AT706" s="369"/>
      <c r="AU706" s="369" t="str">
        <f>IF(ISBLANK(Inputs!$A57),"",
Mat.PT_A.ps*(Mat.PT_f.pu*(1-Mat.PT_k*AM706/Geometry_d.p.Negative)))</f>
        <v/>
      </c>
      <c r="AV706" s="369"/>
      <c r="AW706" s="369" t="str">
        <f>IF(ISBLANK(Inputs!$A57),"",
(Mat.PT_f.pe/Mat.PT_E.ps)+(Mat.Rebar_epsilon.cl*((Geometry_d.p.Negative-AM706)/AM706)))</f>
        <v/>
      </c>
      <c r="AX706" s="369"/>
      <c r="AY706" s="369" t="str">
        <f>IF(ISBLANK(Inputs!$A57),"",
0.5*MIN(AM706*Mat.Conc_Beta.1,Geometry_h.f.Negative))</f>
        <v/>
      </c>
      <c r="AZ706" s="369"/>
      <c r="BA706" s="369" t="str">
        <f>IF(ISBLANK(Inputs!$A57),"",
IF(AQ706=0,0,Geometry_h.f.Negative+0.5*MAX(0,AM706*Mat.Conc_Beta.1-Geometry_h.f.Negative)))</f>
        <v/>
      </c>
      <c r="BB706" s="369"/>
      <c r="BC706" s="369" t="str">
        <f>IF(ISBLANK(Inputs!$A57),"",
Inputs!L57)</f>
        <v/>
      </c>
      <c r="BD706" s="369"/>
      <c r="BE706" s="369" t="str">
        <f>IF(ISBLANK(Inputs!$A57),"",Inputs!$B$10-Inputs!F57)</f>
        <v/>
      </c>
      <c r="BF706" s="369"/>
      <c r="BG706" s="369" t="str">
        <f>IF(ISBLANK(Inputs!$A57),"",
MAX(0.75,MIN(1,0.75+0.25*(AW706-Mat.Rebar_epsilon.cl)/(Mat.Rebar_epsilon.tl-Mat.Rebar_epsilon.cl))))</f>
        <v/>
      </c>
      <c r="BH706" s="369"/>
      <c r="BI706" s="370" t="str">
        <f>IF(ISBLANK(Inputs!$A57),"",
-((BE706*AU706+BC706*AS706-BA706*AQ706-AY706*AO706)/12)*BG706)</f>
        <v/>
      </c>
      <c r="BJ706" s="370"/>
      <c r="BK706" s="370"/>
      <c r="BL706" s="370" t="str">
        <f>IF(ISBLANK(Inputs!C57),"",Inputs!C57)</f>
        <v/>
      </c>
      <c r="BM706" s="370"/>
      <c r="BN706" s="370"/>
      <c r="BO706" s="374" t="str">
        <f>IF(ISBLANK(Inputs!$A57),"",
IFERROR(IF(BL706&gt;=0,ABS(BL706)/ABS(AH706),ABS(BL706)/ABS(BI706)),""))</f>
        <v/>
      </c>
      <c r="BP706" s="374"/>
      <c r="BQ706" s="374"/>
      <c r="BR706" s="59"/>
      <c r="BS706" s="70"/>
      <c r="BT706" s="70"/>
      <c r="BU706" s="70"/>
      <c r="BV706" s="70"/>
      <c r="BW706" s="8"/>
      <c r="BX706" s="8"/>
      <c r="BY706" s="8"/>
      <c r="BZ706" s="8"/>
      <c r="CA706" s="8"/>
      <c r="CB706" s="10"/>
    </row>
    <row r="707" spans="3:80" ht="15" customHeight="1" x14ac:dyDescent="0.25">
      <c r="C707" s="69"/>
      <c r="F707" s="369" t="str">
        <f>IF(ISBLANK(Inputs!A58),"",Inputs!A58)</f>
        <v/>
      </c>
      <c r="G707" s="369"/>
      <c r="H707" s="369" t="str">
        <f>IF(ISBLANK(Inputs!B58),"",Inputs!B58)</f>
        <v/>
      </c>
      <c r="I707" s="369"/>
      <c r="J707" s="369" t="str">
        <f>IF(ISBLANK(Inputs!$A58),"",
MAX(IF(ISNUMBER(AE450),1),
IF(ISNUMBER(AI450),2),
IF(ISNUMBER(AM450),3),
IF(ISNUMBER(AQ450),4),
IF(ISNUMBER(AU450),5),
IF(ISNUMBER(AY450),6),
IF(ISNUMBER(BC450),7),
IF(ISNUMBER(BG450),8),
IF(ISNUMBER(BK450),9),
IF(ISNUMBER(BO450),10)))</f>
        <v/>
      </c>
      <c r="K707" s="369"/>
      <c r="L707" s="369" t="str">
        <f>IF(ISBLANK(Inputs!$A58),"",
_xlfn.LET(
_xlpm.n,J707,
CHOOSE(_xlpm.n,
AE450,AI450,AM450,AQ450,AU450,
AY450,BC450,BG450,BK450,BO450
)
))</f>
        <v/>
      </c>
      <c r="M707" s="369"/>
      <c r="N707" s="369" t="str">
        <f>IF(ISBLANK(Inputs!$A58),"",
Mat.Conc_Alpha.1*Mat.Conc_f.c*Inputs!J58*MIN(L707*Mat.Conc_Beta.1,Inputs!I58))</f>
        <v/>
      </c>
      <c r="O707" s="369"/>
      <c r="P707" s="372" t="str">
        <f>IF(ISBLANK(Inputs!$A58),"",
Mat.Conc_Alpha.1*Mat.Conc_f.c*Inputs!E58*MAX(0,L707*Mat.Conc_Beta.1-Inputs!I58))</f>
        <v/>
      </c>
      <c r="Q707" s="369"/>
      <c r="R707" s="369" t="str">
        <f>IF(ISBLANK(Inputs!$A58),"",Inputs!G58*MIN(Mat.Rebar_f.y,(Mat.Rebar_epsilon.cl*(Inputs!H58-L707)/L707)*Mat.PT_E.s))</f>
        <v/>
      </c>
      <c r="S707" s="369"/>
      <c r="T707" s="369" t="str">
        <f>IF(ISBLANK(Inputs!$A58),"",Inputs!D58*(Mat.PT_f.pu*(1-Mat.PT_k*L707/Inputs!F58)))</f>
        <v/>
      </c>
      <c r="U707" s="369"/>
      <c r="V707" s="369" t="str">
        <f>IF(ISBLANK(Inputs!$A58),"",
(Mat.PT_f.pe/Mat.PT_E.ps)+(Mat.Rebar_epsilon.cl*((Geometry_d.p.Positive-L707)/L707)))</f>
        <v/>
      </c>
      <c r="W707" s="369"/>
      <c r="X707" s="369" t="str">
        <f>IF(ISBLANK(Inputs!$A58),"",
0.5*MIN(L707*Mat.Conc_Beta.1,Geometry_h.f.Positive))</f>
        <v/>
      </c>
      <c r="Y707" s="369"/>
      <c r="Z707" s="369" t="str">
        <f>IF(ISBLANK(Inputs!$A58),"",
IF(P707=0,0,Geometry_h.f.Positive+0.5*MAX(0,L707*Mat.Conc_Beta.1-Geometry_h.f.Positive)))</f>
        <v/>
      </c>
      <c r="AA707" s="369"/>
      <c r="AB707" s="369" t="str">
        <f>IF(ISBLANK(Inputs!$A58),"",
Inputs!H58)</f>
        <v/>
      </c>
      <c r="AC707" s="369"/>
      <c r="AD707" s="369" t="str">
        <f>IF(ISBLANK(Inputs!$A58),"",
Inputs!F58)</f>
        <v/>
      </c>
      <c r="AE707" s="369"/>
      <c r="AF707" s="369" t="str">
        <f>IF(ISBLANK(Inputs!$A58),"",
MAX(0.75,MIN(1,0.75+0.25*(V707-Mat.Rebar_epsilon.cl)/(Mat.Rebar_epsilon.tl-Mat.Rebar_epsilon.cl))))</f>
        <v/>
      </c>
      <c r="AG707" s="369"/>
      <c r="AH707" s="370" t="str">
        <f>IF(ISBLANK(Inputs!$A58),"",
((AD707*T707+AB707*R707-Z707*P707-X707*N707)/12)*AF707)</f>
        <v/>
      </c>
      <c r="AI707" s="370"/>
      <c r="AJ707" s="370"/>
      <c r="AK707" s="369" t="str">
        <f>IF(ISBLANK(Inputs!$A58),"",
MAX(IF(ISNUMBER(AE575),1),
IF(ISNUMBER(AI575),2),
IF(ISNUMBER(AM575),3),
IF(ISNUMBER(AQ575),4),
IF(ISNUMBER(AU575),5),
IF(ISNUMBER(AY575),6),
IF(ISNUMBER(BC575),7),
IF(ISNUMBER(BG575),8),
IF(ISNUMBER(BK575),9),
IF(ISNUMBER(BO575),10)))</f>
        <v/>
      </c>
      <c r="AL707" s="369"/>
      <c r="AM707" s="369" t="str">
        <f>IF(ISBLANK(Inputs!$A58),"",
_xlfn.LET(
_xlpm.n,AK707,
CHOOSE(_xlpm.n,
AE575,AI575,AM575,AQ575,AU575,
AY575,BC575,BG575,BK575,BO575
)
))</f>
        <v/>
      </c>
      <c r="AN707" s="369"/>
      <c r="AO707" s="369" t="str">
        <f>IF(ISBLANK(Inputs!$A58),"",
Mat.Conc_Alpha.1*Mat.Conc_f.c*Geometry_b.Negative*MIN(AM707*Mat.Conc_Beta.1,Geometry_h.f.Negative))</f>
        <v/>
      </c>
      <c r="AP707" s="369"/>
      <c r="AQ707" s="369" t="str">
        <f>IF(ISBLANK(Inputs!$A58),"",
Mat.Conc_Alpha.1*Mat.Conc_f.c*Geometry_b.w*MAX(0,AM707*Mat.Conc_Beta.1-Geometry_h.f.Negative))</f>
        <v/>
      </c>
      <c r="AR707" s="369"/>
      <c r="AS707" s="369" t="str">
        <f>IF(ISBLANK(Inputs!$A58),"",
Mat.Rebar_A.s.Positive*MIN(Mat.Rebar_f.y,(Mat.Rebar_epsilon.cl*(Geometry_d.s.Negative-AM707)/AM707)*Mat.PT_E.s))</f>
        <v/>
      </c>
      <c r="AT707" s="369"/>
      <c r="AU707" s="369" t="str">
        <f>IF(ISBLANK(Inputs!$A58),"",
Mat.PT_A.ps*(Mat.PT_f.pu*(1-Mat.PT_k*AM707/Geometry_d.p.Negative)))</f>
        <v/>
      </c>
      <c r="AV707" s="369"/>
      <c r="AW707" s="369" t="str">
        <f>IF(ISBLANK(Inputs!$A58),"",
(Mat.PT_f.pe/Mat.PT_E.ps)+(Mat.Rebar_epsilon.cl*((Geometry_d.p.Negative-AM707)/AM707)))</f>
        <v/>
      </c>
      <c r="AX707" s="369"/>
      <c r="AY707" s="369" t="str">
        <f>IF(ISBLANK(Inputs!$A58),"",
0.5*MIN(AM707*Mat.Conc_Beta.1,Geometry_h.f.Negative))</f>
        <v/>
      </c>
      <c r="AZ707" s="369"/>
      <c r="BA707" s="369" t="str">
        <f>IF(ISBLANK(Inputs!$A58),"",
IF(AQ707=0,0,Geometry_h.f.Negative+0.5*MAX(0,AM707*Mat.Conc_Beta.1-Geometry_h.f.Negative)))</f>
        <v/>
      </c>
      <c r="BB707" s="369"/>
      <c r="BC707" s="369" t="str">
        <f>IF(ISBLANK(Inputs!$A58),"",
Inputs!L58)</f>
        <v/>
      </c>
      <c r="BD707" s="369"/>
      <c r="BE707" s="369" t="str">
        <f>IF(ISBLANK(Inputs!$A58),"",Inputs!$B$10-Inputs!F58)</f>
        <v/>
      </c>
      <c r="BF707" s="369"/>
      <c r="BG707" s="369" t="str">
        <f>IF(ISBLANK(Inputs!$A58),"",
MAX(0.75,MIN(1,0.75+0.25*(AW707-Mat.Rebar_epsilon.cl)/(Mat.Rebar_epsilon.tl-Mat.Rebar_epsilon.cl))))</f>
        <v/>
      </c>
      <c r="BH707" s="369"/>
      <c r="BI707" s="370" t="str">
        <f>IF(ISBLANK(Inputs!$A58),"",
-((BE707*AU707+BC707*AS707-BA707*AQ707-AY707*AO707)/12)*BG707)</f>
        <v/>
      </c>
      <c r="BJ707" s="370"/>
      <c r="BK707" s="370"/>
      <c r="BL707" s="370" t="str">
        <f>IF(ISBLANK(Inputs!C58),"",Inputs!C58)</f>
        <v/>
      </c>
      <c r="BM707" s="370"/>
      <c r="BN707" s="370"/>
      <c r="BO707" s="374" t="str">
        <f>IF(ISBLANK(Inputs!$A58),"",
IFERROR(IF(BL707&gt;=0,ABS(BL707)/ABS(AH707),ABS(BL707)/ABS(BI707)),""))</f>
        <v/>
      </c>
      <c r="BP707" s="374"/>
      <c r="BQ707" s="374"/>
      <c r="BR707" s="59"/>
      <c r="BS707" s="70"/>
      <c r="BT707" s="70"/>
      <c r="BU707" s="70"/>
      <c r="BV707" s="70"/>
      <c r="BW707" s="8"/>
      <c r="BX707" s="8"/>
      <c r="BY707" s="8"/>
      <c r="BZ707" s="8"/>
      <c r="CA707" s="8"/>
      <c r="CB707" s="10"/>
    </row>
    <row r="708" spans="3:80" ht="15" customHeight="1" x14ac:dyDescent="0.25">
      <c r="C708" s="69"/>
      <c r="F708" s="369" t="str">
        <f>IF(ISBLANK(Inputs!A59),"",Inputs!A59)</f>
        <v/>
      </c>
      <c r="G708" s="369"/>
      <c r="H708" s="369" t="str">
        <f>IF(ISBLANK(Inputs!B59),"",Inputs!B59)</f>
        <v/>
      </c>
      <c r="I708" s="369"/>
      <c r="J708" s="369" t="str">
        <f>IF(ISBLANK(Inputs!$A59),"",
MAX(IF(ISNUMBER(AE451),1),
IF(ISNUMBER(AI451),2),
IF(ISNUMBER(AM451),3),
IF(ISNUMBER(AQ451),4),
IF(ISNUMBER(AU451),5),
IF(ISNUMBER(AY451),6),
IF(ISNUMBER(BC451),7),
IF(ISNUMBER(BG451),8),
IF(ISNUMBER(BK451),9),
IF(ISNUMBER(BO451),10)))</f>
        <v/>
      </c>
      <c r="K708" s="369"/>
      <c r="L708" s="369" t="str">
        <f>IF(ISBLANK(Inputs!$A59),"",
_xlfn.LET(
_xlpm.n,J708,
CHOOSE(_xlpm.n,
AE451,AI451,AM451,AQ451,AU451,
AY451,BC451,BG451,BK451,BO451
)
))</f>
        <v/>
      </c>
      <c r="M708" s="369"/>
      <c r="N708" s="369" t="str">
        <f>IF(ISBLANK(Inputs!$A59),"",
Mat.Conc_Alpha.1*Mat.Conc_f.c*Inputs!J59*MIN(L708*Mat.Conc_Beta.1,Inputs!I59))</f>
        <v/>
      </c>
      <c r="O708" s="369"/>
      <c r="P708" s="372" t="str">
        <f>IF(ISBLANK(Inputs!$A59),"",
Mat.Conc_Alpha.1*Mat.Conc_f.c*Inputs!E59*MAX(0,L708*Mat.Conc_Beta.1-Inputs!I59))</f>
        <v/>
      </c>
      <c r="Q708" s="369"/>
      <c r="R708" s="369" t="str">
        <f>IF(ISBLANK(Inputs!$A59),"",Inputs!G59*MIN(Mat.Rebar_f.y,(Mat.Rebar_epsilon.cl*(Inputs!H59-L708)/L708)*Mat.PT_E.s))</f>
        <v/>
      </c>
      <c r="S708" s="369"/>
      <c r="T708" s="369" t="str">
        <f>IF(ISBLANK(Inputs!$A59),"",Inputs!D59*(Mat.PT_f.pu*(1-Mat.PT_k*L708/Inputs!F59)))</f>
        <v/>
      </c>
      <c r="U708" s="369"/>
      <c r="V708" s="369" t="str">
        <f>IF(ISBLANK(Inputs!$A59),"",
(Mat.PT_f.pe/Mat.PT_E.ps)+(Mat.Rebar_epsilon.cl*((Geometry_d.p.Positive-L708)/L708)))</f>
        <v/>
      </c>
      <c r="W708" s="369"/>
      <c r="X708" s="369" t="str">
        <f>IF(ISBLANK(Inputs!$A59),"",
0.5*MIN(L708*Mat.Conc_Beta.1,Geometry_h.f.Positive))</f>
        <v/>
      </c>
      <c r="Y708" s="369"/>
      <c r="Z708" s="369" t="str">
        <f>IF(ISBLANK(Inputs!$A59),"",
IF(P708=0,0,Geometry_h.f.Positive+0.5*MAX(0,L708*Mat.Conc_Beta.1-Geometry_h.f.Positive)))</f>
        <v/>
      </c>
      <c r="AA708" s="369"/>
      <c r="AB708" s="369" t="str">
        <f>IF(ISBLANK(Inputs!$A59),"",
Inputs!H59)</f>
        <v/>
      </c>
      <c r="AC708" s="369"/>
      <c r="AD708" s="369" t="str">
        <f>IF(ISBLANK(Inputs!$A59),"",
Inputs!F59)</f>
        <v/>
      </c>
      <c r="AE708" s="369"/>
      <c r="AF708" s="369" t="str">
        <f>IF(ISBLANK(Inputs!$A59),"",
MAX(0.75,MIN(1,0.75+0.25*(V708-Mat.Rebar_epsilon.cl)/(Mat.Rebar_epsilon.tl-Mat.Rebar_epsilon.cl))))</f>
        <v/>
      </c>
      <c r="AG708" s="369"/>
      <c r="AH708" s="370" t="str">
        <f>IF(ISBLANK(Inputs!$A59),"",
((AD708*T708+AB708*R708-Z708*P708-X708*N708)/12)*AF708)</f>
        <v/>
      </c>
      <c r="AI708" s="370"/>
      <c r="AJ708" s="370"/>
      <c r="AK708" s="369" t="str">
        <f>IF(ISBLANK(Inputs!$A59),"",
MAX(IF(ISNUMBER(AE576),1),
IF(ISNUMBER(AI576),2),
IF(ISNUMBER(AM576),3),
IF(ISNUMBER(AQ576),4),
IF(ISNUMBER(AU576),5),
IF(ISNUMBER(AY576),6),
IF(ISNUMBER(BC576),7),
IF(ISNUMBER(BG576),8),
IF(ISNUMBER(BK576),9),
IF(ISNUMBER(BO576),10)))</f>
        <v/>
      </c>
      <c r="AL708" s="369"/>
      <c r="AM708" s="369" t="str">
        <f>IF(ISBLANK(Inputs!$A59),"",
_xlfn.LET(
_xlpm.n,AK708,
CHOOSE(_xlpm.n,
AE576,AI576,AM576,AQ576,AU576,
AY576,BC576,BG576,BK576,BO576
)
))</f>
        <v/>
      </c>
      <c r="AN708" s="369"/>
      <c r="AO708" s="369" t="str">
        <f>IF(ISBLANK(Inputs!$A59),"",
Mat.Conc_Alpha.1*Mat.Conc_f.c*Geometry_b.Negative*MIN(AM708*Mat.Conc_Beta.1,Geometry_h.f.Negative))</f>
        <v/>
      </c>
      <c r="AP708" s="369"/>
      <c r="AQ708" s="369" t="str">
        <f>IF(ISBLANK(Inputs!$A59),"",
Mat.Conc_Alpha.1*Mat.Conc_f.c*Geometry_b.w*MAX(0,AM708*Mat.Conc_Beta.1-Geometry_h.f.Negative))</f>
        <v/>
      </c>
      <c r="AR708" s="369"/>
      <c r="AS708" s="369" t="str">
        <f>IF(ISBLANK(Inputs!$A59),"",
Mat.Rebar_A.s.Positive*MIN(Mat.Rebar_f.y,(Mat.Rebar_epsilon.cl*(Geometry_d.s.Negative-AM708)/AM708)*Mat.PT_E.s))</f>
        <v/>
      </c>
      <c r="AT708" s="369"/>
      <c r="AU708" s="369" t="str">
        <f>IF(ISBLANK(Inputs!$A59),"",
Mat.PT_A.ps*(Mat.PT_f.pu*(1-Mat.PT_k*AM708/Geometry_d.p.Negative)))</f>
        <v/>
      </c>
      <c r="AV708" s="369"/>
      <c r="AW708" s="369" t="str">
        <f>IF(ISBLANK(Inputs!$A59),"",
(Mat.PT_f.pe/Mat.PT_E.ps)+(Mat.Rebar_epsilon.cl*((Geometry_d.p.Negative-AM708)/AM708)))</f>
        <v/>
      </c>
      <c r="AX708" s="369"/>
      <c r="AY708" s="369" t="str">
        <f>IF(ISBLANK(Inputs!$A59),"",
0.5*MIN(AM708*Mat.Conc_Beta.1,Geometry_h.f.Negative))</f>
        <v/>
      </c>
      <c r="AZ708" s="369"/>
      <c r="BA708" s="369" t="str">
        <f>IF(ISBLANK(Inputs!$A59),"",
IF(AQ708=0,0,Geometry_h.f.Negative+0.5*MAX(0,AM708*Mat.Conc_Beta.1-Geometry_h.f.Negative)))</f>
        <v/>
      </c>
      <c r="BB708" s="369"/>
      <c r="BC708" s="369" t="str">
        <f>IF(ISBLANK(Inputs!$A59),"",
Inputs!L59)</f>
        <v/>
      </c>
      <c r="BD708" s="369"/>
      <c r="BE708" s="369" t="str">
        <f>IF(ISBLANK(Inputs!$A59),"",Inputs!$B$10-Inputs!F59)</f>
        <v/>
      </c>
      <c r="BF708" s="369"/>
      <c r="BG708" s="369" t="str">
        <f>IF(ISBLANK(Inputs!$A59),"",
MAX(0.75,MIN(1,0.75+0.25*(AW708-Mat.Rebar_epsilon.cl)/(Mat.Rebar_epsilon.tl-Mat.Rebar_epsilon.cl))))</f>
        <v/>
      </c>
      <c r="BH708" s="369"/>
      <c r="BI708" s="370" t="str">
        <f>IF(ISBLANK(Inputs!$A59),"",
-((BE708*AU708+BC708*AS708-BA708*AQ708-AY708*AO708)/12)*BG708)</f>
        <v/>
      </c>
      <c r="BJ708" s="370"/>
      <c r="BK708" s="370"/>
      <c r="BL708" s="370" t="str">
        <f>IF(ISBLANK(Inputs!C59),"",Inputs!C59)</f>
        <v/>
      </c>
      <c r="BM708" s="370"/>
      <c r="BN708" s="370"/>
      <c r="BO708" s="374" t="str">
        <f>IF(ISBLANK(Inputs!$A59),"",
IFERROR(IF(BL708&gt;=0,ABS(BL708)/ABS(AH708),ABS(BL708)/ABS(BI708)),""))</f>
        <v/>
      </c>
      <c r="BP708" s="374"/>
      <c r="BQ708" s="374"/>
      <c r="BR708" s="59"/>
      <c r="BS708" s="70"/>
      <c r="BT708" s="70"/>
      <c r="BU708" s="70"/>
      <c r="BV708" s="70"/>
      <c r="BW708" s="8"/>
      <c r="BX708" s="8"/>
      <c r="BY708" s="8"/>
      <c r="BZ708" s="8"/>
      <c r="CA708" s="8"/>
      <c r="CB708" s="10"/>
    </row>
    <row r="709" spans="3:80" ht="15" customHeight="1" x14ac:dyDescent="0.25">
      <c r="C709" s="69"/>
      <c r="F709" s="369" t="str">
        <f>IF(ISBLANK(Inputs!A60),"",Inputs!A60)</f>
        <v/>
      </c>
      <c r="G709" s="369"/>
      <c r="H709" s="369" t="str">
        <f>IF(ISBLANK(Inputs!B60),"",Inputs!B60)</f>
        <v/>
      </c>
      <c r="I709" s="369"/>
      <c r="J709" s="369" t="str">
        <f>IF(ISBLANK(Inputs!$A60),"",
MAX(IF(ISNUMBER(AE452),1),
IF(ISNUMBER(AI452),2),
IF(ISNUMBER(AM452),3),
IF(ISNUMBER(AQ452),4),
IF(ISNUMBER(AU452),5),
IF(ISNUMBER(AY452),6),
IF(ISNUMBER(BC452),7),
IF(ISNUMBER(BG452),8),
IF(ISNUMBER(BK452),9),
IF(ISNUMBER(BO452),10)))</f>
        <v/>
      </c>
      <c r="K709" s="369"/>
      <c r="L709" s="369" t="str">
        <f>IF(ISBLANK(Inputs!$A60),"",
_xlfn.LET(
_xlpm.n,J709,
CHOOSE(_xlpm.n,
AE452,AI452,AM452,AQ452,AU452,
AY452,BC452,BG452,BK452,BO452
)
))</f>
        <v/>
      </c>
      <c r="M709" s="369"/>
      <c r="N709" s="369" t="str">
        <f>IF(ISBLANK(Inputs!$A60),"",
Mat.Conc_Alpha.1*Mat.Conc_f.c*Inputs!J60*MIN(L709*Mat.Conc_Beta.1,Inputs!I60))</f>
        <v/>
      </c>
      <c r="O709" s="369"/>
      <c r="P709" s="372" t="str">
        <f>IF(ISBLANK(Inputs!$A60),"",
Mat.Conc_Alpha.1*Mat.Conc_f.c*Inputs!E60*MAX(0,L709*Mat.Conc_Beta.1-Inputs!I60))</f>
        <v/>
      </c>
      <c r="Q709" s="369"/>
      <c r="R709" s="369" t="str">
        <f>IF(ISBLANK(Inputs!$A60),"",Inputs!G60*MIN(Mat.Rebar_f.y,(Mat.Rebar_epsilon.cl*(Inputs!H60-L709)/L709)*Mat.PT_E.s))</f>
        <v/>
      </c>
      <c r="S709" s="369"/>
      <c r="T709" s="369" t="str">
        <f>IF(ISBLANK(Inputs!$A60),"",Inputs!D60*(Mat.PT_f.pu*(1-Mat.PT_k*L709/Inputs!F60)))</f>
        <v/>
      </c>
      <c r="U709" s="369"/>
      <c r="V709" s="369" t="str">
        <f>IF(ISBLANK(Inputs!$A60),"",
(Mat.PT_f.pe/Mat.PT_E.ps)+(Mat.Rebar_epsilon.cl*((Geometry_d.p.Positive-L709)/L709)))</f>
        <v/>
      </c>
      <c r="W709" s="369"/>
      <c r="X709" s="369" t="str">
        <f>IF(ISBLANK(Inputs!$A60),"",
0.5*MIN(L709*Mat.Conc_Beta.1,Geometry_h.f.Positive))</f>
        <v/>
      </c>
      <c r="Y709" s="369"/>
      <c r="Z709" s="369" t="str">
        <f>IF(ISBLANK(Inputs!$A60),"",
IF(P709=0,0,Geometry_h.f.Positive+0.5*MAX(0,L709*Mat.Conc_Beta.1-Geometry_h.f.Positive)))</f>
        <v/>
      </c>
      <c r="AA709" s="369"/>
      <c r="AB709" s="369" t="str">
        <f>IF(ISBLANK(Inputs!$A60),"",
Inputs!H60)</f>
        <v/>
      </c>
      <c r="AC709" s="369"/>
      <c r="AD709" s="369" t="str">
        <f>IF(ISBLANK(Inputs!$A60),"",
Inputs!F60)</f>
        <v/>
      </c>
      <c r="AE709" s="369"/>
      <c r="AF709" s="369" t="str">
        <f>IF(ISBLANK(Inputs!$A60),"",
MAX(0.75,MIN(1,0.75+0.25*(V709-Mat.Rebar_epsilon.cl)/(Mat.Rebar_epsilon.tl-Mat.Rebar_epsilon.cl))))</f>
        <v/>
      </c>
      <c r="AG709" s="369"/>
      <c r="AH709" s="370" t="str">
        <f>IF(ISBLANK(Inputs!$A60),"",
((AD709*T709+AB709*R709-Z709*P709-X709*N709)/12)*AF709)</f>
        <v/>
      </c>
      <c r="AI709" s="370"/>
      <c r="AJ709" s="370"/>
      <c r="AK709" s="369" t="str">
        <f>IF(ISBLANK(Inputs!$A60),"",
MAX(IF(ISNUMBER(AE577),1),
IF(ISNUMBER(AI577),2),
IF(ISNUMBER(AM577),3),
IF(ISNUMBER(AQ577),4),
IF(ISNUMBER(AU577),5),
IF(ISNUMBER(AY577),6),
IF(ISNUMBER(BC577),7),
IF(ISNUMBER(BG577),8),
IF(ISNUMBER(BK577),9),
IF(ISNUMBER(BO577),10)))</f>
        <v/>
      </c>
      <c r="AL709" s="369"/>
      <c r="AM709" s="369" t="str">
        <f>IF(ISBLANK(Inputs!$A60),"",
_xlfn.LET(
_xlpm.n,AK709,
CHOOSE(_xlpm.n,
AE577,AI577,AM577,AQ577,AU577,
AY577,BC577,BG577,BK577,BO577
)
))</f>
        <v/>
      </c>
      <c r="AN709" s="369"/>
      <c r="AO709" s="369" t="str">
        <f>IF(ISBLANK(Inputs!$A60),"",
Mat.Conc_Alpha.1*Mat.Conc_f.c*Geometry_b.Negative*MIN(AM709*Mat.Conc_Beta.1,Geometry_h.f.Negative))</f>
        <v/>
      </c>
      <c r="AP709" s="369"/>
      <c r="AQ709" s="369" t="str">
        <f>IF(ISBLANK(Inputs!$A60),"",
Mat.Conc_Alpha.1*Mat.Conc_f.c*Geometry_b.w*MAX(0,AM709*Mat.Conc_Beta.1-Geometry_h.f.Negative))</f>
        <v/>
      </c>
      <c r="AR709" s="369"/>
      <c r="AS709" s="369" t="str">
        <f>IF(ISBLANK(Inputs!$A60),"",
Mat.Rebar_A.s.Positive*MIN(Mat.Rebar_f.y,(Mat.Rebar_epsilon.cl*(Geometry_d.s.Negative-AM709)/AM709)*Mat.PT_E.s))</f>
        <v/>
      </c>
      <c r="AT709" s="369"/>
      <c r="AU709" s="369" t="str">
        <f>IF(ISBLANK(Inputs!$A60),"",
Mat.PT_A.ps*(Mat.PT_f.pu*(1-Mat.PT_k*AM709/Geometry_d.p.Negative)))</f>
        <v/>
      </c>
      <c r="AV709" s="369"/>
      <c r="AW709" s="369" t="str">
        <f>IF(ISBLANK(Inputs!$A60),"",
(Mat.PT_f.pe/Mat.PT_E.ps)+(Mat.Rebar_epsilon.cl*((Geometry_d.p.Negative-AM709)/AM709)))</f>
        <v/>
      </c>
      <c r="AX709" s="369"/>
      <c r="AY709" s="369" t="str">
        <f>IF(ISBLANK(Inputs!$A60),"",
0.5*MIN(AM709*Mat.Conc_Beta.1,Geometry_h.f.Negative))</f>
        <v/>
      </c>
      <c r="AZ709" s="369"/>
      <c r="BA709" s="369" t="str">
        <f>IF(ISBLANK(Inputs!$A60),"",
IF(AQ709=0,0,Geometry_h.f.Negative+0.5*MAX(0,AM709*Mat.Conc_Beta.1-Geometry_h.f.Negative)))</f>
        <v/>
      </c>
      <c r="BB709" s="369"/>
      <c r="BC709" s="369" t="str">
        <f>IF(ISBLANK(Inputs!$A60),"",
Inputs!L60)</f>
        <v/>
      </c>
      <c r="BD709" s="369"/>
      <c r="BE709" s="369" t="str">
        <f>IF(ISBLANK(Inputs!$A60),"",Inputs!$B$10-Inputs!F60)</f>
        <v/>
      </c>
      <c r="BF709" s="369"/>
      <c r="BG709" s="369" t="str">
        <f>IF(ISBLANK(Inputs!$A60),"",
MAX(0.75,MIN(1,0.75+0.25*(AW709-Mat.Rebar_epsilon.cl)/(Mat.Rebar_epsilon.tl-Mat.Rebar_epsilon.cl))))</f>
        <v/>
      </c>
      <c r="BH709" s="369"/>
      <c r="BI709" s="370" t="str">
        <f>IF(ISBLANK(Inputs!$A60),"",
-((BE709*AU709+BC709*AS709-BA709*AQ709-AY709*AO709)/12)*BG709)</f>
        <v/>
      </c>
      <c r="BJ709" s="370"/>
      <c r="BK709" s="370"/>
      <c r="BL709" s="370" t="str">
        <f>IF(ISBLANK(Inputs!C60),"",Inputs!C60)</f>
        <v/>
      </c>
      <c r="BM709" s="370"/>
      <c r="BN709" s="370"/>
      <c r="BO709" s="374" t="str">
        <f>IF(ISBLANK(Inputs!$A60),"",
IFERROR(IF(BL709&gt;=0,ABS(BL709)/ABS(AH709),ABS(BL709)/ABS(BI709)),""))</f>
        <v/>
      </c>
      <c r="BP709" s="374"/>
      <c r="BQ709" s="374"/>
      <c r="BR709" s="59"/>
      <c r="BS709" s="70"/>
      <c r="BT709" s="70"/>
      <c r="BU709" s="70"/>
      <c r="BV709" s="70"/>
      <c r="BW709" s="8"/>
      <c r="BX709" s="8"/>
      <c r="BY709" s="8"/>
      <c r="BZ709" s="8"/>
      <c r="CA709" s="8"/>
      <c r="CB709" s="10"/>
    </row>
    <row r="710" spans="3:80" ht="15" customHeight="1" x14ac:dyDescent="0.25">
      <c r="C710" s="69"/>
      <c r="F710" s="369" t="str">
        <f>IF(ISBLANK(Inputs!A61),"",Inputs!A61)</f>
        <v/>
      </c>
      <c r="G710" s="369"/>
      <c r="H710" s="369" t="str">
        <f>IF(ISBLANK(Inputs!B61),"",Inputs!B61)</f>
        <v/>
      </c>
      <c r="I710" s="369"/>
      <c r="J710" s="369" t="str">
        <f>IF(ISBLANK(Inputs!$A61),"",
MAX(IF(ISNUMBER(AE453),1),
IF(ISNUMBER(AI453),2),
IF(ISNUMBER(AM453),3),
IF(ISNUMBER(AQ453),4),
IF(ISNUMBER(AU453),5),
IF(ISNUMBER(AY453),6),
IF(ISNUMBER(BC453),7),
IF(ISNUMBER(BG453),8),
IF(ISNUMBER(BK453),9),
IF(ISNUMBER(BO453),10)))</f>
        <v/>
      </c>
      <c r="K710" s="369"/>
      <c r="L710" s="369" t="str">
        <f>IF(ISBLANK(Inputs!$A61),"",
_xlfn.LET(
_xlpm.n,J710,
CHOOSE(_xlpm.n,
AE453,AI453,AM453,AQ453,AU453,
AY453,BC453,BG453,BK453,BO453
)
))</f>
        <v/>
      </c>
      <c r="M710" s="369"/>
      <c r="N710" s="369" t="str">
        <f>IF(ISBLANK(Inputs!$A61),"",
Mat.Conc_Alpha.1*Mat.Conc_f.c*Inputs!J61*MIN(L710*Mat.Conc_Beta.1,Inputs!I61))</f>
        <v/>
      </c>
      <c r="O710" s="369"/>
      <c r="P710" s="372" t="str">
        <f>IF(ISBLANK(Inputs!$A61),"",
Mat.Conc_Alpha.1*Mat.Conc_f.c*Inputs!E61*MAX(0,L710*Mat.Conc_Beta.1-Inputs!I61))</f>
        <v/>
      </c>
      <c r="Q710" s="369"/>
      <c r="R710" s="369" t="str">
        <f>IF(ISBLANK(Inputs!$A61),"",Inputs!G61*MIN(Mat.Rebar_f.y,(Mat.Rebar_epsilon.cl*(Inputs!H61-L710)/L710)*Mat.PT_E.s))</f>
        <v/>
      </c>
      <c r="S710" s="369"/>
      <c r="T710" s="369" t="str">
        <f>IF(ISBLANK(Inputs!$A61),"",Inputs!D61*(Mat.PT_f.pu*(1-Mat.PT_k*L710/Inputs!F61)))</f>
        <v/>
      </c>
      <c r="U710" s="369"/>
      <c r="V710" s="369" t="str">
        <f>IF(ISBLANK(Inputs!$A61),"",
(Mat.PT_f.pe/Mat.PT_E.ps)+(Mat.Rebar_epsilon.cl*((Geometry_d.p.Positive-L710)/L710)))</f>
        <v/>
      </c>
      <c r="W710" s="369"/>
      <c r="X710" s="369" t="str">
        <f>IF(ISBLANK(Inputs!$A61),"",
0.5*MIN(L710*Mat.Conc_Beta.1,Geometry_h.f.Positive))</f>
        <v/>
      </c>
      <c r="Y710" s="369"/>
      <c r="Z710" s="369" t="str">
        <f>IF(ISBLANK(Inputs!$A61),"",
IF(P710=0,0,Geometry_h.f.Positive+0.5*MAX(0,L710*Mat.Conc_Beta.1-Geometry_h.f.Positive)))</f>
        <v/>
      </c>
      <c r="AA710" s="369"/>
      <c r="AB710" s="369" t="str">
        <f>IF(ISBLANK(Inputs!$A61),"",
Inputs!H61)</f>
        <v/>
      </c>
      <c r="AC710" s="369"/>
      <c r="AD710" s="369" t="str">
        <f>IF(ISBLANK(Inputs!$A61),"",
Inputs!F61)</f>
        <v/>
      </c>
      <c r="AE710" s="369"/>
      <c r="AF710" s="369" t="str">
        <f>IF(ISBLANK(Inputs!$A61),"",
MAX(0.75,MIN(1,0.75+0.25*(V710-Mat.Rebar_epsilon.cl)/(Mat.Rebar_epsilon.tl-Mat.Rebar_epsilon.cl))))</f>
        <v/>
      </c>
      <c r="AG710" s="369"/>
      <c r="AH710" s="370" t="str">
        <f>IF(ISBLANK(Inputs!$A61),"",
((AD710*T710+AB710*R710-Z710*P710-X710*N710)/12)*AF710)</f>
        <v/>
      </c>
      <c r="AI710" s="370"/>
      <c r="AJ710" s="370"/>
      <c r="AK710" s="369" t="str">
        <f>IF(ISBLANK(Inputs!$A61),"",
MAX(IF(ISNUMBER(AE578),1),
IF(ISNUMBER(AI578),2),
IF(ISNUMBER(AM578),3),
IF(ISNUMBER(AQ578),4),
IF(ISNUMBER(AU578),5),
IF(ISNUMBER(AY578),6),
IF(ISNUMBER(BC578),7),
IF(ISNUMBER(BG578),8),
IF(ISNUMBER(BK578),9),
IF(ISNUMBER(BO578),10)))</f>
        <v/>
      </c>
      <c r="AL710" s="369"/>
      <c r="AM710" s="369" t="str">
        <f>IF(ISBLANK(Inputs!$A61),"",
_xlfn.LET(
_xlpm.n,AK710,
CHOOSE(_xlpm.n,
AE578,AI578,AM578,AQ578,AU578,
AY578,BC578,BG578,BK578,BO578
)
))</f>
        <v/>
      </c>
      <c r="AN710" s="369"/>
      <c r="AO710" s="369" t="str">
        <f>IF(ISBLANK(Inputs!$A61),"",
Mat.Conc_Alpha.1*Mat.Conc_f.c*Geometry_b.Negative*MIN(AM710*Mat.Conc_Beta.1,Geometry_h.f.Negative))</f>
        <v/>
      </c>
      <c r="AP710" s="369"/>
      <c r="AQ710" s="369" t="str">
        <f>IF(ISBLANK(Inputs!$A61),"",
Mat.Conc_Alpha.1*Mat.Conc_f.c*Geometry_b.w*MAX(0,AM710*Mat.Conc_Beta.1-Geometry_h.f.Negative))</f>
        <v/>
      </c>
      <c r="AR710" s="369"/>
      <c r="AS710" s="369" t="str">
        <f>IF(ISBLANK(Inputs!$A61),"",
Mat.Rebar_A.s.Positive*MIN(Mat.Rebar_f.y,(Mat.Rebar_epsilon.cl*(Geometry_d.s.Negative-AM710)/AM710)*Mat.PT_E.s))</f>
        <v/>
      </c>
      <c r="AT710" s="369"/>
      <c r="AU710" s="369" t="str">
        <f>IF(ISBLANK(Inputs!$A61),"",
Mat.PT_A.ps*(Mat.PT_f.pu*(1-Mat.PT_k*AM710/Geometry_d.p.Negative)))</f>
        <v/>
      </c>
      <c r="AV710" s="369"/>
      <c r="AW710" s="369" t="str">
        <f>IF(ISBLANK(Inputs!$A61),"",
(Mat.PT_f.pe/Mat.PT_E.ps)+(Mat.Rebar_epsilon.cl*((Geometry_d.p.Negative-AM710)/AM710)))</f>
        <v/>
      </c>
      <c r="AX710" s="369"/>
      <c r="AY710" s="369" t="str">
        <f>IF(ISBLANK(Inputs!$A61),"",
0.5*MIN(AM710*Mat.Conc_Beta.1,Geometry_h.f.Negative))</f>
        <v/>
      </c>
      <c r="AZ710" s="369"/>
      <c r="BA710" s="369" t="str">
        <f>IF(ISBLANK(Inputs!$A61),"",
IF(AQ710=0,0,Geometry_h.f.Negative+0.5*MAX(0,AM710*Mat.Conc_Beta.1-Geometry_h.f.Negative)))</f>
        <v/>
      </c>
      <c r="BB710" s="369"/>
      <c r="BC710" s="369" t="str">
        <f>IF(ISBLANK(Inputs!$A61),"",
Inputs!L61)</f>
        <v/>
      </c>
      <c r="BD710" s="369"/>
      <c r="BE710" s="369" t="str">
        <f>IF(ISBLANK(Inputs!$A61),"",Inputs!$B$10-Inputs!F61)</f>
        <v/>
      </c>
      <c r="BF710" s="369"/>
      <c r="BG710" s="369" t="str">
        <f>IF(ISBLANK(Inputs!$A61),"",
MAX(0.75,MIN(1,0.75+0.25*(AW710-Mat.Rebar_epsilon.cl)/(Mat.Rebar_epsilon.tl-Mat.Rebar_epsilon.cl))))</f>
        <v/>
      </c>
      <c r="BH710" s="369"/>
      <c r="BI710" s="370" t="str">
        <f>IF(ISBLANK(Inputs!$A61),"",
-((BE710*AU710+BC710*AS710-BA710*AQ710-AY710*AO710)/12)*BG710)</f>
        <v/>
      </c>
      <c r="BJ710" s="370"/>
      <c r="BK710" s="370"/>
      <c r="BL710" s="370" t="str">
        <f>IF(ISBLANK(Inputs!C61),"",Inputs!C61)</f>
        <v/>
      </c>
      <c r="BM710" s="370"/>
      <c r="BN710" s="370"/>
      <c r="BO710" s="374" t="str">
        <f>IF(ISBLANK(Inputs!$A61),"",
IFERROR(IF(BL710&gt;=0,ABS(BL710)/ABS(AH710),ABS(BL710)/ABS(BI710)),""))</f>
        <v/>
      </c>
      <c r="BP710" s="374"/>
      <c r="BQ710" s="374"/>
      <c r="BR710" s="59"/>
      <c r="BS710" s="70"/>
      <c r="BT710" s="70"/>
      <c r="BU710" s="70"/>
      <c r="BV710" s="70"/>
      <c r="BW710" s="8"/>
      <c r="BX710" s="8"/>
      <c r="BY710" s="8"/>
      <c r="BZ710" s="8"/>
      <c r="CA710" s="8"/>
      <c r="CB710" s="10"/>
    </row>
    <row r="711" spans="3:80" ht="15" customHeight="1" x14ac:dyDescent="0.25">
      <c r="C711" s="69"/>
      <c r="F711" s="369" t="str">
        <f>IF(ISBLANK(Inputs!A62),"",Inputs!A62)</f>
        <v/>
      </c>
      <c r="G711" s="369"/>
      <c r="H711" s="369" t="str">
        <f>IF(ISBLANK(Inputs!B62),"",Inputs!B62)</f>
        <v/>
      </c>
      <c r="I711" s="369"/>
      <c r="J711" s="369" t="str">
        <f>IF(ISBLANK(Inputs!$A62),"",
MAX(IF(ISNUMBER(AE454),1),
IF(ISNUMBER(AI454),2),
IF(ISNUMBER(AM454),3),
IF(ISNUMBER(AQ454),4),
IF(ISNUMBER(AU454),5),
IF(ISNUMBER(AY454),6),
IF(ISNUMBER(BC454),7),
IF(ISNUMBER(BG454),8),
IF(ISNUMBER(BK454),9),
IF(ISNUMBER(BO454),10)))</f>
        <v/>
      </c>
      <c r="K711" s="369"/>
      <c r="L711" s="369" t="str">
        <f>IF(ISBLANK(Inputs!$A62),"",
_xlfn.LET(
_xlpm.n,J711,
CHOOSE(_xlpm.n,
AE454,AI454,AM454,AQ454,AU454,
AY454,BC454,BG454,BK454,BO454
)
))</f>
        <v/>
      </c>
      <c r="M711" s="369"/>
      <c r="N711" s="369" t="str">
        <f>IF(ISBLANK(Inputs!$A62),"",
Mat.Conc_Alpha.1*Mat.Conc_f.c*Inputs!J62*MIN(L711*Mat.Conc_Beta.1,Inputs!I62))</f>
        <v/>
      </c>
      <c r="O711" s="369"/>
      <c r="P711" s="372" t="str">
        <f>IF(ISBLANK(Inputs!$A62),"",
Mat.Conc_Alpha.1*Mat.Conc_f.c*Inputs!E62*MAX(0,L711*Mat.Conc_Beta.1-Inputs!I62))</f>
        <v/>
      </c>
      <c r="Q711" s="369"/>
      <c r="R711" s="369" t="str">
        <f>IF(ISBLANK(Inputs!$A62),"",Inputs!G62*MIN(Mat.Rebar_f.y,(Mat.Rebar_epsilon.cl*(Inputs!H62-L711)/L711)*Mat.PT_E.s))</f>
        <v/>
      </c>
      <c r="S711" s="369"/>
      <c r="T711" s="369" t="str">
        <f>IF(ISBLANK(Inputs!$A62),"",Inputs!D62*(Mat.PT_f.pu*(1-Mat.PT_k*L711/Inputs!F62)))</f>
        <v/>
      </c>
      <c r="U711" s="369"/>
      <c r="V711" s="369" t="str">
        <f>IF(ISBLANK(Inputs!$A62),"",
(Mat.PT_f.pe/Mat.PT_E.ps)+(Mat.Rebar_epsilon.cl*((Geometry_d.p.Positive-L711)/L711)))</f>
        <v/>
      </c>
      <c r="W711" s="369"/>
      <c r="X711" s="369" t="str">
        <f>IF(ISBLANK(Inputs!$A62),"",
0.5*MIN(L711*Mat.Conc_Beta.1,Geometry_h.f.Positive))</f>
        <v/>
      </c>
      <c r="Y711" s="369"/>
      <c r="Z711" s="369" t="str">
        <f>IF(ISBLANK(Inputs!$A62),"",
IF(P711=0,0,Geometry_h.f.Positive+0.5*MAX(0,L711*Mat.Conc_Beta.1-Geometry_h.f.Positive)))</f>
        <v/>
      </c>
      <c r="AA711" s="369"/>
      <c r="AB711" s="369" t="str">
        <f>IF(ISBLANK(Inputs!$A62),"",
Inputs!H62)</f>
        <v/>
      </c>
      <c r="AC711" s="369"/>
      <c r="AD711" s="369" t="str">
        <f>IF(ISBLANK(Inputs!$A62),"",
Inputs!F62)</f>
        <v/>
      </c>
      <c r="AE711" s="369"/>
      <c r="AF711" s="369" t="str">
        <f>IF(ISBLANK(Inputs!$A62),"",
MAX(0.75,MIN(1,0.75+0.25*(V711-Mat.Rebar_epsilon.cl)/(Mat.Rebar_epsilon.tl-Mat.Rebar_epsilon.cl))))</f>
        <v/>
      </c>
      <c r="AG711" s="369"/>
      <c r="AH711" s="370" t="str">
        <f>IF(ISBLANK(Inputs!$A62),"",
((AD711*T711+AB711*R711-Z711*P711-X711*N711)/12)*AF711)</f>
        <v/>
      </c>
      <c r="AI711" s="370"/>
      <c r="AJ711" s="370"/>
      <c r="AK711" s="369" t="str">
        <f>IF(ISBLANK(Inputs!$A62),"",
MAX(IF(ISNUMBER(AE579),1),
IF(ISNUMBER(AI579),2),
IF(ISNUMBER(AM579),3),
IF(ISNUMBER(AQ579),4),
IF(ISNUMBER(AU579),5),
IF(ISNUMBER(AY579),6),
IF(ISNUMBER(BC579),7),
IF(ISNUMBER(BG579),8),
IF(ISNUMBER(BK579),9),
IF(ISNUMBER(BO579),10)))</f>
        <v/>
      </c>
      <c r="AL711" s="369"/>
      <c r="AM711" s="369" t="str">
        <f>IF(ISBLANK(Inputs!$A62),"",
_xlfn.LET(
_xlpm.n,AK711,
CHOOSE(_xlpm.n,
AE579,AI579,AM579,AQ579,AU579,
AY579,BC579,BG579,BK579,BO579
)
))</f>
        <v/>
      </c>
      <c r="AN711" s="369"/>
      <c r="AO711" s="369" t="str">
        <f>IF(ISBLANK(Inputs!$A62),"",
Mat.Conc_Alpha.1*Mat.Conc_f.c*Geometry_b.Negative*MIN(AM711*Mat.Conc_Beta.1,Geometry_h.f.Negative))</f>
        <v/>
      </c>
      <c r="AP711" s="369"/>
      <c r="AQ711" s="369" t="str">
        <f>IF(ISBLANK(Inputs!$A62),"",
Mat.Conc_Alpha.1*Mat.Conc_f.c*Geometry_b.w*MAX(0,AM711*Mat.Conc_Beta.1-Geometry_h.f.Negative))</f>
        <v/>
      </c>
      <c r="AR711" s="369"/>
      <c r="AS711" s="369" t="str">
        <f>IF(ISBLANK(Inputs!$A62),"",
Mat.Rebar_A.s.Positive*MIN(Mat.Rebar_f.y,(Mat.Rebar_epsilon.cl*(Geometry_d.s.Negative-AM711)/AM711)*Mat.PT_E.s))</f>
        <v/>
      </c>
      <c r="AT711" s="369"/>
      <c r="AU711" s="369" t="str">
        <f>IF(ISBLANK(Inputs!$A62),"",
Mat.PT_A.ps*(Mat.PT_f.pu*(1-Mat.PT_k*AM711/Geometry_d.p.Negative)))</f>
        <v/>
      </c>
      <c r="AV711" s="369"/>
      <c r="AW711" s="369" t="str">
        <f>IF(ISBLANK(Inputs!$A62),"",
(Mat.PT_f.pe/Mat.PT_E.ps)+(Mat.Rebar_epsilon.cl*((Geometry_d.p.Negative-AM711)/AM711)))</f>
        <v/>
      </c>
      <c r="AX711" s="369"/>
      <c r="AY711" s="369" t="str">
        <f>IF(ISBLANK(Inputs!$A62),"",
0.5*MIN(AM711*Mat.Conc_Beta.1,Geometry_h.f.Negative))</f>
        <v/>
      </c>
      <c r="AZ711" s="369"/>
      <c r="BA711" s="369" t="str">
        <f>IF(ISBLANK(Inputs!$A62),"",
IF(AQ711=0,0,Geometry_h.f.Negative+0.5*MAX(0,AM711*Mat.Conc_Beta.1-Geometry_h.f.Negative)))</f>
        <v/>
      </c>
      <c r="BB711" s="369"/>
      <c r="BC711" s="369" t="str">
        <f>IF(ISBLANK(Inputs!$A62),"",
Inputs!L62)</f>
        <v/>
      </c>
      <c r="BD711" s="369"/>
      <c r="BE711" s="369" t="str">
        <f>IF(ISBLANK(Inputs!$A62),"",Inputs!$B$10-Inputs!F62)</f>
        <v/>
      </c>
      <c r="BF711" s="369"/>
      <c r="BG711" s="369" t="str">
        <f>IF(ISBLANK(Inputs!$A62),"",
MAX(0.75,MIN(1,0.75+0.25*(AW711-Mat.Rebar_epsilon.cl)/(Mat.Rebar_epsilon.tl-Mat.Rebar_epsilon.cl))))</f>
        <v/>
      </c>
      <c r="BH711" s="369"/>
      <c r="BI711" s="370" t="str">
        <f>IF(ISBLANK(Inputs!$A62),"",
-((BE711*AU711+BC711*AS711-BA711*AQ711-AY711*AO711)/12)*BG711)</f>
        <v/>
      </c>
      <c r="BJ711" s="370"/>
      <c r="BK711" s="370"/>
      <c r="BL711" s="370" t="str">
        <f>IF(ISBLANK(Inputs!C62),"",Inputs!C62)</f>
        <v/>
      </c>
      <c r="BM711" s="370"/>
      <c r="BN711" s="370"/>
      <c r="BO711" s="374" t="str">
        <f>IF(ISBLANK(Inputs!$A62),"",
IFERROR(IF(BL711&gt;=0,ABS(BL711)/ABS(AH711),ABS(BL711)/ABS(BI711)),""))</f>
        <v/>
      </c>
      <c r="BP711" s="374"/>
      <c r="BQ711" s="374"/>
      <c r="BR711" s="59"/>
      <c r="BS711" s="70"/>
      <c r="BT711" s="70"/>
      <c r="BU711" s="70"/>
      <c r="BV711" s="70"/>
      <c r="BW711" s="8"/>
      <c r="BX711" s="8"/>
      <c r="BY711" s="8"/>
      <c r="BZ711" s="8"/>
      <c r="CA711" s="8"/>
      <c r="CB711" s="10"/>
    </row>
    <row r="712" spans="3:80" ht="15" customHeight="1" x14ac:dyDescent="0.25">
      <c r="C712" s="69"/>
      <c r="F712" s="369" t="str">
        <f>IF(ISBLANK(Inputs!A63),"",Inputs!A63)</f>
        <v/>
      </c>
      <c r="G712" s="369"/>
      <c r="H712" s="369" t="str">
        <f>IF(ISBLANK(Inputs!B63),"",Inputs!B63)</f>
        <v/>
      </c>
      <c r="I712" s="369"/>
      <c r="J712" s="369" t="str">
        <f>IF(ISBLANK(Inputs!$A63),"",
MAX(IF(ISNUMBER(AE455),1),
IF(ISNUMBER(AI455),2),
IF(ISNUMBER(AM455),3),
IF(ISNUMBER(AQ455),4),
IF(ISNUMBER(AU455),5),
IF(ISNUMBER(AY455),6),
IF(ISNUMBER(BC455),7),
IF(ISNUMBER(BG455),8),
IF(ISNUMBER(BK455),9),
IF(ISNUMBER(BO455),10)))</f>
        <v/>
      </c>
      <c r="K712" s="369"/>
      <c r="L712" s="369" t="str">
        <f>IF(ISBLANK(Inputs!$A63),"",
_xlfn.LET(
_xlpm.n,J712,
CHOOSE(_xlpm.n,
AE455,AI455,AM455,AQ455,AU455,
AY455,BC455,BG455,BK455,BO455
)
))</f>
        <v/>
      </c>
      <c r="M712" s="369"/>
      <c r="N712" s="369" t="str">
        <f>IF(ISBLANK(Inputs!$A63),"",
Mat.Conc_Alpha.1*Mat.Conc_f.c*Inputs!J63*MIN(L712*Mat.Conc_Beta.1,Inputs!I63))</f>
        <v/>
      </c>
      <c r="O712" s="369"/>
      <c r="P712" s="372" t="str">
        <f>IF(ISBLANK(Inputs!$A63),"",
Mat.Conc_Alpha.1*Mat.Conc_f.c*Inputs!E63*MAX(0,L712*Mat.Conc_Beta.1-Inputs!I63))</f>
        <v/>
      </c>
      <c r="Q712" s="369"/>
      <c r="R712" s="369" t="str">
        <f>IF(ISBLANK(Inputs!$A63),"",Inputs!G63*MIN(Mat.Rebar_f.y,(Mat.Rebar_epsilon.cl*(Inputs!H63-L712)/L712)*Mat.PT_E.s))</f>
        <v/>
      </c>
      <c r="S712" s="369"/>
      <c r="T712" s="369" t="str">
        <f>IF(ISBLANK(Inputs!$A63),"",Inputs!D63*(Mat.PT_f.pu*(1-Mat.PT_k*L712/Inputs!F63)))</f>
        <v/>
      </c>
      <c r="U712" s="369"/>
      <c r="V712" s="369" t="str">
        <f>IF(ISBLANK(Inputs!$A63),"",
(Mat.PT_f.pe/Mat.PT_E.ps)+(Mat.Rebar_epsilon.cl*((Geometry_d.p.Positive-L712)/L712)))</f>
        <v/>
      </c>
      <c r="W712" s="369"/>
      <c r="X712" s="369" t="str">
        <f>IF(ISBLANK(Inputs!$A63),"",
0.5*MIN(L712*Mat.Conc_Beta.1,Geometry_h.f.Positive))</f>
        <v/>
      </c>
      <c r="Y712" s="369"/>
      <c r="Z712" s="369" t="str">
        <f>IF(ISBLANK(Inputs!$A63),"",
IF(P712=0,0,Geometry_h.f.Positive+0.5*MAX(0,L712*Mat.Conc_Beta.1-Geometry_h.f.Positive)))</f>
        <v/>
      </c>
      <c r="AA712" s="369"/>
      <c r="AB712" s="369" t="str">
        <f>IF(ISBLANK(Inputs!$A63),"",
Inputs!H63)</f>
        <v/>
      </c>
      <c r="AC712" s="369"/>
      <c r="AD712" s="369" t="str">
        <f>IF(ISBLANK(Inputs!$A63),"",
Inputs!F63)</f>
        <v/>
      </c>
      <c r="AE712" s="369"/>
      <c r="AF712" s="369" t="str">
        <f>IF(ISBLANK(Inputs!$A63),"",
MAX(0.75,MIN(1,0.75+0.25*(V712-Mat.Rebar_epsilon.cl)/(Mat.Rebar_epsilon.tl-Mat.Rebar_epsilon.cl))))</f>
        <v/>
      </c>
      <c r="AG712" s="369"/>
      <c r="AH712" s="370" t="str">
        <f>IF(ISBLANK(Inputs!$A63),"",
((AD712*T712+AB712*R712-Z712*P712-X712*N712)/12)*AF712)</f>
        <v/>
      </c>
      <c r="AI712" s="370"/>
      <c r="AJ712" s="370"/>
      <c r="AK712" s="369" t="str">
        <f>IF(ISBLANK(Inputs!$A63),"",
MAX(IF(ISNUMBER(AE580),1),
IF(ISNUMBER(AI580),2),
IF(ISNUMBER(AM580),3),
IF(ISNUMBER(AQ580),4),
IF(ISNUMBER(AU580),5),
IF(ISNUMBER(AY580),6),
IF(ISNUMBER(BC580),7),
IF(ISNUMBER(BG580),8),
IF(ISNUMBER(BK580),9),
IF(ISNUMBER(BO580),10)))</f>
        <v/>
      </c>
      <c r="AL712" s="369"/>
      <c r="AM712" s="369" t="str">
        <f>IF(ISBLANK(Inputs!$A63),"",
_xlfn.LET(
_xlpm.n,AK712,
CHOOSE(_xlpm.n,
AE580,AI580,AM580,AQ580,AU580,
AY580,BC580,BG580,BK580,BO580
)
))</f>
        <v/>
      </c>
      <c r="AN712" s="369"/>
      <c r="AO712" s="369" t="str">
        <f>IF(ISBLANK(Inputs!$A63),"",
Mat.Conc_Alpha.1*Mat.Conc_f.c*Geometry_b.Negative*MIN(AM712*Mat.Conc_Beta.1,Geometry_h.f.Negative))</f>
        <v/>
      </c>
      <c r="AP712" s="369"/>
      <c r="AQ712" s="369" t="str">
        <f>IF(ISBLANK(Inputs!$A63),"",
Mat.Conc_Alpha.1*Mat.Conc_f.c*Geometry_b.w*MAX(0,AM712*Mat.Conc_Beta.1-Geometry_h.f.Negative))</f>
        <v/>
      </c>
      <c r="AR712" s="369"/>
      <c r="AS712" s="369" t="str">
        <f>IF(ISBLANK(Inputs!$A63),"",
Mat.Rebar_A.s.Positive*MIN(Mat.Rebar_f.y,(Mat.Rebar_epsilon.cl*(Geometry_d.s.Negative-AM712)/AM712)*Mat.PT_E.s))</f>
        <v/>
      </c>
      <c r="AT712" s="369"/>
      <c r="AU712" s="369" t="str">
        <f>IF(ISBLANK(Inputs!$A63),"",
Mat.PT_A.ps*(Mat.PT_f.pu*(1-Mat.PT_k*AM712/Geometry_d.p.Negative)))</f>
        <v/>
      </c>
      <c r="AV712" s="369"/>
      <c r="AW712" s="369" t="str">
        <f>IF(ISBLANK(Inputs!$A63),"",
(Mat.PT_f.pe/Mat.PT_E.ps)+(Mat.Rebar_epsilon.cl*((Geometry_d.p.Negative-AM712)/AM712)))</f>
        <v/>
      </c>
      <c r="AX712" s="369"/>
      <c r="AY712" s="369" t="str">
        <f>IF(ISBLANK(Inputs!$A63),"",
0.5*MIN(AM712*Mat.Conc_Beta.1,Geometry_h.f.Negative))</f>
        <v/>
      </c>
      <c r="AZ712" s="369"/>
      <c r="BA712" s="369" t="str">
        <f>IF(ISBLANK(Inputs!$A63),"",
IF(AQ712=0,0,Geometry_h.f.Negative+0.5*MAX(0,AM712*Mat.Conc_Beta.1-Geometry_h.f.Negative)))</f>
        <v/>
      </c>
      <c r="BB712" s="369"/>
      <c r="BC712" s="369" t="str">
        <f>IF(ISBLANK(Inputs!$A63),"",
Inputs!L63)</f>
        <v/>
      </c>
      <c r="BD712" s="369"/>
      <c r="BE712" s="369" t="str">
        <f>IF(ISBLANK(Inputs!$A63),"",Inputs!$B$10-Inputs!F63)</f>
        <v/>
      </c>
      <c r="BF712" s="369"/>
      <c r="BG712" s="369" t="str">
        <f>IF(ISBLANK(Inputs!$A63),"",
MAX(0.75,MIN(1,0.75+0.25*(AW712-Mat.Rebar_epsilon.cl)/(Mat.Rebar_epsilon.tl-Mat.Rebar_epsilon.cl))))</f>
        <v/>
      </c>
      <c r="BH712" s="369"/>
      <c r="BI712" s="370" t="str">
        <f>IF(ISBLANK(Inputs!$A63),"",
-((BE712*AU712+BC712*AS712-BA712*AQ712-AY712*AO712)/12)*BG712)</f>
        <v/>
      </c>
      <c r="BJ712" s="370"/>
      <c r="BK712" s="370"/>
      <c r="BL712" s="370" t="str">
        <f>IF(ISBLANK(Inputs!C63),"",Inputs!C63)</f>
        <v/>
      </c>
      <c r="BM712" s="370"/>
      <c r="BN712" s="370"/>
      <c r="BO712" s="374" t="str">
        <f>IF(ISBLANK(Inputs!$A63),"",
IFERROR(IF(BL712&gt;=0,ABS(BL712)/ABS(AH712),ABS(BL712)/ABS(BI712)),""))</f>
        <v/>
      </c>
      <c r="BP712" s="374"/>
      <c r="BQ712" s="374"/>
      <c r="BR712" s="59"/>
      <c r="BS712" s="70"/>
      <c r="BT712" s="70"/>
      <c r="BU712" s="70"/>
      <c r="BV712" s="70"/>
      <c r="BW712" s="8"/>
      <c r="BX712" s="8"/>
      <c r="BY712" s="8"/>
      <c r="BZ712" s="8"/>
      <c r="CA712" s="8"/>
      <c r="CB712" s="10"/>
    </row>
    <row r="713" spans="3:80" ht="15" customHeight="1" x14ac:dyDescent="0.25">
      <c r="C713" s="69"/>
      <c r="F713" s="369" t="str">
        <f>IF(ISBLANK(Inputs!A64),"",Inputs!A64)</f>
        <v/>
      </c>
      <c r="G713" s="369"/>
      <c r="H713" s="369" t="str">
        <f>IF(ISBLANK(Inputs!B64),"",Inputs!B64)</f>
        <v/>
      </c>
      <c r="I713" s="369"/>
      <c r="J713" s="369" t="str">
        <f>IF(ISBLANK(Inputs!$A64),"",
MAX(IF(ISNUMBER(AE456),1),
IF(ISNUMBER(AI456),2),
IF(ISNUMBER(AM456),3),
IF(ISNUMBER(AQ456),4),
IF(ISNUMBER(AU456),5),
IF(ISNUMBER(AY456),6),
IF(ISNUMBER(BC456),7),
IF(ISNUMBER(BG456),8),
IF(ISNUMBER(BK456),9),
IF(ISNUMBER(BO456),10)))</f>
        <v/>
      </c>
      <c r="K713" s="369"/>
      <c r="L713" s="369" t="str">
        <f>IF(ISBLANK(Inputs!$A64),"",
_xlfn.LET(
_xlpm.n,J713,
CHOOSE(_xlpm.n,
AE456,AI456,AM456,AQ456,AU456,
AY456,BC456,BG456,BK456,BO456
)
))</f>
        <v/>
      </c>
      <c r="M713" s="369"/>
      <c r="N713" s="369" t="str">
        <f>IF(ISBLANK(Inputs!$A64),"",
Mat.Conc_Alpha.1*Mat.Conc_f.c*Inputs!J64*MIN(L713*Mat.Conc_Beta.1,Inputs!I64))</f>
        <v/>
      </c>
      <c r="O713" s="369"/>
      <c r="P713" s="372" t="str">
        <f>IF(ISBLANK(Inputs!$A64),"",
Mat.Conc_Alpha.1*Mat.Conc_f.c*Inputs!E64*MAX(0,L713*Mat.Conc_Beta.1-Inputs!I64))</f>
        <v/>
      </c>
      <c r="Q713" s="369"/>
      <c r="R713" s="369" t="str">
        <f>IF(ISBLANK(Inputs!$A64),"",Inputs!G64*MIN(Mat.Rebar_f.y,(Mat.Rebar_epsilon.cl*(Inputs!H64-L713)/L713)*Mat.PT_E.s))</f>
        <v/>
      </c>
      <c r="S713" s="369"/>
      <c r="T713" s="369" t="str">
        <f>IF(ISBLANK(Inputs!$A64),"",Inputs!D64*(Mat.PT_f.pu*(1-Mat.PT_k*L713/Inputs!F64)))</f>
        <v/>
      </c>
      <c r="U713" s="369"/>
      <c r="V713" s="369" t="str">
        <f>IF(ISBLANK(Inputs!$A64),"",
(Mat.PT_f.pe/Mat.PT_E.ps)+(Mat.Rebar_epsilon.cl*((Geometry_d.p.Positive-L713)/L713)))</f>
        <v/>
      </c>
      <c r="W713" s="369"/>
      <c r="X713" s="369" t="str">
        <f>IF(ISBLANK(Inputs!$A64),"",
0.5*MIN(L713*Mat.Conc_Beta.1,Geometry_h.f.Positive))</f>
        <v/>
      </c>
      <c r="Y713" s="369"/>
      <c r="Z713" s="369" t="str">
        <f>IF(ISBLANK(Inputs!$A64),"",
IF(P713=0,0,Geometry_h.f.Positive+0.5*MAX(0,L713*Mat.Conc_Beta.1-Geometry_h.f.Positive)))</f>
        <v/>
      </c>
      <c r="AA713" s="369"/>
      <c r="AB713" s="369" t="str">
        <f>IF(ISBLANK(Inputs!$A64),"",
Inputs!H64)</f>
        <v/>
      </c>
      <c r="AC713" s="369"/>
      <c r="AD713" s="369" t="str">
        <f>IF(ISBLANK(Inputs!$A64),"",
Inputs!F64)</f>
        <v/>
      </c>
      <c r="AE713" s="369"/>
      <c r="AF713" s="369" t="str">
        <f>IF(ISBLANK(Inputs!$A64),"",
MAX(0.75,MIN(1,0.75+0.25*(V713-Mat.Rebar_epsilon.cl)/(Mat.Rebar_epsilon.tl-Mat.Rebar_epsilon.cl))))</f>
        <v/>
      </c>
      <c r="AG713" s="369"/>
      <c r="AH713" s="370" t="str">
        <f>IF(ISBLANK(Inputs!$A64),"",
((AD713*T713+AB713*R713-Z713*P713-X713*N713)/12)*AF713)</f>
        <v/>
      </c>
      <c r="AI713" s="370"/>
      <c r="AJ713" s="370"/>
      <c r="AK713" s="369" t="str">
        <f>IF(ISBLANK(Inputs!$A64),"",
MAX(IF(ISNUMBER(AE581),1),
IF(ISNUMBER(AI581),2),
IF(ISNUMBER(AM581),3),
IF(ISNUMBER(AQ581),4),
IF(ISNUMBER(AU581),5),
IF(ISNUMBER(AY581),6),
IF(ISNUMBER(BC581),7),
IF(ISNUMBER(BG581),8),
IF(ISNUMBER(BK581),9),
IF(ISNUMBER(BO581),10)))</f>
        <v/>
      </c>
      <c r="AL713" s="369"/>
      <c r="AM713" s="369" t="str">
        <f>IF(ISBLANK(Inputs!$A64),"",
_xlfn.LET(
_xlpm.n,AK713,
CHOOSE(_xlpm.n,
AE581,AI581,AM581,AQ581,AU581,
AY581,BC581,BG581,BK581,BO581
)
))</f>
        <v/>
      </c>
      <c r="AN713" s="369"/>
      <c r="AO713" s="369" t="str">
        <f>IF(ISBLANK(Inputs!$A64),"",
Mat.Conc_Alpha.1*Mat.Conc_f.c*Geometry_b.Negative*MIN(AM713*Mat.Conc_Beta.1,Geometry_h.f.Negative))</f>
        <v/>
      </c>
      <c r="AP713" s="369"/>
      <c r="AQ713" s="369" t="str">
        <f>IF(ISBLANK(Inputs!$A64),"",
Mat.Conc_Alpha.1*Mat.Conc_f.c*Geometry_b.w*MAX(0,AM713*Mat.Conc_Beta.1-Geometry_h.f.Negative))</f>
        <v/>
      </c>
      <c r="AR713" s="369"/>
      <c r="AS713" s="369" t="str">
        <f>IF(ISBLANK(Inputs!$A64),"",
Mat.Rebar_A.s.Positive*MIN(Mat.Rebar_f.y,(Mat.Rebar_epsilon.cl*(Geometry_d.s.Negative-AM713)/AM713)*Mat.PT_E.s))</f>
        <v/>
      </c>
      <c r="AT713" s="369"/>
      <c r="AU713" s="369" t="str">
        <f>IF(ISBLANK(Inputs!$A64),"",
Mat.PT_A.ps*(Mat.PT_f.pu*(1-Mat.PT_k*AM713/Geometry_d.p.Negative)))</f>
        <v/>
      </c>
      <c r="AV713" s="369"/>
      <c r="AW713" s="369" t="str">
        <f>IF(ISBLANK(Inputs!$A64),"",
(Mat.PT_f.pe/Mat.PT_E.ps)+(Mat.Rebar_epsilon.cl*((Geometry_d.p.Negative-AM713)/AM713)))</f>
        <v/>
      </c>
      <c r="AX713" s="369"/>
      <c r="AY713" s="369" t="str">
        <f>IF(ISBLANK(Inputs!$A64),"",
0.5*MIN(AM713*Mat.Conc_Beta.1,Geometry_h.f.Negative))</f>
        <v/>
      </c>
      <c r="AZ713" s="369"/>
      <c r="BA713" s="369" t="str">
        <f>IF(ISBLANK(Inputs!$A64),"",
IF(AQ713=0,0,Geometry_h.f.Negative+0.5*MAX(0,AM713*Mat.Conc_Beta.1-Geometry_h.f.Negative)))</f>
        <v/>
      </c>
      <c r="BB713" s="369"/>
      <c r="BC713" s="369" t="str">
        <f>IF(ISBLANK(Inputs!$A64),"",
Inputs!L64)</f>
        <v/>
      </c>
      <c r="BD713" s="369"/>
      <c r="BE713" s="369" t="str">
        <f>IF(ISBLANK(Inputs!$A64),"",Inputs!$B$10-Inputs!F64)</f>
        <v/>
      </c>
      <c r="BF713" s="369"/>
      <c r="BG713" s="369" t="str">
        <f>IF(ISBLANK(Inputs!$A64),"",
MAX(0.75,MIN(1,0.75+0.25*(AW713-Mat.Rebar_epsilon.cl)/(Mat.Rebar_epsilon.tl-Mat.Rebar_epsilon.cl))))</f>
        <v/>
      </c>
      <c r="BH713" s="369"/>
      <c r="BI713" s="370" t="str">
        <f>IF(ISBLANK(Inputs!$A64),"",
-((BE713*AU713+BC713*AS713-BA713*AQ713-AY713*AO713)/12)*BG713)</f>
        <v/>
      </c>
      <c r="BJ713" s="370"/>
      <c r="BK713" s="370"/>
      <c r="BL713" s="370" t="str">
        <f>IF(ISBLANK(Inputs!C64),"",Inputs!C64)</f>
        <v/>
      </c>
      <c r="BM713" s="370"/>
      <c r="BN713" s="370"/>
      <c r="BO713" s="374" t="str">
        <f>IF(ISBLANK(Inputs!$A64),"",
IFERROR(IF(BL713&gt;=0,ABS(BL713)/ABS(AH713),ABS(BL713)/ABS(BI713)),""))</f>
        <v/>
      </c>
      <c r="BP713" s="374"/>
      <c r="BQ713" s="374"/>
      <c r="BR713" s="59"/>
      <c r="BS713" s="70"/>
      <c r="BT713" s="70"/>
      <c r="BU713" s="70"/>
      <c r="BV713" s="70"/>
      <c r="BW713" s="8"/>
      <c r="BX713" s="8"/>
      <c r="BY713" s="8"/>
      <c r="BZ713" s="8"/>
      <c r="CA713" s="8"/>
      <c r="CB713" s="10"/>
    </row>
    <row r="714" spans="3:80" ht="15" customHeight="1" x14ac:dyDescent="0.25">
      <c r="C714" s="69"/>
      <c r="F714" s="369" t="str">
        <f>IF(ISBLANK(Inputs!A65),"",Inputs!A65)</f>
        <v/>
      </c>
      <c r="G714" s="369"/>
      <c r="H714" s="369" t="str">
        <f>IF(ISBLANK(Inputs!B65),"",Inputs!B65)</f>
        <v/>
      </c>
      <c r="I714" s="369"/>
      <c r="J714" s="369" t="str">
        <f>IF(ISBLANK(Inputs!$A65),"",
MAX(IF(ISNUMBER(AE457),1),
IF(ISNUMBER(AI457),2),
IF(ISNUMBER(AM457),3),
IF(ISNUMBER(AQ457),4),
IF(ISNUMBER(AU457),5),
IF(ISNUMBER(AY457),6),
IF(ISNUMBER(BC457),7),
IF(ISNUMBER(BG457),8),
IF(ISNUMBER(BK457),9),
IF(ISNUMBER(BO457),10)))</f>
        <v/>
      </c>
      <c r="K714" s="369"/>
      <c r="L714" s="369" t="str">
        <f>IF(ISBLANK(Inputs!$A65),"",
_xlfn.LET(
_xlpm.n,J714,
CHOOSE(_xlpm.n,
AE457,AI457,AM457,AQ457,AU457,
AY457,BC457,BG457,BK457,BO457
)
))</f>
        <v/>
      </c>
      <c r="M714" s="369"/>
      <c r="N714" s="369" t="str">
        <f>IF(ISBLANK(Inputs!$A65),"",
Mat.Conc_Alpha.1*Mat.Conc_f.c*Inputs!J65*MIN(L714*Mat.Conc_Beta.1,Inputs!I65))</f>
        <v/>
      </c>
      <c r="O714" s="369"/>
      <c r="P714" s="372" t="str">
        <f>IF(ISBLANK(Inputs!$A65),"",
Mat.Conc_Alpha.1*Mat.Conc_f.c*Inputs!E65*MAX(0,L714*Mat.Conc_Beta.1-Inputs!I65))</f>
        <v/>
      </c>
      <c r="Q714" s="369"/>
      <c r="R714" s="369" t="str">
        <f>IF(ISBLANK(Inputs!$A65),"",Inputs!G65*MIN(Mat.Rebar_f.y,(Mat.Rebar_epsilon.cl*(Inputs!H65-L714)/L714)*Mat.PT_E.s))</f>
        <v/>
      </c>
      <c r="S714" s="369"/>
      <c r="T714" s="369" t="str">
        <f>IF(ISBLANK(Inputs!$A65),"",Inputs!D65*(Mat.PT_f.pu*(1-Mat.PT_k*L714/Inputs!F65)))</f>
        <v/>
      </c>
      <c r="U714" s="369"/>
      <c r="V714" s="369" t="str">
        <f>IF(ISBLANK(Inputs!$A65),"",
(Mat.PT_f.pe/Mat.PT_E.ps)+(Mat.Rebar_epsilon.cl*((Geometry_d.p.Positive-L714)/L714)))</f>
        <v/>
      </c>
      <c r="W714" s="369"/>
      <c r="X714" s="369" t="str">
        <f>IF(ISBLANK(Inputs!$A65),"",
0.5*MIN(L714*Mat.Conc_Beta.1,Geometry_h.f.Positive))</f>
        <v/>
      </c>
      <c r="Y714" s="369"/>
      <c r="Z714" s="369" t="str">
        <f>IF(ISBLANK(Inputs!$A65),"",
IF(P714=0,0,Geometry_h.f.Positive+0.5*MAX(0,L714*Mat.Conc_Beta.1-Geometry_h.f.Positive)))</f>
        <v/>
      </c>
      <c r="AA714" s="369"/>
      <c r="AB714" s="369" t="str">
        <f>IF(ISBLANK(Inputs!$A65),"",
Inputs!H65)</f>
        <v/>
      </c>
      <c r="AC714" s="369"/>
      <c r="AD714" s="369" t="str">
        <f>IF(ISBLANK(Inputs!$A65),"",
Inputs!F65)</f>
        <v/>
      </c>
      <c r="AE714" s="369"/>
      <c r="AF714" s="369" t="str">
        <f>IF(ISBLANK(Inputs!$A65),"",
MAX(0.75,MIN(1,0.75+0.25*(V714-Mat.Rebar_epsilon.cl)/(Mat.Rebar_epsilon.tl-Mat.Rebar_epsilon.cl))))</f>
        <v/>
      </c>
      <c r="AG714" s="369"/>
      <c r="AH714" s="370" t="str">
        <f>IF(ISBLANK(Inputs!$A65),"",
((AD714*T714+AB714*R714-Z714*P714-X714*N714)/12)*AF714)</f>
        <v/>
      </c>
      <c r="AI714" s="370"/>
      <c r="AJ714" s="370"/>
      <c r="AK714" s="369" t="str">
        <f>IF(ISBLANK(Inputs!$A65),"",
MAX(IF(ISNUMBER(AE582),1),
IF(ISNUMBER(AI582),2),
IF(ISNUMBER(AM582),3),
IF(ISNUMBER(AQ582),4),
IF(ISNUMBER(AU582),5),
IF(ISNUMBER(AY582),6),
IF(ISNUMBER(BC582),7),
IF(ISNUMBER(BG582),8),
IF(ISNUMBER(BK582),9),
IF(ISNUMBER(BO582),10)))</f>
        <v/>
      </c>
      <c r="AL714" s="369"/>
      <c r="AM714" s="369" t="str">
        <f>IF(ISBLANK(Inputs!$A65),"",
_xlfn.LET(
_xlpm.n,AK714,
CHOOSE(_xlpm.n,
AE582,AI582,AM582,AQ582,AU582,
AY582,BC582,BG582,BK582,BO582
)
))</f>
        <v/>
      </c>
      <c r="AN714" s="369"/>
      <c r="AO714" s="369" t="str">
        <f>IF(ISBLANK(Inputs!$A65),"",
Mat.Conc_Alpha.1*Mat.Conc_f.c*Geometry_b.Negative*MIN(AM714*Mat.Conc_Beta.1,Geometry_h.f.Negative))</f>
        <v/>
      </c>
      <c r="AP714" s="369"/>
      <c r="AQ714" s="369" t="str">
        <f>IF(ISBLANK(Inputs!$A65),"",
Mat.Conc_Alpha.1*Mat.Conc_f.c*Geometry_b.w*MAX(0,AM714*Mat.Conc_Beta.1-Geometry_h.f.Negative))</f>
        <v/>
      </c>
      <c r="AR714" s="369"/>
      <c r="AS714" s="369" t="str">
        <f>IF(ISBLANK(Inputs!$A65),"",
Mat.Rebar_A.s.Positive*MIN(Mat.Rebar_f.y,(Mat.Rebar_epsilon.cl*(Geometry_d.s.Negative-AM714)/AM714)*Mat.PT_E.s))</f>
        <v/>
      </c>
      <c r="AT714" s="369"/>
      <c r="AU714" s="369" t="str">
        <f>IF(ISBLANK(Inputs!$A65),"",
Mat.PT_A.ps*(Mat.PT_f.pu*(1-Mat.PT_k*AM714/Geometry_d.p.Negative)))</f>
        <v/>
      </c>
      <c r="AV714" s="369"/>
      <c r="AW714" s="369" t="str">
        <f>IF(ISBLANK(Inputs!$A65),"",
(Mat.PT_f.pe/Mat.PT_E.ps)+(Mat.Rebar_epsilon.cl*((Geometry_d.p.Negative-AM714)/AM714)))</f>
        <v/>
      </c>
      <c r="AX714" s="369"/>
      <c r="AY714" s="369" t="str">
        <f>IF(ISBLANK(Inputs!$A65),"",
0.5*MIN(AM714*Mat.Conc_Beta.1,Geometry_h.f.Negative))</f>
        <v/>
      </c>
      <c r="AZ714" s="369"/>
      <c r="BA714" s="369" t="str">
        <f>IF(ISBLANK(Inputs!$A65),"",
IF(AQ714=0,0,Geometry_h.f.Negative+0.5*MAX(0,AM714*Mat.Conc_Beta.1-Geometry_h.f.Negative)))</f>
        <v/>
      </c>
      <c r="BB714" s="369"/>
      <c r="BC714" s="369" t="str">
        <f>IF(ISBLANK(Inputs!$A65),"",
Inputs!L65)</f>
        <v/>
      </c>
      <c r="BD714" s="369"/>
      <c r="BE714" s="369" t="str">
        <f>IF(ISBLANK(Inputs!$A65),"",Inputs!$B$10-Inputs!F65)</f>
        <v/>
      </c>
      <c r="BF714" s="369"/>
      <c r="BG714" s="369" t="str">
        <f>IF(ISBLANK(Inputs!$A65),"",
MAX(0.75,MIN(1,0.75+0.25*(AW714-Mat.Rebar_epsilon.cl)/(Mat.Rebar_epsilon.tl-Mat.Rebar_epsilon.cl))))</f>
        <v/>
      </c>
      <c r="BH714" s="369"/>
      <c r="BI714" s="370" t="str">
        <f>IF(ISBLANK(Inputs!$A65),"",
-((BE714*AU714+BC714*AS714-BA714*AQ714-AY714*AO714)/12)*BG714)</f>
        <v/>
      </c>
      <c r="BJ714" s="370"/>
      <c r="BK714" s="370"/>
      <c r="BL714" s="370" t="str">
        <f>IF(ISBLANK(Inputs!C65),"",Inputs!C65)</f>
        <v/>
      </c>
      <c r="BM714" s="370"/>
      <c r="BN714" s="370"/>
      <c r="BO714" s="374" t="str">
        <f>IF(ISBLANK(Inputs!$A65),"",
IFERROR(IF(BL714&gt;=0,ABS(BL714)/ABS(AH714),ABS(BL714)/ABS(BI714)),""))</f>
        <v/>
      </c>
      <c r="BP714" s="374"/>
      <c r="BQ714" s="374"/>
      <c r="BR714" s="59"/>
      <c r="BS714" s="70"/>
      <c r="BT714" s="70"/>
      <c r="BU714" s="70"/>
      <c r="BV714" s="70"/>
      <c r="BW714" s="8"/>
      <c r="BX714" s="8"/>
      <c r="BY714" s="8"/>
      <c r="BZ714" s="8"/>
      <c r="CA714" s="8"/>
      <c r="CB714" s="10"/>
    </row>
    <row r="715" spans="3:80" ht="15" customHeight="1" x14ac:dyDescent="0.25">
      <c r="C715" s="69"/>
      <c r="F715" s="369" t="str">
        <f>IF(ISBLANK(Inputs!A66),"",Inputs!A66)</f>
        <v/>
      </c>
      <c r="G715" s="369"/>
      <c r="H715" s="369" t="str">
        <f>IF(ISBLANK(Inputs!B66),"",Inputs!B66)</f>
        <v/>
      </c>
      <c r="I715" s="369"/>
      <c r="J715" s="369" t="str">
        <f>IF(ISBLANK(Inputs!$A66),"",
MAX(IF(ISNUMBER(AE458),1),
IF(ISNUMBER(AI458),2),
IF(ISNUMBER(AM458),3),
IF(ISNUMBER(AQ458),4),
IF(ISNUMBER(AU458),5),
IF(ISNUMBER(AY458),6),
IF(ISNUMBER(BC458),7),
IF(ISNUMBER(BG458),8),
IF(ISNUMBER(BK458),9),
IF(ISNUMBER(BO458),10)))</f>
        <v/>
      </c>
      <c r="K715" s="369"/>
      <c r="L715" s="369" t="str">
        <f>IF(ISBLANK(Inputs!$A66),"",
_xlfn.LET(
_xlpm.n,J715,
CHOOSE(_xlpm.n,
AE458,AI458,AM458,AQ458,AU458,
AY458,BC458,BG458,BK458,BO458
)
))</f>
        <v/>
      </c>
      <c r="M715" s="369"/>
      <c r="N715" s="369" t="str">
        <f>IF(ISBLANK(Inputs!$A66),"",
Mat.Conc_Alpha.1*Mat.Conc_f.c*Inputs!J66*MIN(L715*Mat.Conc_Beta.1,Inputs!I66))</f>
        <v/>
      </c>
      <c r="O715" s="369"/>
      <c r="P715" s="372" t="str">
        <f>IF(ISBLANK(Inputs!$A66),"",
Mat.Conc_Alpha.1*Mat.Conc_f.c*Inputs!E66*MAX(0,L715*Mat.Conc_Beta.1-Inputs!I66))</f>
        <v/>
      </c>
      <c r="Q715" s="369"/>
      <c r="R715" s="369" t="str">
        <f>IF(ISBLANK(Inputs!$A66),"",Inputs!G66*MIN(Mat.Rebar_f.y,(Mat.Rebar_epsilon.cl*(Inputs!H66-L715)/L715)*Mat.PT_E.s))</f>
        <v/>
      </c>
      <c r="S715" s="369"/>
      <c r="T715" s="369" t="str">
        <f>IF(ISBLANK(Inputs!$A66),"",Inputs!D66*(Mat.PT_f.pu*(1-Mat.PT_k*L715/Inputs!F66)))</f>
        <v/>
      </c>
      <c r="U715" s="369"/>
      <c r="V715" s="369" t="str">
        <f>IF(ISBLANK(Inputs!$A66),"",
(Mat.PT_f.pe/Mat.PT_E.ps)+(Mat.Rebar_epsilon.cl*((Geometry_d.p.Positive-L715)/L715)))</f>
        <v/>
      </c>
      <c r="W715" s="369"/>
      <c r="X715" s="369" t="str">
        <f>IF(ISBLANK(Inputs!$A66),"",
0.5*MIN(L715*Mat.Conc_Beta.1,Geometry_h.f.Positive))</f>
        <v/>
      </c>
      <c r="Y715" s="369"/>
      <c r="Z715" s="369" t="str">
        <f>IF(ISBLANK(Inputs!$A66),"",
IF(P715=0,0,Geometry_h.f.Positive+0.5*MAX(0,L715*Mat.Conc_Beta.1-Geometry_h.f.Positive)))</f>
        <v/>
      </c>
      <c r="AA715" s="369"/>
      <c r="AB715" s="369" t="str">
        <f>IF(ISBLANK(Inputs!$A66),"",
Inputs!H66)</f>
        <v/>
      </c>
      <c r="AC715" s="369"/>
      <c r="AD715" s="369" t="str">
        <f>IF(ISBLANK(Inputs!$A66),"",
Inputs!F66)</f>
        <v/>
      </c>
      <c r="AE715" s="369"/>
      <c r="AF715" s="369" t="str">
        <f>IF(ISBLANK(Inputs!$A66),"",
MAX(0.75,MIN(1,0.75+0.25*(V715-Mat.Rebar_epsilon.cl)/(Mat.Rebar_epsilon.tl-Mat.Rebar_epsilon.cl))))</f>
        <v/>
      </c>
      <c r="AG715" s="369"/>
      <c r="AH715" s="370" t="str">
        <f>IF(ISBLANK(Inputs!$A66),"",
((AD715*T715+AB715*R715-Z715*P715-X715*N715)/12)*AF715)</f>
        <v/>
      </c>
      <c r="AI715" s="370"/>
      <c r="AJ715" s="370"/>
      <c r="AK715" s="369" t="str">
        <f>IF(ISBLANK(Inputs!$A66),"",
MAX(IF(ISNUMBER(AE583),1),
IF(ISNUMBER(AI583),2),
IF(ISNUMBER(AM583),3),
IF(ISNUMBER(AQ583),4),
IF(ISNUMBER(AU583),5),
IF(ISNUMBER(AY583),6),
IF(ISNUMBER(BC583),7),
IF(ISNUMBER(BG583),8),
IF(ISNUMBER(BK583),9),
IF(ISNUMBER(BO583),10)))</f>
        <v/>
      </c>
      <c r="AL715" s="369"/>
      <c r="AM715" s="369" t="str">
        <f>IF(ISBLANK(Inputs!$A66),"",
_xlfn.LET(
_xlpm.n,AK715,
CHOOSE(_xlpm.n,
AE583,AI583,AM583,AQ583,AU583,
AY583,BC583,BG583,BK583,BO583
)
))</f>
        <v/>
      </c>
      <c r="AN715" s="369"/>
      <c r="AO715" s="369" t="str">
        <f>IF(ISBLANK(Inputs!$A66),"",
Mat.Conc_Alpha.1*Mat.Conc_f.c*Geometry_b.Negative*MIN(AM715*Mat.Conc_Beta.1,Geometry_h.f.Negative))</f>
        <v/>
      </c>
      <c r="AP715" s="369"/>
      <c r="AQ715" s="369" t="str">
        <f>IF(ISBLANK(Inputs!$A66),"",
Mat.Conc_Alpha.1*Mat.Conc_f.c*Geometry_b.w*MAX(0,AM715*Mat.Conc_Beta.1-Geometry_h.f.Negative))</f>
        <v/>
      </c>
      <c r="AR715" s="369"/>
      <c r="AS715" s="369" t="str">
        <f>IF(ISBLANK(Inputs!$A66),"",
Mat.Rebar_A.s.Positive*MIN(Mat.Rebar_f.y,(Mat.Rebar_epsilon.cl*(Geometry_d.s.Negative-AM715)/AM715)*Mat.PT_E.s))</f>
        <v/>
      </c>
      <c r="AT715" s="369"/>
      <c r="AU715" s="369" t="str">
        <f>IF(ISBLANK(Inputs!$A66),"",
Mat.PT_A.ps*(Mat.PT_f.pu*(1-Mat.PT_k*AM715/Geometry_d.p.Negative)))</f>
        <v/>
      </c>
      <c r="AV715" s="369"/>
      <c r="AW715" s="369" t="str">
        <f>IF(ISBLANK(Inputs!$A66),"",
(Mat.PT_f.pe/Mat.PT_E.ps)+(Mat.Rebar_epsilon.cl*((Geometry_d.p.Negative-AM715)/AM715)))</f>
        <v/>
      </c>
      <c r="AX715" s="369"/>
      <c r="AY715" s="369" t="str">
        <f>IF(ISBLANK(Inputs!$A66),"",
0.5*MIN(AM715*Mat.Conc_Beta.1,Geometry_h.f.Negative))</f>
        <v/>
      </c>
      <c r="AZ715" s="369"/>
      <c r="BA715" s="369" t="str">
        <f>IF(ISBLANK(Inputs!$A66),"",
IF(AQ715=0,0,Geometry_h.f.Negative+0.5*MAX(0,AM715*Mat.Conc_Beta.1-Geometry_h.f.Negative)))</f>
        <v/>
      </c>
      <c r="BB715" s="369"/>
      <c r="BC715" s="369" t="str">
        <f>IF(ISBLANK(Inputs!$A66),"",
Inputs!L66)</f>
        <v/>
      </c>
      <c r="BD715" s="369"/>
      <c r="BE715" s="369" t="str">
        <f>IF(ISBLANK(Inputs!$A66),"",Inputs!$B$10-Inputs!F66)</f>
        <v/>
      </c>
      <c r="BF715" s="369"/>
      <c r="BG715" s="369" t="str">
        <f>IF(ISBLANK(Inputs!$A66),"",
MAX(0.75,MIN(1,0.75+0.25*(AW715-Mat.Rebar_epsilon.cl)/(Mat.Rebar_epsilon.tl-Mat.Rebar_epsilon.cl))))</f>
        <v/>
      </c>
      <c r="BH715" s="369"/>
      <c r="BI715" s="370" t="str">
        <f>IF(ISBLANK(Inputs!$A66),"",
-((BE715*AU715+BC715*AS715-BA715*AQ715-AY715*AO715)/12)*BG715)</f>
        <v/>
      </c>
      <c r="BJ715" s="370"/>
      <c r="BK715" s="370"/>
      <c r="BL715" s="370" t="str">
        <f>IF(ISBLANK(Inputs!C66),"",Inputs!C66)</f>
        <v/>
      </c>
      <c r="BM715" s="370"/>
      <c r="BN715" s="370"/>
      <c r="BO715" s="374" t="str">
        <f>IF(ISBLANK(Inputs!$A66),"",
IFERROR(IF(BL715&gt;=0,ABS(BL715)/ABS(AH715),ABS(BL715)/ABS(BI715)),""))</f>
        <v/>
      </c>
      <c r="BP715" s="374"/>
      <c r="BQ715" s="374"/>
      <c r="BR715" s="59"/>
      <c r="BS715" s="70"/>
      <c r="BT715" s="70"/>
      <c r="BU715" s="70"/>
      <c r="BV715" s="70"/>
      <c r="BW715" s="8"/>
      <c r="BX715" s="8"/>
      <c r="BY715" s="8"/>
      <c r="BZ715" s="8"/>
      <c r="CA715" s="8"/>
      <c r="CB715" s="10"/>
    </row>
    <row r="716" spans="3:80" ht="15" customHeight="1" x14ac:dyDescent="0.25">
      <c r="C716" s="69"/>
      <c r="F716" s="369" t="str">
        <f>IF(ISBLANK(Inputs!A67),"",Inputs!A67)</f>
        <v/>
      </c>
      <c r="G716" s="369"/>
      <c r="H716" s="369" t="str">
        <f>IF(ISBLANK(Inputs!B67),"",Inputs!B67)</f>
        <v/>
      </c>
      <c r="I716" s="369"/>
      <c r="J716" s="369" t="str">
        <f>IF(ISBLANK(Inputs!$A67),"",
MAX(IF(ISNUMBER(AE459),1),
IF(ISNUMBER(AI459),2),
IF(ISNUMBER(AM459),3),
IF(ISNUMBER(AQ459),4),
IF(ISNUMBER(AU459),5),
IF(ISNUMBER(AY459),6),
IF(ISNUMBER(BC459),7),
IF(ISNUMBER(BG459),8),
IF(ISNUMBER(BK459),9),
IF(ISNUMBER(BO459),10)))</f>
        <v/>
      </c>
      <c r="K716" s="369"/>
      <c r="L716" s="369" t="str">
        <f>IF(ISBLANK(Inputs!$A67),"",
_xlfn.LET(
_xlpm.n,J716,
CHOOSE(_xlpm.n,
AE459,AI459,AM459,AQ459,AU459,
AY459,BC459,BG459,BK459,BO459
)
))</f>
        <v/>
      </c>
      <c r="M716" s="369"/>
      <c r="N716" s="369" t="str">
        <f>IF(ISBLANK(Inputs!$A67),"",
Mat.Conc_Alpha.1*Mat.Conc_f.c*Inputs!J67*MIN(L716*Mat.Conc_Beta.1,Inputs!I67))</f>
        <v/>
      </c>
      <c r="O716" s="369"/>
      <c r="P716" s="372" t="str">
        <f>IF(ISBLANK(Inputs!$A67),"",
Mat.Conc_Alpha.1*Mat.Conc_f.c*Inputs!E67*MAX(0,L716*Mat.Conc_Beta.1-Inputs!I67))</f>
        <v/>
      </c>
      <c r="Q716" s="369"/>
      <c r="R716" s="369" t="str">
        <f>IF(ISBLANK(Inputs!$A67),"",Inputs!G67*MIN(Mat.Rebar_f.y,(Mat.Rebar_epsilon.cl*(Inputs!H67-L716)/L716)*Mat.PT_E.s))</f>
        <v/>
      </c>
      <c r="S716" s="369"/>
      <c r="T716" s="369" t="str">
        <f>IF(ISBLANK(Inputs!$A67),"",Inputs!D67*(Mat.PT_f.pu*(1-Mat.PT_k*L716/Inputs!F67)))</f>
        <v/>
      </c>
      <c r="U716" s="369"/>
      <c r="V716" s="369" t="str">
        <f>IF(ISBLANK(Inputs!$A67),"",
(Mat.PT_f.pe/Mat.PT_E.ps)+(Mat.Rebar_epsilon.cl*((Geometry_d.p.Positive-L716)/L716)))</f>
        <v/>
      </c>
      <c r="W716" s="369"/>
      <c r="X716" s="369" t="str">
        <f>IF(ISBLANK(Inputs!$A67),"",
0.5*MIN(L716*Mat.Conc_Beta.1,Geometry_h.f.Positive))</f>
        <v/>
      </c>
      <c r="Y716" s="369"/>
      <c r="Z716" s="369" t="str">
        <f>IF(ISBLANK(Inputs!$A67),"",
IF(P716=0,0,Geometry_h.f.Positive+0.5*MAX(0,L716*Mat.Conc_Beta.1-Geometry_h.f.Positive)))</f>
        <v/>
      </c>
      <c r="AA716" s="369"/>
      <c r="AB716" s="369" t="str">
        <f>IF(ISBLANK(Inputs!$A67),"",
Inputs!H67)</f>
        <v/>
      </c>
      <c r="AC716" s="369"/>
      <c r="AD716" s="369" t="str">
        <f>IF(ISBLANK(Inputs!$A67),"",
Inputs!F67)</f>
        <v/>
      </c>
      <c r="AE716" s="369"/>
      <c r="AF716" s="369" t="str">
        <f>IF(ISBLANK(Inputs!$A67),"",
MAX(0.75,MIN(1,0.75+0.25*(V716-Mat.Rebar_epsilon.cl)/(Mat.Rebar_epsilon.tl-Mat.Rebar_epsilon.cl))))</f>
        <v/>
      </c>
      <c r="AG716" s="369"/>
      <c r="AH716" s="370" t="str">
        <f>IF(ISBLANK(Inputs!$A67),"",
((AD716*T716+AB716*R716-Z716*P716-X716*N716)/12)*AF716)</f>
        <v/>
      </c>
      <c r="AI716" s="370"/>
      <c r="AJ716" s="370"/>
      <c r="AK716" s="369" t="str">
        <f>IF(ISBLANK(Inputs!$A67),"",
MAX(IF(ISNUMBER(AE584),1),
IF(ISNUMBER(AI584),2),
IF(ISNUMBER(AM584),3),
IF(ISNUMBER(AQ584),4),
IF(ISNUMBER(AU584),5),
IF(ISNUMBER(AY584),6),
IF(ISNUMBER(BC584),7),
IF(ISNUMBER(BG584),8),
IF(ISNUMBER(BK584),9),
IF(ISNUMBER(BO584),10)))</f>
        <v/>
      </c>
      <c r="AL716" s="369"/>
      <c r="AM716" s="369" t="str">
        <f>IF(ISBLANK(Inputs!$A67),"",
_xlfn.LET(
_xlpm.n,AK716,
CHOOSE(_xlpm.n,
AE584,AI584,AM584,AQ584,AU584,
AY584,BC584,BG584,BK584,BO584
)
))</f>
        <v/>
      </c>
      <c r="AN716" s="369"/>
      <c r="AO716" s="369" t="str">
        <f>IF(ISBLANK(Inputs!$A67),"",
Mat.Conc_Alpha.1*Mat.Conc_f.c*Geometry_b.Negative*MIN(AM716*Mat.Conc_Beta.1,Geometry_h.f.Negative))</f>
        <v/>
      </c>
      <c r="AP716" s="369"/>
      <c r="AQ716" s="369" t="str">
        <f>IF(ISBLANK(Inputs!$A67),"",
Mat.Conc_Alpha.1*Mat.Conc_f.c*Geometry_b.w*MAX(0,AM716*Mat.Conc_Beta.1-Geometry_h.f.Negative))</f>
        <v/>
      </c>
      <c r="AR716" s="369"/>
      <c r="AS716" s="369" t="str">
        <f>IF(ISBLANK(Inputs!$A67),"",
Mat.Rebar_A.s.Positive*MIN(Mat.Rebar_f.y,(Mat.Rebar_epsilon.cl*(Geometry_d.s.Negative-AM716)/AM716)*Mat.PT_E.s))</f>
        <v/>
      </c>
      <c r="AT716" s="369"/>
      <c r="AU716" s="369" t="str">
        <f>IF(ISBLANK(Inputs!$A67),"",
Mat.PT_A.ps*(Mat.PT_f.pu*(1-Mat.PT_k*AM716/Geometry_d.p.Negative)))</f>
        <v/>
      </c>
      <c r="AV716" s="369"/>
      <c r="AW716" s="369" t="str">
        <f>IF(ISBLANK(Inputs!$A67),"",
(Mat.PT_f.pe/Mat.PT_E.ps)+(Mat.Rebar_epsilon.cl*((Geometry_d.p.Negative-AM716)/AM716)))</f>
        <v/>
      </c>
      <c r="AX716" s="369"/>
      <c r="AY716" s="369" t="str">
        <f>IF(ISBLANK(Inputs!$A67),"",
0.5*MIN(AM716*Mat.Conc_Beta.1,Geometry_h.f.Negative))</f>
        <v/>
      </c>
      <c r="AZ716" s="369"/>
      <c r="BA716" s="369" t="str">
        <f>IF(ISBLANK(Inputs!$A67),"",
IF(AQ716=0,0,Geometry_h.f.Negative+0.5*MAX(0,AM716*Mat.Conc_Beta.1-Geometry_h.f.Negative)))</f>
        <v/>
      </c>
      <c r="BB716" s="369"/>
      <c r="BC716" s="369" t="str">
        <f>IF(ISBLANK(Inputs!$A67),"",
Inputs!L67)</f>
        <v/>
      </c>
      <c r="BD716" s="369"/>
      <c r="BE716" s="369" t="str">
        <f>IF(ISBLANK(Inputs!$A67),"",Inputs!$B$10-Inputs!F67)</f>
        <v/>
      </c>
      <c r="BF716" s="369"/>
      <c r="BG716" s="369" t="str">
        <f>IF(ISBLANK(Inputs!$A67),"",
MAX(0.75,MIN(1,0.75+0.25*(AW716-Mat.Rebar_epsilon.cl)/(Mat.Rebar_epsilon.tl-Mat.Rebar_epsilon.cl))))</f>
        <v/>
      </c>
      <c r="BH716" s="369"/>
      <c r="BI716" s="370" t="str">
        <f>IF(ISBLANK(Inputs!$A67),"",
-((BE716*AU716+BC716*AS716-BA716*AQ716-AY716*AO716)/12)*BG716)</f>
        <v/>
      </c>
      <c r="BJ716" s="370"/>
      <c r="BK716" s="370"/>
      <c r="BL716" s="370" t="str">
        <f>IF(ISBLANK(Inputs!C67),"",Inputs!C67)</f>
        <v/>
      </c>
      <c r="BM716" s="370"/>
      <c r="BN716" s="370"/>
      <c r="BO716" s="374" t="str">
        <f>IF(ISBLANK(Inputs!$A67),"",
IFERROR(IF(BL716&gt;=0,ABS(BL716)/ABS(AH716),ABS(BL716)/ABS(BI716)),""))</f>
        <v/>
      </c>
      <c r="BP716" s="374"/>
      <c r="BQ716" s="374"/>
      <c r="BR716" s="59"/>
      <c r="BS716" s="70"/>
      <c r="BT716" s="70"/>
      <c r="BU716" s="70"/>
      <c r="BV716" s="70"/>
      <c r="BW716" s="8"/>
      <c r="BX716" s="8"/>
      <c r="BY716" s="8"/>
      <c r="BZ716" s="8"/>
      <c r="CA716" s="8"/>
      <c r="CB716" s="10"/>
    </row>
    <row r="717" spans="3:80" ht="15" customHeight="1" x14ac:dyDescent="0.25">
      <c r="C717" s="69"/>
      <c r="F717" s="369" t="str">
        <f>IF(ISBLANK(Inputs!A68),"",Inputs!A68)</f>
        <v/>
      </c>
      <c r="G717" s="369"/>
      <c r="H717" s="369" t="str">
        <f>IF(ISBLANK(Inputs!B68),"",Inputs!B68)</f>
        <v/>
      </c>
      <c r="I717" s="369"/>
      <c r="J717" s="369" t="str">
        <f>IF(ISBLANK(Inputs!$A68),"",
MAX(IF(ISNUMBER(AE460),1),
IF(ISNUMBER(AI460),2),
IF(ISNUMBER(AM460),3),
IF(ISNUMBER(AQ460),4),
IF(ISNUMBER(AU460),5),
IF(ISNUMBER(AY460),6),
IF(ISNUMBER(BC460),7),
IF(ISNUMBER(BG460),8),
IF(ISNUMBER(BK460),9),
IF(ISNUMBER(BO460),10)))</f>
        <v/>
      </c>
      <c r="K717" s="369"/>
      <c r="L717" s="369" t="str">
        <f>IF(ISBLANK(Inputs!$A68),"",
_xlfn.LET(
_xlpm.n,J717,
CHOOSE(_xlpm.n,
AE460,AI460,AM460,AQ460,AU460,
AY460,BC460,BG460,BK460,BO460
)
))</f>
        <v/>
      </c>
      <c r="M717" s="369"/>
      <c r="N717" s="369" t="str">
        <f>IF(ISBLANK(Inputs!$A68),"",
Mat.Conc_Alpha.1*Mat.Conc_f.c*Inputs!J68*MIN(L717*Mat.Conc_Beta.1,Inputs!I68))</f>
        <v/>
      </c>
      <c r="O717" s="369"/>
      <c r="P717" s="372" t="str">
        <f>IF(ISBLANK(Inputs!$A68),"",
Mat.Conc_Alpha.1*Mat.Conc_f.c*Inputs!E68*MAX(0,L717*Mat.Conc_Beta.1-Inputs!I68))</f>
        <v/>
      </c>
      <c r="Q717" s="369"/>
      <c r="R717" s="369" t="str">
        <f>IF(ISBLANK(Inputs!$A68),"",Inputs!G68*MIN(Mat.Rebar_f.y,(Mat.Rebar_epsilon.cl*(Inputs!H68-L717)/L717)*Mat.PT_E.s))</f>
        <v/>
      </c>
      <c r="S717" s="369"/>
      <c r="T717" s="369" t="str">
        <f>IF(ISBLANK(Inputs!$A68),"",Inputs!D68*(Mat.PT_f.pu*(1-Mat.PT_k*L717/Inputs!F68)))</f>
        <v/>
      </c>
      <c r="U717" s="369"/>
      <c r="V717" s="369" t="str">
        <f>IF(ISBLANK(Inputs!$A68),"",
(Mat.PT_f.pe/Mat.PT_E.ps)+(Mat.Rebar_epsilon.cl*((Geometry_d.p.Positive-L717)/L717)))</f>
        <v/>
      </c>
      <c r="W717" s="369"/>
      <c r="X717" s="369" t="str">
        <f>IF(ISBLANK(Inputs!$A68),"",
0.5*MIN(L717*Mat.Conc_Beta.1,Geometry_h.f.Positive))</f>
        <v/>
      </c>
      <c r="Y717" s="369"/>
      <c r="Z717" s="369" t="str">
        <f>IF(ISBLANK(Inputs!$A68),"",
IF(P717=0,0,Geometry_h.f.Positive+0.5*MAX(0,L717*Mat.Conc_Beta.1-Geometry_h.f.Positive)))</f>
        <v/>
      </c>
      <c r="AA717" s="369"/>
      <c r="AB717" s="369" t="str">
        <f>IF(ISBLANK(Inputs!$A68),"",
Inputs!H68)</f>
        <v/>
      </c>
      <c r="AC717" s="369"/>
      <c r="AD717" s="369" t="str">
        <f>IF(ISBLANK(Inputs!$A68),"",
Inputs!F68)</f>
        <v/>
      </c>
      <c r="AE717" s="369"/>
      <c r="AF717" s="369" t="str">
        <f>IF(ISBLANK(Inputs!$A68),"",
MAX(0.75,MIN(1,0.75+0.25*(V717-Mat.Rebar_epsilon.cl)/(Mat.Rebar_epsilon.tl-Mat.Rebar_epsilon.cl))))</f>
        <v/>
      </c>
      <c r="AG717" s="369"/>
      <c r="AH717" s="370" t="str">
        <f>IF(ISBLANK(Inputs!$A68),"",
((AD717*T717+AB717*R717-Z717*P717-X717*N717)/12)*AF717)</f>
        <v/>
      </c>
      <c r="AI717" s="370"/>
      <c r="AJ717" s="370"/>
      <c r="AK717" s="369" t="str">
        <f>IF(ISBLANK(Inputs!$A68),"",
MAX(IF(ISNUMBER(AE585),1),
IF(ISNUMBER(AI585),2),
IF(ISNUMBER(AM585),3),
IF(ISNUMBER(AQ585),4),
IF(ISNUMBER(AU585),5),
IF(ISNUMBER(AY585),6),
IF(ISNUMBER(BC585),7),
IF(ISNUMBER(BG585),8),
IF(ISNUMBER(BK585),9),
IF(ISNUMBER(BO585),10)))</f>
        <v/>
      </c>
      <c r="AL717" s="369"/>
      <c r="AM717" s="369" t="str">
        <f>IF(ISBLANK(Inputs!$A68),"",
_xlfn.LET(
_xlpm.n,AK717,
CHOOSE(_xlpm.n,
AE585,AI585,AM585,AQ585,AU585,
AY585,BC585,BG585,BK585,BO585
)
))</f>
        <v/>
      </c>
      <c r="AN717" s="369"/>
      <c r="AO717" s="369" t="str">
        <f>IF(ISBLANK(Inputs!$A68),"",
Mat.Conc_Alpha.1*Mat.Conc_f.c*Geometry_b.Negative*MIN(AM717*Mat.Conc_Beta.1,Geometry_h.f.Negative))</f>
        <v/>
      </c>
      <c r="AP717" s="369"/>
      <c r="AQ717" s="369" t="str">
        <f>IF(ISBLANK(Inputs!$A68),"",
Mat.Conc_Alpha.1*Mat.Conc_f.c*Geometry_b.w*MAX(0,AM717*Mat.Conc_Beta.1-Geometry_h.f.Negative))</f>
        <v/>
      </c>
      <c r="AR717" s="369"/>
      <c r="AS717" s="369" t="str">
        <f>IF(ISBLANK(Inputs!$A68),"",
Mat.Rebar_A.s.Positive*MIN(Mat.Rebar_f.y,(Mat.Rebar_epsilon.cl*(Geometry_d.s.Negative-AM717)/AM717)*Mat.PT_E.s))</f>
        <v/>
      </c>
      <c r="AT717" s="369"/>
      <c r="AU717" s="369" t="str">
        <f>IF(ISBLANK(Inputs!$A68),"",
Mat.PT_A.ps*(Mat.PT_f.pu*(1-Mat.PT_k*AM717/Geometry_d.p.Negative)))</f>
        <v/>
      </c>
      <c r="AV717" s="369"/>
      <c r="AW717" s="369" t="str">
        <f>IF(ISBLANK(Inputs!$A68),"",
(Mat.PT_f.pe/Mat.PT_E.ps)+(Mat.Rebar_epsilon.cl*((Geometry_d.p.Negative-AM717)/AM717)))</f>
        <v/>
      </c>
      <c r="AX717" s="369"/>
      <c r="AY717" s="369" t="str">
        <f>IF(ISBLANK(Inputs!$A68),"",
0.5*MIN(AM717*Mat.Conc_Beta.1,Geometry_h.f.Negative))</f>
        <v/>
      </c>
      <c r="AZ717" s="369"/>
      <c r="BA717" s="369" t="str">
        <f>IF(ISBLANK(Inputs!$A68),"",
IF(AQ717=0,0,Geometry_h.f.Negative+0.5*MAX(0,AM717*Mat.Conc_Beta.1-Geometry_h.f.Negative)))</f>
        <v/>
      </c>
      <c r="BB717" s="369"/>
      <c r="BC717" s="369" t="str">
        <f>IF(ISBLANK(Inputs!$A68),"",
Inputs!L68)</f>
        <v/>
      </c>
      <c r="BD717" s="369"/>
      <c r="BE717" s="369" t="str">
        <f>IF(ISBLANK(Inputs!$A68),"",Inputs!$B$10-Inputs!F68)</f>
        <v/>
      </c>
      <c r="BF717" s="369"/>
      <c r="BG717" s="369" t="str">
        <f>IF(ISBLANK(Inputs!$A68),"",
MAX(0.75,MIN(1,0.75+0.25*(AW717-Mat.Rebar_epsilon.cl)/(Mat.Rebar_epsilon.tl-Mat.Rebar_epsilon.cl))))</f>
        <v/>
      </c>
      <c r="BH717" s="369"/>
      <c r="BI717" s="370" t="str">
        <f>IF(ISBLANK(Inputs!$A68),"",
-((BE717*AU717+BC717*AS717-BA717*AQ717-AY717*AO717)/12)*BG717)</f>
        <v/>
      </c>
      <c r="BJ717" s="370"/>
      <c r="BK717" s="370"/>
      <c r="BL717" s="370" t="str">
        <f>IF(ISBLANK(Inputs!C68),"",Inputs!C68)</f>
        <v/>
      </c>
      <c r="BM717" s="370"/>
      <c r="BN717" s="370"/>
      <c r="BO717" s="374" t="str">
        <f>IF(ISBLANK(Inputs!$A68),"",
IFERROR(IF(BL717&gt;=0,ABS(BL717)/ABS(AH717),ABS(BL717)/ABS(BI717)),""))</f>
        <v/>
      </c>
      <c r="BP717" s="374"/>
      <c r="BQ717" s="374"/>
      <c r="BR717" s="59"/>
      <c r="BS717" s="70"/>
      <c r="BT717" s="70"/>
      <c r="BU717" s="70"/>
      <c r="BV717" s="70"/>
      <c r="BW717" s="8"/>
      <c r="BX717" s="8"/>
      <c r="BY717" s="8"/>
      <c r="BZ717" s="8"/>
      <c r="CA717" s="8"/>
      <c r="CB717" s="10"/>
    </row>
    <row r="718" spans="3:80" ht="15" customHeight="1" x14ac:dyDescent="0.25">
      <c r="C718" s="69"/>
      <c r="F718" s="369" t="str">
        <f>IF(ISBLANK(Inputs!A69),"",Inputs!A69)</f>
        <v/>
      </c>
      <c r="G718" s="369"/>
      <c r="H718" s="369" t="str">
        <f>IF(ISBLANK(Inputs!B69),"",Inputs!B69)</f>
        <v/>
      </c>
      <c r="I718" s="369"/>
      <c r="J718" s="369" t="str">
        <f>IF(ISBLANK(Inputs!$A69),"",
MAX(IF(ISNUMBER(AE461),1),
IF(ISNUMBER(AI461),2),
IF(ISNUMBER(AM461),3),
IF(ISNUMBER(AQ461),4),
IF(ISNUMBER(AU461),5),
IF(ISNUMBER(AY461),6),
IF(ISNUMBER(BC461),7),
IF(ISNUMBER(BG461),8),
IF(ISNUMBER(BK461),9),
IF(ISNUMBER(BO461),10)))</f>
        <v/>
      </c>
      <c r="K718" s="369"/>
      <c r="L718" s="369" t="str">
        <f>IF(ISBLANK(Inputs!$A69),"",
_xlfn.LET(
_xlpm.n,J718,
CHOOSE(_xlpm.n,
AE461,AI461,AM461,AQ461,AU461,
AY461,BC461,BG461,BK461,BO461
)
))</f>
        <v/>
      </c>
      <c r="M718" s="369"/>
      <c r="N718" s="369" t="str">
        <f>IF(ISBLANK(Inputs!$A69),"",
Mat.Conc_Alpha.1*Mat.Conc_f.c*Inputs!J69*MIN(L718*Mat.Conc_Beta.1,Inputs!I69))</f>
        <v/>
      </c>
      <c r="O718" s="369"/>
      <c r="P718" s="372" t="str">
        <f>IF(ISBLANK(Inputs!$A69),"",
Mat.Conc_Alpha.1*Mat.Conc_f.c*Inputs!E69*MAX(0,L718*Mat.Conc_Beta.1-Inputs!I69))</f>
        <v/>
      </c>
      <c r="Q718" s="369"/>
      <c r="R718" s="369" t="str">
        <f>IF(ISBLANK(Inputs!$A69),"",Inputs!G69*MIN(Mat.Rebar_f.y,(Mat.Rebar_epsilon.cl*(Inputs!H69-L718)/L718)*Mat.PT_E.s))</f>
        <v/>
      </c>
      <c r="S718" s="369"/>
      <c r="T718" s="369" t="str">
        <f>IF(ISBLANK(Inputs!$A69),"",Inputs!D69*(Mat.PT_f.pu*(1-Mat.PT_k*L718/Inputs!F69)))</f>
        <v/>
      </c>
      <c r="U718" s="369"/>
      <c r="V718" s="369" t="str">
        <f>IF(ISBLANK(Inputs!$A69),"",
(Mat.PT_f.pe/Mat.PT_E.ps)+(Mat.Rebar_epsilon.cl*((Geometry_d.p.Positive-L718)/L718)))</f>
        <v/>
      </c>
      <c r="W718" s="369"/>
      <c r="X718" s="369" t="str">
        <f>IF(ISBLANK(Inputs!$A69),"",
0.5*MIN(L718*Mat.Conc_Beta.1,Geometry_h.f.Positive))</f>
        <v/>
      </c>
      <c r="Y718" s="369"/>
      <c r="Z718" s="369" t="str">
        <f>IF(ISBLANK(Inputs!$A69),"",
IF(P718=0,0,Geometry_h.f.Positive+0.5*MAX(0,L718*Mat.Conc_Beta.1-Geometry_h.f.Positive)))</f>
        <v/>
      </c>
      <c r="AA718" s="369"/>
      <c r="AB718" s="369" t="str">
        <f>IF(ISBLANK(Inputs!$A69),"",
Inputs!H69)</f>
        <v/>
      </c>
      <c r="AC718" s="369"/>
      <c r="AD718" s="369" t="str">
        <f>IF(ISBLANK(Inputs!$A69),"",
Inputs!F69)</f>
        <v/>
      </c>
      <c r="AE718" s="369"/>
      <c r="AF718" s="369" t="str">
        <f>IF(ISBLANK(Inputs!$A69),"",
MAX(0.75,MIN(1,0.75+0.25*(V718-Mat.Rebar_epsilon.cl)/(Mat.Rebar_epsilon.tl-Mat.Rebar_epsilon.cl))))</f>
        <v/>
      </c>
      <c r="AG718" s="369"/>
      <c r="AH718" s="370" t="str">
        <f>IF(ISBLANK(Inputs!$A69),"",
((AD718*T718+AB718*R718-Z718*P718-X718*N718)/12)*AF718)</f>
        <v/>
      </c>
      <c r="AI718" s="370"/>
      <c r="AJ718" s="370"/>
      <c r="AK718" s="369" t="str">
        <f>IF(ISBLANK(Inputs!$A69),"",
MAX(IF(ISNUMBER(AE586),1),
IF(ISNUMBER(AI586),2),
IF(ISNUMBER(AM586),3),
IF(ISNUMBER(AQ586),4),
IF(ISNUMBER(AU586),5),
IF(ISNUMBER(AY586),6),
IF(ISNUMBER(BC586),7),
IF(ISNUMBER(BG586),8),
IF(ISNUMBER(BK586),9),
IF(ISNUMBER(BO586),10)))</f>
        <v/>
      </c>
      <c r="AL718" s="369"/>
      <c r="AM718" s="369" t="str">
        <f>IF(ISBLANK(Inputs!$A69),"",
_xlfn.LET(
_xlpm.n,AK718,
CHOOSE(_xlpm.n,
AE586,AI586,AM586,AQ586,AU586,
AY586,BC586,BG586,BK586,BO586
)
))</f>
        <v/>
      </c>
      <c r="AN718" s="369"/>
      <c r="AO718" s="369" t="str">
        <f>IF(ISBLANK(Inputs!$A69),"",
Mat.Conc_Alpha.1*Mat.Conc_f.c*Geometry_b.Negative*MIN(AM718*Mat.Conc_Beta.1,Geometry_h.f.Negative))</f>
        <v/>
      </c>
      <c r="AP718" s="369"/>
      <c r="AQ718" s="369" t="str">
        <f>IF(ISBLANK(Inputs!$A69),"",
Mat.Conc_Alpha.1*Mat.Conc_f.c*Geometry_b.w*MAX(0,AM718*Mat.Conc_Beta.1-Geometry_h.f.Negative))</f>
        <v/>
      </c>
      <c r="AR718" s="369"/>
      <c r="AS718" s="369" t="str">
        <f>IF(ISBLANK(Inputs!$A69),"",
Mat.Rebar_A.s.Positive*MIN(Mat.Rebar_f.y,(Mat.Rebar_epsilon.cl*(Geometry_d.s.Negative-AM718)/AM718)*Mat.PT_E.s))</f>
        <v/>
      </c>
      <c r="AT718" s="369"/>
      <c r="AU718" s="369" t="str">
        <f>IF(ISBLANK(Inputs!$A69),"",
Mat.PT_A.ps*(Mat.PT_f.pu*(1-Mat.PT_k*AM718/Geometry_d.p.Negative)))</f>
        <v/>
      </c>
      <c r="AV718" s="369"/>
      <c r="AW718" s="369" t="str">
        <f>IF(ISBLANK(Inputs!$A69),"",
(Mat.PT_f.pe/Mat.PT_E.ps)+(Mat.Rebar_epsilon.cl*((Geometry_d.p.Negative-AM718)/AM718)))</f>
        <v/>
      </c>
      <c r="AX718" s="369"/>
      <c r="AY718" s="369" t="str">
        <f>IF(ISBLANK(Inputs!$A69),"",
0.5*MIN(AM718*Mat.Conc_Beta.1,Geometry_h.f.Negative))</f>
        <v/>
      </c>
      <c r="AZ718" s="369"/>
      <c r="BA718" s="369" t="str">
        <f>IF(ISBLANK(Inputs!$A69),"",
IF(AQ718=0,0,Geometry_h.f.Negative+0.5*MAX(0,AM718*Mat.Conc_Beta.1-Geometry_h.f.Negative)))</f>
        <v/>
      </c>
      <c r="BB718" s="369"/>
      <c r="BC718" s="369" t="str">
        <f>IF(ISBLANK(Inputs!$A69),"",
Inputs!L69)</f>
        <v/>
      </c>
      <c r="BD718" s="369"/>
      <c r="BE718" s="369" t="str">
        <f>IF(ISBLANK(Inputs!$A69),"",Inputs!$B$10-Inputs!F69)</f>
        <v/>
      </c>
      <c r="BF718" s="369"/>
      <c r="BG718" s="369" t="str">
        <f>IF(ISBLANK(Inputs!$A69),"",
MAX(0.75,MIN(1,0.75+0.25*(AW718-Mat.Rebar_epsilon.cl)/(Mat.Rebar_epsilon.tl-Mat.Rebar_epsilon.cl))))</f>
        <v/>
      </c>
      <c r="BH718" s="369"/>
      <c r="BI718" s="370" t="str">
        <f>IF(ISBLANK(Inputs!$A69),"",
-((BE718*AU718+BC718*AS718-BA718*AQ718-AY718*AO718)/12)*BG718)</f>
        <v/>
      </c>
      <c r="BJ718" s="370"/>
      <c r="BK718" s="370"/>
      <c r="BL718" s="370" t="str">
        <f>IF(ISBLANK(Inputs!C69),"",Inputs!C69)</f>
        <v/>
      </c>
      <c r="BM718" s="370"/>
      <c r="BN718" s="370"/>
      <c r="BO718" s="374" t="str">
        <f>IF(ISBLANK(Inputs!$A69),"",
IFERROR(IF(BL718&gt;=0,ABS(BL718)/ABS(AH718),ABS(BL718)/ABS(BI718)),""))</f>
        <v/>
      </c>
      <c r="BP718" s="374"/>
      <c r="BQ718" s="374"/>
      <c r="BR718" s="59"/>
      <c r="BS718" s="70"/>
      <c r="BT718" s="70"/>
      <c r="BU718" s="70"/>
      <c r="BV718" s="70"/>
      <c r="BW718" s="8"/>
      <c r="BX718" s="8"/>
      <c r="BY718" s="8"/>
      <c r="BZ718" s="8"/>
      <c r="CA718" s="8"/>
      <c r="CB718" s="10"/>
    </row>
    <row r="719" spans="3:80" ht="15" customHeight="1" x14ac:dyDescent="0.25">
      <c r="C719" s="69"/>
      <c r="F719" s="369" t="str">
        <f>IF(ISBLANK(Inputs!A70),"",Inputs!A70)</f>
        <v/>
      </c>
      <c r="G719" s="369"/>
      <c r="H719" s="369" t="str">
        <f>IF(ISBLANK(Inputs!B70),"",Inputs!B70)</f>
        <v/>
      </c>
      <c r="I719" s="369"/>
      <c r="J719" s="369" t="str">
        <f>IF(ISBLANK(Inputs!$A70),"",
MAX(IF(ISNUMBER(AE462),1),
IF(ISNUMBER(AI462),2),
IF(ISNUMBER(AM462),3),
IF(ISNUMBER(AQ462),4),
IF(ISNUMBER(AU462),5),
IF(ISNUMBER(AY462),6),
IF(ISNUMBER(BC462),7),
IF(ISNUMBER(BG462),8),
IF(ISNUMBER(BK462),9),
IF(ISNUMBER(BO462),10)))</f>
        <v/>
      </c>
      <c r="K719" s="369"/>
      <c r="L719" s="369" t="str">
        <f>IF(ISBLANK(Inputs!$A70),"",
_xlfn.LET(
_xlpm.n,J719,
CHOOSE(_xlpm.n,
AE462,AI462,AM462,AQ462,AU462,
AY462,BC462,BG462,BK462,BO462
)
))</f>
        <v/>
      </c>
      <c r="M719" s="369"/>
      <c r="N719" s="369" t="str">
        <f>IF(ISBLANK(Inputs!$A70),"",
Mat.Conc_Alpha.1*Mat.Conc_f.c*Inputs!J70*MIN(L719*Mat.Conc_Beta.1,Inputs!I70))</f>
        <v/>
      </c>
      <c r="O719" s="369"/>
      <c r="P719" s="372" t="str">
        <f>IF(ISBLANK(Inputs!$A70),"",
Mat.Conc_Alpha.1*Mat.Conc_f.c*Inputs!E70*MAX(0,L719*Mat.Conc_Beta.1-Inputs!I70))</f>
        <v/>
      </c>
      <c r="Q719" s="369"/>
      <c r="R719" s="369" t="str">
        <f>IF(ISBLANK(Inputs!$A70),"",Inputs!G70*MIN(Mat.Rebar_f.y,(Mat.Rebar_epsilon.cl*(Inputs!H70-L719)/L719)*Mat.PT_E.s))</f>
        <v/>
      </c>
      <c r="S719" s="369"/>
      <c r="T719" s="369" t="str">
        <f>IF(ISBLANK(Inputs!$A70),"",Inputs!D70*(Mat.PT_f.pu*(1-Mat.PT_k*L719/Inputs!F70)))</f>
        <v/>
      </c>
      <c r="U719" s="369"/>
      <c r="V719" s="369" t="str">
        <f>IF(ISBLANK(Inputs!$A70),"",
(Mat.PT_f.pe/Mat.PT_E.ps)+(Mat.Rebar_epsilon.cl*((Geometry_d.p.Positive-L719)/L719)))</f>
        <v/>
      </c>
      <c r="W719" s="369"/>
      <c r="X719" s="369" t="str">
        <f>IF(ISBLANK(Inputs!$A70),"",
0.5*MIN(L719*Mat.Conc_Beta.1,Geometry_h.f.Positive))</f>
        <v/>
      </c>
      <c r="Y719" s="369"/>
      <c r="Z719" s="369" t="str">
        <f>IF(ISBLANK(Inputs!$A70),"",
IF(P719=0,0,Geometry_h.f.Positive+0.5*MAX(0,L719*Mat.Conc_Beta.1-Geometry_h.f.Positive)))</f>
        <v/>
      </c>
      <c r="AA719" s="369"/>
      <c r="AB719" s="369" t="str">
        <f>IF(ISBLANK(Inputs!$A70),"",
Inputs!H70)</f>
        <v/>
      </c>
      <c r="AC719" s="369"/>
      <c r="AD719" s="369" t="str">
        <f>IF(ISBLANK(Inputs!$A70),"",
Inputs!F70)</f>
        <v/>
      </c>
      <c r="AE719" s="369"/>
      <c r="AF719" s="369" t="str">
        <f>IF(ISBLANK(Inputs!$A70),"",
MAX(0.75,MIN(1,0.75+0.25*(V719-Mat.Rebar_epsilon.cl)/(Mat.Rebar_epsilon.tl-Mat.Rebar_epsilon.cl))))</f>
        <v/>
      </c>
      <c r="AG719" s="369"/>
      <c r="AH719" s="370" t="str">
        <f>IF(ISBLANK(Inputs!$A70),"",
((AD719*T719+AB719*R719-Z719*P719-X719*N719)/12)*AF719)</f>
        <v/>
      </c>
      <c r="AI719" s="370"/>
      <c r="AJ719" s="370"/>
      <c r="AK719" s="369" t="str">
        <f>IF(ISBLANK(Inputs!$A70),"",
MAX(IF(ISNUMBER(AE587),1),
IF(ISNUMBER(AI587),2),
IF(ISNUMBER(AM587),3),
IF(ISNUMBER(AQ587),4),
IF(ISNUMBER(AU587),5),
IF(ISNUMBER(AY587),6),
IF(ISNUMBER(BC587),7),
IF(ISNUMBER(BG587),8),
IF(ISNUMBER(BK587),9),
IF(ISNUMBER(BO587),10)))</f>
        <v/>
      </c>
      <c r="AL719" s="369"/>
      <c r="AM719" s="369" t="str">
        <f>IF(ISBLANK(Inputs!$A70),"",
_xlfn.LET(
_xlpm.n,AK719,
CHOOSE(_xlpm.n,
AE587,AI587,AM587,AQ587,AU587,
AY587,BC587,BG587,BK587,BO587
)
))</f>
        <v/>
      </c>
      <c r="AN719" s="369"/>
      <c r="AO719" s="369" t="str">
        <f>IF(ISBLANK(Inputs!$A70),"",
Mat.Conc_Alpha.1*Mat.Conc_f.c*Geometry_b.Negative*MIN(AM719*Mat.Conc_Beta.1,Geometry_h.f.Negative))</f>
        <v/>
      </c>
      <c r="AP719" s="369"/>
      <c r="AQ719" s="369" t="str">
        <f>IF(ISBLANK(Inputs!$A70),"",
Mat.Conc_Alpha.1*Mat.Conc_f.c*Geometry_b.w*MAX(0,AM719*Mat.Conc_Beta.1-Geometry_h.f.Negative))</f>
        <v/>
      </c>
      <c r="AR719" s="369"/>
      <c r="AS719" s="369" t="str">
        <f>IF(ISBLANK(Inputs!$A70),"",
Mat.Rebar_A.s.Positive*MIN(Mat.Rebar_f.y,(Mat.Rebar_epsilon.cl*(Geometry_d.s.Negative-AM719)/AM719)*Mat.PT_E.s))</f>
        <v/>
      </c>
      <c r="AT719" s="369"/>
      <c r="AU719" s="369" t="str">
        <f>IF(ISBLANK(Inputs!$A70),"",
Mat.PT_A.ps*(Mat.PT_f.pu*(1-Mat.PT_k*AM719/Geometry_d.p.Negative)))</f>
        <v/>
      </c>
      <c r="AV719" s="369"/>
      <c r="AW719" s="369" t="str">
        <f>IF(ISBLANK(Inputs!$A70),"",
(Mat.PT_f.pe/Mat.PT_E.ps)+(Mat.Rebar_epsilon.cl*((Geometry_d.p.Negative-AM719)/AM719)))</f>
        <v/>
      </c>
      <c r="AX719" s="369"/>
      <c r="AY719" s="369" t="str">
        <f>IF(ISBLANK(Inputs!$A70),"",
0.5*MIN(AM719*Mat.Conc_Beta.1,Geometry_h.f.Negative))</f>
        <v/>
      </c>
      <c r="AZ719" s="369"/>
      <c r="BA719" s="369" t="str">
        <f>IF(ISBLANK(Inputs!$A70),"",
IF(AQ719=0,0,Geometry_h.f.Negative+0.5*MAX(0,AM719*Mat.Conc_Beta.1-Geometry_h.f.Negative)))</f>
        <v/>
      </c>
      <c r="BB719" s="369"/>
      <c r="BC719" s="369" t="str">
        <f>IF(ISBLANK(Inputs!$A70),"",
Inputs!L70)</f>
        <v/>
      </c>
      <c r="BD719" s="369"/>
      <c r="BE719" s="369" t="str">
        <f>IF(ISBLANK(Inputs!$A70),"",Inputs!$B$10-Inputs!F70)</f>
        <v/>
      </c>
      <c r="BF719" s="369"/>
      <c r="BG719" s="369" t="str">
        <f>IF(ISBLANK(Inputs!$A70),"",
MAX(0.75,MIN(1,0.75+0.25*(AW719-Mat.Rebar_epsilon.cl)/(Mat.Rebar_epsilon.tl-Mat.Rebar_epsilon.cl))))</f>
        <v/>
      </c>
      <c r="BH719" s="369"/>
      <c r="BI719" s="370" t="str">
        <f>IF(ISBLANK(Inputs!$A70),"",
-((BE719*AU719+BC719*AS719-BA719*AQ719-AY719*AO719)/12)*BG719)</f>
        <v/>
      </c>
      <c r="BJ719" s="370"/>
      <c r="BK719" s="370"/>
      <c r="BL719" s="370" t="str">
        <f>IF(ISBLANK(Inputs!C70),"",Inputs!C70)</f>
        <v/>
      </c>
      <c r="BM719" s="370"/>
      <c r="BN719" s="370"/>
      <c r="BO719" s="374" t="str">
        <f>IF(ISBLANK(Inputs!$A70),"",
IFERROR(IF(BL719&gt;=0,ABS(BL719)/ABS(AH719),ABS(BL719)/ABS(BI719)),""))</f>
        <v/>
      </c>
      <c r="BP719" s="374"/>
      <c r="BQ719" s="374"/>
      <c r="BR719" s="59"/>
      <c r="BS719" s="70"/>
      <c r="BT719" s="70"/>
      <c r="BU719" s="70"/>
      <c r="BV719" s="70"/>
      <c r="BW719" s="8"/>
      <c r="BX719" s="8"/>
      <c r="BY719" s="8"/>
      <c r="BZ719" s="8"/>
      <c r="CA719" s="8"/>
      <c r="CB719" s="10"/>
    </row>
    <row r="720" spans="3:80" ht="15" customHeight="1" x14ac:dyDescent="0.25">
      <c r="C720" s="69"/>
      <c r="F720" s="369" t="str">
        <f>IF(ISBLANK(Inputs!A71),"",Inputs!A71)</f>
        <v/>
      </c>
      <c r="G720" s="369"/>
      <c r="H720" s="369" t="str">
        <f>IF(ISBLANK(Inputs!B71),"",Inputs!B71)</f>
        <v/>
      </c>
      <c r="I720" s="369"/>
      <c r="J720" s="369" t="str">
        <f>IF(ISBLANK(Inputs!$A71),"",
MAX(IF(ISNUMBER(AE463),1),
IF(ISNUMBER(AI463),2),
IF(ISNUMBER(AM463),3),
IF(ISNUMBER(AQ463),4),
IF(ISNUMBER(AU463),5),
IF(ISNUMBER(AY463),6),
IF(ISNUMBER(BC463),7),
IF(ISNUMBER(BG463),8),
IF(ISNUMBER(BK463),9),
IF(ISNUMBER(BO463),10)))</f>
        <v/>
      </c>
      <c r="K720" s="369"/>
      <c r="L720" s="369" t="str">
        <f>IF(ISBLANK(Inputs!$A71),"",
_xlfn.LET(
_xlpm.n,J720,
CHOOSE(_xlpm.n,
AE463,AI463,AM463,AQ463,AU463,
AY463,BC463,BG463,BK463,BO463
)
))</f>
        <v/>
      </c>
      <c r="M720" s="369"/>
      <c r="N720" s="369" t="str">
        <f>IF(ISBLANK(Inputs!$A71),"",
Mat.Conc_Alpha.1*Mat.Conc_f.c*Inputs!J71*MIN(L720*Mat.Conc_Beta.1,Inputs!I71))</f>
        <v/>
      </c>
      <c r="O720" s="369"/>
      <c r="P720" s="372" t="str">
        <f>IF(ISBLANK(Inputs!$A71),"",
Mat.Conc_Alpha.1*Mat.Conc_f.c*Inputs!E71*MAX(0,L720*Mat.Conc_Beta.1-Inputs!I71))</f>
        <v/>
      </c>
      <c r="Q720" s="369"/>
      <c r="R720" s="369" t="str">
        <f>IF(ISBLANK(Inputs!$A71),"",Inputs!G71*MIN(Mat.Rebar_f.y,(Mat.Rebar_epsilon.cl*(Inputs!H71-L720)/L720)*Mat.PT_E.s))</f>
        <v/>
      </c>
      <c r="S720" s="369"/>
      <c r="T720" s="369" t="str">
        <f>IF(ISBLANK(Inputs!$A71),"",Inputs!D71*(Mat.PT_f.pu*(1-Mat.PT_k*L720/Inputs!F71)))</f>
        <v/>
      </c>
      <c r="U720" s="369"/>
      <c r="V720" s="369" t="str">
        <f>IF(ISBLANK(Inputs!$A71),"",
(Mat.PT_f.pe/Mat.PT_E.ps)+(Mat.Rebar_epsilon.cl*((Geometry_d.p.Positive-L720)/L720)))</f>
        <v/>
      </c>
      <c r="W720" s="369"/>
      <c r="X720" s="369" t="str">
        <f>IF(ISBLANK(Inputs!$A71),"",
0.5*MIN(L720*Mat.Conc_Beta.1,Geometry_h.f.Positive))</f>
        <v/>
      </c>
      <c r="Y720" s="369"/>
      <c r="Z720" s="369" t="str">
        <f>IF(ISBLANK(Inputs!$A71),"",
IF(P720=0,0,Geometry_h.f.Positive+0.5*MAX(0,L720*Mat.Conc_Beta.1-Geometry_h.f.Positive)))</f>
        <v/>
      </c>
      <c r="AA720" s="369"/>
      <c r="AB720" s="369" t="str">
        <f>IF(ISBLANK(Inputs!$A71),"",
Inputs!H71)</f>
        <v/>
      </c>
      <c r="AC720" s="369"/>
      <c r="AD720" s="369" t="str">
        <f>IF(ISBLANK(Inputs!$A71),"",
Inputs!F71)</f>
        <v/>
      </c>
      <c r="AE720" s="369"/>
      <c r="AF720" s="369" t="str">
        <f>IF(ISBLANK(Inputs!$A71),"",
MAX(0.75,MIN(1,0.75+0.25*(V720-Mat.Rebar_epsilon.cl)/(Mat.Rebar_epsilon.tl-Mat.Rebar_epsilon.cl))))</f>
        <v/>
      </c>
      <c r="AG720" s="369"/>
      <c r="AH720" s="370" t="str">
        <f>IF(ISBLANK(Inputs!$A71),"",
((AD720*T720+AB720*R720-Z720*P720-X720*N720)/12)*AF720)</f>
        <v/>
      </c>
      <c r="AI720" s="370"/>
      <c r="AJ720" s="370"/>
      <c r="AK720" s="369" t="str">
        <f>IF(ISBLANK(Inputs!$A71),"",
MAX(IF(ISNUMBER(AE588),1),
IF(ISNUMBER(AI588),2),
IF(ISNUMBER(AM588),3),
IF(ISNUMBER(AQ588),4),
IF(ISNUMBER(AU588),5),
IF(ISNUMBER(AY588),6),
IF(ISNUMBER(BC588),7),
IF(ISNUMBER(BG588),8),
IF(ISNUMBER(BK588),9),
IF(ISNUMBER(BO588),10)))</f>
        <v/>
      </c>
      <c r="AL720" s="369"/>
      <c r="AM720" s="369" t="str">
        <f>IF(ISBLANK(Inputs!$A71),"",
_xlfn.LET(
_xlpm.n,AK720,
CHOOSE(_xlpm.n,
AE588,AI588,AM588,AQ588,AU588,
AY588,BC588,BG588,BK588,BO588
)
))</f>
        <v/>
      </c>
      <c r="AN720" s="369"/>
      <c r="AO720" s="369" t="str">
        <f>IF(ISBLANK(Inputs!$A71),"",
Mat.Conc_Alpha.1*Mat.Conc_f.c*Geometry_b.Negative*MIN(AM720*Mat.Conc_Beta.1,Geometry_h.f.Negative))</f>
        <v/>
      </c>
      <c r="AP720" s="369"/>
      <c r="AQ720" s="369" t="str">
        <f>IF(ISBLANK(Inputs!$A71),"",
Mat.Conc_Alpha.1*Mat.Conc_f.c*Geometry_b.w*MAX(0,AM720*Mat.Conc_Beta.1-Geometry_h.f.Negative))</f>
        <v/>
      </c>
      <c r="AR720" s="369"/>
      <c r="AS720" s="369" t="str">
        <f>IF(ISBLANK(Inputs!$A71),"",
Mat.Rebar_A.s.Positive*MIN(Mat.Rebar_f.y,(Mat.Rebar_epsilon.cl*(Geometry_d.s.Negative-AM720)/AM720)*Mat.PT_E.s))</f>
        <v/>
      </c>
      <c r="AT720" s="369"/>
      <c r="AU720" s="369" t="str">
        <f>IF(ISBLANK(Inputs!$A71),"",
Mat.PT_A.ps*(Mat.PT_f.pu*(1-Mat.PT_k*AM720/Geometry_d.p.Negative)))</f>
        <v/>
      </c>
      <c r="AV720" s="369"/>
      <c r="AW720" s="369" t="str">
        <f>IF(ISBLANK(Inputs!$A71),"",
(Mat.PT_f.pe/Mat.PT_E.ps)+(Mat.Rebar_epsilon.cl*((Geometry_d.p.Negative-AM720)/AM720)))</f>
        <v/>
      </c>
      <c r="AX720" s="369"/>
      <c r="AY720" s="369" t="str">
        <f>IF(ISBLANK(Inputs!$A71),"",
0.5*MIN(AM720*Mat.Conc_Beta.1,Geometry_h.f.Negative))</f>
        <v/>
      </c>
      <c r="AZ720" s="369"/>
      <c r="BA720" s="369" t="str">
        <f>IF(ISBLANK(Inputs!$A71),"",
IF(AQ720=0,0,Geometry_h.f.Negative+0.5*MAX(0,AM720*Mat.Conc_Beta.1-Geometry_h.f.Negative)))</f>
        <v/>
      </c>
      <c r="BB720" s="369"/>
      <c r="BC720" s="369" t="str">
        <f>IF(ISBLANK(Inputs!$A71),"",
Inputs!L71)</f>
        <v/>
      </c>
      <c r="BD720" s="369"/>
      <c r="BE720" s="369" t="str">
        <f>IF(ISBLANK(Inputs!$A71),"",Inputs!$B$10-Inputs!F71)</f>
        <v/>
      </c>
      <c r="BF720" s="369"/>
      <c r="BG720" s="369" t="str">
        <f>IF(ISBLANK(Inputs!$A71),"",
MAX(0.75,MIN(1,0.75+0.25*(AW720-Mat.Rebar_epsilon.cl)/(Mat.Rebar_epsilon.tl-Mat.Rebar_epsilon.cl))))</f>
        <v/>
      </c>
      <c r="BH720" s="369"/>
      <c r="BI720" s="370" t="str">
        <f>IF(ISBLANK(Inputs!$A71),"",
-((BE720*AU720+BC720*AS720-BA720*AQ720-AY720*AO720)/12)*BG720)</f>
        <v/>
      </c>
      <c r="BJ720" s="370"/>
      <c r="BK720" s="370"/>
      <c r="BL720" s="370" t="str">
        <f>IF(ISBLANK(Inputs!C71),"",Inputs!C71)</f>
        <v/>
      </c>
      <c r="BM720" s="370"/>
      <c r="BN720" s="370"/>
      <c r="BO720" s="374" t="str">
        <f>IF(ISBLANK(Inputs!$A71),"",
IFERROR(IF(BL720&gt;=0,ABS(BL720)/ABS(AH720),ABS(BL720)/ABS(BI720)),""))</f>
        <v/>
      </c>
      <c r="BP720" s="374"/>
      <c r="BQ720" s="374"/>
      <c r="BR720" s="59"/>
      <c r="BS720" s="70"/>
      <c r="BT720" s="70"/>
      <c r="BU720" s="70"/>
      <c r="BV720" s="70"/>
      <c r="BW720" s="8"/>
      <c r="BX720" s="8"/>
      <c r="BY720" s="8"/>
      <c r="BZ720" s="8"/>
      <c r="CA720" s="8"/>
      <c r="CB720" s="10"/>
    </row>
    <row r="721" spans="3:80" ht="15" customHeight="1" x14ac:dyDescent="0.25">
      <c r="C721" s="69"/>
      <c r="F721" s="369" t="str">
        <f>IF(ISBLANK(Inputs!A72),"",Inputs!A72)</f>
        <v/>
      </c>
      <c r="G721" s="369"/>
      <c r="H721" s="369" t="str">
        <f>IF(ISBLANK(Inputs!B72),"",Inputs!B72)</f>
        <v/>
      </c>
      <c r="I721" s="369"/>
      <c r="J721" s="369" t="str">
        <f>IF(ISBLANK(Inputs!$A72),"",
MAX(IF(ISNUMBER(AE464),1),
IF(ISNUMBER(AI464),2),
IF(ISNUMBER(AM464),3),
IF(ISNUMBER(AQ464),4),
IF(ISNUMBER(AU464),5),
IF(ISNUMBER(AY464),6),
IF(ISNUMBER(BC464),7),
IF(ISNUMBER(BG464),8),
IF(ISNUMBER(BK464),9),
IF(ISNUMBER(BO464),10)))</f>
        <v/>
      </c>
      <c r="K721" s="369"/>
      <c r="L721" s="369" t="str">
        <f>IF(ISBLANK(Inputs!$A72),"",
_xlfn.LET(
_xlpm.n,J721,
CHOOSE(_xlpm.n,
AE464,AI464,AM464,AQ464,AU464,
AY464,BC464,BG464,BK464,BO464
)
))</f>
        <v/>
      </c>
      <c r="M721" s="369"/>
      <c r="N721" s="369" t="str">
        <f>IF(ISBLANK(Inputs!$A72),"",
Mat.Conc_Alpha.1*Mat.Conc_f.c*Inputs!J72*MIN(L721*Mat.Conc_Beta.1,Inputs!I72))</f>
        <v/>
      </c>
      <c r="O721" s="369"/>
      <c r="P721" s="372" t="str">
        <f>IF(ISBLANK(Inputs!$A72),"",
Mat.Conc_Alpha.1*Mat.Conc_f.c*Inputs!E72*MAX(0,L721*Mat.Conc_Beta.1-Inputs!I72))</f>
        <v/>
      </c>
      <c r="Q721" s="369"/>
      <c r="R721" s="369" t="str">
        <f>IF(ISBLANK(Inputs!$A72),"",Inputs!G72*MIN(Mat.Rebar_f.y,(Mat.Rebar_epsilon.cl*(Inputs!H72-L721)/L721)*Mat.PT_E.s))</f>
        <v/>
      </c>
      <c r="S721" s="369"/>
      <c r="T721" s="369" t="str">
        <f>IF(ISBLANK(Inputs!$A72),"",Inputs!D72*(Mat.PT_f.pu*(1-Mat.PT_k*L721/Inputs!F72)))</f>
        <v/>
      </c>
      <c r="U721" s="369"/>
      <c r="V721" s="369" t="str">
        <f>IF(ISBLANK(Inputs!$A72),"",
(Mat.PT_f.pe/Mat.PT_E.ps)+(Mat.Rebar_epsilon.cl*((Geometry_d.p.Positive-L721)/L721)))</f>
        <v/>
      </c>
      <c r="W721" s="369"/>
      <c r="X721" s="369" t="str">
        <f>IF(ISBLANK(Inputs!$A72),"",
0.5*MIN(L721*Mat.Conc_Beta.1,Geometry_h.f.Positive))</f>
        <v/>
      </c>
      <c r="Y721" s="369"/>
      <c r="Z721" s="369" t="str">
        <f>IF(ISBLANK(Inputs!$A72),"",
IF(P721=0,0,Geometry_h.f.Positive+0.5*MAX(0,L721*Mat.Conc_Beta.1-Geometry_h.f.Positive)))</f>
        <v/>
      </c>
      <c r="AA721" s="369"/>
      <c r="AB721" s="369" t="str">
        <f>IF(ISBLANK(Inputs!$A72),"",
Inputs!H72)</f>
        <v/>
      </c>
      <c r="AC721" s="369"/>
      <c r="AD721" s="369" t="str">
        <f>IF(ISBLANK(Inputs!$A72),"",
Inputs!F72)</f>
        <v/>
      </c>
      <c r="AE721" s="369"/>
      <c r="AF721" s="369" t="str">
        <f>IF(ISBLANK(Inputs!$A72),"",
MAX(0.75,MIN(1,0.75+0.25*(V721-Mat.Rebar_epsilon.cl)/(Mat.Rebar_epsilon.tl-Mat.Rebar_epsilon.cl))))</f>
        <v/>
      </c>
      <c r="AG721" s="369"/>
      <c r="AH721" s="370" t="str">
        <f>IF(ISBLANK(Inputs!$A72),"",
((AD721*T721+AB721*R721-Z721*P721-X721*N721)/12)*AF721)</f>
        <v/>
      </c>
      <c r="AI721" s="370"/>
      <c r="AJ721" s="370"/>
      <c r="AK721" s="369" t="str">
        <f>IF(ISBLANK(Inputs!$A72),"",
MAX(IF(ISNUMBER(AE589),1),
IF(ISNUMBER(AI589),2),
IF(ISNUMBER(AM589),3),
IF(ISNUMBER(AQ589),4),
IF(ISNUMBER(AU589),5),
IF(ISNUMBER(AY589),6),
IF(ISNUMBER(BC589),7),
IF(ISNUMBER(BG589),8),
IF(ISNUMBER(BK589),9),
IF(ISNUMBER(BO589),10)))</f>
        <v/>
      </c>
      <c r="AL721" s="369"/>
      <c r="AM721" s="369" t="str">
        <f>IF(ISBLANK(Inputs!$A72),"",
_xlfn.LET(
_xlpm.n,AK721,
CHOOSE(_xlpm.n,
AE589,AI589,AM589,AQ589,AU589,
AY589,BC589,BG589,BK589,BO589
)
))</f>
        <v/>
      </c>
      <c r="AN721" s="369"/>
      <c r="AO721" s="369" t="str">
        <f>IF(ISBLANK(Inputs!$A72),"",
Mat.Conc_Alpha.1*Mat.Conc_f.c*Geometry_b.Negative*MIN(AM721*Mat.Conc_Beta.1,Geometry_h.f.Negative))</f>
        <v/>
      </c>
      <c r="AP721" s="369"/>
      <c r="AQ721" s="369" t="str">
        <f>IF(ISBLANK(Inputs!$A72),"",
Mat.Conc_Alpha.1*Mat.Conc_f.c*Geometry_b.w*MAX(0,AM721*Mat.Conc_Beta.1-Geometry_h.f.Negative))</f>
        <v/>
      </c>
      <c r="AR721" s="369"/>
      <c r="AS721" s="369" t="str">
        <f>IF(ISBLANK(Inputs!$A72),"",
Mat.Rebar_A.s.Positive*MIN(Mat.Rebar_f.y,(Mat.Rebar_epsilon.cl*(Geometry_d.s.Negative-AM721)/AM721)*Mat.PT_E.s))</f>
        <v/>
      </c>
      <c r="AT721" s="369"/>
      <c r="AU721" s="369" t="str">
        <f>IF(ISBLANK(Inputs!$A72),"",
Mat.PT_A.ps*(Mat.PT_f.pu*(1-Mat.PT_k*AM721/Geometry_d.p.Negative)))</f>
        <v/>
      </c>
      <c r="AV721" s="369"/>
      <c r="AW721" s="369" t="str">
        <f>IF(ISBLANK(Inputs!$A72),"",
(Mat.PT_f.pe/Mat.PT_E.ps)+(Mat.Rebar_epsilon.cl*((Geometry_d.p.Negative-AM721)/AM721)))</f>
        <v/>
      </c>
      <c r="AX721" s="369"/>
      <c r="AY721" s="369" t="str">
        <f>IF(ISBLANK(Inputs!$A72),"",
0.5*MIN(AM721*Mat.Conc_Beta.1,Geometry_h.f.Negative))</f>
        <v/>
      </c>
      <c r="AZ721" s="369"/>
      <c r="BA721" s="369" t="str">
        <f>IF(ISBLANK(Inputs!$A72),"",
IF(AQ721=0,0,Geometry_h.f.Negative+0.5*MAX(0,AM721*Mat.Conc_Beta.1-Geometry_h.f.Negative)))</f>
        <v/>
      </c>
      <c r="BB721" s="369"/>
      <c r="BC721" s="369" t="str">
        <f>IF(ISBLANK(Inputs!$A72),"",
Inputs!L72)</f>
        <v/>
      </c>
      <c r="BD721" s="369"/>
      <c r="BE721" s="369" t="str">
        <f>IF(ISBLANK(Inputs!$A72),"",Inputs!$B$10-Inputs!F72)</f>
        <v/>
      </c>
      <c r="BF721" s="369"/>
      <c r="BG721" s="369" t="str">
        <f>IF(ISBLANK(Inputs!$A72),"",
MAX(0.75,MIN(1,0.75+0.25*(AW721-Mat.Rebar_epsilon.cl)/(Mat.Rebar_epsilon.tl-Mat.Rebar_epsilon.cl))))</f>
        <v/>
      </c>
      <c r="BH721" s="369"/>
      <c r="BI721" s="370" t="str">
        <f>IF(ISBLANK(Inputs!$A72),"",
-((BE721*AU721+BC721*AS721-BA721*AQ721-AY721*AO721)/12)*BG721)</f>
        <v/>
      </c>
      <c r="BJ721" s="370"/>
      <c r="BK721" s="370"/>
      <c r="BL721" s="370" t="str">
        <f>IF(ISBLANK(Inputs!C72),"",Inputs!C72)</f>
        <v/>
      </c>
      <c r="BM721" s="370"/>
      <c r="BN721" s="370"/>
      <c r="BO721" s="374" t="str">
        <f>IF(ISBLANK(Inputs!$A72),"",
IFERROR(IF(BL721&gt;=0,ABS(BL721)/ABS(AH721),ABS(BL721)/ABS(BI721)),""))</f>
        <v/>
      </c>
      <c r="BP721" s="374"/>
      <c r="BQ721" s="374"/>
      <c r="BR721" s="59"/>
      <c r="BS721" s="70"/>
      <c r="BT721" s="70"/>
      <c r="BU721" s="70"/>
      <c r="BV721" s="70"/>
      <c r="BW721" s="8"/>
      <c r="BX721" s="8"/>
      <c r="BY721" s="8"/>
      <c r="BZ721" s="8"/>
      <c r="CA721" s="8"/>
      <c r="CB721" s="10"/>
    </row>
    <row r="722" spans="3:80" ht="15" customHeight="1" x14ac:dyDescent="0.25">
      <c r="C722" s="69"/>
      <c r="F722" s="369" t="str">
        <f>IF(ISBLANK(Inputs!A73),"",Inputs!A73)</f>
        <v/>
      </c>
      <c r="G722" s="369"/>
      <c r="H722" s="369" t="str">
        <f>IF(ISBLANK(Inputs!B73),"",Inputs!B73)</f>
        <v/>
      </c>
      <c r="I722" s="369"/>
      <c r="J722" s="369" t="str">
        <f>IF(ISBLANK(Inputs!$A73),"",
MAX(IF(ISNUMBER(AE465),1),
IF(ISNUMBER(AI465),2),
IF(ISNUMBER(AM465),3),
IF(ISNUMBER(AQ465),4),
IF(ISNUMBER(AU465),5),
IF(ISNUMBER(AY465),6),
IF(ISNUMBER(BC465),7),
IF(ISNUMBER(BG465),8),
IF(ISNUMBER(BK465),9),
IF(ISNUMBER(BO465),10)))</f>
        <v/>
      </c>
      <c r="K722" s="369"/>
      <c r="L722" s="369" t="str">
        <f>IF(ISBLANK(Inputs!$A73),"",
_xlfn.LET(
_xlpm.n,J722,
CHOOSE(_xlpm.n,
AE465,AI465,AM465,AQ465,AU465,
AY465,BC465,BG465,BK465,BO465
)
))</f>
        <v/>
      </c>
      <c r="M722" s="369"/>
      <c r="N722" s="369" t="str">
        <f>IF(ISBLANK(Inputs!$A73),"",
Mat.Conc_Alpha.1*Mat.Conc_f.c*Inputs!J73*MIN(L722*Mat.Conc_Beta.1,Inputs!I73))</f>
        <v/>
      </c>
      <c r="O722" s="369"/>
      <c r="P722" s="372" t="str">
        <f>IF(ISBLANK(Inputs!$A73),"",
Mat.Conc_Alpha.1*Mat.Conc_f.c*Inputs!E73*MAX(0,L722*Mat.Conc_Beta.1-Inputs!I73))</f>
        <v/>
      </c>
      <c r="Q722" s="369"/>
      <c r="R722" s="369" t="str">
        <f>IF(ISBLANK(Inputs!$A73),"",Inputs!G73*MIN(Mat.Rebar_f.y,(Mat.Rebar_epsilon.cl*(Inputs!H73-L722)/L722)*Mat.PT_E.s))</f>
        <v/>
      </c>
      <c r="S722" s="369"/>
      <c r="T722" s="369" t="str">
        <f>IF(ISBLANK(Inputs!$A73),"",Inputs!D73*(Mat.PT_f.pu*(1-Mat.PT_k*L722/Inputs!F73)))</f>
        <v/>
      </c>
      <c r="U722" s="369"/>
      <c r="V722" s="369" t="str">
        <f>IF(ISBLANK(Inputs!$A73),"",
(Mat.PT_f.pe/Mat.PT_E.ps)+(Mat.Rebar_epsilon.cl*((Geometry_d.p.Positive-L722)/L722)))</f>
        <v/>
      </c>
      <c r="W722" s="369"/>
      <c r="X722" s="369" t="str">
        <f>IF(ISBLANK(Inputs!$A73),"",
0.5*MIN(L722*Mat.Conc_Beta.1,Geometry_h.f.Positive))</f>
        <v/>
      </c>
      <c r="Y722" s="369"/>
      <c r="Z722" s="369" t="str">
        <f>IF(ISBLANK(Inputs!$A73),"",
IF(P722=0,0,Geometry_h.f.Positive+0.5*MAX(0,L722*Mat.Conc_Beta.1-Geometry_h.f.Positive)))</f>
        <v/>
      </c>
      <c r="AA722" s="369"/>
      <c r="AB722" s="369" t="str">
        <f>IF(ISBLANK(Inputs!$A73),"",
Inputs!H73)</f>
        <v/>
      </c>
      <c r="AC722" s="369"/>
      <c r="AD722" s="369" t="str">
        <f>IF(ISBLANK(Inputs!$A73),"",
Inputs!F73)</f>
        <v/>
      </c>
      <c r="AE722" s="369"/>
      <c r="AF722" s="369" t="str">
        <f>IF(ISBLANK(Inputs!$A73),"",
MAX(0.75,MIN(1,0.75+0.25*(V722-Mat.Rebar_epsilon.cl)/(Mat.Rebar_epsilon.tl-Mat.Rebar_epsilon.cl))))</f>
        <v/>
      </c>
      <c r="AG722" s="369"/>
      <c r="AH722" s="370" t="str">
        <f>IF(ISBLANK(Inputs!$A73),"",
((AD722*T722+AB722*R722-Z722*P722-X722*N722)/12)*AF722)</f>
        <v/>
      </c>
      <c r="AI722" s="370"/>
      <c r="AJ722" s="370"/>
      <c r="AK722" s="369" t="str">
        <f>IF(ISBLANK(Inputs!$A73),"",
MAX(IF(ISNUMBER(AE590),1),
IF(ISNUMBER(AI590),2),
IF(ISNUMBER(AM590),3),
IF(ISNUMBER(AQ590),4),
IF(ISNUMBER(AU590),5),
IF(ISNUMBER(AY590),6),
IF(ISNUMBER(BC590),7),
IF(ISNUMBER(BG590),8),
IF(ISNUMBER(BK590),9),
IF(ISNUMBER(BO590),10)))</f>
        <v/>
      </c>
      <c r="AL722" s="369"/>
      <c r="AM722" s="369" t="str">
        <f>IF(ISBLANK(Inputs!$A73),"",
_xlfn.LET(
_xlpm.n,AK722,
CHOOSE(_xlpm.n,
AE590,AI590,AM590,AQ590,AU590,
AY590,BC590,BG590,BK590,BO590
)
))</f>
        <v/>
      </c>
      <c r="AN722" s="369"/>
      <c r="AO722" s="369" t="str">
        <f>IF(ISBLANK(Inputs!$A73),"",
Mat.Conc_Alpha.1*Mat.Conc_f.c*Geometry_b.Negative*MIN(AM722*Mat.Conc_Beta.1,Geometry_h.f.Negative))</f>
        <v/>
      </c>
      <c r="AP722" s="369"/>
      <c r="AQ722" s="369" t="str">
        <f>IF(ISBLANK(Inputs!$A73),"",
Mat.Conc_Alpha.1*Mat.Conc_f.c*Geometry_b.w*MAX(0,AM722*Mat.Conc_Beta.1-Geometry_h.f.Negative))</f>
        <v/>
      </c>
      <c r="AR722" s="369"/>
      <c r="AS722" s="369" t="str">
        <f>IF(ISBLANK(Inputs!$A73),"",
Mat.Rebar_A.s.Positive*MIN(Mat.Rebar_f.y,(Mat.Rebar_epsilon.cl*(Geometry_d.s.Negative-AM722)/AM722)*Mat.PT_E.s))</f>
        <v/>
      </c>
      <c r="AT722" s="369"/>
      <c r="AU722" s="369" t="str">
        <f>IF(ISBLANK(Inputs!$A73),"",
Mat.PT_A.ps*(Mat.PT_f.pu*(1-Mat.PT_k*AM722/Geometry_d.p.Negative)))</f>
        <v/>
      </c>
      <c r="AV722" s="369"/>
      <c r="AW722" s="369" t="str">
        <f>IF(ISBLANK(Inputs!$A73),"",
(Mat.PT_f.pe/Mat.PT_E.ps)+(Mat.Rebar_epsilon.cl*((Geometry_d.p.Negative-AM722)/AM722)))</f>
        <v/>
      </c>
      <c r="AX722" s="369"/>
      <c r="AY722" s="369" t="str">
        <f>IF(ISBLANK(Inputs!$A73),"",
0.5*MIN(AM722*Mat.Conc_Beta.1,Geometry_h.f.Negative))</f>
        <v/>
      </c>
      <c r="AZ722" s="369"/>
      <c r="BA722" s="369" t="str">
        <f>IF(ISBLANK(Inputs!$A73),"",
IF(AQ722=0,0,Geometry_h.f.Negative+0.5*MAX(0,AM722*Mat.Conc_Beta.1-Geometry_h.f.Negative)))</f>
        <v/>
      </c>
      <c r="BB722" s="369"/>
      <c r="BC722" s="369" t="str">
        <f>IF(ISBLANK(Inputs!$A73),"",
Inputs!L73)</f>
        <v/>
      </c>
      <c r="BD722" s="369"/>
      <c r="BE722" s="369" t="str">
        <f>IF(ISBLANK(Inputs!$A73),"",Inputs!$B$10-Inputs!F73)</f>
        <v/>
      </c>
      <c r="BF722" s="369"/>
      <c r="BG722" s="369" t="str">
        <f>IF(ISBLANK(Inputs!$A73),"",
MAX(0.75,MIN(1,0.75+0.25*(AW722-Mat.Rebar_epsilon.cl)/(Mat.Rebar_epsilon.tl-Mat.Rebar_epsilon.cl))))</f>
        <v/>
      </c>
      <c r="BH722" s="369"/>
      <c r="BI722" s="370" t="str">
        <f>IF(ISBLANK(Inputs!$A73),"",
-((BE722*AU722+BC722*AS722-BA722*AQ722-AY722*AO722)/12)*BG722)</f>
        <v/>
      </c>
      <c r="BJ722" s="370"/>
      <c r="BK722" s="370"/>
      <c r="BL722" s="370" t="str">
        <f>IF(ISBLANK(Inputs!C73),"",Inputs!C73)</f>
        <v/>
      </c>
      <c r="BM722" s="370"/>
      <c r="BN722" s="370"/>
      <c r="BO722" s="374" t="str">
        <f>IF(ISBLANK(Inputs!$A73),"",
IFERROR(IF(BL722&gt;=0,ABS(BL722)/ABS(AH722),ABS(BL722)/ABS(BI722)),""))</f>
        <v/>
      </c>
      <c r="BP722" s="374"/>
      <c r="BQ722" s="374"/>
      <c r="BR722" s="59"/>
      <c r="BS722" s="70"/>
      <c r="BT722" s="70"/>
      <c r="BU722" s="70"/>
      <c r="BV722" s="70"/>
      <c r="BW722" s="8"/>
      <c r="BX722" s="8"/>
      <c r="BY722" s="8"/>
      <c r="BZ722" s="8"/>
      <c r="CA722" s="8"/>
      <c r="CB722" s="10"/>
    </row>
    <row r="723" spans="3:80" ht="15" customHeight="1" x14ac:dyDescent="0.25">
      <c r="C723" s="69"/>
      <c r="F723" s="369" t="str">
        <f>IF(ISBLANK(Inputs!A74),"",Inputs!A74)</f>
        <v/>
      </c>
      <c r="G723" s="369"/>
      <c r="H723" s="369" t="str">
        <f>IF(ISBLANK(Inputs!B74),"",Inputs!B74)</f>
        <v/>
      </c>
      <c r="I723" s="369"/>
      <c r="J723" s="369" t="str">
        <f>IF(ISBLANK(Inputs!$A74),"",
MAX(IF(ISNUMBER(AE466),1),
IF(ISNUMBER(AI466),2),
IF(ISNUMBER(AM466),3),
IF(ISNUMBER(AQ466),4),
IF(ISNUMBER(AU466),5),
IF(ISNUMBER(AY466),6),
IF(ISNUMBER(BC466),7),
IF(ISNUMBER(BG466),8),
IF(ISNUMBER(BK466),9),
IF(ISNUMBER(BO466),10)))</f>
        <v/>
      </c>
      <c r="K723" s="369"/>
      <c r="L723" s="369" t="str">
        <f>IF(ISBLANK(Inputs!$A74),"",
_xlfn.LET(
_xlpm.n,J723,
CHOOSE(_xlpm.n,
AE466,AI466,AM466,AQ466,AU466,
AY466,BC466,BG466,BK466,BO466
)
))</f>
        <v/>
      </c>
      <c r="M723" s="369"/>
      <c r="N723" s="369" t="str">
        <f>IF(ISBLANK(Inputs!$A74),"",
Mat.Conc_Alpha.1*Mat.Conc_f.c*Inputs!J74*MIN(L723*Mat.Conc_Beta.1,Inputs!I74))</f>
        <v/>
      </c>
      <c r="O723" s="369"/>
      <c r="P723" s="372" t="str">
        <f>IF(ISBLANK(Inputs!$A74),"",
Mat.Conc_Alpha.1*Mat.Conc_f.c*Inputs!E74*MAX(0,L723*Mat.Conc_Beta.1-Inputs!I74))</f>
        <v/>
      </c>
      <c r="Q723" s="369"/>
      <c r="R723" s="369" t="str">
        <f>IF(ISBLANK(Inputs!$A74),"",Inputs!G74*MIN(Mat.Rebar_f.y,(Mat.Rebar_epsilon.cl*(Inputs!H74-L723)/L723)*Mat.PT_E.s))</f>
        <v/>
      </c>
      <c r="S723" s="369"/>
      <c r="T723" s="369" t="str">
        <f>IF(ISBLANK(Inputs!$A74),"",Inputs!D74*(Mat.PT_f.pu*(1-Mat.PT_k*L723/Inputs!F74)))</f>
        <v/>
      </c>
      <c r="U723" s="369"/>
      <c r="V723" s="369" t="str">
        <f>IF(ISBLANK(Inputs!$A74),"",
(Mat.PT_f.pe/Mat.PT_E.ps)+(Mat.Rebar_epsilon.cl*((Geometry_d.p.Positive-L723)/L723)))</f>
        <v/>
      </c>
      <c r="W723" s="369"/>
      <c r="X723" s="369" t="str">
        <f>IF(ISBLANK(Inputs!$A74),"",
0.5*MIN(L723*Mat.Conc_Beta.1,Geometry_h.f.Positive))</f>
        <v/>
      </c>
      <c r="Y723" s="369"/>
      <c r="Z723" s="369" t="str">
        <f>IF(ISBLANK(Inputs!$A74),"",
IF(P723=0,0,Geometry_h.f.Positive+0.5*MAX(0,L723*Mat.Conc_Beta.1-Geometry_h.f.Positive)))</f>
        <v/>
      </c>
      <c r="AA723" s="369"/>
      <c r="AB723" s="369" t="str">
        <f>IF(ISBLANK(Inputs!$A74),"",
Inputs!H74)</f>
        <v/>
      </c>
      <c r="AC723" s="369"/>
      <c r="AD723" s="369" t="str">
        <f>IF(ISBLANK(Inputs!$A74),"",
Inputs!F74)</f>
        <v/>
      </c>
      <c r="AE723" s="369"/>
      <c r="AF723" s="369" t="str">
        <f>IF(ISBLANK(Inputs!$A74),"",
MAX(0.75,MIN(1,0.75+0.25*(V723-Mat.Rebar_epsilon.cl)/(Mat.Rebar_epsilon.tl-Mat.Rebar_epsilon.cl))))</f>
        <v/>
      </c>
      <c r="AG723" s="369"/>
      <c r="AH723" s="370" t="str">
        <f>IF(ISBLANK(Inputs!$A74),"",
((AD723*T723+AB723*R723-Z723*P723-X723*N723)/12)*AF723)</f>
        <v/>
      </c>
      <c r="AI723" s="370"/>
      <c r="AJ723" s="370"/>
      <c r="AK723" s="369" t="str">
        <f>IF(ISBLANK(Inputs!$A74),"",
MAX(IF(ISNUMBER(AE591),1),
IF(ISNUMBER(AI591),2),
IF(ISNUMBER(AM591),3),
IF(ISNUMBER(AQ591),4),
IF(ISNUMBER(AU591),5),
IF(ISNUMBER(AY591),6),
IF(ISNUMBER(BC591),7),
IF(ISNUMBER(BG591),8),
IF(ISNUMBER(BK591),9),
IF(ISNUMBER(BO591),10)))</f>
        <v/>
      </c>
      <c r="AL723" s="369"/>
      <c r="AM723" s="369" t="str">
        <f>IF(ISBLANK(Inputs!$A74),"",
_xlfn.LET(
_xlpm.n,AK723,
CHOOSE(_xlpm.n,
AE591,AI591,AM591,AQ591,AU591,
AY591,BC591,BG591,BK591,BO591
)
))</f>
        <v/>
      </c>
      <c r="AN723" s="369"/>
      <c r="AO723" s="369" t="str">
        <f>IF(ISBLANK(Inputs!$A74),"",
Mat.Conc_Alpha.1*Mat.Conc_f.c*Geometry_b.Negative*MIN(AM723*Mat.Conc_Beta.1,Geometry_h.f.Negative))</f>
        <v/>
      </c>
      <c r="AP723" s="369"/>
      <c r="AQ723" s="369" t="str">
        <f>IF(ISBLANK(Inputs!$A74),"",
Mat.Conc_Alpha.1*Mat.Conc_f.c*Geometry_b.w*MAX(0,AM723*Mat.Conc_Beta.1-Geometry_h.f.Negative))</f>
        <v/>
      </c>
      <c r="AR723" s="369"/>
      <c r="AS723" s="369" t="str">
        <f>IF(ISBLANK(Inputs!$A74),"",
Mat.Rebar_A.s.Positive*MIN(Mat.Rebar_f.y,(Mat.Rebar_epsilon.cl*(Geometry_d.s.Negative-AM723)/AM723)*Mat.PT_E.s))</f>
        <v/>
      </c>
      <c r="AT723" s="369"/>
      <c r="AU723" s="369" t="str">
        <f>IF(ISBLANK(Inputs!$A74),"",
Mat.PT_A.ps*(Mat.PT_f.pu*(1-Mat.PT_k*AM723/Geometry_d.p.Negative)))</f>
        <v/>
      </c>
      <c r="AV723" s="369"/>
      <c r="AW723" s="369" t="str">
        <f>IF(ISBLANK(Inputs!$A74),"",
(Mat.PT_f.pe/Mat.PT_E.ps)+(Mat.Rebar_epsilon.cl*((Geometry_d.p.Negative-AM723)/AM723)))</f>
        <v/>
      </c>
      <c r="AX723" s="369"/>
      <c r="AY723" s="369" t="str">
        <f>IF(ISBLANK(Inputs!$A74),"",
0.5*MIN(AM723*Mat.Conc_Beta.1,Geometry_h.f.Negative))</f>
        <v/>
      </c>
      <c r="AZ723" s="369"/>
      <c r="BA723" s="369" t="str">
        <f>IF(ISBLANK(Inputs!$A74),"",
IF(AQ723=0,0,Geometry_h.f.Negative+0.5*MAX(0,AM723*Mat.Conc_Beta.1-Geometry_h.f.Negative)))</f>
        <v/>
      </c>
      <c r="BB723" s="369"/>
      <c r="BC723" s="369" t="str">
        <f>IF(ISBLANK(Inputs!$A74),"",
Inputs!L74)</f>
        <v/>
      </c>
      <c r="BD723" s="369"/>
      <c r="BE723" s="369" t="str">
        <f>IF(ISBLANK(Inputs!$A74),"",Inputs!$B$10-Inputs!F74)</f>
        <v/>
      </c>
      <c r="BF723" s="369"/>
      <c r="BG723" s="369" t="str">
        <f>IF(ISBLANK(Inputs!$A74),"",
MAX(0.75,MIN(1,0.75+0.25*(AW723-Mat.Rebar_epsilon.cl)/(Mat.Rebar_epsilon.tl-Mat.Rebar_epsilon.cl))))</f>
        <v/>
      </c>
      <c r="BH723" s="369"/>
      <c r="BI723" s="370" t="str">
        <f>IF(ISBLANK(Inputs!$A74),"",
-((BE723*AU723+BC723*AS723-BA723*AQ723-AY723*AO723)/12)*BG723)</f>
        <v/>
      </c>
      <c r="BJ723" s="370"/>
      <c r="BK723" s="370"/>
      <c r="BL723" s="370" t="str">
        <f>IF(ISBLANK(Inputs!C74),"",Inputs!C74)</f>
        <v/>
      </c>
      <c r="BM723" s="370"/>
      <c r="BN723" s="370"/>
      <c r="BO723" s="374" t="str">
        <f>IF(ISBLANK(Inputs!$A74),"",
IFERROR(IF(BL723&gt;=0,ABS(BL723)/ABS(AH723),ABS(BL723)/ABS(BI723)),""))</f>
        <v/>
      </c>
      <c r="BP723" s="374"/>
      <c r="BQ723" s="374"/>
      <c r="BR723" s="59"/>
      <c r="BS723" s="70"/>
      <c r="BT723" s="70"/>
      <c r="BU723" s="70"/>
      <c r="BV723" s="70"/>
      <c r="BW723" s="8"/>
      <c r="BX723" s="8"/>
      <c r="BY723" s="8"/>
      <c r="BZ723" s="8"/>
      <c r="CA723" s="8"/>
      <c r="CB723" s="10"/>
    </row>
    <row r="724" spans="3:80" ht="15" customHeight="1" x14ac:dyDescent="0.25">
      <c r="C724" s="69"/>
      <c r="F724" s="369" t="str">
        <f>IF(ISBLANK(Inputs!A75),"",Inputs!A75)</f>
        <v/>
      </c>
      <c r="G724" s="369"/>
      <c r="H724" s="369" t="str">
        <f>IF(ISBLANK(Inputs!B75),"",Inputs!B75)</f>
        <v/>
      </c>
      <c r="I724" s="369"/>
      <c r="J724" s="369" t="str">
        <f>IF(ISBLANK(Inputs!$A75),"",
MAX(IF(ISNUMBER(AE467),1),
IF(ISNUMBER(AI467),2),
IF(ISNUMBER(AM467),3),
IF(ISNUMBER(AQ467),4),
IF(ISNUMBER(AU467),5),
IF(ISNUMBER(AY467),6),
IF(ISNUMBER(BC467),7),
IF(ISNUMBER(BG467),8),
IF(ISNUMBER(BK467),9),
IF(ISNUMBER(BO467),10)))</f>
        <v/>
      </c>
      <c r="K724" s="369"/>
      <c r="L724" s="369" t="str">
        <f>IF(ISBLANK(Inputs!$A75),"",
_xlfn.LET(
_xlpm.n,J724,
CHOOSE(_xlpm.n,
AE467,AI467,AM467,AQ467,AU467,
AY467,BC467,BG467,BK467,BO467
)
))</f>
        <v/>
      </c>
      <c r="M724" s="369"/>
      <c r="N724" s="369" t="str">
        <f>IF(ISBLANK(Inputs!$A75),"",
Mat.Conc_Alpha.1*Mat.Conc_f.c*Inputs!J75*MIN(L724*Mat.Conc_Beta.1,Inputs!I75))</f>
        <v/>
      </c>
      <c r="O724" s="369"/>
      <c r="P724" s="372" t="str">
        <f>IF(ISBLANK(Inputs!$A75),"",
Mat.Conc_Alpha.1*Mat.Conc_f.c*Inputs!E75*MAX(0,L724*Mat.Conc_Beta.1-Inputs!I75))</f>
        <v/>
      </c>
      <c r="Q724" s="369"/>
      <c r="R724" s="369" t="str">
        <f>IF(ISBLANK(Inputs!$A75),"",Inputs!G75*MIN(Mat.Rebar_f.y,(Mat.Rebar_epsilon.cl*(Inputs!H75-L724)/L724)*Mat.PT_E.s))</f>
        <v/>
      </c>
      <c r="S724" s="369"/>
      <c r="T724" s="369" t="str">
        <f>IF(ISBLANK(Inputs!$A75),"",Inputs!D75*(Mat.PT_f.pu*(1-Mat.PT_k*L724/Inputs!F75)))</f>
        <v/>
      </c>
      <c r="U724" s="369"/>
      <c r="V724" s="369" t="str">
        <f>IF(ISBLANK(Inputs!$A75),"",
(Mat.PT_f.pe/Mat.PT_E.ps)+(Mat.Rebar_epsilon.cl*((Geometry_d.p.Positive-L724)/L724)))</f>
        <v/>
      </c>
      <c r="W724" s="369"/>
      <c r="X724" s="369" t="str">
        <f>IF(ISBLANK(Inputs!$A75),"",
0.5*MIN(L724*Mat.Conc_Beta.1,Geometry_h.f.Positive))</f>
        <v/>
      </c>
      <c r="Y724" s="369"/>
      <c r="Z724" s="369" t="str">
        <f>IF(ISBLANK(Inputs!$A75),"",
IF(P724=0,0,Geometry_h.f.Positive+0.5*MAX(0,L724*Mat.Conc_Beta.1-Geometry_h.f.Positive)))</f>
        <v/>
      </c>
      <c r="AA724" s="369"/>
      <c r="AB724" s="369" t="str">
        <f>IF(ISBLANK(Inputs!$A75),"",
Inputs!H75)</f>
        <v/>
      </c>
      <c r="AC724" s="369"/>
      <c r="AD724" s="369" t="str">
        <f>IF(ISBLANK(Inputs!$A75),"",
Inputs!F75)</f>
        <v/>
      </c>
      <c r="AE724" s="369"/>
      <c r="AF724" s="369" t="str">
        <f>IF(ISBLANK(Inputs!$A75),"",
MAX(0.75,MIN(1,0.75+0.25*(V724-Mat.Rebar_epsilon.cl)/(Mat.Rebar_epsilon.tl-Mat.Rebar_epsilon.cl))))</f>
        <v/>
      </c>
      <c r="AG724" s="369"/>
      <c r="AH724" s="370" t="str">
        <f>IF(ISBLANK(Inputs!$A75),"",
((AD724*T724+AB724*R724-Z724*P724-X724*N724)/12)*AF724)</f>
        <v/>
      </c>
      <c r="AI724" s="370"/>
      <c r="AJ724" s="370"/>
      <c r="AK724" s="369" t="str">
        <f>IF(ISBLANK(Inputs!$A75),"",
MAX(IF(ISNUMBER(AE592),1),
IF(ISNUMBER(AI592),2),
IF(ISNUMBER(AM592),3),
IF(ISNUMBER(AQ592),4),
IF(ISNUMBER(AU592),5),
IF(ISNUMBER(AY592),6),
IF(ISNUMBER(BC592),7),
IF(ISNUMBER(BG592),8),
IF(ISNUMBER(BK592),9),
IF(ISNUMBER(BO592),10)))</f>
        <v/>
      </c>
      <c r="AL724" s="369"/>
      <c r="AM724" s="369" t="str">
        <f>IF(ISBLANK(Inputs!$A75),"",
_xlfn.LET(
_xlpm.n,AK724,
CHOOSE(_xlpm.n,
AE592,AI592,AM592,AQ592,AU592,
AY592,BC592,BG592,BK592,BO592
)
))</f>
        <v/>
      </c>
      <c r="AN724" s="369"/>
      <c r="AO724" s="369" t="str">
        <f>IF(ISBLANK(Inputs!$A75),"",
Mat.Conc_Alpha.1*Mat.Conc_f.c*Geometry_b.Negative*MIN(AM724*Mat.Conc_Beta.1,Geometry_h.f.Negative))</f>
        <v/>
      </c>
      <c r="AP724" s="369"/>
      <c r="AQ724" s="369" t="str">
        <f>IF(ISBLANK(Inputs!$A75),"",
Mat.Conc_Alpha.1*Mat.Conc_f.c*Geometry_b.w*MAX(0,AM724*Mat.Conc_Beta.1-Geometry_h.f.Negative))</f>
        <v/>
      </c>
      <c r="AR724" s="369"/>
      <c r="AS724" s="369" t="str">
        <f>IF(ISBLANK(Inputs!$A75),"",
Mat.Rebar_A.s.Positive*MIN(Mat.Rebar_f.y,(Mat.Rebar_epsilon.cl*(Geometry_d.s.Negative-AM724)/AM724)*Mat.PT_E.s))</f>
        <v/>
      </c>
      <c r="AT724" s="369"/>
      <c r="AU724" s="369" t="str">
        <f>IF(ISBLANK(Inputs!$A75),"",
Mat.PT_A.ps*(Mat.PT_f.pu*(1-Mat.PT_k*AM724/Geometry_d.p.Negative)))</f>
        <v/>
      </c>
      <c r="AV724" s="369"/>
      <c r="AW724" s="369" t="str">
        <f>IF(ISBLANK(Inputs!$A75),"",
(Mat.PT_f.pe/Mat.PT_E.ps)+(Mat.Rebar_epsilon.cl*((Geometry_d.p.Negative-AM724)/AM724)))</f>
        <v/>
      </c>
      <c r="AX724" s="369"/>
      <c r="AY724" s="369" t="str">
        <f>IF(ISBLANK(Inputs!$A75),"",
0.5*MIN(AM724*Mat.Conc_Beta.1,Geometry_h.f.Negative))</f>
        <v/>
      </c>
      <c r="AZ724" s="369"/>
      <c r="BA724" s="369" t="str">
        <f>IF(ISBLANK(Inputs!$A75),"",
IF(AQ724=0,0,Geometry_h.f.Negative+0.5*MAX(0,AM724*Mat.Conc_Beta.1-Geometry_h.f.Negative)))</f>
        <v/>
      </c>
      <c r="BB724" s="369"/>
      <c r="BC724" s="369" t="str">
        <f>IF(ISBLANK(Inputs!$A75),"",
Inputs!L75)</f>
        <v/>
      </c>
      <c r="BD724" s="369"/>
      <c r="BE724" s="369" t="str">
        <f>IF(ISBLANK(Inputs!$A75),"",Inputs!$B$10-Inputs!F75)</f>
        <v/>
      </c>
      <c r="BF724" s="369"/>
      <c r="BG724" s="369" t="str">
        <f>IF(ISBLANK(Inputs!$A75),"",
MAX(0.75,MIN(1,0.75+0.25*(AW724-Mat.Rebar_epsilon.cl)/(Mat.Rebar_epsilon.tl-Mat.Rebar_epsilon.cl))))</f>
        <v/>
      </c>
      <c r="BH724" s="369"/>
      <c r="BI724" s="370" t="str">
        <f>IF(ISBLANK(Inputs!$A75),"",
-((BE724*AU724+BC724*AS724-BA724*AQ724-AY724*AO724)/12)*BG724)</f>
        <v/>
      </c>
      <c r="BJ724" s="370"/>
      <c r="BK724" s="370"/>
      <c r="BL724" s="370" t="str">
        <f>IF(ISBLANK(Inputs!C75),"",Inputs!C75)</f>
        <v/>
      </c>
      <c r="BM724" s="370"/>
      <c r="BN724" s="370"/>
      <c r="BO724" s="374" t="str">
        <f>IF(ISBLANK(Inputs!$A75),"",
IFERROR(IF(BL724&gt;=0,ABS(BL724)/ABS(AH724),ABS(BL724)/ABS(BI724)),""))</f>
        <v/>
      </c>
      <c r="BP724" s="374"/>
      <c r="BQ724" s="374"/>
      <c r="BR724" s="59"/>
      <c r="BS724" s="70"/>
      <c r="BT724" s="70"/>
      <c r="BU724" s="70"/>
      <c r="BV724" s="70"/>
      <c r="BW724" s="8"/>
      <c r="BX724" s="8"/>
      <c r="BY724" s="8"/>
      <c r="BZ724" s="8"/>
      <c r="CA724" s="8"/>
      <c r="CB724" s="10"/>
    </row>
    <row r="725" spans="3:80" ht="15" customHeight="1" x14ac:dyDescent="0.25">
      <c r="C725" s="69"/>
      <c r="F725" s="369" t="str">
        <f>IF(ISBLANK(Inputs!A76),"",Inputs!A76)</f>
        <v/>
      </c>
      <c r="G725" s="369"/>
      <c r="H725" s="369" t="str">
        <f>IF(ISBLANK(Inputs!B76),"",Inputs!B76)</f>
        <v/>
      </c>
      <c r="I725" s="369"/>
      <c r="J725" s="369" t="str">
        <f>IF(ISBLANK(Inputs!$A76),"",
MAX(IF(ISNUMBER(AE468),1),
IF(ISNUMBER(AI468),2),
IF(ISNUMBER(AM468),3),
IF(ISNUMBER(AQ468),4),
IF(ISNUMBER(AU468),5),
IF(ISNUMBER(AY468),6),
IF(ISNUMBER(BC468),7),
IF(ISNUMBER(BG468),8),
IF(ISNUMBER(BK468),9),
IF(ISNUMBER(BO468),10)))</f>
        <v/>
      </c>
      <c r="K725" s="369"/>
      <c r="L725" s="369" t="str">
        <f>IF(ISBLANK(Inputs!$A76),"",
_xlfn.LET(
_xlpm.n,J725,
CHOOSE(_xlpm.n,
AE468,AI468,AM468,AQ468,AU468,
AY468,BC468,BG468,BK468,BO468
)
))</f>
        <v/>
      </c>
      <c r="M725" s="369"/>
      <c r="N725" s="369" t="str">
        <f>IF(ISBLANK(Inputs!$A76),"",
Mat.Conc_Alpha.1*Mat.Conc_f.c*Inputs!J76*MIN(L725*Mat.Conc_Beta.1,Inputs!I76))</f>
        <v/>
      </c>
      <c r="O725" s="369"/>
      <c r="P725" s="372" t="str">
        <f>IF(ISBLANK(Inputs!$A76),"",
Mat.Conc_Alpha.1*Mat.Conc_f.c*Inputs!E76*MAX(0,L725*Mat.Conc_Beta.1-Inputs!I76))</f>
        <v/>
      </c>
      <c r="Q725" s="369"/>
      <c r="R725" s="369" t="str">
        <f>IF(ISBLANK(Inputs!$A76),"",Inputs!G76*MIN(Mat.Rebar_f.y,(Mat.Rebar_epsilon.cl*(Inputs!H76-L725)/L725)*Mat.PT_E.s))</f>
        <v/>
      </c>
      <c r="S725" s="369"/>
      <c r="T725" s="369" t="str">
        <f>IF(ISBLANK(Inputs!$A76),"",Inputs!D76*(Mat.PT_f.pu*(1-Mat.PT_k*L725/Inputs!F76)))</f>
        <v/>
      </c>
      <c r="U725" s="369"/>
      <c r="V725" s="369" t="str">
        <f>IF(ISBLANK(Inputs!$A76),"",
(Mat.PT_f.pe/Mat.PT_E.ps)+(Mat.Rebar_epsilon.cl*((Geometry_d.p.Positive-L725)/L725)))</f>
        <v/>
      </c>
      <c r="W725" s="369"/>
      <c r="X725" s="369" t="str">
        <f>IF(ISBLANK(Inputs!$A76),"",
0.5*MIN(L725*Mat.Conc_Beta.1,Geometry_h.f.Positive))</f>
        <v/>
      </c>
      <c r="Y725" s="369"/>
      <c r="Z725" s="369" t="str">
        <f>IF(ISBLANK(Inputs!$A76),"",
IF(P725=0,0,Geometry_h.f.Positive+0.5*MAX(0,L725*Mat.Conc_Beta.1-Geometry_h.f.Positive)))</f>
        <v/>
      </c>
      <c r="AA725" s="369"/>
      <c r="AB725" s="369" t="str">
        <f>IF(ISBLANK(Inputs!$A76),"",
Inputs!H76)</f>
        <v/>
      </c>
      <c r="AC725" s="369"/>
      <c r="AD725" s="369" t="str">
        <f>IF(ISBLANK(Inputs!$A76),"",
Inputs!F76)</f>
        <v/>
      </c>
      <c r="AE725" s="369"/>
      <c r="AF725" s="369" t="str">
        <f>IF(ISBLANK(Inputs!$A76),"",
MAX(0.75,MIN(1,0.75+0.25*(V725-Mat.Rebar_epsilon.cl)/(Mat.Rebar_epsilon.tl-Mat.Rebar_epsilon.cl))))</f>
        <v/>
      </c>
      <c r="AG725" s="369"/>
      <c r="AH725" s="370" t="str">
        <f>IF(ISBLANK(Inputs!$A76),"",
((AD725*T725+AB725*R725-Z725*P725-X725*N725)/12)*AF725)</f>
        <v/>
      </c>
      <c r="AI725" s="370"/>
      <c r="AJ725" s="370"/>
      <c r="AK725" s="369" t="str">
        <f>IF(ISBLANK(Inputs!$A76),"",
MAX(IF(ISNUMBER(AE593),1),
IF(ISNUMBER(AI593),2),
IF(ISNUMBER(AM593),3),
IF(ISNUMBER(AQ593),4),
IF(ISNUMBER(AU593),5),
IF(ISNUMBER(AY593),6),
IF(ISNUMBER(BC593),7),
IF(ISNUMBER(BG593),8),
IF(ISNUMBER(BK593),9),
IF(ISNUMBER(BO593),10)))</f>
        <v/>
      </c>
      <c r="AL725" s="369"/>
      <c r="AM725" s="369" t="str">
        <f>IF(ISBLANK(Inputs!$A76),"",
_xlfn.LET(
_xlpm.n,AK725,
CHOOSE(_xlpm.n,
AE593,AI593,AM593,AQ593,AU593,
AY593,BC593,BG593,BK593,BO593
)
))</f>
        <v/>
      </c>
      <c r="AN725" s="369"/>
      <c r="AO725" s="369" t="str">
        <f>IF(ISBLANK(Inputs!$A76),"",
Mat.Conc_Alpha.1*Mat.Conc_f.c*Geometry_b.Negative*MIN(AM725*Mat.Conc_Beta.1,Geometry_h.f.Negative))</f>
        <v/>
      </c>
      <c r="AP725" s="369"/>
      <c r="AQ725" s="369" t="str">
        <f>IF(ISBLANK(Inputs!$A76),"",
Mat.Conc_Alpha.1*Mat.Conc_f.c*Geometry_b.w*MAX(0,AM725*Mat.Conc_Beta.1-Geometry_h.f.Negative))</f>
        <v/>
      </c>
      <c r="AR725" s="369"/>
      <c r="AS725" s="369" t="str">
        <f>IF(ISBLANK(Inputs!$A76),"",
Mat.Rebar_A.s.Positive*MIN(Mat.Rebar_f.y,(Mat.Rebar_epsilon.cl*(Geometry_d.s.Negative-AM725)/AM725)*Mat.PT_E.s))</f>
        <v/>
      </c>
      <c r="AT725" s="369"/>
      <c r="AU725" s="369" t="str">
        <f>IF(ISBLANK(Inputs!$A76),"",
Mat.PT_A.ps*(Mat.PT_f.pu*(1-Mat.PT_k*AM725/Geometry_d.p.Negative)))</f>
        <v/>
      </c>
      <c r="AV725" s="369"/>
      <c r="AW725" s="369" t="str">
        <f>IF(ISBLANK(Inputs!$A76),"",
(Mat.PT_f.pe/Mat.PT_E.ps)+(Mat.Rebar_epsilon.cl*((Geometry_d.p.Negative-AM725)/AM725)))</f>
        <v/>
      </c>
      <c r="AX725" s="369"/>
      <c r="AY725" s="369" t="str">
        <f>IF(ISBLANK(Inputs!$A76),"",
0.5*MIN(AM725*Mat.Conc_Beta.1,Geometry_h.f.Negative))</f>
        <v/>
      </c>
      <c r="AZ725" s="369"/>
      <c r="BA725" s="369" t="str">
        <f>IF(ISBLANK(Inputs!$A76),"",
IF(AQ725=0,0,Geometry_h.f.Negative+0.5*MAX(0,AM725*Mat.Conc_Beta.1-Geometry_h.f.Negative)))</f>
        <v/>
      </c>
      <c r="BB725" s="369"/>
      <c r="BC725" s="369" t="str">
        <f>IF(ISBLANK(Inputs!$A76),"",
Inputs!L76)</f>
        <v/>
      </c>
      <c r="BD725" s="369"/>
      <c r="BE725" s="369" t="str">
        <f>IF(ISBLANK(Inputs!$A76),"",Inputs!$B$10-Inputs!F76)</f>
        <v/>
      </c>
      <c r="BF725" s="369"/>
      <c r="BG725" s="369" t="str">
        <f>IF(ISBLANK(Inputs!$A76),"",
MAX(0.75,MIN(1,0.75+0.25*(AW725-Mat.Rebar_epsilon.cl)/(Mat.Rebar_epsilon.tl-Mat.Rebar_epsilon.cl))))</f>
        <v/>
      </c>
      <c r="BH725" s="369"/>
      <c r="BI725" s="370" t="str">
        <f>IF(ISBLANK(Inputs!$A76),"",
-((BE725*AU725+BC725*AS725-BA725*AQ725-AY725*AO725)/12)*BG725)</f>
        <v/>
      </c>
      <c r="BJ725" s="370"/>
      <c r="BK725" s="370"/>
      <c r="BL725" s="370" t="str">
        <f>IF(ISBLANK(Inputs!C76),"",Inputs!C76)</f>
        <v/>
      </c>
      <c r="BM725" s="370"/>
      <c r="BN725" s="370"/>
      <c r="BO725" s="374" t="str">
        <f>IF(ISBLANK(Inputs!$A76),"",
IFERROR(IF(BL725&gt;=0,ABS(BL725)/ABS(AH725),ABS(BL725)/ABS(BI725)),""))</f>
        <v/>
      </c>
      <c r="BP725" s="374"/>
      <c r="BQ725" s="374"/>
      <c r="BR725" s="59"/>
      <c r="BS725" s="70"/>
      <c r="BT725" s="70"/>
      <c r="BU725" s="70"/>
      <c r="BV725" s="70"/>
      <c r="BW725" s="8"/>
      <c r="BX725" s="8"/>
      <c r="BY725" s="8"/>
      <c r="BZ725" s="8"/>
      <c r="CA725" s="8"/>
      <c r="CB725" s="10"/>
    </row>
    <row r="726" spans="3:80" ht="15" customHeight="1" x14ac:dyDescent="0.25">
      <c r="C726" s="69"/>
      <c r="F726" s="369" t="str">
        <f>IF(ISBLANK(Inputs!A77),"",Inputs!A77)</f>
        <v/>
      </c>
      <c r="G726" s="369"/>
      <c r="H726" s="369" t="str">
        <f>IF(ISBLANK(Inputs!B77),"",Inputs!B77)</f>
        <v/>
      </c>
      <c r="I726" s="369"/>
      <c r="J726" s="369" t="str">
        <f>IF(ISBLANK(Inputs!$A77),"",
MAX(IF(ISNUMBER(AE469),1),
IF(ISNUMBER(AI469),2),
IF(ISNUMBER(AM469),3),
IF(ISNUMBER(AQ469),4),
IF(ISNUMBER(AU469),5),
IF(ISNUMBER(AY469),6),
IF(ISNUMBER(BC469),7),
IF(ISNUMBER(BG469),8),
IF(ISNUMBER(BK469),9),
IF(ISNUMBER(BO469),10)))</f>
        <v/>
      </c>
      <c r="K726" s="369"/>
      <c r="L726" s="369" t="str">
        <f>IF(ISBLANK(Inputs!$A77),"",
_xlfn.LET(
_xlpm.n,J726,
CHOOSE(_xlpm.n,
AE469,AI469,AM469,AQ469,AU469,
AY469,BC469,BG469,BK469,BO469
)
))</f>
        <v/>
      </c>
      <c r="M726" s="369"/>
      <c r="N726" s="369" t="str">
        <f>IF(ISBLANK(Inputs!$A77),"",
Mat.Conc_Alpha.1*Mat.Conc_f.c*Inputs!J77*MIN(L726*Mat.Conc_Beta.1,Inputs!I77))</f>
        <v/>
      </c>
      <c r="O726" s="369"/>
      <c r="P726" s="372" t="str">
        <f>IF(ISBLANK(Inputs!$A77),"",
Mat.Conc_Alpha.1*Mat.Conc_f.c*Inputs!E77*MAX(0,L726*Mat.Conc_Beta.1-Inputs!I77))</f>
        <v/>
      </c>
      <c r="Q726" s="369"/>
      <c r="R726" s="369" t="str">
        <f>IF(ISBLANK(Inputs!$A77),"",Inputs!G77*MIN(Mat.Rebar_f.y,(Mat.Rebar_epsilon.cl*(Inputs!H77-L726)/L726)*Mat.PT_E.s))</f>
        <v/>
      </c>
      <c r="S726" s="369"/>
      <c r="T726" s="369" t="str">
        <f>IF(ISBLANK(Inputs!$A77),"",Inputs!D77*(Mat.PT_f.pu*(1-Mat.PT_k*L726/Inputs!F77)))</f>
        <v/>
      </c>
      <c r="U726" s="369"/>
      <c r="V726" s="369" t="str">
        <f>IF(ISBLANK(Inputs!$A77),"",
(Mat.PT_f.pe/Mat.PT_E.ps)+(Mat.Rebar_epsilon.cl*((Geometry_d.p.Positive-L726)/L726)))</f>
        <v/>
      </c>
      <c r="W726" s="369"/>
      <c r="X726" s="369" t="str">
        <f>IF(ISBLANK(Inputs!$A77),"",
0.5*MIN(L726*Mat.Conc_Beta.1,Geometry_h.f.Positive))</f>
        <v/>
      </c>
      <c r="Y726" s="369"/>
      <c r="Z726" s="369" t="str">
        <f>IF(ISBLANK(Inputs!$A77),"",
IF(P726=0,0,Geometry_h.f.Positive+0.5*MAX(0,L726*Mat.Conc_Beta.1-Geometry_h.f.Positive)))</f>
        <v/>
      </c>
      <c r="AA726" s="369"/>
      <c r="AB726" s="369" t="str">
        <f>IF(ISBLANK(Inputs!$A77),"",
Inputs!H77)</f>
        <v/>
      </c>
      <c r="AC726" s="369"/>
      <c r="AD726" s="369" t="str">
        <f>IF(ISBLANK(Inputs!$A77),"",
Inputs!F77)</f>
        <v/>
      </c>
      <c r="AE726" s="369"/>
      <c r="AF726" s="369" t="str">
        <f>IF(ISBLANK(Inputs!$A77),"",
MAX(0.75,MIN(1,0.75+0.25*(V726-Mat.Rebar_epsilon.cl)/(Mat.Rebar_epsilon.tl-Mat.Rebar_epsilon.cl))))</f>
        <v/>
      </c>
      <c r="AG726" s="369"/>
      <c r="AH726" s="370" t="str">
        <f>IF(ISBLANK(Inputs!$A77),"",
((AD726*T726+AB726*R726-Z726*P726-X726*N726)/12)*AF726)</f>
        <v/>
      </c>
      <c r="AI726" s="370"/>
      <c r="AJ726" s="370"/>
      <c r="AK726" s="369" t="str">
        <f>IF(ISBLANK(Inputs!$A77),"",
MAX(IF(ISNUMBER(AE594),1),
IF(ISNUMBER(AI594),2),
IF(ISNUMBER(AM594),3),
IF(ISNUMBER(AQ594),4),
IF(ISNUMBER(AU594),5),
IF(ISNUMBER(AY594),6),
IF(ISNUMBER(BC594),7),
IF(ISNUMBER(BG594),8),
IF(ISNUMBER(BK594),9),
IF(ISNUMBER(BO594),10)))</f>
        <v/>
      </c>
      <c r="AL726" s="369"/>
      <c r="AM726" s="369" t="str">
        <f>IF(ISBLANK(Inputs!$A77),"",
_xlfn.LET(
_xlpm.n,AK726,
CHOOSE(_xlpm.n,
AE594,AI594,AM594,AQ594,AU594,
AY594,BC594,BG594,BK594,BO594
)
))</f>
        <v/>
      </c>
      <c r="AN726" s="369"/>
      <c r="AO726" s="369" t="str">
        <f>IF(ISBLANK(Inputs!$A77),"",
Mat.Conc_Alpha.1*Mat.Conc_f.c*Geometry_b.Negative*MIN(AM726*Mat.Conc_Beta.1,Geometry_h.f.Negative))</f>
        <v/>
      </c>
      <c r="AP726" s="369"/>
      <c r="AQ726" s="369" t="str">
        <f>IF(ISBLANK(Inputs!$A77),"",
Mat.Conc_Alpha.1*Mat.Conc_f.c*Geometry_b.w*MAX(0,AM726*Mat.Conc_Beta.1-Geometry_h.f.Negative))</f>
        <v/>
      </c>
      <c r="AR726" s="369"/>
      <c r="AS726" s="369" t="str">
        <f>IF(ISBLANK(Inputs!$A77),"",
Mat.Rebar_A.s.Positive*MIN(Mat.Rebar_f.y,(Mat.Rebar_epsilon.cl*(Geometry_d.s.Negative-AM726)/AM726)*Mat.PT_E.s))</f>
        <v/>
      </c>
      <c r="AT726" s="369"/>
      <c r="AU726" s="369" t="str">
        <f>IF(ISBLANK(Inputs!$A77),"",
Mat.PT_A.ps*(Mat.PT_f.pu*(1-Mat.PT_k*AM726/Geometry_d.p.Negative)))</f>
        <v/>
      </c>
      <c r="AV726" s="369"/>
      <c r="AW726" s="369" t="str">
        <f>IF(ISBLANK(Inputs!$A77),"",
(Mat.PT_f.pe/Mat.PT_E.ps)+(Mat.Rebar_epsilon.cl*((Geometry_d.p.Negative-AM726)/AM726)))</f>
        <v/>
      </c>
      <c r="AX726" s="369"/>
      <c r="AY726" s="369" t="str">
        <f>IF(ISBLANK(Inputs!$A77),"",
0.5*MIN(AM726*Mat.Conc_Beta.1,Geometry_h.f.Negative))</f>
        <v/>
      </c>
      <c r="AZ726" s="369"/>
      <c r="BA726" s="369" t="str">
        <f>IF(ISBLANK(Inputs!$A77),"",
IF(AQ726=0,0,Geometry_h.f.Negative+0.5*MAX(0,AM726*Mat.Conc_Beta.1-Geometry_h.f.Negative)))</f>
        <v/>
      </c>
      <c r="BB726" s="369"/>
      <c r="BC726" s="369" t="str">
        <f>IF(ISBLANK(Inputs!$A77),"",
Inputs!L77)</f>
        <v/>
      </c>
      <c r="BD726" s="369"/>
      <c r="BE726" s="369" t="str">
        <f>IF(ISBLANK(Inputs!$A77),"",Inputs!$B$10-Inputs!F77)</f>
        <v/>
      </c>
      <c r="BF726" s="369"/>
      <c r="BG726" s="369" t="str">
        <f>IF(ISBLANK(Inputs!$A77),"",
MAX(0.75,MIN(1,0.75+0.25*(AW726-Mat.Rebar_epsilon.cl)/(Mat.Rebar_epsilon.tl-Mat.Rebar_epsilon.cl))))</f>
        <v/>
      </c>
      <c r="BH726" s="369"/>
      <c r="BI726" s="370" t="str">
        <f>IF(ISBLANK(Inputs!$A77),"",
-((BE726*AU726+BC726*AS726-BA726*AQ726-AY726*AO726)/12)*BG726)</f>
        <v/>
      </c>
      <c r="BJ726" s="370"/>
      <c r="BK726" s="370"/>
      <c r="BL726" s="370" t="str">
        <f>IF(ISBLANK(Inputs!C77),"",Inputs!C77)</f>
        <v/>
      </c>
      <c r="BM726" s="370"/>
      <c r="BN726" s="370"/>
      <c r="BO726" s="374" t="str">
        <f>IF(ISBLANK(Inputs!$A77),"",
IFERROR(IF(BL726&gt;=0,ABS(BL726)/ABS(AH726),ABS(BL726)/ABS(BI726)),""))</f>
        <v/>
      </c>
      <c r="BP726" s="374"/>
      <c r="BQ726" s="374"/>
      <c r="BR726" s="59"/>
      <c r="BS726" s="70"/>
      <c r="BT726" s="70"/>
      <c r="BU726" s="70"/>
      <c r="BV726" s="70"/>
      <c r="BW726" s="8"/>
      <c r="BX726" s="8"/>
      <c r="BY726" s="8"/>
      <c r="BZ726" s="8"/>
      <c r="CA726" s="8"/>
      <c r="CB726" s="10"/>
    </row>
    <row r="727" spans="3:80" ht="15" customHeight="1" x14ac:dyDescent="0.25">
      <c r="C727" s="69"/>
      <c r="F727" s="369" t="str">
        <f>IF(ISBLANK(Inputs!A78),"",Inputs!A78)</f>
        <v/>
      </c>
      <c r="G727" s="369"/>
      <c r="H727" s="369" t="str">
        <f>IF(ISBLANK(Inputs!B78),"",Inputs!B78)</f>
        <v/>
      </c>
      <c r="I727" s="369"/>
      <c r="J727" s="369" t="str">
        <f>IF(ISBLANK(Inputs!$A78),"",
MAX(IF(ISNUMBER(AE470),1),
IF(ISNUMBER(AI470),2),
IF(ISNUMBER(AM470),3),
IF(ISNUMBER(AQ470),4),
IF(ISNUMBER(AU470),5),
IF(ISNUMBER(AY470),6),
IF(ISNUMBER(BC470),7),
IF(ISNUMBER(BG470),8),
IF(ISNUMBER(BK470),9),
IF(ISNUMBER(BO470),10)))</f>
        <v/>
      </c>
      <c r="K727" s="369"/>
      <c r="L727" s="369" t="str">
        <f>IF(ISBLANK(Inputs!$A78),"",
_xlfn.LET(
_xlpm.n,J727,
CHOOSE(_xlpm.n,
AE470,AI470,AM470,AQ470,AU470,
AY470,BC470,BG470,BK470,BO470
)
))</f>
        <v/>
      </c>
      <c r="M727" s="369"/>
      <c r="N727" s="369" t="str">
        <f>IF(ISBLANK(Inputs!$A78),"",
Mat.Conc_Alpha.1*Mat.Conc_f.c*Inputs!J78*MIN(L727*Mat.Conc_Beta.1,Inputs!I78))</f>
        <v/>
      </c>
      <c r="O727" s="369"/>
      <c r="P727" s="372" t="str">
        <f>IF(ISBLANK(Inputs!$A78),"",
Mat.Conc_Alpha.1*Mat.Conc_f.c*Inputs!E78*MAX(0,L727*Mat.Conc_Beta.1-Inputs!I78))</f>
        <v/>
      </c>
      <c r="Q727" s="369"/>
      <c r="R727" s="369" t="str">
        <f>IF(ISBLANK(Inputs!$A78),"",Inputs!G78*MIN(Mat.Rebar_f.y,(Mat.Rebar_epsilon.cl*(Inputs!H78-L727)/L727)*Mat.PT_E.s))</f>
        <v/>
      </c>
      <c r="S727" s="369"/>
      <c r="T727" s="369" t="str">
        <f>IF(ISBLANK(Inputs!$A78),"",Inputs!D78*(Mat.PT_f.pu*(1-Mat.PT_k*L727/Inputs!F78)))</f>
        <v/>
      </c>
      <c r="U727" s="369"/>
      <c r="V727" s="369" t="str">
        <f>IF(ISBLANK(Inputs!$A78),"",
(Mat.PT_f.pe/Mat.PT_E.ps)+(Mat.Rebar_epsilon.cl*((Geometry_d.p.Positive-L727)/L727)))</f>
        <v/>
      </c>
      <c r="W727" s="369"/>
      <c r="X727" s="369" t="str">
        <f>IF(ISBLANK(Inputs!$A78),"",
0.5*MIN(L727*Mat.Conc_Beta.1,Geometry_h.f.Positive))</f>
        <v/>
      </c>
      <c r="Y727" s="369"/>
      <c r="Z727" s="369" t="str">
        <f>IF(ISBLANK(Inputs!$A78),"",
IF(P727=0,0,Geometry_h.f.Positive+0.5*MAX(0,L727*Mat.Conc_Beta.1-Geometry_h.f.Positive)))</f>
        <v/>
      </c>
      <c r="AA727" s="369"/>
      <c r="AB727" s="369" t="str">
        <f>IF(ISBLANK(Inputs!$A78),"",
Inputs!H78)</f>
        <v/>
      </c>
      <c r="AC727" s="369"/>
      <c r="AD727" s="369" t="str">
        <f>IF(ISBLANK(Inputs!$A78),"",
Inputs!F78)</f>
        <v/>
      </c>
      <c r="AE727" s="369"/>
      <c r="AF727" s="369" t="str">
        <f>IF(ISBLANK(Inputs!$A78),"",
MAX(0.75,MIN(1,0.75+0.25*(V727-Mat.Rebar_epsilon.cl)/(Mat.Rebar_epsilon.tl-Mat.Rebar_epsilon.cl))))</f>
        <v/>
      </c>
      <c r="AG727" s="369"/>
      <c r="AH727" s="370" t="str">
        <f>IF(ISBLANK(Inputs!$A78),"",
((AD727*T727+AB727*R727-Z727*P727-X727*N727)/12)*AF727)</f>
        <v/>
      </c>
      <c r="AI727" s="370"/>
      <c r="AJ727" s="370"/>
      <c r="AK727" s="369" t="str">
        <f>IF(ISBLANK(Inputs!$A78),"",
MAX(IF(ISNUMBER(AE595),1),
IF(ISNUMBER(AI595),2),
IF(ISNUMBER(AM595),3),
IF(ISNUMBER(AQ595),4),
IF(ISNUMBER(AU595),5),
IF(ISNUMBER(AY595),6),
IF(ISNUMBER(BC595),7),
IF(ISNUMBER(BG595),8),
IF(ISNUMBER(BK595),9),
IF(ISNUMBER(BO595),10)))</f>
        <v/>
      </c>
      <c r="AL727" s="369"/>
      <c r="AM727" s="369" t="str">
        <f>IF(ISBLANK(Inputs!$A78),"",
_xlfn.LET(
_xlpm.n,AK727,
CHOOSE(_xlpm.n,
AE595,AI595,AM595,AQ595,AU595,
AY595,BC595,BG595,BK595,BO595
)
))</f>
        <v/>
      </c>
      <c r="AN727" s="369"/>
      <c r="AO727" s="369" t="str">
        <f>IF(ISBLANK(Inputs!$A78),"",
Mat.Conc_Alpha.1*Mat.Conc_f.c*Geometry_b.Negative*MIN(AM727*Mat.Conc_Beta.1,Geometry_h.f.Negative))</f>
        <v/>
      </c>
      <c r="AP727" s="369"/>
      <c r="AQ727" s="369" t="str">
        <f>IF(ISBLANK(Inputs!$A78),"",
Mat.Conc_Alpha.1*Mat.Conc_f.c*Geometry_b.w*MAX(0,AM727*Mat.Conc_Beta.1-Geometry_h.f.Negative))</f>
        <v/>
      </c>
      <c r="AR727" s="369"/>
      <c r="AS727" s="369" t="str">
        <f>IF(ISBLANK(Inputs!$A78),"",
Mat.Rebar_A.s.Positive*MIN(Mat.Rebar_f.y,(Mat.Rebar_epsilon.cl*(Geometry_d.s.Negative-AM727)/AM727)*Mat.PT_E.s))</f>
        <v/>
      </c>
      <c r="AT727" s="369"/>
      <c r="AU727" s="369" t="str">
        <f>IF(ISBLANK(Inputs!$A78),"",
Mat.PT_A.ps*(Mat.PT_f.pu*(1-Mat.PT_k*AM727/Geometry_d.p.Negative)))</f>
        <v/>
      </c>
      <c r="AV727" s="369"/>
      <c r="AW727" s="369" t="str">
        <f>IF(ISBLANK(Inputs!$A78),"",
(Mat.PT_f.pe/Mat.PT_E.ps)+(Mat.Rebar_epsilon.cl*((Geometry_d.p.Negative-AM727)/AM727)))</f>
        <v/>
      </c>
      <c r="AX727" s="369"/>
      <c r="AY727" s="369" t="str">
        <f>IF(ISBLANK(Inputs!$A78),"",
0.5*MIN(AM727*Mat.Conc_Beta.1,Geometry_h.f.Negative))</f>
        <v/>
      </c>
      <c r="AZ727" s="369"/>
      <c r="BA727" s="369" t="str">
        <f>IF(ISBLANK(Inputs!$A78),"",
IF(AQ727=0,0,Geometry_h.f.Negative+0.5*MAX(0,AM727*Mat.Conc_Beta.1-Geometry_h.f.Negative)))</f>
        <v/>
      </c>
      <c r="BB727" s="369"/>
      <c r="BC727" s="369" t="str">
        <f>IF(ISBLANK(Inputs!$A78),"",
Inputs!L78)</f>
        <v/>
      </c>
      <c r="BD727" s="369"/>
      <c r="BE727" s="369" t="str">
        <f>IF(ISBLANK(Inputs!$A78),"",Inputs!$B$10-Inputs!F78)</f>
        <v/>
      </c>
      <c r="BF727" s="369"/>
      <c r="BG727" s="369" t="str">
        <f>IF(ISBLANK(Inputs!$A78),"",
MAX(0.75,MIN(1,0.75+0.25*(AW727-Mat.Rebar_epsilon.cl)/(Mat.Rebar_epsilon.tl-Mat.Rebar_epsilon.cl))))</f>
        <v/>
      </c>
      <c r="BH727" s="369"/>
      <c r="BI727" s="370" t="str">
        <f>IF(ISBLANK(Inputs!$A78),"",
-((BE727*AU727+BC727*AS727-BA727*AQ727-AY727*AO727)/12)*BG727)</f>
        <v/>
      </c>
      <c r="BJ727" s="370"/>
      <c r="BK727" s="370"/>
      <c r="BL727" s="370" t="str">
        <f>IF(ISBLANK(Inputs!C78),"",Inputs!C78)</f>
        <v/>
      </c>
      <c r="BM727" s="370"/>
      <c r="BN727" s="370"/>
      <c r="BO727" s="374" t="str">
        <f>IF(ISBLANK(Inputs!$A78),"",
IFERROR(IF(BL727&gt;=0,ABS(BL727)/ABS(AH727),ABS(BL727)/ABS(BI727)),""))</f>
        <v/>
      </c>
      <c r="BP727" s="374"/>
      <c r="BQ727" s="374"/>
      <c r="BR727" s="59"/>
      <c r="BS727" s="70"/>
      <c r="BT727" s="70"/>
      <c r="BU727" s="70"/>
      <c r="BV727" s="70"/>
      <c r="BW727" s="8"/>
      <c r="BX727" s="8"/>
      <c r="BY727" s="8"/>
      <c r="BZ727" s="8"/>
      <c r="CA727" s="8"/>
      <c r="CB727" s="10"/>
    </row>
    <row r="728" spans="3:80" ht="15" customHeight="1" x14ac:dyDescent="0.25">
      <c r="C728" s="69"/>
      <c r="F728" s="369" t="str">
        <f>IF(ISBLANK(Inputs!A79),"",Inputs!A79)</f>
        <v/>
      </c>
      <c r="G728" s="369"/>
      <c r="H728" s="369" t="str">
        <f>IF(ISBLANK(Inputs!B79),"",Inputs!B79)</f>
        <v/>
      </c>
      <c r="I728" s="369"/>
      <c r="J728" s="369" t="str">
        <f>IF(ISBLANK(Inputs!$A79),"",
MAX(IF(ISNUMBER(AE471),1),
IF(ISNUMBER(AI471),2),
IF(ISNUMBER(AM471),3),
IF(ISNUMBER(AQ471),4),
IF(ISNUMBER(AU471),5),
IF(ISNUMBER(AY471),6),
IF(ISNUMBER(BC471),7),
IF(ISNUMBER(BG471),8),
IF(ISNUMBER(BK471),9),
IF(ISNUMBER(BO471),10)))</f>
        <v/>
      </c>
      <c r="K728" s="369"/>
      <c r="L728" s="369" t="str">
        <f>IF(ISBLANK(Inputs!$A79),"",
_xlfn.LET(
_xlpm.n,J728,
CHOOSE(_xlpm.n,
AE471,AI471,AM471,AQ471,AU471,
AY471,BC471,BG471,BK471,BO471
)
))</f>
        <v/>
      </c>
      <c r="M728" s="369"/>
      <c r="N728" s="369" t="str">
        <f>IF(ISBLANK(Inputs!$A79),"",
Mat.Conc_Alpha.1*Mat.Conc_f.c*Inputs!J79*MIN(L728*Mat.Conc_Beta.1,Inputs!I79))</f>
        <v/>
      </c>
      <c r="O728" s="369"/>
      <c r="P728" s="372" t="str">
        <f>IF(ISBLANK(Inputs!$A79),"",
Mat.Conc_Alpha.1*Mat.Conc_f.c*Inputs!E79*MAX(0,L728*Mat.Conc_Beta.1-Inputs!I79))</f>
        <v/>
      </c>
      <c r="Q728" s="369"/>
      <c r="R728" s="369" t="str">
        <f>IF(ISBLANK(Inputs!$A79),"",Inputs!G79*MIN(Mat.Rebar_f.y,(Mat.Rebar_epsilon.cl*(Inputs!H79-L728)/L728)*Mat.PT_E.s))</f>
        <v/>
      </c>
      <c r="S728" s="369"/>
      <c r="T728" s="369" t="str">
        <f>IF(ISBLANK(Inputs!$A79),"",Inputs!D79*(Mat.PT_f.pu*(1-Mat.PT_k*L728/Inputs!F79)))</f>
        <v/>
      </c>
      <c r="U728" s="369"/>
      <c r="V728" s="369" t="str">
        <f>IF(ISBLANK(Inputs!$A79),"",
(Mat.PT_f.pe/Mat.PT_E.ps)+(Mat.Rebar_epsilon.cl*((Geometry_d.p.Positive-L728)/L728)))</f>
        <v/>
      </c>
      <c r="W728" s="369"/>
      <c r="X728" s="369" t="str">
        <f>IF(ISBLANK(Inputs!$A79),"",
0.5*MIN(L728*Mat.Conc_Beta.1,Geometry_h.f.Positive))</f>
        <v/>
      </c>
      <c r="Y728" s="369"/>
      <c r="Z728" s="369" t="str">
        <f>IF(ISBLANK(Inputs!$A79),"",
IF(P728=0,0,Geometry_h.f.Positive+0.5*MAX(0,L728*Mat.Conc_Beta.1-Geometry_h.f.Positive)))</f>
        <v/>
      </c>
      <c r="AA728" s="369"/>
      <c r="AB728" s="369" t="str">
        <f>IF(ISBLANK(Inputs!$A79),"",
Inputs!H79)</f>
        <v/>
      </c>
      <c r="AC728" s="369"/>
      <c r="AD728" s="369" t="str">
        <f>IF(ISBLANK(Inputs!$A79),"",
Inputs!F79)</f>
        <v/>
      </c>
      <c r="AE728" s="369"/>
      <c r="AF728" s="369" t="str">
        <f>IF(ISBLANK(Inputs!$A79),"",
MAX(0.75,MIN(1,0.75+0.25*(V728-Mat.Rebar_epsilon.cl)/(Mat.Rebar_epsilon.tl-Mat.Rebar_epsilon.cl))))</f>
        <v/>
      </c>
      <c r="AG728" s="369"/>
      <c r="AH728" s="370" t="str">
        <f>IF(ISBLANK(Inputs!$A79),"",
((AD728*T728+AB728*R728-Z728*P728-X728*N728)/12)*AF728)</f>
        <v/>
      </c>
      <c r="AI728" s="370"/>
      <c r="AJ728" s="370"/>
      <c r="AK728" s="369" t="str">
        <f>IF(ISBLANK(Inputs!$A79),"",
MAX(IF(ISNUMBER(AE596),1),
IF(ISNUMBER(AI596),2),
IF(ISNUMBER(AM596),3),
IF(ISNUMBER(AQ596),4),
IF(ISNUMBER(AU596),5),
IF(ISNUMBER(AY596),6),
IF(ISNUMBER(BC596),7),
IF(ISNUMBER(BG596),8),
IF(ISNUMBER(BK596),9),
IF(ISNUMBER(BO596),10)))</f>
        <v/>
      </c>
      <c r="AL728" s="369"/>
      <c r="AM728" s="369" t="str">
        <f>IF(ISBLANK(Inputs!$A79),"",
_xlfn.LET(
_xlpm.n,AK728,
CHOOSE(_xlpm.n,
AE596,AI596,AM596,AQ596,AU596,
AY596,BC596,BG596,BK596,BO596
)
))</f>
        <v/>
      </c>
      <c r="AN728" s="369"/>
      <c r="AO728" s="369" t="str">
        <f>IF(ISBLANK(Inputs!$A79),"",
Mat.Conc_Alpha.1*Mat.Conc_f.c*Geometry_b.Negative*MIN(AM728*Mat.Conc_Beta.1,Geometry_h.f.Negative))</f>
        <v/>
      </c>
      <c r="AP728" s="369"/>
      <c r="AQ728" s="369" t="str">
        <f>IF(ISBLANK(Inputs!$A79),"",
Mat.Conc_Alpha.1*Mat.Conc_f.c*Geometry_b.w*MAX(0,AM728*Mat.Conc_Beta.1-Geometry_h.f.Negative))</f>
        <v/>
      </c>
      <c r="AR728" s="369"/>
      <c r="AS728" s="369" t="str">
        <f>IF(ISBLANK(Inputs!$A79),"",
Mat.Rebar_A.s.Positive*MIN(Mat.Rebar_f.y,(Mat.Rebar_epsilon.cl*(Geometry_d.s.Negative-AM728)/AM728)*Mat.PT_E.s))</f>
        <v/>
      </c>
      <c r="AT728" s="369"/>
      <c r="AU728" s="369" t="str">
        <f>IF(ISBLANK(Inputs!$A79),"",
Mat.PT_A.ps*(Mat.PT_f.pu*(1-Mat.PT_k*AM728/Geometry_d.p.Negative)))</f>
        <v/>
      </c>
      <c r="AV728" s="369"/>
      <c r="AW728" s="369" t="str">
        <f>IF(ISBLANK(Inputs!$A79),"",
(Mat.PT_f.pe/Mat.PT_E.ps)+(Mat.Rebar_epsilon.cl*((Geometry_d.p.Negative-AM728)/AM728)))</f>
        <v/>
      </c>
      <c r="AX728" s="369"/>
      <c r="AY728" s="369" t="str">
        <f>IF(ISBLANK(Inputs!$A79),"",
0.5*MIN(AM728*Mat.Conc_Beta.1,Geometry_h.f.Negative))</f>
        <v/>
      </c>
      <c r="AZ728" s="369"/>
      <c r="BA728" s="369" t="str">
        <f>IF(ISBLANK(Inputs!$A79),"",
IF(AQ728=0,0,Geometry_h.f.Negative+0.5*MAX(0,AM728*Mat.Conc_Beta.1-Geometry_h.f.Negative)))</f>
        <v/>
      </c>
      <c r="BB728" s="369"/>
      <c r="BC728" s="369" t="str">
        <f>IF(ISBLANK(Inputs!$A79),"",
Inputs!L79)</f>
        <v/>
      </c>
      <c r="BD728" s="369"/>
      <c r="BE728" s="369" t="str">
        <f>IF(ISBLANK(Inputs!$A79),"",Inputs!$B$10-Inputs!F79)</f>
        <v/>
      </c>
      <c r="BF728" s="369"/>
      <c r="BG728" s="369" t="str">
        <f>IF(ISBLANK(Inputs!$A79),"",
MAX(0.75,MIN(1,0.75+0.25*(AW728-Mat.Rebar_epsilon.cl)/(Mat.Rebar_epsilon.tl-Mat.Rebar_epsilon.cl))))</f>
        <v/>
      </c>
      <c r="BH728" s="369"/>
      <c r="BI728" s="370" t="str">
        <f>IF(ISBLANK(Inputs!$A79),"",
-((BE728*AU728+BC728*AS728-BA728*AQ728-AY728*AO728)/12)*BG728)</f>
        <v/>
      </c>
      <c r="BJ728" s="370"/>
      <c r="BK728" s="370"/>
      <c r="BL728" s="370" t="str">
        <f>IF(ISBLANK(Inputs!C79),"",Inputs!C79)</f>
        <v/>
      </c>
      <c r="BM728" s="370"/>
      <c r="BN728" s="370"/>
      <c r="BO728" s="374" t="str">
        <f>IF(ISBLANK(Inputs!$A79),"",
IFERROR(IF(BL728&gt;=0,ABS(BL728)/ABS(AH728),ABS(BL728)/ABS(BI728)),""))</f>
        <v/>
      </c>
      <c r="BP728" s="374"/>
      <c r="BQ728" s="374"/>
      <c r="BR728" s="59"/>
      <c r="BS728" s="70"/>
      <c r="BT728" s="70"/>
      <c r="BU728" s="70"/>
      <c r="BV728" s="70"/>
      <c r="BW728" s="8"/>
      <c r="BX728" s="8"/>
      <c r="BY728" s="8"/>
      <c r="BZ728" s="8"/>
      <c r="CA728" s="8"/>
      <c r="CB728" s="10"/>
    </row>
    <row r="729" spans="3:80" ht="15" customHeight="1" x14ac:dyDescent="0.25">
      <c r="C729" s="69"/>
      <c r="F729" s="369" t="str">
        <f>IF(ISBLANK(Inputs!A80),"",Inputs!A80)</f>
        <v/>
      </c>
      <c r="G729" s="369"/>
      <c r="H729" s="369" t="str">
        <f>IF(ISBLANK(Inputs!B80),"",Inputs!B80)</f>
        <v/>
      </c>
      <c r="I729" s="369"/>
      <c r="J729" s="369" t="str">
        <f>IF(ISBLANK(Inputs!$A80),"",
MAX(IF(ISNUMBER(AE472),1),
IF(ISNUMBER(AI472),2),
IF(ISNUMBER(AM472),3),
IF(ISNUMBER(AQ472),4),
IF(ISNUMBER(AU472),5),
IF(ISNUMBER(AY472),6),
IF(ISNUMBER(BC472),7),
IF(ISNUMBER(BG472),8),
IF(ISNUMBER(BK472),9),
IF(ISNUMBER(BO472),10)))</f>
        <v/>
      </c>
      <c r="K729" s="369"/>
      <c r="L729" s="369" t="str">
        <f>IF(ISBLANK(Inputs!$A80),"",
_xlfn.LET(
_xlpm.n,J729,
CHOOSE(_xlpm.n,
AE472,AI472,AM472,AQ472,AU472,
AY472,BC472,BG472,BK472,BO472
)
))</f>
        <v/>
      </c>
      <c r="M729" s="369"/>
      <c r="N729" s="369" t="str">
        <f>IF(ISBLANK(Inputs!$A80),"",
Mat.Conc_Alpha.1*Mat.Conc_f.c*Inputs!J80*MIN(L729*Mat.Conc_Beta.1,Inputs!I80))</f>
        <v/>
      </c>
      <c r="O729" s="369"/>
      <c r="P729" s="372" t="str">
        <f>IF(ISBLANK(Inputs!$A80),"",
Mat.Conc_Alpha.1*Mat.Conc_f.c*Inputs!E80*MAX(0,L729*Mat.Conc_Beta.1-Inputs!I80))</f>
        <v/>
      </c>
      <c r="Q729" s="369"/>
      <c r="R729" s="369" t="str">
        <f>IF(ISBLANK(Inputs!$A80),"",Inputs!G80*MIN(Mat.Rebar_f.y,(Mat.Rebar_epsilon.cl*(Inputs!H80-L729)/L729)*Mat.PT_E.s))</f>
        <v/>
      </c>
      <c r="S729" s="369"/>
      <c r="T729" s="369" t="str">
        <f>IF(ISBLANK(Inputs!$A80),"",Inputs!D80*(Mat.PT_f.pu*(1-Mat.PT_k*L729/Inputs!F80)))</f>
        <v/>
      </c>
      <c r="U729" s="369"/>
      <c r="V729" s="369" t="str">
        <f>IF(ISBLANK(Inputs!$A80),"",
(Mat.PT_f.pe/Mat.PT_E.ps)+(Mat.Rebar_epsilon.cl*((Geometry_d.p.Positive-L729)/L729)))</f>
        <v/>
      </c>
      <c r="W729" s="369"/>
      <c r="X729" s="369" t="str">
        <f>IF(ISBLANK(Inputs!$A80),"",
0.5*MIN(L729*Mat.Conc_Beta.1,Geometry_h.f.Positive))</f>
        <v/>
      </c>
      <c r="Y729" s="369"/>
      <c r="Z729" s="369" t="str">
        <f>IF(ISBLANK(Inputs!$A80),"",
IF(P729=0,0,Geometry_h.f.Positive+0.5*MAX(0,L729*Mat.Conc_Beta.1-Geometry_h.f.Positive)))</f>
        <v/>
      </c>
      <c r="AA729" s="369"/>
      <c r="AB729" s="369" t="str">
        <f>IF(ISBLANK(Inputs!$A80),"",
Inputs!H80)</f>
        <v/>
      </c>
      <c r="AC729" s="369"/>
      <c r="AD729" s="369" t="str">
        <f>IF(ISBLANK(Inputs!$A80),"",
Inputs!F80)</f>
        <v/>
      </c>
      <c r="AE729" s="369"/>
      <c r="AF729" s="369" t="str">
        <f>IF(ISBLANK(Inputs!$A80),"",
MAX(0.75,MIN(1,0.75+0.25*(V729-Mat.Rebar_epsilon.cl)/(Mat.Rebar_epsilon.tl-Mat.Rebar_epsilon.cl))))</f>
        <v/>
      </c>
      <c r="AG729" s="369"/>
      <c r="AH729" s="370" t="str">
        <f>IF(ISBLANK(Inputs!$A80),"",
((AD729*T729+AB729*R729-Z729*P729-X729*N729)/12)*AF729)</f>
        <v/>
      </c>
      <c r="AI729" s="370"/>
      <c r="AJ729" s="370"/>
      <c r="AK729" s="369" t="str">
        <f>IF(ISBLANK(Inputs!$A80),"",
MAX(IF(ISNUMBER(AE597),1),
IF(ISNUMBER(AI597),2),
IF(ISNUMBER(AM597),3),
IF(ISNUMBER(AQ597),4),
IF(ISNUMBER(AU597),5),
IF(ISNUMBER(AY597),6),
IF(ISNUMBER(BC597),7),
IF(ISNUMBER(BG597),8),
IF(ISNUMBER(BK597),9),
IF(ISNUMBER(BO597),10)))</f>
        <v/>
      </c>
      <c r="AL729" s="369"/>
      <c r="AM729" s="369" t="str">
        <f>IF(ISBLANK(Inputs!$A80),"",
_xlfn.LET(
_xlpm.n,AK729,
CHOOSE(_xlpm.n,
AE597,AI597,AM597,AQ597,AU597,
AY597,BC597,BG597,BK597,BO597
)
))</f>
        <v/>
      </c>
      <c r="AN729" s="369"/>
      <c r="AO729" s="369" t="str">
        <f>IF(ISBLANK(Inputs!$A80),"",
Mat.Conc_Alpha.1*Mat.Conc_f.c*Geometry_b.Negative*MIN(AM729*Mat.Conc_Beta.1,Geometry_h.f.Negative))</f>
        <v/>
      </c>
      <c r="AP729" s="369"/>
      <c r="AQ729" s="369" t="str">
        <f>IF(ISBLANK(Inputs!$A80),"",
Mat.Conc_Alpha.1*Mat.Conc_f.c*Geometry_b.w*MAX(0,AM729*Mat.Conc_Beta.1-Geometry_h.f.Negative))</f>
        <v/>
      </c>
      <c r="AR729" s="369"/>
      <c r="AS729" s="369" t="str">
        <f>IF(ISBLANK(Inputs!$A80),"",
Mat.Rebar_A.s.Positive*MIN(Mat.Rebar_f.y,(Mat.Rebar_epsilon.cl*(Geometry_d.s.Negative-AM729)/AM729)*Mat.PT_E.s))</f>
        <v/>
      </c>
      <c r="AT729" s="369"/>
      <c r="AU729" s="369" t="str">
        <f>IF(ISBLANK(Inputs!$A80),"",
Mat.PT_A.ps*(Mat.PT_f.pu*(1-Mat.PT_k*AM729/Geometry_d.p.Negative)))</f>
        <v/>
      </c>
      <c r="AV729" s="369"/>
      <c r="AW729" s="369" t="str">
        <f>IF(ISBLANK(Inputs!$A80),"",
(Mat.PT_f.pe/Mat.PT_E.ps)+(Mat.Rebar_epsilon.cl*((Geometry_d.p.Negative-AM729)/AM729)))</f>
        <v/>
      </c>
      <c r="AX729" s="369"/>
      <c r="AY729" s="369" t="str">
        <f>IF(ISBLANK(Inputs!$A80),"",
0.5*MIN(AM729*Mat.Conc_Beta.1,Geometry_h.f.Negative))</f>
        <v/>
      </c>
      <c r="AZ729" s="369"/>
      <c r="BA729" s="369" t="str">
        <f>IF(ISBLANK(Inputs!$A80),"",
IF(AQ729=0,0,Geometry_h.f.Negative+0.5*MAX(0,AM729*Mat.Conc_Beta.1-Geometry_h.f.Negative)))</f>
        <v/>
      </c>
      <c r="BB729" s="369"/>
      <c r="BC729" s="369" t="str">
        <f>IF(ISBLANK(Inputs!$A80),"",
Inputs!L80)</f>
        <v/>
      </c>
      <c r="BD729" s="369"/>
      <c r="BE729" s="369" t="str">
        <f>IF(ISBLANK(Inputs!$A80),"",Inputs!$B$10-Inputs!F80)</f>
        <v/>
      </c>
      <c r="BF729" s="369"/>
      <c r="BG729" s="369" t="str">
        <f>IF(ISBLANK(Inputs!$A80),"",
MAX(0.75,MIN(1,0.75+0.25*(AW729-Mat.Rebar_epsilon.cl)/(Mat.Rebar_epsilon.tl-Mat.Rebar_epsilon.cl))))</f>
        <v/>
      </c>
      <c r="BH729" s="369"/>
      <c r="BI729" s="370" t="str">
        <f>IF(ISBLANK(Inputs!$A80),"",
-((BE729*AU729+BC729*AS729-BA729*AQ729-AY729*AO729)/12)*BG729)</f>
        <v/>
      </c>
      <c r="BJ729" s="370"/>
      <c r="BK729" s="370"/>
      <c r="BL729" s="370" t="str">
        <f>IF(ISBLANK(Inputs!C80),"",Inputs!C80)</f>
        <v/>
      </c>
      <c r="BM729" s="370"/>
      <c r="BN729" s="370"/>
      <c r="BO729" s="374" t="str">
        <f>IF(ISBLANK(Inputs!$A80),"",
IFERROR(IF(BL729&gt;=0,ABS(BL729)/ABS(AH729),ABS(BL729)/ABS(BI729)),""))</f>
        <v/>
      </c>
      <c r="BP729" s="374"/>
      <c r="BQ729" s="374"/>
      <c r="BR729" s="59"/>
      <c r="BS729" s="70"/>
      <c r="BT729" s="70"/>
      <c r="BU729" s="70"/>
      <c r="BV729" s="70"/>
      <c r="BW729" s="8"/>
      <c r="BX729" s="8"/>
      <c r="BY729" s="8"/>
      <c r="BZ729" s="8"/>
      <c r="CA729" s="8"/>
      <c r="CB729" s="10"/>
    </row>
    <row r="730" spans="3:80" ht="15" customHeight="1" x14ac:dyDescent="0.25">
      <c r="C730" s="69"/>
      <c r="F730" s="369" t="str">
        <f>IF(ISBLANK(Inputs!A81),"",Inputs!A81)</f>
        <v/>
      </c>
      <c r="G730" s="369"/>
      <c r="H730" s="369" t="str">
        <f>IF(ISBLANK(Inputs!B81),"",Inputs!B81)</f>
        <v/>
      </c>
      <c r="I730" s="369"/>
      <c r="J730" s="369" t="str">
        <f>IF(ISBLANK(Inputs!$A81),"",
MAX(IF(ISNUMBER(AE473),1),
IF(ISNUMBER(AI473),2),
IF(ISNUMBER(AM473),3),
IF(ISNUMBER(AQ473),4),
IF(ISNUMBER(AU473),5),
IF(ISNUMBER(AY473),6),
IF(ISNUMBER(BC473),7),
IF(ISNUMBER(BG473),8),
IF(ISNUMBER(BK473),9),
IF(ISNUMBER(BO473),10)))</f>
        <v/>
      </c>
      <c r="K730" s="369"/>
      <c r="L730" s="369" t="str">
        <f>IF(ISBLANK(Inputs!$A81),"",
_xlfn.LET(
_xlpm.n,J730,
CHOOSE(_xlpm.n,
AE473,AI473,AM473,AQ473,AU473,
AY473,BC473,BG473,BK473,BO473
)
))</f>
        <v/>
      </c>
      <c r="M730" s="369"/>
      <c r="N730" s="369" t="str">
        <f>IF(ISBLANK(Inputs!$A81),"",
Mat.Conc_Alpha.1*Mat.Conc_f.c*Inputs!J81*MIN(L730*Mat.Conc_Beta.1,Inputs!I81))</f>
        <v/>
      </c>
      <c r="O730" s="369"/>
      <c r="P730" s="372" t="str">
        <f>IF(ISBLANK(Inputs!$A81),"",
Mat.Conc_Alpha.1*Mat.Conc_f.c*Inputs!E81*MAX(0,L730*Mat.Conc_Beta.1-Inputs!I81))</f>
        <v/>
      </c>
      <c r="Q730" s="369"/>
      <c r="R730" s="369" t="str">
        <f>IF(ISBLANK(Inputs!$A81),"",Inputs!G81*MIN(Mat.Rebar_f.y,(Mat.Rebar_epsilon.cl*(Inputs!H81-L730)/L730)*Mat.PT_E.s))</f>
        <v/>
      </c>
      <c r="S730" s="369"/>
      <c r="T730" s="369" t="str">
        <f>IF(ISBLANK(Inputs!$A81),"",Inputs!D81*(Mat.PT_f.pu*(1-Mat.PT_k*L730/Inputs!F81)))</f>
        <v/>
      </c>
      <c r="U730" s="369"/>
      <c r="V730" s="369" t="str">
        <f>IF(ISBLANK(Inputs!$A81),"",
(Mat.PT_f.pe/Mat.PT_E.ps)+(Mat.Rebar_epsilon.cl*((Geometry_d.p.Positive-L730)/L730)))</f>
        <v/>
      </c>
      <c r="W730" s="369"/>
      <c r="X730" s="369" t="str">
        <f>IF(ISBLANK(Inputs!$A81),"",
0.5*MIN(L730*Mat.Conc_Beta.1,Geometry_h.f.Positive))</f>
        <v/>
      </c>
      <c r="Y730" s="369"/>
      <c r="Z730" s="369" t="str">
        <f>IF(ISBLANK(Inputs!$A81),"",
IF(P730=0,0,Geometry_h.f.Positive+0.5*MAX(0,L730*Mat.Conc_Beta.1-Geometry_h.f.Positive)))</f>
        <v/>
      </c>
      <c r="AA730" s="369"/>
      <c r="AB730" s="369" t="str">
        <f>IF(ISBLANK(Inputs!$A81),"",
Inputs!H81)</f>
        <v/>
      </c>
      <c r="AC730" s="369"/>
      <c r="AD730" s="369" t="str">
        <f>IF(ISBLANK(Inputs!$A81),"",
Inputs!F81)</f>
        <v/>
      </c>
      <c r="AE730" s="369"/>
      <c r="AF730" s="369" t="str">
        <f>IF(ISBLANK(Inputs!$A81),"",
MAX(0.75,MIN(1,0.75+0.25*(V730-Mat.Rebar_epsilon.cl)/(Mat.Rebar_epsilon.tl-Mat.Rebar_epsilon.cl))))</f>
        <v/>
      </c>
      <c r="AG730" s="369"/>
      <c r="AH730" s="370" t="str">
        <f>IF(ISBLANK(Inputs!$A81),"",
((AD730*T730+AB730*R730-Z730*P730-X730*N730)/12)*AF730)</f>
        <v/>
      </c>
      <c r="AI730" s="370"/>
      <c r="AJ730" s="370"/>
      <c r="AK730" s="369" t="str">
        <f>IF(ISBLANK(Inputs!$A81),"",
MAX(IF(ISNUMBER(AE598),1),
IF(ISNUMBER(AI598),2),
IF(ISNUMBER(AM598),3),
IF(ISNUMBER(AQ598),4),
IF(ISNUMBER(AU598),5),
IF(ISNUMBER(AY598),6),
IF(ISNUMBER(BC598),7),
IF(ISNUMBER(BG598),8),
IF(ISNUMBER(BK598),9),
IF(ISNUMBER(BO598),10)))</f>
        <v/>
      </c>
      <c r="AL730" s="369"/>
      <c r="AM730" s="369" t="str">
        <f>IF(ISBLANK(Inputs!$A81),"",
_xlfn.LET(
_xlpm.n,AK730,
CHOOSE(_xlpm.n,
AE598,AI598,AM598,AQ598,AU598,
AY598,BC598,BG598,BK598,BO598
)
))</f>
        <v/>
      </c>
      <c r="AN730" s="369"/>
      <c r="AO730" s="369" t="str">
        <f>IF(ISBLANK(Inputs!$A81),"",
Mat.Conc_Alpha.1*Mat.Conc_f.c*Geometry_b.Negative*MIN(AM730*Mat.Conc_Beta.1,Geometry_h.f.Negative))</f>
        <v/>
      </c>
      <c r="AP730" s="369"/>
      <c r="AQ730" s="369" t="str">
        <f>IF(ISBLANK(Inputs!$A81),"",
Mat.Conc_Alpha.1*Mat.Conc_f.c*Geometry_b.w*MAX(0,AM730*Mat.Conc_Beta.1-Geometry_h.f.Negative))</f>
        <v/>
      </c>
      <c r="AR730" s="369"/>
      <c r="AS730" s="369" t="str">
        <f>IF(ISBLANK(Inputs!$A81),"",
Mat.Rebar_A.s.Positive*MIN(Mat.Rebar_f.y,(Mat.Rebar_epsilon.cl*(Geometry_d.s.Negative-AM730)/AM730)*Mat.PT_E.s))</f>
        <v/>
      </c>
      <c r="AT730" s="369"/>
      <c r="AU730" s="369" t="str">
        <f>IF(ISBLANK(Inputs!$A81),"",
Mat.PT_A.ps*(Mat.PT_f.pu*(1-Mat.PT_k*AM730/Geometry_d.p.Negative)))</f>
        <v/>
      </c>
      <c r="AV730" s="369"/>
      <c r="AW730" s="369" t="str">
        <f>IF(ISBLANK(Inputs!$A81),"",
(Mat.PT_f.pe/Mat.PT_E.ps)+(Mat.Rebar_epsilon.cl*((Geometry_d.p.Negative-AM730)/AM730)))</f>
        <v/>
      </c>
      <c r="AX730" s="369"/>
      <c r="AY730" s="369" t="str">
        <f>IF(ISBLANK(Inputs!$A81),"",
0.5*MIN(AM730*Mat.Conc_Beta.1,Geometry_h.f.Negative))</f>
        <v/>
      </c>
      <c r="AZ730" s="369"/>
      <c r="BA730" s="369" t="str">
        <f>IF(ISBLANK(Inputs!$A81),"",
IF(AQ730=0,0,Geometry_h.f.Negative+0.5*MAX(0,AM730*Mat.Conc_Beta.1-Geometry_h.f.Negative)))</f>
        <v/>
      </c>
      <c r="BB730" s="369"/>
      <c r="BC730" s="369" t="str">
        <f>IF(ISBLANK(Inputs!$A81),"",
Inputs!L81)</f>
        <v/>
      </c>
      <c r="BD730" s="369"/>
      <c r="BE730" s="369" t="str">
        <f>IF(ISBLANK(Inputs!$A81),"",Inputs!$B$10-Inputs!F81)</f>
        <v/>
      </c>
      <c r="BF730" s="369"/>
      <c r="BG730" s="369" t="str">
        <f>IF(ISBLANK(Inputs!$A81),"",
MAX(0.75,MIN(1,0.75+0.25*(AW730-Mat.Rebar_epsilon.cl)/(Mat.Rebar_epsilon.tl-Mat.Rebar_epsilon.cl))))</f>
        <v/>
      </c>
      <c r="BH730" s="369"/>
      <c r="BI730" s="370" t="str">
        <f>IF(ISBLANK(Inputs!$A81),"",
-((BE730*AU730+BC730*AS730-BA730*AQ730-AY730*AO730)/12)*BG730)</f>
        <v/>
      </c>
      <c r="BJ730" s="370"/>
      <c r="BK730" s="370"/>
      <c r="BL730" s="370" t="str">
        <f>IF(ISBLANK(Inputs!C81),"",Inputs!C81)</f>
        <v/>
      </c>
      <c r="BM730" s="370"/>
      <c r="BN730" s="370"/>
      <c r="BO730" s="374" t="str">
        <f>IF(ISBLANK(Inputs!$A81),"",
IFERROR(IF(BL730&gt;=0,ABS(BL730)/ABS(AH730),ABS(BL730)/ABS(BI730)),""))</f>
        <v/>
      </c>
      <c r="BP730" s="374"/>
      <c r="BQ730" s="374"/>
      <c r="BR730" s="59"/>
      <c r="BS730" s="70"/>
      <c r="BT730" s="70"/>
      <c r="BU730" s="70"/>
      <c r="BV730" s="70"/>
      <c r="BW730" s="8"/>
      <c r="BX730" s="8"/>
      <c r="BY730" s="8"/>
      <c r="BZ730" s="8"/>
      <c r="CA730" s="8"/>
      <c r="CB730" s="10"/>
    </row>
    <row r="731" spans="3:80" ht="15" customHeight="1" x14ac:dyDescent="0.25">
      <c r="C731" s="69"/>
      <c r="F731" s="369" t="str">
        <f>IF(ISBLANK(Inputs!A82),"",Inputs!A82)</f>
        <v/>
      </c>
      <c r="G731" s="369"/>
      <c r="H731" s="369" t="str">
        <f>IF(ISBLANK(Inputs!B82),"",Inputs!B82)</f>
        <v/>
      </c>
      <c r="I731" s="369"/>
      <c r="J731" s="369" t="str">
        <f>IF(ISBLANK(Inputs!$A82),"",
MAX(IF(ISNUMBER(AE474),1),
IF(ISNUMBER(AI474),2),
IF(ISNUMBER(AM474),3),
IF(ISNUMBER(AQ474),4),
IF(ISNUMBER(AU474),5),
IF(ISNUMBER(AY474),6),
IF(ISNUMBER(BC474),7),
IF(ISNUMBER(BG474),8),
IF(ISNUMBER(BK474),9),
IF(ISNUMBER(BO474),10)))</f>
        <v/>
      </c>
      <c r="K731" s="369"/>
      <c r="L731" s="369" t="str">
        <f>IF(ISBLANK(Inputs!$A82),"",
_xlfn.LET(
_xlpm.n,J731,
CHOOSE(_xlpm.n,
AE474,AI474,AM474,AQ474,AU474,
AY474,BC474,BG474,BK474,BO474
)
))</f>
        <v/>
      </c>
      <c r="M731" s="369"/>
      <c r="N731" s="369" t="str">
        <f>IF(ISBLANK(Inputs!$A82),"",
Mat.Conc_Alpha.1*Mat.Conc_f.c*Inputs!J82*MIN(L731*Mat.Conc_Beta.1,Inputs!I82))</f>
        <v/>
      </c>
      <c r="O731" s="369"/>
      <c r="P731" s="372" t="str">
        <f>IF(ISBLANK(Inputs!$A82),"",
Mat.Conc_Alpha.1*Mat.Conc_f.c*Inputs!E82*MAX(0,L731*Mat.Conc_Beta.1-Inputs!I82))</f>
        <v/>
      </c>
      <c r="Q731" s="369"/>
      <c r="R731" s="369" t="str">
        <f>IF(ISBLANK(Inputs!$A82),"",Inputs!G82*MIN(Mat.Rebar_f.y,(Mat.Rebar_epsilon.cl*(Inputs!H82-L731)/L731)*Mat.PT_E.s))</f>
        <v/>
      </c>
      <c r="S731" s="369"/>
      <c r="T731" s="369" t="str">
        <f>IF(ISBLANK(Inputs!$A82),"",Inputs!D82*(Mat.PT_f.pu*(1-Mat.PT_k*L731/Inputs!F82)))</f>
        <v/>
      </c>
      <c r="U731" s="369"/>
      <c r="V731" s="369" t="str">
        <f>IF(ISBLANK(Inputs!$A82),"",
(Mat.PT_f.pe/Mat.PT_E.ps)+(Mat.Rebar_epsilon.cl*((Geometry_d.p.Positive-L731)/L731)))</f>
        <v/>
      </c>
      <c r="W731" s="369"/>
      <c r="X731" s="369" t="str">
        <f>IF(ISBLANK(Inputs!$A82),"",
0.5*MIN(L731*Mat.Conc_Beta.1,Geometry_h.f.Positive))</f>
        <v/>
      </c>
      <c r="Y731" s="369"/>
      <c r="Z731" s="369" t="str">
        <f>IF(ISBLANK(Inputs!$A82),"",
IF(P731=0,0,Geometry_h.f.Positive+0.5*MAX(0,L731*Mat.Conc_Beta.1-Geometry_h.f.Positive)))</f>
        <v/>
      </c>
      <c r="AA731" s="369"/>
      <c r="AB731" s="369" t="str">
        <f>IF(ISBLANK(Inputs!$A82),"",
Inputs!H82)</f>
        <v/>
      </c>
      <c r="AC731" s="369"/>
      <c r="AD731" s="369" t="str">
        <f>IF(ISBLANK(Inputs!$A82),"",
Inputs!F82)</f>
        <v/>
      </c>
      <c r="AE731" s="369"/>
      <c r="AF731" s="369" t="str">
        <f>IF(ISBLANK(Inputs!$A82),"",
MAX(0.75,MIN(1,0.75+0.25*(V731-Mat.Rebar_epsilon.cl)/(Mat.Rebar_epsilon.tl-Mat.Rebar_epsilon.cl))))</f>
        <v/>
      </c>
      <c r="AG731" s="369"/>
      <c r="AH731" s="370" t="str">
        <f>IF(ISBLANK(Inputs!$A82),"",
((AD731*T731+AB731*R731-Z731*P731-X731*N731)/12)*AF731)</f>
        <v/>
      </c>
      <c r="AI731" s="370"/>
      <c r="AJ731" s="370"/>
      <c r="AK731" s="369" t="str">
        <f>IF(ISBLANK(Inputs!$A82),"",
MAX(IF(ISNUMBER(AE599),1),
IF(ISNUMBER(AI599),2),
IF(ISNUMBER(AM599),3),
IF(ISNUMBER(AQ599),4),
IF(ISNUMBER(AU599),5),
IF(ISNUMBER(AY599),6),
IF(ISNUMBER(BC599),7),
IF(ISNUMBER(BG599),8),
IF(ISNUMBER(BK599),9),
IF(ISNUMBER(BO599),10)))</f>
        <v/>
      </c>
      <c r="AL731" s="369"/>
      <c r="AM731" s="369" t="str">
        <f>IF(ISBLANK(Inputs!$A82),"",
_xlfn.LET(
_xlpm.n,AK731,
CHOOSE(_xlpm.n,
AE599,AI599,AM599,AQ599,AU599,
AY599,BC599,BG599,BK599,BO599
)
))</f>
        <v/>
      </c>
      <c r="AN731" s="369"/>
      <c r="AO731" s="369" t="str">
        <f>IF(ISBLANK(Inputs!$A82),"",
Mat.Conc_Alpha.1*Mat.Conc_f.c*Geometry_b.Negative*MIN(AM731*Mat.Conc_Beta.1,Geometry_h.f.Negative))</f>
        <v/>
      </c>
      <c r="AP731" s="369"/>
      <c r="AQ731" s="369" t="str">
        <f>IF(ISBLANK(Inputs!$A82),"",
Mat.Conc_Alpha.1*Mat.Conc_f.c*Geometry_b.w*MAX(0,AM731*Mat.Conc_Beta.1-Geometry_h.f.Negative))</f>
        <v/>
      </c>
      <c r="AR731" s="369"/>
      <c r="AS731" s="369" t="str">
        <f>IF(ISBLANK(Inputs!$A82),"",
Mat.Rebar_A.s.Positive*MIN(Mat.Rebar_f.y,(Mat.Rebar_epsilon.cl*(Geometry_d.s.Negative-AM731)/AM731)*Mat.PT_E.s))</f>
        <v/>
      </c>
      <c r="AT731" s="369"/>
      <c r="AU731" s="369" t="str">
        <f>IF(ISBLANK(Inputs!$A82),"",
Mat.PT_A.ps*(Mat.PT_f.pu*(1-Mat.PT_k*AM731/Geometry_d.p.Negative)))</f>
        <v/>
      </c>
      <c r="AV731" s="369"/>
      <c r="AW731" s="369" t="str">
        <f>IF(ISBLANK(Inputs!$A82),"",
(Mat.PT_f.pe/Mat.PT_E.ps)+(Mat.Rebar_epsilon.cl*((Geometry_d.p.Negative-AM731)/AM731)))</f>
        <v/>
      </c>
      <c r="AX731" s="369"/>
      <c r="AY731" s="369" t="str">
        <f>IF(ISBLANK(Inputs!$A82),"",
0.5*MIN(AM731*Mat.Conc_Beta.1,Geometry_h.f.Negative))</f>
        <v/>
      </c>
      <c r="AZ731" s="369"/>
      <c r="BA731" s="369" t="str">
        <f>IF(ISBLANK(Inputs!$A82),"",
IF(AQ731=0,0,Geometry_h.f.Negative+0.5*MAX(0,AM731*Mat.Conc_Beta.1-Geometry_h.f.Negative)))</f>
        <v/>
      </c>
      <c r="BB731" s="369"/>
      <c r="BC731" s="369" t="str">
        <f>IF(ISBLANK(Inputs!$A82),"",
Inputs!L82)</f>
        <v/>
      </c>
      <c r="BD731" s="369"/>
      <c r="BE731" s="369" t="str">
        <f>IF(ISBLANK(Inputs!$A82),"",Inputs!$B$10-Inputs!F82)</f>
        <v/>
      </c>
      <c r="BF731" s="369"/>
      <c r="BG731" s="369" t="str">
        <f>IF(ISBLANK(Inputs!$A82),"",
MAX(0.75,MIN(1,0.75+0.25*(AW731-Mat.Rebar_epsilon.cl)/(Mat.Rebar_epsilon.tl-Mat.Rebar_epsilon.cl))))</f>
        <v/>
      </c>
      <c r="BH731" s="369"/>
      <c r="BI731" s="370" t="str">
        <f>IF(ISBLANK(Inputs!$A82),"",
-((BE731*AU731+BC731*AS731-BA731*AQ731-AY731*AO731)/12)*BG731)</f>
        <v/>
      </c>
      <c r="BJ731" s="370"/>
      <c r="BK731" s="370"/>
      <c r="BL731" s="370" t="str">
        <f>IF(ISBLANK(Inputs!C82),"",Inputs!C82)</f>
        <v/>
      </c>
      <c r="BM731" s="370"/>
      <c r="BN731" s="370"/>
      <c r="BO731" s="374" t="str">
        <f>IF(ISBLANK(Inputs!$A82),"",
IFERROR(IF(BL731&gt;=0,ABS(BL731)/ABS(AH731),ABS(BL731)/ABS(BI731)),""))</f>
        <v/>
      </c>
      <c r="BP731" s="374"/>
      <c r="BQ731" s="374"/>
      <c r="BR731" s="59"/>
      <c r="BS731" s="70"/>
      <c r="BT731" s="70"/>
      <c r="BU731" s="70"/>
      <c r="BV731" s="70"/>
      <c r="BW731" s="8"/>
      <c r="BX731" s="8"/>
      <c r="BY731" s="8"/>
      <c r="BZ731" s="8"/>
      <c r="CA731" s="8"/>
      <c r="CB731" s="10"/>
    </row>
    <row r="732" spans="3:80" ht="15" customHeight="1" x14ac:dyDescent="0.25">
      <c r="C732" s="69"/>
      <c r="F732" s="369" t="str">
        <f>IF(ISBLANK(Inputs!A83),"",Inputs!A83)</f>
        <v/>
      </c>
      <c r="G732" s="369"/>
      <c r="H732" s="369" t="str">
        <f>IF(ISBLANK(Inputs!B83),"",Inputs!B83)</f>
        <v/>
      </c>
      <c r="I732" s="369"/>
      <c r="J732" s="369" t="str">
        <f>IF(ISBLANK(Inputs!$A83),"",
MAX(IF(ISNUMBER(AE475),1),
IF(ISNUMBER(AI475),2),
IF(ISNUMBER(AM475),3),
IF(ISNUMBER(AQ475),4),
IF(ISNUMBER(AU475),5),
IF(ISNUMBER(AY475),6),
IF(ISNUMBER(BC475),7),
IF(ISNUMBER(BG475),8),
IF(ISNUMBER(BK475),9),
IF(ISNUMBER(BO475),10)))</f>
        <v/>
      </c>
      <c r="K732" s="369"/>
      <c r="L732" s="369" t="str">
        <f>IF(ISBLANK(Inputs!$A83),"",
_xlfn.LET(
_xlpm.n,J732,
CHOOSE(_xlpm.n,
AE475,AI475,AM475,AQ475,AU475,
AY475,BC475,BG475,BK475,BO475
)
))</f>
        <v/>
      </c>
      <c r="M732" s="369"/>
      <c r="N732" s="369" t="str">
        <f>IF(ISBLANK(Inputs!$A83),"",
Mat.Conc_Alpha.1*Mat.Conc_f.c*Inputs!J83*MIN(L732*Mat.Conc_Beta.1,Inputs!I83))</f>
        <v/>
      </c>
      <c r="O732" s="369"/>
      <c r="P732" s="372" t="str">
        <f>IF(ISBLANK(Inputs!$A83),"",
Mat.Conc_Alpha.1*Mat.Conc_f.c*Inputs!E83*MAX(0,L732*Mat.Conc_Beta.1-Inputs!I83))</f>
        <v/>
      </c>
      <c r="Q732" s="369"/>
      <c r="R732" s="369" t="str">
        <f>IF(ISBLANK(Inputs!$A83),"",Inputs!G83*MIN(Mat.Rebar_f.y,(Mat.Rebar_epsilon.cl*(Inputs!H83-L732)/L732)*Mat.PT_E.s))</f>
        <v/>
      </c>
      <c r="S732" s="369"/>
      <c r="T732" s="369" t="str">
        <f>IF(ISBLANK(Inputs!$A83),"",Inputs!D83*(Mat.PT_f.pu*(1-Mat.PT_k*L732/Inputs!F83)))</f>
        <v/>
      </c>
      <c r="U732" s="369"/>
      <c r="V732" s="369" t="str">
        <f>IF(ISBLANK(Inputs!$A83),"",
(Mat.PT_f.pe/Mat.PT_E.ps)+(Mat.Rebar_epsilon.cl*((Geometry_d.p.Positive-L732)/L732)))</f>
        <v/>
      </c>
      <c r="W732" s="369"/>
      <c r="X732" s="369" t="str">
        <f>IF(ISBLANK(Inputs!$A83),"",
0.5*MIN(L732*Mat.Conc_Beta.1,Geometry_h.f.Positive))</f>
        <v/>
      </c>
      <c r="Y732" s="369"/>
      <c r="Z732" s="369" t="str">
        <f>IF(ISBLANK(Inputs!$A83),"",
IF(P732=0,0,Geometry_h.f.Positive+0.5*MAX(0,L732*Mat.Conc_Beta.1-Geometry_h.f.Positive)))</f>
        <v/>
      </c>
      <c r="AA732" s="369"/>
      <c r="AB732" s="369" t="str">
        <f>IF(ISBLANK(Inputs!$A83),"",
Inputs!H83)</f>
        <v/>
      </c>
      <c r="AC732" s="369"/>
      <c r="AD732" s="369" t="str">
        <f>IF(ISBLANK(Inputs!$A83),"",
Inputs!F83)</f>
        <v/>
      </c>
      <c r="AE732" s="369"/>
      <c r="AF732" s="369" t="str">
        <f>IF(ISBLANK(Inputs!$A83),"",
MAX(0.75,MIN(1,0.75+0.25*(V732-Mat.Rebar_epsilon.cl)/(Mat.Rebar_epsilon.tl-Mat.Rebar_epsilon.cl))))</f>
        <v/>
      </c>
      <c r="AG732" s="369"/>
      <c r="AH732" s="370" t="str">
        <f>IF(ISBLANK(Inputs!$A83),"",
((AD732*T732+AB732*R732-Z732*P732-X732*N732)/12)*AF732)</f>
        <v/>
      </c>
      <c r="AI732" s="370"/>
      <c r="AJ732" s="370"/>
      <c r="AK732" s="369" t="str">
        <f>IF(ISBLANK(Inputs!$A83),"",
MAX(IF(ISNUMBER(AE600),1),
IF(ISNUMBER(AI600),2),
IF(ISNUMBER(AM600),3),
IF(ISNUMBER(AQ600),4),
IF(ISNUMBER(AU600),5),
IF(ISNUMBER(AY600),6),
IF(ISNUMBER(BC600),7),
IF(ISNUMBER(BG600),8),
IF(ISNUMBER(BK600),9),
IF(ISNUMBER(BO600),10)))</f>
        <v/>
      </c>
      <c r="AL732" s="369"/>
      <c r="AM732" s="369" t="str">
        <f>IF(ISBLANK(Inputs!$A83),"",
_xlfn.LET(
_xlpm.n,AK732,
CHOOSE(_xlpm.n,
AE600,AI600,AM600,AQ600,AU600,
AY600,BC600,BG600,BK600,BO600
)
))</f>
        <v/>
      </c>
      <c r="AN732" s="369"/>
      <c r="AO732" s="369" t="str">
        <f>IF(ISBLANK(Inputs!$A83),"",
Mat.Conc_Alpha.1*Mat.Conc_f.c*Geometry_b.Negative*MIN(AM732*Mat.Conc_Beta.1,Geometry_h.f.Negative))</f>
        <v/>
      </c>
      <c r="AP732" s="369"/>
      <c r="AQ732" s="369" t="str">
        <f>IF(ISBLANK(Inputs!$A83),"",
Mat.Conc_Alpha.1*Mat.Conc_f.c*Geometry_b.w*MAX(0,AM732*Mat.Conc_Beta.1-Geometry_h.f.Negative))</f>
        <v/>
      </c>
      <c r="AR732" s="369"/>
      <c r="AS732" s="369" t="str">
        <f>IF(ISBLANK(Inputs!$A83),"",
Mat.Rebar_A.s.Positive*MIN(Mat.Rebar_f.y,(Mat.Rebar_epsilon.cl*(Geometry_d.s.Negative-AM732)/AM732)*Mat.PT_E.s))</f>
        <v/>
      </c>
      <c r="AT732" s="369"/>
      <c r="AU732" s="369" t="str">
        <f>IF(ISBLANK(Inputs!$A83),"",
Mat.PT_A.ps*(Mat.PT_f.pu*(1-Mat.PT_k*AM732/Geometry_d.p.Negative)))</f>
        <v/>
      </c>
      <c r="AV732" s="369"/>
      <c r="AW732" s="369" t="str">
        <f>IF(ISBLANK(Inputs!$A83),"",
(Mat.PT_f.pe/Mat.PT_E.ps)+(Mat.Rebar_epsilon.cl*((Geometry_d.p.Negative-AM732)/AM732)))</f>
        <v/>
      </c>
      <c r="AX732" s="369"/>
      <c r="AY732" s="369" t="str">
        <f>IF(ISBLANK(Inputs!$A83),"",
0.5*MIN(AM732*Mat.Conc_Beta.1,Geometry_h.f.Negative))</f>
        <v/>
      </c>
      <c r="AZ732" s="369"/>
      <c r="BA732" s="369" t="str">
        <f>IF(ISBLANK(Inputs!$A83),"",
IF(AQ732=0,0,Geometry_h.f.Negative+0.5*MAX(0,AM732*Mat.Conc_Beta.1-Geometry_h.f.Negative)))</f>
        <v/>
      </c>
      <c r="BB732" s="369"/>
      <c r="BC732" s="369" t="str">
        <f>IF(ISBLANK(Inputs!$A83),"",
Inputs!L83)</f>
        <v/>
      </c>
      <c r="BD732" s="369"/>
      <c r="BE732" s="369" t="str">
        <f>IF(ISBLANK(Inputs!$A83),"",Inputs!$B$10-Inputs!F83)</f>
        <v/>
      </c>
      <c r="BF732" s="369"/>
      <c r="BG732" s="369" t="str">
        <f>IF(ISBLANK(Inputs!$A83),"",
MAX(0.75,MIN(1,0.75+0.25*(AW732-Mat.Rebar_epsilon.cl)/(Mat.Rebar_epsilon.tl-Mat.Rebar_epsilon.cl))))</f>
        <v/>
      </c>
      <c r="BH732" s="369"/>
      <c r="BI732" s="370" t="str">
        <f>IF(ISBLANK(Inputs!$A83),"",
-((BE732*AU732+BC732*AS732-BA732*AQ732-AY732*AO732)/12)*BG732)</f>
        <v/>
      </c>
      <c r="BJ732" s="370"/>
      <c r="BK732" s="370"/>
      <c r="BL732" s="370" t="str">
        <f>IF(ISBLANK(Inputs!C83),"",Inputs!C83)</f>
        <v/>
      </c>
      <c r="BM732" s="370"/>
      <c r="BN732" s="370"/>
      <c r="BO732" s="374" t="str">
        <f>IF(ISBLANK(Inputs!$A83),"",
IFERROR(IF(BL732&gt;=0,ABS(BL732)/ABS(AH732),ABS(BL732)/ABS(BI732)),""))</f>
        <v/>
      </c>
      <c r="BP732" s="374"/>
      <c r="BQ732" s="374"/>
      <c r="BR732" s="59"/>
      <c r="BS732" s="70"/>
      <c r="BT732" s="70"/>
      <c r="BU732" s="70"/>
      <c r="BV732" s="70"/>
      <c r="BW732" s="8"/>
      <c r="BX732" s="8"/>
      <c r="BY732" s="8"/>
      <c r="BZ732" s="8"/>
      <c r="CA732" s="8"/>
      <c r="CB732" s="10"/>
    </row>
    <row r="733" spans="3:80" ht="15" customHeight="1" x14ac:dyDescent="0.25">
      <c r="C733" s="69"/>
      <c r="F733" s="369" t="str">
        <f>IF(ISBLANK(Inputs!A84),"",Inputs!A84)</f>
        <v/>
      </c>
      <c r="G733" s="369"/>
      <c r="H733" s="369" t="str">
        <f>IF(ISBLANK(Inputs!B84),"",Inputs!B84)</f>
        <v/>
      </c>
      <c r="I733" s="369"/>
      <c r="J733" s="369" t="str">
        <f>IF(ISBLANK(Inputs!$A84),"",
MAX(IF(ISNUMBER(AE476),1),
IF(ISNUMBER(AI476),2),
IF(ISNUMBER(AM476),3),
IF(ISNUMBER(AQ476),4),
IF(ISNUMBER(AU476),5),
IF(ISNUMBER(AY476),6),
IF(ISNUMBER(BC476),7),
IF(ISNUMBER(BG476),8),
IF(ISNUMBER(BK476),9),
IF(ISNUMBER(BO476),10)))</f>
        <v/>
      </c>
      <c r="K733" s="369"/>
      <c r="L733" s="369" t="str">
        <f>IF(ISBLANK(Inputs!$A84),"",
_xlfn.LET(
_xlpm.n,J733,
CHOOSE(_xlpm.n,
AE476,AI476,AM476,AQ476,AU476,
AY476,BC476,BG476,BK476,BO476
)
))</f>
        <v/>
      </c>
      <c r="M733" s="369"/>
      <c r="N733" s="369" t="str">
        <f>IF(ISBLANK(Inputs!$A84),"",
Mat.Conc_Alpha.1*Mat.Conc_f.c*Inputs!J84*MIN(L733*Mat.Conc_Beta.1,Inputs!I84))</f>
        <v/>
      </c>
      <c r="O733" s="369"/>
      <c r="P733" s="372" t="str">
        <f>IF(ISBLANK(Inputs!$A84),"",
Mat.Conc_Alpha.1*Mat.Conc_f.c*Inputs!E84*MAX(0,L733*Mat.Conc_Beta.1-Inputs!I84))</f>
        <v/>
      </c>
      <c r="Q733" s="369"/>
      <c r="R733" s="369" t="str">
        <f>IF(ISBLANK(Inputs!$A84),"",Inputs!G84*MIN(Mat.Rebar_f.y,(Mat.Rebar_epsilon.cl*(Inputs!H84-L733)/L733)*Mat.PT_E.s))</f>
        <v/>
      </c>
      <c r="S733" s="369"/>
      <c r="T733" s="369" t="str">
        <f>IF(ISBLANK(Inputs!$A84),"",Inputs!D84*(Mat.PT_f.pu*(1-Mat.PT_k*L733/Inputs!F84)))</f>
        <v/>
      </c>
      <c r="U733" s="369"/>
      <c r="V733" s="369" t="str">
        <f>IF(ISBLANK(Inputs!$A84),"",
(Mat.PT_f.pe/Mat.PT_E.ps)+(Mat.Rebar_epsilon.cl*((Geometry_d.p.Positive-L733)/L733)))</f>
        <v/>
      </c>
      <c r="W733" s="369"/>
      <c r="X733" s="369" t="str">
        <f>IF(ISBLANK(Inputs!$A84),"",
0.5*MIN(L733*Mat.Conc_Beta.1,Geometry_h.f.Positive))</f>
        <v/>
      </c>
      <c r="Y733" s="369"/>
      <c r="Z733" s="369" t="str">
        <f>IF(ISBLANK(Inputs!$A84),"",
IF(P733=0,0,Geometry_h.f.Positive+0.5*MAX(0,L733*Mat.Conc_Beta.1-Geometry_h.f.Positive)))</f>
        <v/>
      </c>
      <c r="AA733" s="369"/>
      <c r="AB733" s="369" t="str">
        <f>IF(ISBLANK(Inputs!$A84),"",
Inputs!H84)</f>
        <v/>
      </c>
      <c r="AC733" s="369"/>
      <c r="AD733" s="369" t="str">
        <f>IF(ISBLANK(Inputs!$A84),"",
Inputs!F84)</f>
        <v/>
      </c>
      <c r="AE733" s="369"/>
      <c r="AF733" s="369" t="str">
        <f>IF(ISBLANK(Inputs!$A84),"",
MAX(0.75,MIN(1,0.75+0.25*(V733-Mat.Rebar_epsilon.cl)/(Mat.Rebar_epsilon.tl-Mat.Rebar_epsilon.cl))))</f>
        <v/>
      </c>
      <c r="AG733" s="369"/>
      <c r="AH733" s="370" t="str">
        <f>IF(ISBLANK(Inputs!$A84),"",
((AD733*T733+AB733*R733-Z733*P733-X733*N733)/12)*AF733)</f>
        <v/>
      </c>
      <c r="AI733" s="370"/>
      <c r="AJ733" s="370"/>
      <c r="AK733" s="369" t="str">
        <f>IF(ISBLANK(Inputs!$A84),"",
MAX(IF(ISNUMBER(AE601),1),
IF(ISNUMBER(AI601),2),
IF(ISNUMBER(AM601),3),
IF(ISNUMBER(AQ601),4),
IF(ISNUMBER(AU601),5),
IF(ISNUMBER(AY601),6),
IF(ISNUMBER(BC601),7),
IF(ISNUMBER(BG601),8),
IF(ISNUMBER(BK601),9),
IF(ISNUMBER(BO601),10)))</f>
        <v/>
      </c>
      <c r="AL733" s="369"/>
      <c r="AM733" s="369" t="str">
        <f>IF(ISBLANK(Inputs!$A84),"",
_xlfn.LET(
_xlpm.n,AK733,
CHOOSE(_xlpm.n,
AE601,AI601,AM601,AQ601,AU601,
AY601,BC601,BG601,BK601,BO601
)
))</f>
        <v/>
      </c>
      <c r="AN733" s="369"/>
      <c r="AO733" s="369" t="str">
        <f>IF(ISBLANK(Inputs!$A84),"",
Mat.Conc_Alpha.1*Mat.Conc_f.c*Geometry_b.Negative*MIN(AM733*Mat.Conc_Beta.1,Geometry_h.f.Negative))</f>
        <v/>
      </c>
      <c r="AP733" s="369"/>
      <c r="AQ733" s="369" t="str">
        <f>IF(ISBLANK(Inputs!$A84),"",
Mat.Conc_Alpha.1*Mat.Conc_f.c*Geometry_b.w*MAX(0,AM733*Mat.Conc_Beta.1-Geometry_h.f.Negative))</f>
        <v/>
      </c>
      <c r="AR733" s="369"/>
      <c r="AS733" s="369" t="str">
        <f>IF(ISBLANK(Inputs!$A84),"",
Mat.Rebar_A.s.Positive*MIN(Mat.Rebar_f.y,(Mat.Rebar_epsilon.cl*(Geometry_d.s.Negative-AM733)/AM733)*Mat.PT_E.s))</f>
        <v/>
      </c>
      <c r="AT733" s="369"/>
      <c r="AU733" s="369" t="str">
        <f>IF(ISBLANK(Inputs!$A84),"",
Mat.PT_A.ps*(Mat.PT_f.pu*(1-Mat.PT_k*AM733/Geometry_d.p.Negative)))</f>
        <v/>
      </c>
      <c r="AV733" s="369"/>
      <c r="AW733" s="369" t="str">
        <f>IF(ISBLANK(Inputs!$A84),"",
(Mat.PT_f.pe/Mat.PT_E.ps)+(Mat.Rebar_epsilon.cl*((Geometry_d.p.Negative-AM733)/AM733)))</f>
        <v/>
      </c>
      <c r="AX733" s="369"/>
      <c r="AY733" s="369" t="str">
        <f>IF(ISBLANK(Inputs!$A84),"",
0.5*MIN(AM733*Mat.Conc_Beta.1,Geometry_h.f.Negative))</f>
        <v/>
      </c>
      <c r="AZ733" s="369"/>
      <c r="BA733" s="369" t="str">
        <f>IF(ISBLANK(Inputs!$A84),"",
IF(AQ733=0,0,Geometry_h.f.Negative+0.5*MAX(0,AM733*Mat.Conc_Beta.1-Geometry_h.f.Negative)))</f>
        <v/>
      </c>
      <c r="BB733" s="369"/>
      <c r="BC733" s="369" t="str">
        <f>IF(ISBLANK(Inputs!$A84),"",
Inputs!L84)</f>
        <v/>
      </c>
      <c r="BD733" s="369"/>
      <c r="BE733" s="369" t="str">
        <f>IF(ISBLANK(Inputs!$A84),"",Inputs!$B$10-Inputs!F84)</f>
        <v/>
      </c>
      <c r="BF733" s="369"/>
      <c r="BG733" s="369" t="str">
        <f>IF(ISBLANK(Inputs!$A84),"",
MAX(0.75,MIN(1,0.75+0.25*(AW733-Mat.Rebar_epsilon.cl)/(Mat.Rebar_epsilon.tl-Mat.Rebar_epsilon.cl))))</f>
        <v/>
      </c>
      <c r="BH733" s="369"/>
      <c r="BI733" s="370" t="str">
        <f>IF(ISBLANK(Inputs!$A84),"",
-((BE733*AU733+BC733*AS733-BA733*AQ733-AY733*AO733)/12)*BG733)</f>
        <v/>
      </c>
      <c r="BJ733" s="370"/>
      <c r="BK733" s="370"/>
      <c r="BL733" s="370" t="str">
        <f>IF(ISBLANK(Inputs!C84),"",Inputs!C84)</f>
        <v/>
      </c>
      <c r="BM733" s="370"/>
      <c r="BN733" s="370"/>
      <c r="BO733" s="374" t="str">
        <f>IF(ISBLANK(Inputs!$A84),"",
IFERROR(IF(BL733&gt;=0,ABS(BL733)/ABS(AH733),ABS(BL733)/ABS(BI733)),""))</f>
        <v/>
      </c>
      <c r="BP733" s="374"/>
      <c r="BQ733" s="374"/>
      <c r="BR733" s="59"/>
      <c r="BS733" s="70"/>
      <c r="BT733" s="70"/>
      <c r="BU733" s="70"/>
      <c r="BV733" s="70"/>
      <c r="BW733" s="8"/>
      <c r="BX733" s="8"/>
      <c r="BY733" s="8"/>
      <c r="BZ733" s="8"/>
      <c r="CA733" s="8"/>
      <c r="CB733" s="10"/>
    </row>
    <row r="734" spans="3:80" ht="15" customHeight="1" x14ac:dyDescent="0.25">
      <c r="C734" s="69"/>
      <c r="F734" s="369" t="str">
        <f>IF(ISBLANK(Inputs!A85),"",Inputs!A85)</f>
        <v/>
      </c>
      <c r="G734" s="369"/>
      <c r="H734" s="369" t="str">
        <f>IF(ISBLANK(Inputs!B85),"",Inputs!B85)</f>
        <v/>
      </c>
      <c r="I734" s="369"/>
      <c r="J734" s="369" t="str">
        <f>IF(ISBLANK(Inputs!$A85),"",
MAX(IF(ISNUMBER(AE477),1),
IF(ISNUMBER(AI477),2),
IF(ISNUMBER(AM477),3),
IF(ISNUMBER(AQ477),4),
IF(ISNUMBER(AU477),5),
IF(ISNUMBER(AY477),6),
IF(ISNUMBER(BC477),7),
IF(ISNUMBER(BG477),8),
IF(ISNUMBER(BK477),9),
IF(ISNUMBER(BO477),10)))</f>
        <v/>
      </c>
      <c r="K734" s="369"/>
      <c r="L734" s="369" t="str">
        <f>IF(ISBLANK(Inputs!$A85),"",
_xlfn.LET(
_xlpm.n,J734,
CHOOSE(_xlpm.n,
AE477,AI477,AM477,AQ477,AU477,
AY477,BC477,BG477,BK477,BO477
)
))</f>
        <v/>
      </c>
      <c r="M734" s="369"/>
      <c r="N734" s="369" t="str">
        <f>IF(ISBLANK(Inputs!$A85),"",
Mat.Conc_Alpha.1*Mat.Conc_f.c*Inputs!J85*MIN(L734*Mat.Conc_Beta.1,Inputs!I85))</f>
        <v/>
      </c>
      <c r="O734" s="369"/>
      <c r="P734" s="372" t="str">
        <f>IF(ISBLANK(Inputs!$A85),"",
Mat.Conc_Alpha.1*Mat.Conc_f.c*Inputs!E85*MAX(0,L734*Mat.Conc_Beta.1-Inputs!I85))</f>
        <v/>
      </c>
      <c r="Q734" s="369"/>
      <c r="R734" s="369" t="str">
        <f>IF(ISBLANK(Inputs!$A85),"",Inputs!G85*MIN(Mat.Rebar_f.y,(Mat.Rebar_epsilon.cl*(Inputs!H85-L734)/L734)*Mat.PT_E.s))</f>
        <v/>
      </c>
      <c r="S734" s="369"/>
      <c r="T734" s="369" t="str">
        <f>IF(ISBLANK(Inputs!$A85),"",Inputs!D85*(Mat.PT_f.pu*(1-Mat.PT_k*L734/Inputs!F85)))</f>
        <v/>
      </c>
      <c r="U734" s="369"/>
      <c r="V734" s="369" t="str">
        <f>IF(ISBLANK(Inputs!$A85),"",
(Mat.PT_f.pe/Mat.PT_E.ps)+(Mat.Rebar_epsilon.cl*((Geometry_d.p.Positive-L734)/L734)))</f>
        <v/>
      </c>
      <c r="W734" s="369"/>
      <c r="X734" s="369" t="str">
        <f>IF(ISBLANK(Inputs!$A85),"",
0.5*MIN(L734*Mat.Conc_Beta.1,Geometry_h.f.Positive))</f>
        <v/>
      </c>
      <c r="Y734" s="369"/>
      <c r="Z734" s="369" t="str">
        <f>IF(ISBLANK(Inputs!$A85),"",
IF(P734=0,0,Geometry_h.f.Positive+0.5*MAX(0,L734*Mat.Conc_Beta.1-Geometry_h.f.Positive)))</f>
        <v/>
      </c>
      <c r="AA734" s="369"/>
      <c r="AB734" s="369" t="str">
        <f>IF(ISBLANK(Inputs!$A85),"",
Inputs!H85)</f>
        <v/>
      </c>
      <c r="AC734" s="369"/>
      <c r="AD734" s="369" t="str">
        <f>IF(ISBLANK(Inputs!$A85),"",
Inputs!F85)</f>
        <v/>
      </c>
      <c r="AE734" s="369"/>
      <c r="AF734" s="369" t="str">
        <f>IF(ISBLANK(Inputs!$A85),"",
MAX(0.75,MIN(1,0.75+0.25*(V734-Mat.Rebar_epsilon.cl)/(Mat.Rebar_epsilon.tl-Mat.Rebar_epsilon.cl))))</f>
        <v/>
      </c>
      <c r="AG734" s="369"/>
      <c r="AH734" s="370" t="str">
        <f>IF(ISBLANK(Inputs!$A85),"",
((AD734*T734+AB734*R734-Z734*P734-X734*N734)/12)*AF734)</f>
        <v/>
      </c>
      <c r="AI734" s="370"/>
      <c r="AJ734" s="370"/>
      <c r="AK734" s="369" t="str">
        <f>IF(ISBLANK(Inputs!$A85),"",
MAX(IF(ISNUMBER(AE602),1),
IF(ISNUMBER(AI602),2),
IF(ISNUMBER(AM602),3),
IF(ISNUMBER(AQ602),4),
IF(ISNUMBER(AU602),5),
IF(ISNUMBER(AY602),6),
IF(ISNUMBER(BC602),7),
IF(ISNUMBER(BG602),8),
IF(ISNUMBER(BK602),9),
IF(ISNUMBER(BO602),10)))</f>
        <v/>
      </c>
      <c r="AL734" s="369"/>
      <c r="AM734" s="369" t="str">
        <f>IF(ISBLANK(Inputs!$A85),"",
_xlfn.LET(
_xlpm.n,AK734,
CHOOSE(_xlpm.n,
AE602,AI602,AM602,AQ602,AU602,
AY602,BC602,BG602,BK602,BO602
)
))</f>
        <v/>
      </c>
      <c r="AN734" s="369"/>
      <c r="AO734" s="369" t="str">
        <f>IF(ISBLANK(Inputs!$A85),"",
Mat.Conc_Alpha.1*Mat.Conc_f.c*Geometry_b.Negative*MIN(AM734*Mat.Conc_Beta.1,Geometry_h.f.Negative))</f>
        <v/>
      </c>
      <c r="AP734" s="369"/>
      <c r="AQ734" s="369" t="str">
        <f>IF(ISBLANK(Inputs!$A85),"",
Mat.Conc_Alpha.1*Mat.Conc_f.c*Geometry_b.w*MAX(0,AM734*Mat.Conc_Beta.1-Geometry_h.f.Negative))</f>
        <v/>
      </c>
      <c r="AR734" s="369"/>
      <c r="AS734" s="369" t="str">
        <f>IF(ISBLANK(Inputs!$A85),"",
Mat.Rebar_A.s.Positive*MIN(Mat.Rebar_f.y,(Mat.Rebar_epsilon.cl*(Geometry_d.s.Negative-AM734)/AM734)*Mat.PT_E.s))</f>
        <v/>
      </c>
      <c r="AT734" s="369"/>
      <c r="AU734" s="369" t="str">
        <f>IF(ISBLANK(Inputs!$A85),"",
Mat.PT_A.ps*(Mat.PT_f.pu*(1-Mat.PT_k*AM734/Geometry_d.p.Negative)))</f>
        <v/>
      </c>
      <c r="AV734" s="369"/>
      <c r="AW734" s="369" t="str">
        <f>IF(ISBLANK(Inputs!$A85),"",
(Mat.PT_f.pe/Mat.PT_E.ps)+(Mat.Rebar_epsilon.cl*((Geometry_d.p.Negative-AM734)/AM734)))</f>
        <v/>
      </c>
      <c r="AX734" s="369"/>
      <c r="AY734" s="369" t="str">
        <f>IF(ISBLANK(Inputs!$A85),"",
0.5*MIN(AM734*Mat.Conc_Beta.1,Geometry_h.f.Negative))</f>
        <v/>
      </c>
      <c r="AZ734" s="369"/>
      <c r="BA734" s="369" t="str">
        <f>IF(ISBLANK(Inputs!$A85),"",
IF(AQ734=0,0,Geometry_h.f.Negative+0.5*MAX(0,AM734*Mat.Conc_Beta.1-Geometry_h.f.Negative)))</f>
        <v/>
      </c>
      <c r="BB734" s="369"/>
      <c r="BC734" s="369" t="str">
        <f>IF(ISBLANK(Inputs!$A85),"",
Inputs!L85)</f>
        <v/>
      </c>
      <c r="BD734" s="369"/>
      <c r="BE734" s="369" t="str">
        <f>IF(ISBLANK(Inputs!$A85),"",Inputs!$B$10-Inputs!F85)</f>
        <v/>
      </c>
      <c r="BF734" s="369"/>
      <c r="BG734" s="369" t="str">
        <f>IF(ISBLANK(Inputs!$A85),"",
MAX(0.75,MIN(1,0.75+0.25*(AW734-Mat.Rebar_epsilon.cl)/(Mat.Rebar_epsilon.tl-Mat.Rebar_epsilon.cl))))</f>
        <v/>
      </c>
      <c r="BH734" s="369"/>
      <c r="BI734" s="370" t="str">
        <f>IF(ISBLANK(Inputs!$A85),"",
-((BE734*AU734+BC734*AS734-BA734*AQ734-AY734*AO734)/12)*BG734)</f>
        <v/>
      </c>
      <c r="BJ734" s="370"/>
      <c r="BK734" s="370"/>
      <c r="BL734" s="370" t="str">
        <f>IF(ISBLANK(Inputs!C85),"",Inputs!C85)</f>
        <v/>
      </c>
      <c r="BM734" s="370"/>
      <c r="BN734" s="370"/>
      <c r="BO734" s="374" t="str">
        <f>IF(ISBLANK(Inputs!$A85),"",
IFERROR(IF(BL734&gt;=0,ABS(BL734)/ABS(AH734),ABS(BL734)/ABS(BI734)),""))</f>
        <v/>
      </c>
      <c r="BP734" s="374"/>
      <c r="BQ734" s="374"/>
      <c r="BR734" s="59"/>
      <c r="BS734" s="70"/>
      <c r="BT734" s="70"/>
      <c r="BU734" s="70"/>
      <c r="BV734" s="70"/>
      <c r="BW734" s="8"/>
      <c r="BX734" s="8"/>
      <c r="BY734" s="8"/>
      <c r="BZ734" s="8"/>
      <c r="CA734" s="8"/>
      <c r="CB734" s="10"/>
    </row>
    <row r="735" spans="3:80" ht="15" customHeight="1" x14ac:dyDescent="0.25">
      <c r="C735" s="69"/>
      <c r="F735" s="369" t="str">
        <f>IF(ISBLANK(Inputs!A86),"",Inputs!A86)</f>
        <v/>
      </c>
      <c r="G735" s="369"/>
      <c r="H735" s="369" t="str">
        <f>IF(ISBLANK(Inputs!B86),"",Inputs!B86)</f>
        <v/>
      </c>
      <c r="I735" s="369"/>
      <c r="J735" s="369" t="str">
        <f>IF(ISBLANK(Inputs!$A86),"",
MAX(IF(ISNUMBER(AE478),1),
IF(ISNUMBER(AI478),2),
IF(ISNUMBER(AM478),3),
IF(ISNUMBER(AQ478),4),
IF(ISNUMBER(AU478),5),
IF(ISNUMBER(AY478),6),
IF(ISNUMBER(BC478),7),
IF(ISNUMBER(BG478),8),
IF(ISNUMBER(BK478),9),
IF(ISNUMBER(BO478),10)))</f>
        <v/>
      </c>
      <c r="K735" s="369"/>
      <c r="L735" s="369" t="str">
        <f>IF(ISBLANK(Inputs!$A86),"",
_xlfn.LET(
_xlpm.n,J735,
CHOOSE(_xlpm.n,
AE478,AI478,AM478,AQ478,AU478,
AY478,BC478,BG478,BK478,BO478
)
))</f>
        <v/>
      </c>
      <c r="M735" s="369"/>
      <c r="N735" s="369" t="str">
        <f>IF(ISBLANK(Inputs!$A86),"",
Mat.Conc_Alpha.1*Mat.Conc_f.c*Inputs!J86*MIN(L735*Mat.Conc_Beta.1,Inputs!I86))</f>
        <v/>
      </c>
      <c r="O735" s="369"/>
      <c r="P735" s="372" t="str">
        <f>IF(ISBLANK(Inputs!$A86),"",
Mat.Conc_Alpha.1*Mat.Conc_f.c*Inputs!E86*MAX(0,L735*Mat.Conc_Beta.1-Inputs!I86))</f>
        <v/>
      </c>
      <c r="Q735" s="369"/>
      <c r="R735" s="369" t="str">
        <f>IF(ISBLANK(Inputs!$A86),"",Inputs!G86*MIN(Mat.Rebar_f.y,(Mat.Rebar_epsilon.cl*(Inputs!H86-L735)/L735)*Mat.PT_E.s))</f>
        <v/>
      </c>
      <c r="S735" s="369"/>
      <c r="T735" s="369" t="str">
        <f>IF(ISBLANK(Inputs!$A86),"",Inputs!D86*(Mat.PT_f.pu*(1-Mat.PT_k*L735/Inputs!F86)))</f>
        <v/>
      </c>
      <c r="U735" s="369"/>
      <c r="V735" s="369" t="str">
        <f>IF(ISBLANK(Inputs!$A86),"",
(Mat.PT_f.pe/Mat.PT_E.ps)+(Mat.Rebar_epsilon.cl*((Geometry_d.p.Positive-L735)/L735)))</f>
        <v/>
      </c>
      <c r="W735" s="369"/>
      <c r="X735" s="369" t="str">
        <f>IF(ISBLANK(Inputs!$A86),"",
0.5*MIN(L735*Mat.Conc_Beta.1,Geometry_h.f.Positive))</f>
        <v/>
      </c>
      <c r="Y735" s="369"/>
      <c r="Z735" s="369" t="str">
        <f>IF(ISBLANK(Inputs!$A86),"",
IF(P735=0,0,Geometry_h.f.Positive+0.5*MAX(0,L735*Mat.Conc_Beta.1-Geometry_h.f.Positive)))</f>
        <v/>
      </c>
      <c r="AA735" s="369"/>
      <c r="AB735" s="369" t="str">
        <f>IF(ISBLANK(Inputs!$A86),"",
Inputs!H86)</f>
        <v/>
      </c>
      <c r="AC735" s="369"/>
      <c r="AD735" s="369" t="str">
        <f>IF(ISBLANK(Inputs!$A86),"",
Inputs!F86)</f>
        <v/>
      </c>
      <c r="AE735" s="369"/>
      <c r="AF735" s="369" t="str">
        <f>IF(ISBLANK(Inputs!$A86),"",
MAX(0.75,MIN(1,0.75+0.25*(V735-Mat.Rebar_epsilon.cl)/(Mat.Rebar_epsilon.tl-Mat.Rebar_epsilon.cl))))</f>
        <v/>
      </c>
      <c r="AG735" s="369"/>
      <c r="AH735" s="370" t="str">
        <f>IF(ISBLANK(Inputs!$A86),"",
((AD735*T735+AB735*R735-Z735*P735-X735*N735)/12)*AF735)</f>
        <v/>
      </c>
      <c r="AI735" s="370"/>
      <c r="AJ735" s="370"/>
      <c r="AK735" s="369" t="str">
        <f>IF(ISBLANK(Inputs!$A86),"",
MAX(IF(ISNUMBER(AE603),1),
IF(ISNUMBER(AI603),2),
IF(ISNUMBER(AM603),3),
IF(ISNUMBER(AQ603),4),
IF(ISNUMBER(AU603),5),
IF(ISNUMBER(AY603),6),
IF(ISNUMBER(BC603),7),
IF(ISNUMBER(BG603),8),
IF(ISNUMBER(BK603),9),
IF(ISNUMBER(BO603),10)))</f>
        <v/>
      </c>
      <c r="AL735" s="369"/>
      <c r="AM735" s="369" t="str">
        <f>IF(ISBLANK(Inputs!$A86),"",
_xlfn.LET(
_xlpm.n,AK735,
CHOOSE(_xlpm.n,
AE603,AI603,AM603,AQ603,AU603,
AY603,BC603,BG603,BK603,BO603
)
))</f>
        <v/>
      </c>
      <c r="AN735" s="369"/>
      <c r="AO735" s="369" t="str">
        <f>IF(ISBLANK(Inputs!$A86),"",
Mat.Conc_Alpha.1*Mat.Conc_f.c*Geometry_b.Negative*MIN(AM735*Mat.Conc_Beta.1,Geometry_h.f.Negative))</f>
        <v/>
      </c>
      <c r="AP735" s="369"/>
      <c r="AQ735" s="369" t="str">
        <f>IF(ISBLANK(Inputs!$A86),"",
Mat.Conc_Alpha.1*Mat.Conc_f.c*Geometry_b.w*MAX(0,AM735*Mat.Conc_Beta.1-Geometry_h.f.Negative))</f>
        <v/>
      </c>
      <c r="AR735" s="369"/>
      <c r="AS735" s="369" t="str">
        <f>IF(ISBLANK(Inputs!$A86),"",
Mat.Rebar_A.s.Positive*MIN(Mat.Rebar_f.y,(Mat.Rebar_epsilon.cl*(Geometry_d.s.Negative-AM735)/AM735)*Mat.PT_E.s))</f>
        <v/>
      </c>
      <c r="AT735" s="369"/>
      <c r="AU735" s="369" t="str">
        <f>IF(ISBLANK(Inputs!$A86),"",
Mat.PT_A.ps*(Mat.PT_f.pu*(1-Mat.PT_k*AM735/Geometry_d.p.Negative)))</f>
        <v/>
      </c>
      <c r="AV735" s="369"/>
      <c r="AW735" s="369" t="str">
        <f>IF(ISBLANK(Inputs!$A86),"",
(Mat.PT_f.pe/Mat.PT_E.ps)+(Mat.Rebar_epsilon.cl*((Geometry_d.p.Negative-AM735)/AM735)))</f>
        <v/>
      </c>
      <c r="AX735" s="369"/>
      <c r="AY735" s="369" t="str">
        <f>IF(ISBLANK(Inputs!$A86),"",
0.5*MIN(AM735*Mat.Conc_Beta.1,Geometry_h.f.Negative))</f>
        <v/>
      </c>
      <c r="AZ735" s="369"/>
      <c r="BA735" s="369" t="str">
        <f>IF(ISBLANK(Inputs!$A86),"",
IF(AQ735=0,0,Geometry_h.f.Negative+0.5*MAX(0,AM735*Mat.Conc_Beta.1-Geometry_h.f.Negative)))</f>
        <v/>
      </c>
      <c r="BB735" s="369"/>
      <c r="BC735" s="369" t="str">
        <f>IF(ISBLANK(Inputs!$A86),"",
Inputs!L86)</f>
        <v/>
      </c>
      <c r="BD735" s="369"/>
      <c r="BE735" s="369" t="str">
        <f>IF(ISBLANK(Inputs!$A86),"",Inputs!$B$10-Inputs!F86)</f>
        <v/>
      </c>
      <c r="BF735" s="369"/>
      <c r="BG735" s="369" t="str">
        <f>IF(ISBLANK(Inputs!$A86),"",
MAX(0.75,MIN(1,0.75+0.25*(AW735-Mat.Rebar_epsilon.cl)/(Mat.Rebar_epsilon.tl-Mat.Rebar_epsilon.cl))))</f>
        <v/>
      </c>
      <c r="BH735" s="369"/>
      <c r="BI735" s="370" t="str">
        <f>IF(ISBLANK(Inputs!$A86),"",
-((BE735*AU735+BC735*AS735-BA735*AQ735-AY735*AO735)/12)*BG735)</f>
        <v/>
      </c>
      <c r="BJ735" s="370"/>
      <c r="BK735" s="370"/>
      <c r="BL735" s="370" t="str">
        <f>IF(ISBLANK(Inputs!C86),"",Inputs!C86)</f>
        <v/>
      </c>
      <c r="BM735" s="370"/>
      <c r="BN735" s="370"/>
      <c r="BO735" s="374" t="str">
        <f>IF(ISBLANK(Inputs!$A86),"",
IFERROR(IF(BL735&gt;=0,ABS(BL735)/ABS(AH735),ABS(BL735)/ABS(BI735)),""))</f>
        <v/>
      </c>
      <c r="BP735" s="374"/>
      <c r="BQ735" s="374"/>
      <c r="BR735" s="59"/>
      <c r="BS735" s="70"/>
      <c r="BT735" s="70"/>
      <c r="BU735" s="70"/>
      <c r="BV735" s="70"/>
      <c r="BW735" s="8"/>
      <c r="BX735" s="8"/>
      <c r="BY735" s="8"/>
      <c r="BZ735" s="8"/>
      <c r="CA735" s="8"/>
      <c r="CB735" s="10"/>
    </row>
    <row r="736" spans="3:80" ht="15" customHeight="1" x14ac:dyDescent="0.25">
      <c r="C736" s="69"/>
      <c r="F736" s="369" t="str">
        <f>IF(ISBLANK(Inputs!A87),"",Inputs!A87)</f>
        <v/>
      </c>
      <c r="G736" s="369"/>
      <c r="H736" s="369" t="str">
        <f>IF(ISBLANK(Inputs!B87),"",Inputs!B87)</f>
        <v/>
      </c>
      <c r="I736" s="369"/>
      <c r="J736" s="369" t="str">
        <f>IF(ISBLANK(Inputs!$A87),"",
MAX(IF(ISNUMBER(AE479),1),
IF(ISNUMBER(AI479),2),
IF(ISNUMBER(AM479),3),
IF(ISNUMBER(AQ479),4),
IF(ISNUMBER(AU479),5),
IF(ISNUMBER(AY479),6),
IF(ISNUMBER(BC479),7),
IF(ISNUMBER(BG479),8),
IF(ISNUMBER(BK479),9),
IF(ISNUMBER(BO479),10)))</f>
        <v/>
      </c>
      <c r="K736" s="369"/>
      <c r="L736" s="369" t="str">
        <f>IF(ISBLANK(Inputs!$A87),"",
_xlfn.LET(
_xlpm.n,J736,
CHOOSE(_xlpm.n,
AE479,AI479,AM479,AQ479,AU479,
AY479,BC479,BG479,BK479,BO479
)
))</f>
        <v/>
      </c>
      <c r="M736" s="369"/>
      <c r="N736" s="369" t="str">
        <f>IF(ISBLANK(Inputs!$A87),"",
Mat.Conc_Alpha.1*Mat.Conc_f.c*Inputs!J87*MIN(L736*Mat.Conc_Beta.1,Inputs!I87))</f>
        <v/>
      </c>
      <c r="O736" s="369"/>
      <c r="P736" s="372" t="str">
        <f>IF(ISBLANK(Inputs!$A87),"",
Mat.Conc_Alpha.1*Mat.Conc_f.c*Inputs!E87*MAX(0,L736*Mat.Conc_Beta.1-Inputs!I87))</f>
        <v/>
      </c>
      <c r="Q736" s="369"/>
      <c r="R736" s="369" t="str">
        <f>IF(ISBLANK(Inputs!$A87),"",Inputs!G87*MIN(Mat.Rebar_f.y,(Mat.Rebar_epsilon.cl*(Inputs!H87-L736)/L736)*Mat.PT_E.s))</f>
        <v/>
      </c>
      <c r="S736" s="369"/>
      <c r="T736" s="369" t="str">
        <f>IF(ISBLANK(Inputs!$A87),"",Inputs!D87*(Mat.PT_f.pu*(1-Mat.PT_k*L736/Inputs!F87)))</f>
        <v/>
      </c>
      <c r="U736" s="369"/>
      <c r="V736" s="369" t="str">
        <f>IF(ISBLANK(Inputs!$A87),"",
(Mat.PT_f.pe/Mat.PT_E.ps)+(Mat.Rebar_epsilon.cl*((Geometry_d.p.Positive-L736)/L736)))</f>
        <v/>
      </c>
      <c r="W736" s="369"/>
      <c r="X736" s="369" t="str">
        <f>IF(ISBLANK(Inputs!$A87),"",
0.5*MIN(L736*Mat.Conc_Beta.1,Geometry_h.f.Positive))</f>
        <v/>
      </c>
      <c r="Y736" s="369"/>
      <c r="Z736" s="369" t="str">
        <f>IF(ISBLANK(Inputs!$A87),"",
IF(P736=0,0,Geometry_h.f.Positive+0.5*MAX(0,L736*Mat.Conc_Beta.1-Geometry_h.f.Positive)))</f>
        <v/>
      </c>
      <c r="AA736" s="369"/>
      <c r="AB736" s="369" t="str">
        <f>IF(ISBLANK(Inputs!$A87),"",
Inputs!H87)</f>
        <v/>
      </c>
      <c r="AC736" s="369"/>
      <c r="AD736" s="369" t="str">
        <f>IF(ISBLANK(Inputs!$A87),"",
Inputs!F87)</f>
        <v/>
      </c>
      <c r="AE736" s="369"/>
      <c r="AF736" s="369" t="str">
        <f>IF(ISBLANK(Inputs!$A87),"",
MAX(0.75,MIN(1,0.75+0.25*(V736-Mat.Rebar_epsilon.cl)/(Mat.Rebar_epsilon.tl-Mat.Rebar_epsilon.cl))))</f>
        <v/>
      </c>
      <c r="AG736" s="369"/>
      <c r="AH736" s="370" t="str">
        <f>IF(ISBLANK(Inputs!$A87),"",
((AD736*T736+AB736*R736-Z736*P736-X736*N736)/12)*AF736)</f>
        <v/>
      </c>
      <c r="AI736" s="370"/>
      <c r="AJ736" s="370"/>
      <c r="AK736" s="369" t="str">
        <f>IF(ISBLANK(Inputs!$A87),"",
MAX(IF(ISNUMBER(AE604),1),
IF(ISNUMBER(AI604),2),
IF(ISNUMBER(AM604),3),
IF(ISNUMBER(AQ604),4),
IF(ISNUMBER(AU604),5),
IF(ISNUMBER(AY604),6),
IF(ISNUMBER(BC604),7),
IF(ISNUMBER(BG604),8),
IF(ISNUMBER(BK604),9),
IF(ISNUMBER(BO604),10)))</f>
        <v/>
      </c>
      <c r="AL736" s="369"/>
      <c r="AM736" s="369" t="str">
        <f>IF(ISBLANK(Inputs!$A87),"",
_xlfn.LET(
_xlpm.n,AK736,
CHOOSE(_xlpm.n,
AE604,AI604,AM604,AQ604,AU604,
AY604,BC604,BG604,BK604,BO604
)
))</f>
        <v/>
      </c>
      <c r="AN736" s="369"/>
      <c r="AO736" s="369" t="str">
        <f>IF(ISBLANK(Inputs!$A87),"",
Mat.Conc_Alpha.1*Mat.Conc_f.c*Geometry_b.Negative*MIN(AM736*Mat.Conc_Beta.1,Geometry_h.f.Negative))</f>
        <v/>
      </c>
      <c r="AP736" s="369"/>
      <c r="AQ736" s="369" t="str">
        <f>IF(ISBLANK(Inputs!$A87),"",
Mat.Conc_Alpha.1*Mat.Conc_f.c*Geometry_b.w*MAX(0,AM736*Mat.Conc_Beta.1-Geometry_h.f.Negative))</f>
        <v/>
      </c>
      <c r="AR736" s="369"/>
      <c r="AS736" s="369" t="str">
        <f>IF(ISBLANK(Inputs!$A87),"",
Mat.Rebar_A.s.Positive*MIN(Mat.Rebar_f.y,(Mat.Rebar_epsilon.cl*(Geometry_d.s.Negative-AM736)/AM736)*Mat.PT_E.s))</f>
        <v/>
      </c>
      <c r="AT736" s="369"/>
      <c r="AU736" s="369" t="str">
        <f>IF(ISBLANK(Inputs!$A87),"",
Mat.PT_A.ps*(Mat.PT_f.pu*(1-Mat.PT_k*AM736/Geometry_d.p.Negative)))</f>
        <v/>
      </c>
      <c r="AV736" s="369"/>
      <c r="AW736" s="369" t="str">
        <f>IF(ISBLANK(Inputs!$A87),"",
(Mat.PT_f.pe/Mat.PT_E.ps)+(Mat.Rebar_epsilon.cl*((Geometry_d.p.Negative-AM736)/AM736)))</f>
        <v/>
      </c>
      <c r="AX736" s="369"/>
      <c r="AY736" s="369" t="str">
        <f>IF(ISBLANK(Inputs!$A87),"",
0.5*MIN(AM736*Mat.Conc_Beta.1,Geometry_h.f.Negative))</f>
        <v/>
      </c>
      <c r="AZ736" s="369"/>
      <c r="BA736" s="369" t="str">
        <f>IF(ISBLANK(Inputs!$A87),"",
IF(AQ736=0,0,Geometry_h.f.Negative+0.5*MAX(0,AM736*Mat.Conc_Beta.1-Geometry_h.f.Negative)))</f>
        <v/>
      </c>
      <c r="BB736" s="369"/>
      <c r="BC736" s="369" t="str">
        <f>IF(ISBLANK(Inputs!$A87),"",
Inputs!L87)</f>
        <v/>
      </c>
      <c r="BD736" s="369"/>
      <c r="BE736" s="369" t="str">
        <f>IF(ISBLANK(Inputs!$A87),"",Inputs!$B$10-Inputs!F87)</f>
        <v/>
      </c>
      <c r="BF736" s="369"/>
      <c r="BG736" s="369" t="str">
        <f>IF(ISBLANK(Inputs!$A87),"",
MAX(0.75,MIN(1,0.75+0.25*(AW736-Mat.Rebar_epsilon.cl)/(Mat.Rebar_epsilon.tl-Mat.Rebar_epsilon.cl))))</f>
        <v/>
      </c>
      <c r="BH736" s="369"/>
      <c r="BI736" s="370" t="str">
        <f>IF(ISBLANK(Inputs!$A87),"",
-((BE736*AU736+BC736*AS736-BA736*AQ736-AY736*AO736)/12)*BG736)</f>
        <v/>
      </c>
      <c r="BJ736" s="370"/>
      <c r="BK736" s="370"/>
      <c r="BL736" s="370" t="str">
        <f>IF(ISBLANK(Inputs!C87),"",Inputs!C87)</f>
        <v/>
      </c>
      <c r="BM736" s="370"/>
      <c r="BN736" s="370"/>
      <c r="BO736" s="374" t="str">
        <f>IF(ISBLANK(Inputs!$A87),"",
IFERROR(IF(BL736&gt;=0,ABS(BL736)/ABS(AH736),ABS(BL736)/ABS(BI736)),""))</f>
        <v/>
      </c>
      <c r="BP736" s="374"/>
      <c r="BQ736" s="374"/>
      <c r="BR736" s="59"/>
      <c r="BS736" s="70"/>
      <c r="BT736" s="70"/>
      <c r="BU736" s="70"/>
      <c r="BV736" s="70"/>
      <c r="BW736" s="8"/>
      <c r="BX736" s="8"/>
      <c r="BY736" s="8"/>
      <c r="BZ736" s="8"/>
      <c r="CA736" s="8"/>
      <c r="CB736" s="10"/>
    </row>
    <row r="737" spans="3:80" ht="15" customHeight="1" x14ac:dyDescent="0.25">
      <c r="C737" s="69"/>
      <c r="F737" s="369" t="str">
        <f>IF(ISBLANK(Inputs!A88),"",Inputs!A88)</f>
        <v/>
      </c>
      <c r="G737" s="369"/>
      <c r="H737" s="369" t="str">
        <f>IF(ISBLANK(Inputs!B88),"",Inputs!B88)</f>
        <v/>
      </c>
      <c r="I737" s="369"/>
      <c r="J737" s="369" t="str">
        <f>IF(ISBLANK(Inputs!$A88),"",
MAX(IF(ISNUMBER(AE480),1),
IF(ISNUMBER(AI480),2),
IF(ISNUMBER(AM480),3),
IF(ISNUMBER(AQ480),4),
IF(ISNUMBER(AU480),5),
IF(ISNUMBER(AY480),6),
IF(ISNUMBER(BC480),7),
IF(ISNUMBER(BG480),8),
IF(ISNUMBER(BK480),9),
IF(ISNUMBER(BO480),10)))</f>
        <v/>
      </c>
      <c r="K737" s="369"/>
      <c r="L737" s="369" t="str">
        <f>IF(ISBLANK(Inputs!$A88),"",
_xlfn.LET(
_xlpm.n,J737,
CHOOSE(_xlpm.n,
AE480,AI480,AM480,AQ480,AU480,
AY480,BC480,BG480,BK480,BO480
)
))</f>
        <v/>
      </c>
      <c r="M737" s="369"/>
      <c r="N737" s="369" t="str">
        <f>IF(ISBLANK(Inputs!$A88),"",
Mat.Conc_Alpha.1*Mat.Conc_f.c*Inputs!J88*MIN(L737*Mat.Conc_Beta.1,Inputs!I88))</f>
        <v/>
      </c>
      <c r="O737" s="369"/>
      <c r="P737" s="372" t="str">
        <f>IF(ISBLANK(Inputs!$A88),"",
Mat.Conc_Alpha.1*Mat.Conc_f.c*Inputs!E88*MAX(0,L737*Mat.Conc_Beta.1-Inputs!I88))</f>
        <v/>
      </c>
      <c r="Q737" s="369"/>
      <c r="R737" s="369" t="str">
        <f>IF(ISBLANK(Inputs!$A88),"",Inputs!G88*MIN(Mat.Rebar_f.y,(Mat.Rebar_epsilon.cl*(Inputs!H88-L737)/L737)*Mat.PT_E.s))</f>
        <v/>
      </c>
      <c r="S737" s="369"/>
      <c r="T737" s="369" t="str">
        <f>IF(ISBLANK(Inputs!$A88),"",Inputs!D88*(Mat.PT_f.pu*(1-Mat.PT_k*L737/Inputs!F88)))</f>
        <v/>
      </c>
      <c r="U737" s="369"/>
      <c r="V737" s="369" t="str">
        <f>IF(ISBLANK(Inputs!$A88),"",
(Mat.PT_f.pe/Mat.PT_E.ps)+(Mat.Rebar_epsilon.cl*((Geometry_d.p.Positive-L737)/L737)))</f>
        <v/>
      </c>
      <c r="W737" s="369"/>
      <c r="X737" s="369" t="str">
        <f>IF(ISBLANK(Inputs!$A88),"",
0.5*MIN(L737*Mat.Conc_Beta.1,Geometry_h.f.Positive))</f>
        <v/>
      </c>
      <c r="Y737" s="369"/>
      <c r="Z737" s="369" t="str">
        <f>IF(ISBLANK(Inputs!$A88),"",
IF(P737=0,0,Geometry_h.f.Positive+0.5*MAX(0,L737*Mat.Conc_Beta.1-Geometry_h.f.Positive)))</f>
        <v/>
      </c>
      <c r="AA737" s="369"/>
      <c r="AB737" s="369" t="str">
        <f>IF(ISBLANK(Inputs!$A88),"",
Inputs!H88)</f>
        <v/>
      </c>
      <c r="AC737" s="369"/>
      <c r="AD737" s="369" t="str">
        <f>IF(ISBLANK(Inputs!$A88),"",
Inputs!F88)</f>
        <v/>
      </c>
      <c r="AE737" s="369"/>
      <c r="AF737" s="369" t="str">
        <f>IF(ISBLANK(Inputs!$A88),"",
MAX(0.75,MIN(1,0.75+0.25*(V737-Mat.Rebar_epsilon.cl)/(Mat.Rebar_epsilon.tl-Mat.Rebar_epsilon.cl))))</f>
        <v/>
      </c>
      <c r="AG737" s="369"/>
      <c r="AH737" s="370" t="str">
        <f>IF(ISBLANK(Inputs!$A88),"",
((AD737*T737+AB737*R737-Z737*P737-X737*N737)/12)*AF737)</f>
        <v/>
      </c>
      <c r="AI737" s="370"/>
      <c r="AJ737" s="370"/>
      <c r="AK737" s="369" t="str">
        <f>IF(ISBLANK(Inputs!$A88),"",
MAX(IF(ISNUMBER(AE605),1),
IF(ISNUMBER(AI605),2),
IF(ISNUMBER(AM605),3),
IF(ISNUMBER(AQ605),4),
IF(ISNUMBER(AU605),5),
IF(ISNUMBER(AY605),6),
IF(ISNUMBER(BC605),7),
IF(ISNUMBER(BG605),8),
IF(ISNUMBER(BK605),9),
IF(ISNUMBER(BO605),10)))</f>
        <v/>
      </c>
      <c r="AL737" s="369"/>
      <c r="AM737" s="369" t="str">
        <f>IF(ISBLANK(Inputs!$A88),"",
_xlfn.LET(
_xlpm.n,AK737,
CHOOSE(_xlpm.n,
AE605,AI605,AM605,AQ605,AU605,
AY605,BC605,BG605,BK605,BO605
)
))</f>
        <v/>
      </c>
      <c r="AN737" s="369"/>
      <c r="AO737" s="369" t="str">
        <f>IF(ISBLANK(Inputs!$A88),"",
Mat.Conc_Alpha.1*Mat.Conc_f.c*Geometry_b.Negative*MIN(AM737*Mat.Conc_Beta.1,Geometry_h.f.Negative))</f>
        <v/>
      </c>
      <c r="AP737" s="369"/>
      <c r="AQ737" s="369" t="str">
        <f>IF(ISBLANK(Inputs!$A88),"",
Mat.Conc_Alpha.1*Mat.Conc_f.c*Geometry_b.w*MAX(0,AM737*Mat.Conc_Beta.1-Geometry_h.f.Negative))</f>
        <v/>
      </c>
      <c r="AR737" s="369"/>
      <c r="AS737" s="369" t="str">
        <f>IF(ISBLANK(Inputs!$A88),"",
Mat.Rebar_A.s.Positive*MIN(Mat.Rebar_f.y,(Mat.Rebar_epsilon.cl*(Geometry_d.s.Negative-AM737)/AM737)*Mat.PT_E.s))</f>
        <v/>
      </c>
      <c r="AT737" s="369"/>
      <c r="AU737" s="369" t="str">
        <f>IF(ISBLANK(Inputs!$A88),"",
Mat.PT_A.ps*(Mat.PT_f.pu*(1-Mat.PT_k*AM737/Geometry_d.p.Negative)))</f>
        <v/>
      </c>
      <c r="AV737" s="369"/>
      <c r="AW737" s="369" t="str">
        <f>IF(ISBLANK(Inputs!$A88),"",
(Mat.PT_f.pe/Mat.PT_E.ps)+(Mat.Rebar_epsilon.cl*((Geometry_d.p.Negative-AM737)/AM737)))</f>
        <v/>
      </c>
      <c r="AX737" s="369"/>
      <c r="AY737" s="369" t="str">
        <f>IF(ISBLANK(Inputs!$A88),"",
0.5*MIN(AM737*Mat.Conc_Beta.1,Geometry_h.f.Negative))</f>
        <v/>
      </c>
      <c r="AZ737" s="369"/>
      <c r="BA737" s="369" t="str">
        <f>IF(ISBLANK(Inputs!$A88),"",
IF(AQ737=0,0,Geometry_h.f.Negative+0.5*MAX(0,AM737*Mat.Conc_Beta.1-Geometry_h.f.Negative)))</f>
        <v/>
      </c>
      <c r="BB737" s="369"/>
      <c r="BC737" s="369" t="str">
        <f>IF(ISBLANK(Inputs!$A88),"",
Inputs!L88)</f>
        <v/>
      </c>
      <c r="BD737" s="369"/>
      <c r="BE737" s="369" t="str">
        <f>IF(ISBLANK(Inputs!$A88),"",Inputs!$B$10-Inputs!F88)</f>
        <v/>
      </c>
      <c r="BF737" s="369"/>
      <c r="BG737" s="369" t="str">
        <f>IF(ISBLANK(Inputs!$A88),"",
MAX(0.75,MIN(1,0.75+0.25*(AW737-Mat.Rebar_epsilon.cl)/(Mat.Rebar_epsilon.tl-Mat.Rebar_epsilon.cl))))</f>
        <v/>
      </c>
      <c r="BH737" s="369"/>
      <c r="BI737" s="370" t="str">
        <f>IF(ISBLANK(Inputs!$A88),"",
-((BE737*AU737+BC737*AS737-BA737*AQ737-AY737*AO737)/12)*BG737)</f>
        <v/>
      </c>
      <c r="BJ737" s="370"/>
      <c r="BK737" s="370"/>
      <c r="BL737" s="370" t="str">
        <f>IF(ISBLANK(Inputs!C88),"",Inputs!C88)</f>
        <v/>
      </c>
      <c r="BM737" s="370"/>
      <c r="BN737" s="370"/>
      <c r="BO737" s="374" t="str">
        <f>IF(ISBLANK(Inputs!$A88),"",
IFERROR(IF(BL737&gt;=0,ABS(BL737)/ABS(AH737),ABS(BL737)/ABS(BI737)),""))</f>
        <v/>
      </c>
      <c r="BP737" s="374"/>
      <c r="BQ737" s="374"/>
      <c r="BR737" s="59"/>
      <c r="BS737" s="70"/>
      <c r="BT737" s="70"/>
      <c r="BU737" s="70"/>
      <c r="BV737" s="70"/>
      <c r="BW737" s="8"/>
      <c r="BX737" s="8"/>
      <c r="BY737" s="8"/>
      <c r="BZ737" s="8"/>
      <c r="CA737" s="8"/>
      <c r="CB737" s="10"/>
    </row>
    <row r="738" spans="3:80" ht="15" customHeight="1" x14ac:dyDescent="0.25">
      <c r="C738" s="69"/>
      <c r="F738" s="369" t="str">
        <f>IF(ISBLANK(Inputs!A89),"",Inputs!A89)</f>
        <v/>
      </c>
      <c r="G738" s="369"/>
      <c r="H738" s="369" t="str">
        <f>IF(ISBLANK(Inputs!B89),"",Inputs!B89)</f>
        <v/>
      </c>
      <c r="I738" s="369"/>
      <c r="J738" s="369" t="str">
        <f>IF(ISBLANK(Inputs!$A89),"",
MAX(IF(ISNUMBER(AE481),1),
IF(ISNUMBER(AI481),2),
IF(ISNUMBER(AM481),3),
IF(ISNUMBER(AQ481),4),
IF(ISNUMBER(AU481),5),
IF(ISNUMBER(AY481),6),
IF(ISNUMBER(BC481),7),
IF(ISNUMBER(BG481),8),
IF(ISNUMBER(BK481),9),
IF(ISNUMBER(BO481),10)))</f>
        <v/>
      </c>
      <c r="K738" s="369"/>
      <c r="L738" s="369" t="str">
        <f>IF(ISBLANK(Inputs!$A89),"",
_xlfn.LET(
_xlpm.n,J738,
CHOOSE(_xlpm.n,
AE481,AI481,AM481,AQ481,AU481,
AY481,BC481,BG481,BK481,BO481
)
))</f>
        <v/>
      </c>
      <c r="M738" s="369"/>
      <c r="N738" s="369" t="str">
        <f>IF(ISBLANK(Inputs!$A89),"",
Mat.Conc_Alpha.1*Mat.Conc_f.c*Inputs!J89*MIN(L738*Mat.Conc_Beta.1,Inputs!I89))</f>
        <v/>
      </c>
      <c r="O738" s="369"/>
      <c r="P738" s="372" t="str">
        <f>IF(ISBLANK(Inputs!$A89),"",
Mat.Conc_Alpha.1*Mat.Conc_f.c*Inputs!E89*MAX(0,L738*Mat.Conc_Beta.1-Inputs!I89))</f>
        <v/>
      </c>
      <c r="Q738" s="369"/>
      <c r="R738" s="369" t="str">
        <f>IF(ISBLANK(Inputs!$A89),"",Inputs!G89*MIN(Mat.Rebar_f.y,(Mat.Rebar_epsilon.cl*(Inputs!H89-L738)/L738)*Mat.PT_E.s))</f>
        <v/>
      </c>
      <c r="S738" s="369"/>
      <c r="T738" s="369" t="str">
        <f>IF(ISBLANK(Inputs!$A89),"",Inputs!D89*(Mat.PT_f.pu*(1-Mat.PT_k*L738/Inputs!F89)))</f>
        <v/>
      </c>
      <c r="U738" s="369"/>
      <c r="V738" s="369" t="str">
        <f>IF(ISBLANK(Inputs!$A89),"",
(Mat.PT_f.pe/Mat.PT_E.ps)+(Mat.Rebar_epsilon.cl*((Geometry_d.p.Positive-L738)/L738)))</f>
        <v/>
      </c>
      <c r="W738" s="369"/>
      <c r="X738" s="369" t="str">
        <f>IF(ISBLANK(Inputs!$A89),"",
0.5*MIN(L738*Mat.Conc_Beta.1,Geometry_h.f.Positive))</f>
        <v/>
      </c>
      <c r="Y738" s="369"/>
      <c r="Z738" s="369" t="str">
        <f>IF(ISBLANK(Inputs!$A89),"",
IF(P738=0,0,Geometry_h.f.Positive+0.5*MAX(0,L738*Mat.Conc_Beta.1-Geometry_h.f.Positive)))</f>
        <v/>
      </c>
      <c r="AA738" s="369"/>
      <c r="AB738" s="369" t="str">
        <f>IF(ISBLANK(Inputs!$A89),"",
Inputs!H89)</f>
        <v/>
      </c>
      <c r="AC738" s="369"/>
      <c r="AD738" s="369" t="str">
        <f>IF(ISBLANK(Inputs!$A89),"",
Inputs!F89)</f>
        <v/>
      </c>
      <c r="AE738" s="369"/>
      <c r="AF738" s="369" t="str">
        <f>IF(ISBLANK(Inputs!$A89),"",
MAX(0.75,MIN(1,0.75+0.25*(V738-Mat.Rebar_epsilon.cl)/(Mat.Rebar_epsilon.tl-Mat.Rebar_epsilon.cl))))</f>
        <v/>
      </c>
      <c r="AG738" s="369"/>
      <c r="AH738" s="370" t="str">
        <f>IF(ISBLANK(Inputs!$A89),"",
((AD738*T738+AB738*R738-Z738*P738-X738*N738)/12)*AF738)</f>
        <v/>
      </c>
      <c r="AI738" s="370"/>
      <c r="AJ738" s="370"/>
      <c r="AK738" s="369" t="str">
        <f>IF(ISBLANK(Inputs!$A89),"",
MAX(IF(ISNUMBER(AE606),1),
IF(ISNUMBER(AI606),2),
IF(ISNUMBER(AM606),3),
IF(ISNUMBER(AQ606),4),
IF(ISNUMBER(AU606),5),
IF(ISNUMBER(AY606),6),
IF(ISNUMBER(BC606),7),
IF(ISNUMBER(BG606),8),
IF(ISNUMBER(BK606),9),
IF(ISNUMBER(BO606),10)))</f>
        <v/>
      </c>
      <c r="AL738" s="369"/>
      <c r="AM738" s="369" t="str">
        <f>IF(ISBLANK(Inputs!$A89),"",
_xlfn.LET(
_xlpm.n,AK738,
CHOOSE(_xlpm.n,
AE606,AI606,AM606,AQ606,AU606,
AY606,BC606,BG606,BK606,BO606
)
))</f>
        <v/>
      </c>
      <c r="AN738" s="369"/>
      <c r="AO738" s="369" t="str">
        <f>IF(ISBLANK(Inputs!$A89),"",
Mat.Conc_Alpha.1*Mat.Conc_f.c*Geometry_b.Negative*MIN(AM738*Mat.Conc_Beta.1,Geometry_h.f.Negative))</f>
        <v/>
      </c>
      <c r="AP738" s="369"/>
      <c r="AQ738" s="369" t="str">
        <f>IF(ISBLANK(Inputs!$A89),"",
Mat.Conc_Alpha.1*Mat.Conc_f.c*Geometry_b.w*MAX(0,AM738*Mat.Conc_Beta.1-Geometry_h.f.Negative))</f>
        <v/>
      </c>
      <c r="AR738" s="369"/>
      <c r="AS738" s="369" t="str">
        <f>IF(ISBLANK(Inputs!$A89),"",
Mat.Rebar_A.s.Positive*MIN(Mat.Rebar_f.y,(Mat.Rebar_epsilon.cl*(Geometry_d.s.Negative-AM738)/AM738)*Mat.PT_E.s))</f>
        <v/>
      </c>
      <c r="AT738" s="369"/>
      <c r="AU738" s="369" t="str">
        <f>IF(ISBLANK(Inputs!$A89),"",
Mat.PT_A.ps*(Mat.PT_f.pu*(1-Mat.PT_k*AM738/Geometry_d.p.Negative)))</f>
        <v/>
      </c>
      <c r="AV738" s="369"/>
      <c r="AW738" s="369" t="str">
        <f>IF(ISBLANK(Inputs!$A89),"",
(Mat.PT_f.pe/Mat.PT_E.ps)+(Mat.Rebar_epsilon.cl*((Geometry_d.p.Negative-AM738)/AM738)))</f>
        <v/>
      </c>
      <c r="AX738" s="369"/>
      <c r="AY738" s="369" t="str">
        <f>IF(ISBLANK(Inputs!$A89),"",
0.5*MIN(AM738*Mat.Conc_Beta.1,Geometry_h.f.Negative))</f>
        <v/>
      </c>
      <c r="AZ738" s="369"/>
      <c r="BA738" s="369" t="str">
        <f>IF(ISBLANK(Inputs!$A89),"",
IF(AQ738=0,0,Geometry_h.f.Negative+0.5*MAX(0,AM738*Mat.Conc_Beta.1-Geometry_h.f.Negative)))</f>
        <v/>
      </c>
      <c r="BB738" s="369"/>
      <c r="BC738" s="369" t="str">
        <f>IF(ISBLANK(Inputs!$A89),"",
Inputs!L89)</f>
        <v/>
      </c>
      <c r="BD738" s="369"/>
      <c r="BE738" s="369" t="str">
        <f>IF(ISBLANK(Inputs!$A89),"",Inputs!$B$10-Inputs!F89)</f>
        <v/>
      </c>
      <c r="BF738" s="369"/>
      <c r="BG738" s="369" t="str">
        <f>IF(ISBLANK(Inputs!$A89),"",
MAX(0.75,MIN(1,0.75+0.25*(AW738-Mat.Rebar_epsilon.cl)/(Mat.Rebar_epsilon.tl-Mat.Rebar_epsilon.cl))))</f>
        <v/>
      </c>
      <c r="BH738" s="369"/>
      <c r="BI738" s="370" t="str">
        <f>IF(ISBLANK(Inputs!$A89),"",
-((BE738*AU738+BC738*AS738-BA738*AQ738-AY738*AO738)/12)*BG738)</f>
        <v/>
      </c>
      <c r="BJ738" s="370"/>
      <c r="BK738" s="370"/>
      <c r="BL738" s="370" t="str">
        <f>IF(ISBLANK(Inputs!C89),"",Inputs!C89)</f>
        <v/>
      </c>
      <c r="BM738" s="370"/>
      <c r="BN738" s="370"/>
      <c r="BO738" s="374" t="str">
        <f>IF(ISBLANK(Inputs!$A89),"",
IFERROR(IF(BL738&gt;=0,ABS(BL738)/ABS(AH738),ABS(BL738)/ABS(BI738)),""))</f>
        <v/>
      </c>
      <c r="BP738" s="374"/>
      <c r="BQ738" s="374"/>
      <c r="BR738" s="59"/>
      <c r="BS738" s="70"/>
      <c r="BT738" s="70"/>
      <c r="BU738" s="70"/>
      <c r="BV738" s="70"/>
      <c r="BW738" s="8"/>
      <c r="BX738" s="8"/>
      <c r="BY738" s="8"/>
      <c r="BZ738" s="8"/>
      <c r="CA738" s="8"/>
      <c r="CB738" s="10"/>
    </row>
    <row r="739" spans="3:80" ht="15" customHeight="1" x14ac:dyDescent="0.25">
      <c r="C739" s="69"/>
      <c r="F739" s="369" t="str">
        <f>IF(ISBLANK(Inputs!A90),"",Inputs!A90)</f>
        <v/>
      </c>
      <c r="G739" s="369"/>
      <c r="H739" s="369" t="str">
        <f>IF(ISBLANK(Inputs!B90),"",Inputs!B90)</f>
        <v/>
      </c>
      <c r="I739" s="369"/>
      <c r="J739" s="369" t="str">
        <f>IF(ISBLANK(Inputs!$A90),"",
MAX(IF(ISNUMBER(AE482),1),
IF(ISNUMBER(AI482),2),
IF(ISNUMBER(AM482),3),
IF(ISNUMBER(AQ482),4),
IF(ISNUMBER(AU482),5),
IF(ISNUMBER(AY482),6),
IF(ISNUMBER(BC482),7),
IF(ISNUMBER(BG482),8),
IF(ISNUMBER(BK482),9),
IF(ISNUMBER(BO482),10)))</f>
        <v/>
      </c>
      <c r="K739" s="369"/>
      <c r="L739" s="369" t="str">
        <f>IF(ISBLANK(Inputs!$A90),"",
_xlfn.LET(
_xlpm.n,J739,
CHOOSE(_xlpm.n,
AE482,AI482,AM482,AQ482,AU482,
AY482,BC482,BG482,BK482,BO482
)
))</f>
        <v/>
      </c>
      <c r="M739" s="369"/>
      <c r="N739" s="369" t="str">
        <f>IF(ISBLANK(Inputs!$A90),"",
Mat.Conc_Alpha.1*Mat.Conc_f.c*Inputs!J90*MIN(L739*Mat.Conc_Beta.1,Inputs!I90))</f>
        <v/>
      </c>
      <c r="O739" s="369"/>
      <c r="P739" s="372" t="str">
        <f>IF(ISBLANK(Inputs!$A90),"",
Mat.Conc_Alpha.1*Mat.Conc_f.c*Inputs!E90*MAX(0,L739*Mat.Conc_Beta.1-Inputs!I90))</f>
        <v/>
      </c>
      <c r="Q739" s="369"/>
      <c r="R739" s="369" t="str">
        <f>IF(ISBLANK(Inputs!$A90),"",Inputs!G90*MIN(Mat.Rebar_f.y,(Mat.Rebar_epsilon.cl*(Inputs!H90-L739)/L739)*Mat.PT_E.s))</f>
        <v/>
      </c>
      <c r="S739" s="369"/>
      <c r="T739" s="369" t="str">
        <f>IF(ISBLANK(Inputs!$A90),"",Inputs!D90*(Mat.PT_f.pu*(1-Mat.PT_k*L739/Inputs!F90)))</f>
        <v/>
      </c>
      <c r="U739" s="369"/>
      <c r="V739" s="369" t="str">
        <f>IF(ISBLANK(Inputs!$A90),"",
(Mat.PT_f.pe/Mat.PT_E.ps)+(Mat.Rebar_epsilon.cl*((Geometry_d.p.Positive-L739)/L739)))</f>
        <v/>
      </c>
      <c r="W739" s="369"/>
      <c r="X739" s="369" t="str">
        <f>IF(ISBLANK(Inputs!$A90),"",
0.5*MIN(L739*Mat.Conc_Beta.1,Geometry_h.f.Positive))</f>
        <v/>
      </c>
      <c r="Y739" s="369"/>
      <c r="Z739" s="369" t="str">
        <f>IF(ISBLANK(Inputs!$A90),"",
IF(P739=0,0,Geometry_h.f.Positive+0.5*MAX(0,L739*Mat.Conc_Beta.1-Geometry_h.f.Positive)))</f>
        <v/>
      </c>
      <c r="AA739" s="369"/>
      <c r="AB739" s="369" t="str">
        <f>IF(ISBLANK(Inputs!$A90),"",
Inputs!H90)</f>
        <v/>
      </c>
      <c r="AC739" s="369"/>
      <c r="AD739" s="369" t="str">
        <f>IF(ISBLANK(Inputs!$A90),"",
Inputs!F90)</f>
        <v/>
      </c>
      <c r="AE739" s="369"/>
      <c r="AF739" s="369" t="str">
        <f>IF(ISBLANK(Inputs!$A90),"",
MAX(0.75,MIN(1,0.75+0.25*(V739-Mat.Rebar_epsilon.cl)/(Mat.Rebar_epsilon.tl-Mat.Rebar_epsilon.cl))))</f>
        <v/>
      </c>
      <c r="AG739" s="369"/>
      <c r="AH739" s="370" t="str">
        <f>IF(ISBLANK(Inputs!$A90),"",
((AD739*T739+AB739*R739-Z739*P739-X739*N739)/12)*AF739)</f>
        <v/>
      </c>
      <c r="AI739" s="370"/>
      <c r="AJ739" s="370"/>
      <c r="AK739" s="369" t="str">
        <f>IF(ISBLANK(Inputs!$A90),"",
MAX(IF(ISNUMBER(AE607),1),
IF(ISNUMBER(AI607),2),
IF(ISNUMBER(AM607),3),
IF(ISNUMBER(AQ607),4),
IF(ISNUMBER(AU607),5),
IF(ISNUMBER(AY607),6),
IF(ISNUMBER(BC607),7),
IF(ISNUMBER(BG607),8),
IF(ISNUMBER(BK607),9),
IF(ISNUMBER(BO607),10)))</f>
        <v/>
      </c>
      <c r="AL739" s="369"/>
      <c r="AM739" s="369" t="str">
        <f>IF(ISBLANK(Inputs!$A90),"",
_xlfn.LET(
_xlpm.n,AK739,
CHOOSE(_xlpm.n,
AE607,AI607,AM607,AQ607,AU607,
AY607,BC607,BG607,BK607,BO607
)
))</f>
        <v/>
      </c>
      <c r="AN739" s="369"/>
      <c r="AO739" s="369" t="str">
        <f>IF(ISBLANK(Inputs!$A90),"",
Mat.Conc_Alpha.1*Mat.Conc_f.c*Geometry_b.Negative*MIN(AM739*Mat.Conc_Beta.1,Geometry_h.f.Negative))</f>
        <v/>
      </c>
      <c r="AP739" s="369"/>
      <c r="AQ739" s="369" t="str">
        <f>IF(ISBLANK(Inputs!$A90),"",
Mat.Conc_Alpha.1*Mat.Conc_f.c*Geometry_b.w*MAX(0,AM739*Mat.Conc_Beta.1-Geometry_h.f.Negative))</f>
        <v/>
      </c>
      <c r="AR739" s="369"/>
      <c r="AS739" s="369" t="str">
        <f>IF(ISBLANK(Inputs!$A90),"",
Mat.Rebar_A.s.Positive*MIN(Mat.Rebar_f.y,(Mat.Rebar_epsilon.cl*(Geometry_d.s.Negative-AM739)/AM739)*Mat.PT_E.s))</f>
        <v/>
      </c>
      <c r="AT739" s="369"/>
      <c r="AU739" s="369" t="str">
        <f>IF(ISBLANK(Inputs!$A90),"",
Mat.PT_A.ps*(Mat.PT_f.pu*(1-Mat.PT_k*AM739/Geometry_d.p.Negative)))</f>
        <v/>
      </c>
      <c r="AV739" s="369"/>
      <c r="AW739" s="369" t="str">
        <f>IF(ISBLANK(Inputs!$A90),"",
(Mat.PT_f.pe/Mat.PT_E.ps)+(Mat.Rebar_epsilon.cl*((Geometry_d.p.Negative-AM739)/AM739)))</f>
        <v/>
      </c>
      <c r="AX739" s="369"/>
      <c r="AY739" s="369" t="str">
        <f>IF(ISBLANK(Inputs!$A90),"",
0.5*MIN(AM739*Mat.Conc_Beta.1,Geometry_h.f.Negative))</f>
        <v/>
      </c>
      <c r="AZ739" s="369"/>
      <c r="BA739" s="369" t="str">
        <f>IF(ISBLANK(Inputs!$A90),"",
IF(AQ739=0,0,Geometry_h.f.Negative+0.5*MAX(0,AM739*Mat.Conc_Beta.1-Geometry_h.f.Negative)))</f>
        <v/>
      </c>
      <c r="BB739" s="369"/>
      <c r="BC739" s="369" t="str">
        <f>IF(ISBLANK(Inputs!$A90),"",
Inputs!L90)</f>
        <v/>
      </c>
      <c r="BD739" s="369"/>
      <c r="BE739" s="369" t="str">
        <f>IF(ISBLANK(Inputs!$A90),"",Inputs!$B$10-Inputs!F90)</f>
        <v/>
      </c>
      <c r="BF739" s="369"/>
      <c r="BG739" s="369" t="str">
        <f>IF(ISBLANK(Inputs!$A90),"",
MAX(0.75,MIN(1,0.75+0.25*(AW739-Mat.Rebar_epsilon.cl)/(Mat.Rebar_epsilon.tl-Mat.Rebar_epsilon.cl))))</f>
        <v/>
      </c>
      <c r="BH739" s="369"/>
      <c r="BI739" s="370" t="str">
        <f>IF(ISBLANK(Inputs!$A90),"",
-((BE739*AU739+BC739*AS739-BA739*AQ739-AY739*AO739)/12)*BG739)</f>
        <v/>
      </c>
      <c r="BJ739" s="370"/>
      <c r="BK739" s="370"/>
      <c r="BL739" s="370" t="str">
        <f>IF(ISBLANK(Inputs!C90),"",Inputs!C90)</f>
        <v/>
      </c>
      <c r="BM739" s="370"/>
      <c r="BN739" s="370"/>
      <c r="BO739" s="374" t="str">
        <f>IF(ISBLANK(Inputs!$A90),"",
IFERROR(IF(BL739&gt;=0,ABS(BL739)/ABS(AH739),ABS(BL739)/ABS(BI739)),""))</f>
        <v/>
      </c>
      <c r="BP739" s="374"/>
      <c r="BQ739" s="374"/>
      <c r="BR739" s="59"/>
      <c r="BS739" s="70"/>
      <c r="BT739" s="70"/>
      <c r="BU739" s="70"/>
      <c r="BV739" s="70"/>
      <c r="BW739" s="8"/>
      <c r="BX739" s="8"/>
      <c r="BY739" s="8"/>
      <c r="BZ739" s="8"/>
      <c r="CA739" s="8"/>
      <c r="CB739" s="10"/>
    </row>
    <row r="740" spans="3:80" ht="15" customHeight="1" x14ac:dyDescent="0.25">
      <c r="C740" s="69"/>
      <c r="F740" s="369" t="str">
        <f>IF(ISBLANK(Inputs!A91),"",Inputs!A91)</f>
        <v/>
      </c>
      <c r="G740" s="369"/>
      <c r="H740" s="369" t="str">
        <f>IF(ISBLANK(Inputs!B91),"",Inputs!B91)</f>
        <v/>
      </c>
      <c r="I740" s="369"/>
      <c r="J740" s="369" t="str">
        <f>IF(ISBLANK(Inputs!$A91),"",
MAX(IF(ISNUMBER(AE483),1),
IF(ISNUMBER(AI483),2),
IF(ISNUMBER(AM483),3),
IF(ISNUMBER(AQ483),4),
IF(ISNUMBER(AU483),5),
IF(ISNUMBER(AY483),6),
IF(ISNUMBER(BC483),7),
IF(ISNUMBER(BG483),8),
IF(ISNUMBER(BK483),9),
IF(ISNUMBER(BO483),10)))</f>
        <v/>
      </c>
      <c r="K740" s="369"/>
      <c r="L740" s="369" t="str">
        <f>IF(ISBLANK(Inputs!$A91),"",
_xlfn.LET(
_xlpm.n,J740,
CHOOSE(_xlpm.n,
AE483,AI483,AM483,AQ483,AU483,
AY483,BC483,BG483,BK483,BO483
)
))</f>
        <v/>
      </c>
      <c r="M740" s="369"/>
      <c r="N740" s="369" t="str">
        <f>IF(ISBLANK(Inputs!$A91),"",
Mat.Conc_Alpha.1*Mat.Conc_f.c*Inputs!J91*MIN(L740*Mat.Conc_Beta.1,Inputs!I91))</f>
        <v/>
      </c>
      <c r="O740" s="369"/>
      <c r="P740" s="372" t="str">
        <f>IF(ISBLANK(Inputs!$A91),"",
Mat.Conc_Alpha.1*Mat.Conc_f.c*Inputs!E91*MAX(0,L740*Mat.Conc_Beta.1-Inputs!I91))</f>
        <v/>
      </c>
      <c r="Q740" s="369"/>
      <c r="R740" s="369" t="str">
        <f>IF(ISBLANK(Inputs!$A91),"",Inputs!G91*MIN(Mat.Rebar_f.y,(Mat.Rebar_epsilon.cl*(Inputs!H91-L740)/L740)*Mat.PT_E.s))</f>
        <v/>
      </c>
      <c r="S740" s="369"/>
      <c r="T740" s="369" t="str">
        <f>IF(ISBLANK(Inputs!$A91),"",Inputs!D91*(Mat.PT_f.pu*(1-Mat.PT_k*L740/Inputs!F91)))</f>
        <v/>
      </c>
      <c r="U740" s="369"/>
      <c r="V740" s="369" t="str">
        <f>IF(ISBLANK(Inputs!$A91),"",
(Mat.PT_f.pe/Mat.PT_E.ps)+(Mat.Rebar_epsilon.cl*((Geometry_d.p.Positive-L740)/L740)))</f>
        <v/>
      </c>
      <c r="W740" s="369"/>
      <c r="X740" s="369" t="str">
        <f>IF(ISBLANK(Inputs!$A91),"",
0.5*MIN(L740*Mat.Conc_Beta.1,Geometry_h.f.Positive))</f>
        <v/>
      </c>
      <c r="Y740" s="369"/>
      <c r="Z740" s="369" t="str">
        <f>IF(ISBLANK(Inputs!$A91),"",
IF(P740=0,0,Geometry_h.f.Positive+0.5*MAX(0,L740*Mat.Conc_Beta.1-Geometry_h.f.Positive)))</f>
        <v/>
      </c>
      <c r="AA740" s="369"/>
      <c r="AB740" s="369" t="str">
        <f>IF(ISBLANK(Inputs!$A91),"",
Inputs!H91)</f>
        <v/>
      </c>
      <c r="AC740" s="369"/>
      <c r="AD740" s="369" t="str">
        <f>IF(ISBLANK(Inputs!$A91),"",
Inputs!F91)</f>
        <v/>
      </c>
      <c r="AE740" s="369"/>
      <c r="AF740" s="369" t="str">
        <f>IF(ISBLANK(Inputs!$A91),"",
MAX(0.75,MIN(1,0.75+0.25*(V740-Mat.Rebar_epsilon.cl)/(Mat.Rebar_epsilon.tl-Mat.Rebar_epsilon.cl))))</f>
        <v/>
      </c>
      <c r="AG740" s="369"/>
      <c r="AH740" s="370" t="str">
        <f>IF(ISBLANK(Inputs!$A91),"",
((AD740*T740+AB740*R740-Z740*P740-X740*N740)/12)*AF740)</f>
        <v/>
      </c>
      <c r="AI740" s="370"/>
      <c r="AJ740" s="370"/>
      <c r="AK740" s="369" t="str">
        <f>IF(ISBLANK(Inputs!$A91),"",
MAX(IF(ISNUMBER(AE608),1),
IF(ISNUMBER(AI608),2),
IF(ISNUMBER(AM608),3),
IF(ISNUMBER(AQ608),4),
IF(ISNUMBER(AU608),5),
IF(ISNUMBER(AY608),6),
IF(ISNUMBER(BC608),7),
IF(ISNUMBER(BG608),8),
IF(ISNUMBER(BK608),9),
IF(ISNUMBER(BO608),10)))</f>
        <v/>
      </c>
      <c r="AL740" s="369"/>
      <c r="AM740" s="369" t="str">
        <f>IF(ISBLANK(Inputs!$A91),"",
_xlfn.LET(
_xlpm.n,AK740,
CHOOSE(_xlpm.n,
AE608,AI608,AM608,AQ608,AU608,
AY608,BC608,BG608,BK608,BO608
)
))</f>
        <v/>
      </c>
      <c r="AN740" s="369"/>
      <c r="AO740" s="369" t="str">
        <f>IF(ISBLANK(Inputs!$A91),"",
Mat.Conc_Alpha.1*Mat.Conc_f.c*Geometry_b.Negative*MIN(AM740*Mat.Conc_Beta.1,Geometry_h.f.Negative))</f>
        <v/>
      </c>
      <c r="AP740" s="369"/>
      <c r="AQ740" s="369" t="str">
        <f>IF(ISBLANK(Inputs!$A91),"",
Mat.Conc_Alpha.1*Mat.Conc_f.c*Geometry_b.w*MAX(0,AM740*Mat.Conc_Beta.1-Geometry_h.f.Negative))</f>
        <v/>
      </c>
      <c r="AR740" s="369"/>
      <c r="AS740" s="369" t="str">
        <f>IF(ISBLANK(Inputs!$A91),"",
Mat.Rebar_A.s.Positive*MIN(Mat.Rebar_f.y,(Mat.Rebar_epsilon.cl*(Geometry_d.s.Negative-AM740)/AM740)*Mat.PT_E.s))</f>
        <v/>
      </c>
      <c r="AT740" s="369"/>
      <c r="AU740" s="369" t="str">
        <f>IF(ISBLANK(Inputs!$A91),"",
Mat.PT_A.ps*(Mat.PT_f.pu*(1-Mat.PT_k*AM740/Geometry_d.p.Negative)))</f>
        <v/>
      </c>
      <c r="AV740" s="369"/>
      <c r="AW740" s="369" t="str">
        <f>IF(ISBLANK(Inputs!$A91),"",
(Mat.PT_f.pe/Mat.PT_E.ps)+(Mat.Rebar_epsilon.cl*((Geometry_d.p.Negative-AM740)/AM740)))</f>
        <v/>
      </c>
      <c r="AX740" s="369"/>
      <c r="AY740" s="369" t="str">
        <f>IF(ISBLANK(Inputs!$A91),"",
0.5*MIN(AM740*Mat.Conc_Beta.1,Geometry_h.f.Negative))</f>
        <v/>
      </c>
      <c r="AZ740" s="369"/>
      <c r="BA740" s="369" t="str">
        <f>IF(ISBLANK(Inputs!$A91),"",
IF(AQ740=0,0,Geometry_h.f.Negative+0.5*MAX(0,AM740*Mat.Conc_Beta.1-Geometry_h.f.Negative)))</f>
        <v/>
      </c>
      <c r="BB740" s="369"/>
      <c r="BC740" s="369" t="str">
        <f>IF(ISBLANK(Inputs!$A91),"",
Inputs!L91)</f>
        <v/>
      </c>
      <c r="BD740" s="369"/>
      <c r="BE740" s="369" t="str">
        <f>IF(ISBLANK(Inputs!$A91),"",Inputs!$B$10-Inputs!F91)</f>
        <v/>
      </c>
      <c r="BF740" s="369"/>
      <c r="BG740" s="369" t="str">
        <f>IF(ISBLANK(Inputs!$A91),"",
MAX(0.75,MIN(1,0.75+0.25*(AW740-Mat.Rebar_epsilon.cl)/(Mat.Rebar_epsilon.tl-Mat.Rebar_epsilon.cl))))</f>
        <v/>
      </c>
      <c r="BH740" s="369"/>
      <c r="BI740" s="370" t="str">
        <f>IF(ISBLANK(Inputs!$A91),"",
-((BE740*AU740+BC740*AS740-BA740*AQ740-AY740*AO740)/12)*BG740)</f>
        <v/>
      </c>
      <c r="BJ740" s="370"/>
      <c r="BK740" s="370"/>
      <c r="BL740" s="370" t="str">
        <f>IF(ISBLANK(Inputs!C91),"",Inputs!C91)</f>
        <v/>
      </c>
      <c r="BM740" s="370"/>
      <c r="BN740" s="370"/>
      <c r="BO740" s="374" t="str">
        <f>IF(ISBLANK(Inputs!$A91),"",
IFERROR(IF(BL740&gt;=0,ABS(BL740)/ABS(AH740),ABS(BL740)/ABS(BI740)),""))</f>
        <v/>
      </c>
      <c r="BP740" s="374"/>
      <c r="BQ740" s="374"/>
      <c r="BR740" s="59"/>
      <c r="BS740" s="70"/>
      <c r="BT740" s="70"/>
      <c r="BU740" s="70"/>
      <c r="BV740" s="70"/>
      <c r="BW740" s="8"/>
      <c r="BX740" s="8"/>
      <c r="BY740" s="8"/>
      <c r="BZ740" s="8"/>
      <c r="CA740" s="8"/>
      <c r="CB740" s="10"/>
    </row>
    <row r="741" spans="3:80" ht="15" customHeight="1" x14ac:dyDescent="0.25">
      <c r="C741" s="69"/>
      <c r="F741" s="369" t="str">
        <f>IF(ISBLANK(Inputs!A92),"",Inputs!A92)</f>
        <v/>
      </c>
      <c r="G741" s="369"/>
      <c r="H741" s="369" t="str">
        <f>IF(ISBLANK(Inputs!B92),"",Inputs!B92)</f>
        <v/>
      </c>
      <c r="I741" s="369"/>
      <c r="J741" s="369" t="str">
        <f>IF(ISBLANK(Inputs!$A92),"",
MAX(IF(ISNUMBER(AE484),1),
IF(ISNUMBER(AI484),2),
IF(ISNUMBER(AM484),3),
IF(ISNUMBER(AQ484),4),
IF(ISNUMBER(AU484),5),
IF(ISNUMBER(AY484),6),
IF(ISNUMBER(BC484),7),
IF(ISNUMBER(BG484),8),
IF(ISNUMBER(BK484),9),
IF(ISNUMBER(BO484),10)))</f>
        <v/>
      </c>
      <c r="K741" s="369"/>
      <c r="L741" s="369" t="str">
        <f>IF(ISBLANK(Inputs!$A92),"",
_xlfn.LET(
_xlpm.n,J741,
CHOOSE(_xlpm.n,
AE484,AI484,AM484,AQ484,AU484,
AY484,BC484,BG484,BK484,BO484
)
))</f>
        <v/>
      </c>
      <c r="M741" s="369"/>
      <c r="N741" s="369" t="str">
        <f>IF(ISBLANK(Inputs!$A92),"",
Mat.Conc_Alpha.1*Mat.Conc_f.c*Inputs!J92*MIN(L741*Mat.Conc_Beta.1,Inputs!I92))</f>
        <v/>
      </c>
      <c r="O741" s="369"/>
      <c r="P741" s="372" t="str">
        <f>IF(ISBLANK(Inputs!$A92),"",
Mat.Conc_Alpha.1*Mat.Conc_f.c*Inputs!E92*MAX(0,L741*Mat.Conc_Beta.1-Inputs!I92))</f>
        <v/>
      </c>
      <c r="Q741" s="369"/>
      <c r="R741" s="369" t="str">
        <f>IF(ISBLANK(Inputs!$A92),"",Inputs!G92*MIN(Mat.Rebar_f.y,(Mat.Rebar_epsilon.cl*(Inputs!H92-L741)/L741)*Mat.PT_E.s))</f>
        <v/>
      </c>
      <c r="S741" s="369"/>
      <c r="T741" s="369" t="str">
        <f>IF(ISBLANK(Inputs!$A92),"",Inputs!D92*(Mat.PT_f.pu*(1-Mat.PT_k*L741/Inputs!F92)))</f>
        <v/>
      </c>
      <c r="U741" s="369"/>
      <c r="V741" s="369" t="str">
        <f>IF(ISBLANK(Inputs!$A92),"",
(Mat.PT_f.pe/Mat.PT_E.ps)+(Mat.Rebar_epsilon.cl*((Geometry_d.p.Positive-L741)/L741)))</f>
        <v/>
      </c>
      <c r="W741" s="369"/>
      <c r="X741" s="369" t="str">
        <f>IF(ISBLANK(Inputs!$A92),"",
0.5*MIN(L741*Mat.Conc_Beta.1,Geometry_h.f.Positive))</f>
        <v/>
      </c>
      <c r="Y741" s="369"/>
      <c r="Z741" s="369" t="str">
        <f>IF(ISBLANK(Inputs!$A92),"",
IF(P741=0,0,Geometry_h.f.Positive+0.5*MAX(0,L741*Mat.Conc_Beta.1-Geometry_h.f.Positive)))</f>
        <v/>
      </c>
      <c r="AA741" s="369"/>
      <c r="AB741" s="369" t="str">
        <f>IF(ISBLANK(Inputs!$A92),"",
Inputs!H92)</f>
        <v/>
      </c>
      <c r="AC741" s="369"/>
      <c r="AD741" s="369" t="str">
        <f>IF(ISBLANK(Inputs!$A92),"",
Inputs!F92)</f>
        <v/>
      </c>
      <c r="AE741" s="369"/>
      <c r="AF741" s="369" t="str">
        <f>IF(ISBLANK(Inputs!$A92),"",
MAX(0.75,MIN(1,0.75+0.25*(V741-Mat.Rebar_epsilon.cl)/(Mat.Rebar_epsilon.tl-Mat.Rebar_epsilon.cl))))</f>
        <v/>
      </c>
      <c r="AG741" s="369"/>
      <c r="AH741" s="370" t="str">
        <f>IF(ISBLANK(Inputs!$A92),"",
((AD741*T741+AB741*R741-Z741*P741-X741*N741)/12)*AF741)</f>
        <v/>
      </c>
      <c r="AI741" s="370"/>
      <c r="AJ741" s="370"/>
      <c r="AK741" s="369" t="str">
        <f>IF(ISBLANK(Inputs!$A92),"",
MAX(IF(ISNUMBER(AE609),1),
IF(ISNUMBER(AI609),2),
IF(ISNUMBER(AM609),3),
IF(ISNUMBER(AQ609),4),
IF(ISNUMBER(AU609),5),
IF(ISNUMBER(AY609),6),
IF(ISNUMBER(BC609),7),
IF(ISNUMBER(BG609),8),
IF(ISNUMBER(BK609),9),
IF(ISNUMBER(BO609),10)))</f>
        <v/>
      </c>
      <c r="AL741" s="369"/>
      <c r="AM741" s="369" t="str">
        <f>IF(ISBLANK(Inputs!$A92),"",
_xlfn.LET(
_xlpm.n,AK741,
CHOOSE(_xlpm.n,
AE609,AI609,AM609,AQ609,AU609,
AY609,BC609,BG609,BK609,BO609
)
))</f>
        <v/>
      </c>
      <c r="AN741" s="369"/>
      <c r="AO741" s="369" t="str">
        <f>IF(ISBLANK(Inputs!$A92),"",
Mat.Conc_Alpha.1*Mat.Conc_f.c*Geometry_b.Negative*MIN(AM741*Mat.Conc_Beta.1,Geometry_h.f.Negative))</f>
        <v/>
      </c>
      <c r="AP741" s="369"/>
      <c r="AQ741" s="369" t="str">
        <f>IF(ISBLANK(Inputs!$A92),"",
Mat.Conc_Alpha.1*Mat.Conc_f.c*Geometry_b.w*MAX(0,AM741*Mat.Conc_Beta.1-Geometry_h.f.Negative))</f>
        <v/>
      </c>
      <c r="AR741" s="369"/>
      <c r="AS741" s="369" t="str">
        <f>IF(ISBLANK(Inputs!$A92),"",
Mat.Rebar_A.s.Positive*MIN(Mat.Rebar_f.y,(Mat.Rebar_epsilon.cl*(Geometry_d.s.Negative-AM741)/AM741)*Mat.PT_E.s))</f>
        <v/>
      </c>
      <c r="AT741" s="369"/>
      <c r="AU741" s="369" t="str">
        <f>IF(ISBLANK(Inputs!$A92),"",
Mat.PT_A.ps*(Mat.PT_f.pu*(1-Mat.PT_k*AM741/Geometry_d.p.Negative)))</f>
        <v/>
      </c>
      <c r="AV741" s="369"/>
      <c r="AW741" s="369" t="str">
        <f>IF(ISBLANK(Inputs!$A92),"",
(Mat.PT_f.pe/Mat.PT_E.ps)+(Mat.Rebar_epsilon.cl*((Geometry_d.p.Negative-AM741)/AM741)))</f>
        <v/>
      </c>
      <c r="AX741" s="369"/>
      <c r="AY741" s="369" t="str">
        <f>IF(ISBLANK(Inputs!$A92),"",
0.5*MIN(AM741*Mat.Conc_Beta.1,Geometry_h.f.Negative))</f>
        <v/>
      </c>
      <c r="AZ741" s="369"/>
      <c r="BA741" s="369" t="str">
        <f>IF(ISBLANK(Inputs!$A92),"",
IF(AQ741=0,0,Geometry_h.f.Negative+0.5*MAX(0,AM741*Mat.Conc_Beta.1-Geometry_h.f.Negative)))</f>
        <v/>
      </c>
      <c r="BB741" s="369"/>
      <c r="BC741" s="369" t="str">
        <f>IF(ISBLANK(Inputs!$A92),"",
Inputs!L92)</f>
        <v/>
      </c>
      <c r="BD741" s="369"/>
      <c r="BE741" s="369" t="str">
        <f>IF(ISBLANK(Inputs!$A92),"",Inputs!$B$10-Inputs!F92)</f>
        <v/>
      </c>
      <c r="BF741" s="369"/>
      <c r="BG741" s="369" t="str">
        <f>IF(ISBLANK(Inputs!$A92),"",
MAX(0.75,MIN(1,0.75+0.25*(AW741-Mat.Rebar_epsilon.cl)/(Mat.Rebar_epsilon.tl-Mat.Rebar_epsilon.cl))))</f>
        <v/>
      </c>
      <c r="BH741" s="369"/>
      <c r="BI741" s="370" t="str">
        <f>IF(ISBLANK(Inputs!$A92),"",
-((BE741*AU741+BC741*AS741-BA741*AQ741-AY741*AO741)/12)*BG741)</f>
        <v/>
      </c>
      <c r="BJ741" s="370"/>
      <c r="BK741" s="370"/>
      <c r="BL741" s="370" t="str">
        <f>IF(ISBLANK(Inputs!C92),"",Inputs!C92)</f>
        <v/>
      </c>
      <c r="BM741" s="370"/>
      <c r="BN741" s="370"/>
      <c r="BO741" s="374" t="str">
        <f>IF(ISBLANK(Inputs!$A92),"",
IFERROR(IF(BL741&gt;=0,ABS(BL741)/ABS(AH741),ABS(BL741)/ABS(BI741)),""))</f>
        <v/>
      </c>
      <c r="BP741" s="374"/>
      <c r="BQ741" s="374"/>
      <c r="BR741" s="59"/>
      <c r="BS741" s="70"/>
      <c r="BT741" s="70"/>
      <c r="BU741" s="70"/>
      <c r="BV741" s="70"/>
      <c r="BW741" s="8"/>
      <c r="BX741" s="8"/>
      <c r="BY741" s="8"/>
      <c r="BZ741" s="8"/>
      <c r="CA741" s="8"/>
      <c r="CB741" s="10"/>
    </row>
    <row r="742" spans="3:80" ht="15" customHeight="1" x14ac:dyDescent="0.25">
      <c r="C742" s="69"/>
      <c r="F742" s="369" t="str">
        <f>IF(ISBLANK(Inputs!A93),"",Inputs!A93)</f>
        <v/>
      </c>
      <c r="G742" s="369"/>
      <c r="H742" s="369" t="str">
        <f>IF(ISBLANK(Inputs!B93),"",Inputs!B93)</f>
        <v/>
      </c>
      <c r="I742" s="369"/>
      <c r="J742" s="369" t="str">
        <f>IF(ISBLANK(Inputs!$A93),"",
MAX(IF(ISNUMBER(AE485),1),
IF(ISNUMBER(AI485),2),
IF(ISNUMBER(AM485),3),
IF(ISNUMBER(AQ485),4),
IF(ISNUMBER(AU485),5),
IF(ISNUMBER(AY485),6),
IF(ISNUMBER(BC485),7),
IF(ISNUMBER(BG485),8),
IF(ISNUMBER(BK485),9),
IF(ISNUMBER(BO485),10)))</f>
        <v/>
      </c>
      <c r="K742" s="369"/>
      <c r="L742" s="369" t="str">
        <f>IF(ISBLANK(Inputs!$A93),"",
_xlfn.LET(
_xlpm.n,J742,
CHOOSE(_xlpm.n,
AE485,AI485,AM485,AQ485,AU485,
AY485,BC485,BG485,BK485,BO485
)
))</f>
        <v/>
      </c>
      <c r="M742" s="369"/>
      <c r="N742" s="369" t="str">
        <f>IF(ISBLANK(Inputs!$A93),"",
Mat.Conc_Alpha.1*Mat.Conc_f.c*Inputs!J93*MIN(L742*Mat.Conc_Beta.1,Inputs!I93))</f>
        <v/>
      </c>
      <c r="O742" s="369"/>
      <c r="P742" s="372" t="str">
        <f>IF(ISBLANK(Inputs!$A93),"",
Mat.Conc_Alpha.1*Mat.Conc_f.c*Inputs!E93*MAX(0,L742*Mat.Conc_Beta.1-Inputs!I93))</f>
        <v/>
      </c>
      <c r="Q742" s="369"/>
      <c r="R742" s="369" t="str">
        <f>IF(ISBLANK(Inputs!$A93),"",Inputs!G93*MIN(Mat.Rebar_f.y,(Mat.Rebar_epsilon.cl*(Inputs!H93-L742)/L742)*Mat.PT_E.s))</f>
        <v/>
      </c>
      <c r="S742" s="369"/>
      <c r="T742" s="369" t="str">
        <f>IF(ISBLANK(Inputs!$A93),"",Inputs!D93*(Mat.PT_f.pu*(1-Mat.PT_k*L742/Inputs!F93)))</f>
        <v/>
      </c>
      <c r="U742" s="369"/>
      <c r="V742" s="369" t="str">
        <f>IF(ISBLANK(Inputs!$A93),"",
(Mat.PT_f.pe/Mat.PT_E.ps)+(Mat.Rebar_epsilon.cl*((Geometry_d.p.Positive-L742)/L742)))</f>
        <v/>
      </c>
      <c r="W742" s="369"/>
      <c r="X742" s="369" t="str">
        <f>IF(ISBLANK(Inputs!$A93),"",
0.5*MIN(L742*Mat.Conc_Beta.1,Geometry_h.f.Positive))</f>
        <v/>
      </c>
      <c r="Y742" s="369"/>
      <c r="Z742" s="369" t="str">
        <f>IF(ISBLANK(Inputs!$A93),"",
IF(P742=0,0,Geometry_h.f.Positive+0.5*MAX(0,L742*Mat.Conc_Beta.1-Geometry_h.f.Positive)))</f>
        <v/>
      </c>
      <c r="AA742" s="369"/>
      <c r="AB742" s="369" t="str">
        <f>IF(ISBLANK(Inputs!$A93),"",
Inputs!H93)</f>
        <v/>
      </c>
      <c r="AC742" s="369"/>
      <c r="AD742" s="369" t="str">
        <f>IF(ISBLANK(Inputs!$A93),"",
Inputs!F93)</f>
        <v/>
      </c>
      <c r="AE742" s="369"/>
      <c r="AF742" s="369" t="str">
        <f>IF(ISBLANK(Inputs!$A93),"",
MAX(0.75,MIN(1,0.75+0.25*(V742-Mat.Rebar_epsilon.cl)/(Mat.Rebar_epsilon.tl-Mat.Rebar_epsilon.cl))))</f>
        <v/>
      </c>
      <c r="AG742" s="369"/>
      <c r="AH742" s="370" t="str">
        <f>IF(ISBLANK(Inputs!$A93),"",
((AD742*T742+AB742*R742-Z742*P742-X742*N742)/12)*AF742)</f>
        <v/>
      </c>
      <c r="AI742" s="370"/>
      <c r="AJ742" s="370"/>
      <c r="AK742" s="369" t="str">
        <f>IF(ISBLANK(Inputs!$A93),"",
MAX(IF(ISNUMBER(AE610),1),
IF(ISNUMBER(AI610),2),
IF(ISNUMBER(AM610),3),
IF(ISNUMBER(AQ610),4),
IF(ISNUMBER(AU610),5),
IF(ISNUMBER(AY610),6),
IF(ISNUMBER(BC610),7),
IF(ISNUMBER(BG610),8),
IF(ISNUMBER(BK610),9),
IF(ISNUMBER(BO610),10)))</f>
        <v/>
      </c>
      <c r="AL742" s="369"/>
      <c r="AM742" s="369" t="str">
        <f>IF(ISBLANK(Inputs!$A93),"",
_xlfn.LET(
_xlpm.n,AK742,
CHOOSE(_xlpm.n,
AE610,AI610,AM610,AQ610,AU610,
AY610,BC610,BG610,BK610,BO610
)
))</f>
        <v/>
      </c>
      <c r="AN742" s="369"/>
      <c r="AO742" s="369" t="str">
        <f>IF(ISBLANK(Inputs!$A93),"",
Mat.Conc_Alpha.1*Mat.Conc_f.c*Geometry_b.Negative*MIN(AM742*Mat.Conc_Beta.1,Geometry_h.f.Negative))</f>
        <v/>
      </c>
      <c r="AP742" s="369"/>
      <c r="AQ742" s="369" t="str">
        <f>IF(ISBLANK(Inputs!$A93),"",
Mat.Conc_Alpha.1*Mat.Conc_f.c*Geometry_b.w*MAX(0,AM742*Mat.Conc_Beta.1-Geometry_h.f.Negative))</f>
        <v/>
      </c>
      <c r="AR742" s="369"/>
      <c r="AS742" s="369" t="str">
        <f>IF(ISBLANK(Inputs!$A93),"",
Mat.Rebar_A.s.Positive*MIN(Mat.Rebar_f.y,(Mat.Rebar_epsilon.cl*(Geometry_d.s.Negative-AM742)/AM742)*Mat.PT_E.s))</f>
        <v/>
      </c>
      <c r="AT742" s="369"/>
      <c r="AU742" s="369" t="str">
        <f>IF(ISBLANK(Inputs!$A93),"",
Mat.PT_A.ps*(Mat.PT_f.pu*(1-Mat.PT_k*AM742/Geometry_d.p.Negative)))</f>
        <v/>
      </c>
      <c r="AV742" s="369"/>
      <c r="AW742" s="369" t="str">
        <f>IF(ISBLANK(Inputs!$A93),"",
(Mat.PT_f.pe/Mat.PT_E.ps)+(Mat.Rebar_epsilon.cl*((Geometry_d.p.Negative-AM742)/AM742)))</f>
        <v/>
      </c>
      <c r="AX742" s="369"/>
      <c r="AY742" s="369" t="str">
        <f>IF(ISBLANK(Inputs!$A93),"",
0.5*MIN(AM742*Mat.Conc_Beta.1,Geometry_h.f.Negative))</f>
        <v/>
      </c>
      <c r="AZ742" s="369"/>
      <c r="BA742" s="369" t="str">
        <f>IF(ISBLANK(Inputs!$A93),"",
IF(AQ742=0,0,Geometry_h.f.Negative+0.5*MAX(0,AM742*Mat.Conc_Beta.1-Geometry_h.f.Negative)))</f>
        <v/>
      </c>
      <c r="BB742" s="369"/>
      <c r="BC742" s="369" t="str">
        <f>IF(ISBLANK(Inputs!$A93),"",
Inputs!L93)</f>
        <v/>
      </c>
      <c r="BD742" s="369"/>
      <c r="BE742" s="369" t="str">
        <f>IF(ISBLANK(Inputs!$A93),"",Inputs!$B$10-Inputs!F93)</f>
        <v/>
      </c>
      <c r="BF742" s="369"/>
      <c r="BG742" s="369" t="str">
        <f>IF(ISBLANK(Inputs!$A93),"",
MAX(0.75,MIN(1,0.75+0.25*(AW742-Mat.Rebar_epsilon.cl)/(Mat.Rebar_epsilon.tl-Mat.Rebar_epsilon.cl))))</f>
        <v/>
      </c>
      <c r="BH742" s="369"/>
      <c r="BI742" s="370" t="str">
        <f>IF(ISBLANK(Inputs!$A93),"",
-((BE742*AU742+BC742*AS742-BA742*AQ742-AY742*AO742)/12)*BG742)</f>
        <v/>
      </c>
      <c r="BJ742" s="370"/>
      <c r="BK742" s="370"/>
      <c r="BL742" s="370" t="str">
        <f>IF(ISBLANK(Inputs!C93),"",Inputs!C93)</f>
        <v/>
      </c>
      <c r="BM742" s="370"/>
      <c r="BN742" s="370"/>
      <c r="BO742" s="374" t="str">
        <f>IF(ISBLANK(Inputs!$A93),"",
IFERROR(IF(BL742&gt;=0,ABS(BL742)/ABS(AH742),ABS(BL742)/ABS(BI742)),""))</f>
        <v/>
      </c>
      <c r="BP742" s="374"/>
      <c r="BQ742" s="374"/>
      <c r="BR742" s="59"/>
      <c r="BS742" s="70"/>
      <c r="BT742" s="70"/>
      <c r="BU742" s="70"/>
      <c r="BV742" s="70"/>
      <c r="BW742" s="8"/>
      <c r="BX742" s="8"/>
      <c r="BY742" s="8"/>
      <c r="BZ742" s="8"/>
      <c r="CA742" s="8"/>
      <c r="CB742" s="10"/>
    </row>
    <row r="743" spans="3:80" ht="15" customHeight="1" x14ac:dyDescent="0.25">
      <c r="C743" s="69"/>
      <c r="F743" s="369" t="str">
        <f>IF(ISBLANK(Inputs!A94),"",Inputs!A94)</f>
        <v/>
      </c>
      <c r="G743" s="369"/>
      <c r="H743" s="369" t="str">
        <f>IF(ISBLANK(Inputs!B94),"",Inputs!B94)</f>
        <v/>
      </c>
      <c r="I743" s="369"/>
      <c r="J743" s="369" t="str">
        <f>IF(ISBLANK(Inputs!$A94),"",
MAX(IF(ISNUMBER(AE486),1),
IF(ISNUMBER(AI486),2),
IF(ISNUMBER(AM486),3),
IF(ISNUMBER(AQ486),4),
IF(ISNUMBER(AU486),5),
IF(ISNUMBER(AY486),6),
IF(ISNUMBER(BC486),7),
IF(ISNUMBER(BG486),8),
IF(ISNUMBER(BK486),9),
IF(ISNUMBER(BO486),10)))</f>
        <v/>
      </c>
      <c r="K743" s="369"/>
      <c r="L743" s="369" t="str">
        <f>IF(ISBLANK(Inputs!$A94),"",
_xlfn.LET(
_xlpm.n,J743,
CHOOSE(_xlpm.n,
AE486,AI486,AM486,AQ486,AU486,
AY486,BC486,BG486,BK486,BO486
)
))</f>
        <v/>
      </c>
      <c r="M743" s="369"/>
      <c r="N743" s="369" t="str">
        <f>IF(ISBLANK(Inputs!$A94),"",
Mat.Conc_Alpha.1*Mat.Conc_f.c*Inputs!J94*MIN(L743*Mat.Conc_Beta.1,Inputs!I94))</f>
        <v/>
      </c>
      <c r="O743" s="369"/>
      <c r="P743" s="372" t="str">
        <f>IF(ISBLANK(Inputs!$A94),"",
Mat.Conc_Alpha.1*Mat.Conc_f.c*Inputs!E94*MAX(0,L743*Mat.Conc_Beta.1-Inputs!I94))</f>
        <v/>
      </c>
      <c r="Q743" s="369"/>
      <c r="R743" s="369" t="str">
        <f>IF(ISBLANK(Inputs!$A94),"",Inputs!G94*MIN(Mat.Rebar_f.y,(Mat.Rebar_epsilon.cl*(Inputs!H94-L743)/L743)*Mat.PT_E.s))</f>
        <v/>
      </c>
      <c r="S743" s="369"/>
      <c r="T743" s="369" t="str">
        <f>IF(ISBLANK(Inputs!$A94),"",Inputs!D94*(Mat.PT_f.pu*(1-Mat.PT_k*L743/Inputs!F94)))</f>
        <v/>
      </c>
      <c r="U743" s="369"/>
      <c r="V743" s="369" t="str">
        <f>IF(ISBLANK(Inputs!$A94),"",
(Mat.PT_f.pe/Mat.PT_E.ps)+(Mat.Rebar_epsilon.cl*((Geometry_d.p.Positive-L743)/L743)))</f>
        <v/>
      </c>
      <c r="W743" s="369"/>
      <c r="X743" s="369" t="str">
        <f>IF(ISBLANK(Inputs!$A94),"",
0.5*MIN(L743*Mat.Conc_Beta.1,Geometry_h.f.Positive))</f>
        <v/>
      </c>
      <c r="Y743" s="369"/>
      <c r="Z743" s="369" t="str">
        <f>IF(ISBLANK(Inputs!$A94),"",
IF(P743=0,0,Geometry_h.f.Positive+0.5*MAX(0,L743*Mat.Conc_Beta.1-Geometry_h.f.Positive)))</f>
        <v/>
      </c>
      <c r="AA743" s="369"/>
      <c r="AB743" s="369" t="str">
        <f>IF(ISBLANK(Inputs!$A94),"",
Inputs!H94)</f>
        <v/>
      </c>
      <c r="AC743" s="369"/>
      <c r="AD743" s="369" t="str">
        <f>IF(ISBLANK(Inputs!$A94),"",
Inputs!F94)</f>
        <v/>
      </c>
      <c r="AE743" s="369"/>
      <c r="AF743" s="369" t="str">
        <f>IF(ISBLANK(Inputs!$A94),"",
MAX(0.75,MIN(1,0.75+0.25*(V743-Mat.Rebar_epsilon.cl)/(Mat.Rebar_epsilon.tl-Mat.Rebar_epsilon.cl))))</f>
        <v/>
      </c>
      <c r="AG743" s="369"/>
      <c r="AH743" s="370" t="str">
        <f>IF(ISBLANK(Inputs!$A94),"",
((AD743*T743+AB743*R743-Z743*P743-X743*N743)/12)*AF743)</f>
        <v/>
      </c>
      <c r="AI743" s="370"/>
      <c r="AJ743" s="370"/>
      <c r="AK743" s="369" t="str">
        <f>IF(ISBLANK(Inputs!$A94),"",
MAX(IF(ISNUMBER(AE611),1),
IF(ISNUMBER(AI611),2),
IF(ISNUMBER(AM611),3),
IF(ISNUMBER(AQ611),4),
IF(ISNUMBER(AU611),5),
IF(ISNUMBER(AY611),6),
IF(ISNUMBER(BC611),7),
IF(ISNUMBER(BG611),8),
IF(ISNUMBER(BK611),9),
IF(ISNUMBER(BO611),10)))</f>
        <v/>
      </c>
      <c r="AL743" s="369"/>
      <c r="AM743" s="369" t="str">
        <f>IF(ISBLANK(Inputs!$A94),"",
_xlfn.LET(
_xlpm.n,AK743,
CHOOSE(_xlpm.n,
AE611,AI611,AM611,AQ611,AU611,
AY611,BC611,BG611,BK611,BO611
)
))</f>
        <v/>
      </c>
      <c r="AN743" s="369"/>
      <c r="AO743" s="369" t="str">
        <f>IF(ISBLANK(Inputs!$A94),"",
Mat.Conc_Alpha.1*Mat.Conc_f.c*Geometry_b.Negative*MIN(AM743*Mat.Conc_Beta.1,Geometry_h.f.Negative))</f>
        <v/>
      </c>
      <c r="AP743" s="369"/>
      <c r="AQ743" s="369" t="str">
        <f>IF(ISBLANK(Inputs!$A94),"",
Mat.Conc_Alpha.1*Mat.Conc_f.c*Geometry_b.w*MAX(0,AM743*Mat.Conc_Beta.1-Geometry_h.f.Negative))</f>
        <v/>
      </c>
      <c r="AR743" s="369"/>
      <c r="AS743" s="369" t="str">
        <f>IF(ISBLANK(Inputs!$A94),"",
Mat.Rebar_A.s.Positive*MIN(Mat.Rebar_f.y,(Mat.Rebar_epsilon.cl*(Geometry_d.s.Negative-AM743)/AM743)*Mat.PT_E.s))</f>
        <v/>
      </c>
      <c r="AT743" s="369"/>
      <c r="AU743" s="369" t="str">
        <f>IF(ISBLANK(Inputs!$A94),"",
Mat.PT_A.ps*(Mat.PT_f.pu*(1-Mat.PT_k*AM743/Geometry_d.p.Negative)))</f>
        <v/>
      </c>
      <c r="AV743" s="369"/>
      <c r="AW743" s="369" t="str">
        <f>IF(ISBLANK(Inputs!$A94),"",
(Mat.PT_f.pe/Mat.PT_E.ps)+(Mat.Rebar_epsilon.cl*((Geometry_d.p.Negative-AM743)/AM743)))</f>
        <v/>
      </c>
      <c r="AX743" s="369"/>
      <c r="AY743" s="369" t="str">
        <f>IF(ISBLANK(Inputs!$A94),"",
0.5*MIN(AM743*Mat.Conc_Beta.1,Geometry_h.f.Negative))</f>
        <v/>
      </c>
      <c r="AZ743" s="369"/>
      <c r="BA743" s="369" t="str">
        <f>IF(ISBLANK(Inputs!$A94),"",
IF(AQ743=0,0,Geometry_h.f.Negative+0.5*MAX(0,AM743*Mat.Conc_Beta.1-Geometry_h.f.Negative)))</f>
        <v/>
      </c>
      <c r="BB743" s="369"/>
      <c r="BC743" s="369" t="str">
        <f>IF(ISBLANK(Inputs!$A94),"",
Inputs!L94)</f>
        <v/>
      </c>
      <c r="BD743" s="369"/>
      <c r="BE743" s="369" t="str">
        <f>IF(ISBLANK(Inputs!$A94),"",Inputs!$B$10-Inputs!F94)</f>
        <v/>
      </c>
      <c r="BF743" s="369"/>
      <c r="BG743" s="369" t="str">
        <f>IF(ISBLANK(Inputs!$A94),"",
MAX(0.75,MIN(1,0.75+0.25*(AW743-Mat.Rebar_epsilon.cl)/(Mat.Rebar_epsilon.tl-Mat.Rebar_epsilon.cl))))</f>
        <v/>
      </c>
      <c r="BH743" s="369"/>
      <c r="BI743" s="370" t="str">
        <f>IF(ISBLANK(Inputs!$A94),"",
-((BE743*AU743+BC743*AS743-BA743*AQ743-AY743*AO743)/12)*BG743)</f>
        <v/>
      </c>
      <c r="BJ743" s="370"/>
      <c r="BK743" s="370"/>
      <c r="BL743" s="370" t="str">
        <f>IF(ISBLANK(Inputs!C94),"",Inputs!C94)</f>
        <v/>
      </c>
      <c r="BM743" s="370"/>
      <c r="BN743" s="370"/>
      <c r="BO743" s="374" t="str">
        <f>IF(ISBLANK(Inputs!$A94),"",
IFERROR(IF(BL743&gt;=0,ABS(BL743)/ABS(AH743),ABS(BL743)/ABS(BI743)),""))</f>
        <v/>
      </c>
      <c r="BP743" s="374"/>
      <c r="BQ743" s="374"/>
      <c r="BR743" s="59"/>
      <c r="BS743" s="70"/>
      <c r="BT743" s="70"/>
      <c r="BU743" s="70"/>
      <c r="BV743" s="70"/>
      <c r="BW743" s="8"/>
      <c r="BX743" s="8"/>
      <c r="BY743" s="8"/>
      <c r="BZ743" s="8"/>
      <c r="CA743" s="8"/>
      <c r="CB743" s="10"/>
    </row>
    <row r="744" spans="3:80" ht="15" customHeight="1" x14ac:dyDescent="0.25">
      <c r="C744" s="69"/>
      <c r="F744" s="369" t="str">
        <f>IF(ISBLANK(Inputs!A95),"",Inputs!A95)</f>
        <v/>
      </c>
      <c r="G744" s="369"/>
      <c r="H744" s="369" t="str">
        <f>IF(ISBLANK(Inputs!B95),"",Inputs!B95)</f>
        <v/>
      </c>
      <c r="I744" s="369"/>
      <c r="J744" s="369" t="str">
        <f>IF(ISBLANK(Inputs!$A95),"",
MAX(IF(ISNUMBER(AE487),1),
IF(ISNUMBER(AI487),2),
IF(ISNUMBER(AM487),3),
IF(ISNUMBER(AQ487),4),
IF(ISNUMBER(AU487),5),
IF(ISNUMBER(AY487),6),
IF(ISNUMBER(BC487),7),
IF(ISNUMBER(BG487),8),
IF(ISNUMBER(BK487),9),
IF(ISNUMBER(BO487),10)))</f>
        <v/>
      </c>
      <c r="K744" s="369"/>
      <c r="L744" s="369" t="str">
        <f>IF(ISBLANK(Inputs!$A95),"",
_xlfn.LET(
_xlpm.n,J744,
CHOOSE(_xlpm.n,
AE487,AI487,AM487,AQ487,AU487,
AY487,BC487,BG487,BK487,BO487
)
))</f>
        <v/>
      </c>
      <c r="M744" s="369"/>
      <c r="N744" s="369" t="str">
        <f>IF(ISBLANK(Inputs!$A95),"",
Mat.Conc_Alpha.1*Mat.Conc_f.c*Inputs!J95*MIN(L744*Mat.Conc_Beta.1,Inputs!I95))</f>
        <v/>
      </c>
      <c r="O744" s="369"/>
      <c r="P744" s="372" t="str">
        <f>IF(ISBLANK(Inputs!$A95),"",
Mat.Conc_Alpha.1*Mat.Conc_f.c*Inputs!E95*MAX(0,L744*Mat.Conc_Beta.1-Inputs!I95))</f>
        <v/>
      </c>
      <c r="Q744" s="369"/>
      <c r="R744" s="369" t="str">
        <f>IF(ISBLANK(Inputs!$A95),"",Inputs!G95*MIN(Mat.Rebar_f.y,(Mat.Rebar_epsilon.cl*(Inputs!H95-L744)/L744)*Mat.PT_E.s))</f>
        <v/>
      </c>
      <c r="S744" s="369"/>
      <c r="T744" s="369" t="str">
        <f>IF(ISBLANK(Inputs!$A95),"",Inputs!D95*(Mat.PT_f.pu*(1-Mat.PT_k*L744/Inputs!F95)))</f>
        <v/>
      </c>
      <c r="U744" s="369"/>
      <c r="V744" s="369" t="str">
        <f>IF(ISBLANK(Inputs!$A95),"",
(Mat.PT_f.pe/Mat.PT_E.ps)+(Mat.Rebar_epsilon.cl*((Geometry_d.p.Positive-L744)/L744)))</f>
        <v/>
      </c>
      <c r="W744" s="369"/>
      <c r="X744" s="369" t="str">
        <f>IF(ISBLANK(Inputs!$A95),"",
0.5*MIN(L744*Mat.Conc_Beta.1,Geometry_h.f.Positive))</f>
        <v/>
      </c>
      <c r="Y744" s="369"/>
      <c r="Z744" s="369" t="str">
        <f>IF(ISBLANK(Inputs!$A95),"",
IF(P744=0,0,Geometry_h.f.Positive+0.5*MAX(0,L744*Mat.Conc_Beta.1-Geometry_h.f.Positive)))</f>
        <v/>
      </c>
      <c r="AA744" s="369"/>
      <c r="AB744" s="369" t="str">
        <f>IF(ISBLANK(Inputs!$A95),"",
Inputs!H95)</f>
        <v/>
      </c>
      <c r="AC744" s="369"/>
      <c r="AD744" s="369" t="str">
        <f>IF(ISBLANK(Inputs!$A95),"",
Inputs!F95)</f>
        <v/>
      </c>
      <c r="AE744" s="369"/>
      <c r="AF744" s="369" t="str">
        <f>IF(ISBLANK(Inputs!$A95),"",
MAX(0.75,MIN(1,0.75+0.25*(V744-Mat.Rebar_epsilon.cl)/(Mat.Rebar_epsilon.tl-Mat.Rebar_epsilon.cl))))</f>
        <v/>
      </c>
      <c r="AG744" s="369"/>
      <c r="AH744" s="370" t="str">
        <f>IF(ISBLANK(Inputs!$A95),"",
((AD744*T744+AB744*R744-Z744*P744-X744*N744)/12)*AF744)</f>
        <v/>
      </c>
      <c r="AI744" s="370"/>
      <c r="AJ744" s="370"/>
      <c r="AK744" s="369" t="str">
        <f>IF(ISBLANK(Inputs!$A95),"",
MAX(IF(ISNUMBER(AE612),1),
IF(ISNUMBER(AI612),2),
IF(ISNUMBER(AM612),3),
IF(ISNUMBER(AQ612),4),
IF(ISNUMBER(AU612),5),
IF(ISNUMBER(AY612),6),
IF(ISNUMBER(BC612),7),
IF(ISNUMBER(BG612),8),
IF(ISNUMBER(BK612),9),
IF(ISNUMBER(BO612),10)))</f>
        <v/>
      </c>
      <c r="AL744" s="369"/>
      <c r="AM744" s="369" t="str">
        <f>IF(ISBLANK(Inputs!$A95),"",
_xlfn.LET(
_xlpm.n,AK744,
CHOOSE(_xlpm.n,
AE612,AI612,AM612,AQ612,AU612,
AY612,BC612,BG612,BK612,BO612
)
))</f>
        <v/>
      </c>
      <c r="AN744" s="369"/>
      <c r="AO744" s="369" t="str">
        <f>IF(ISBLANK(Inputs!$A95),"",
Mat.Conc_Alpha.1*Mat.Conc_f.c*Geometry_b.Negative*MIN(AM744*Mat.Conc_Beta.1,Geometry_h.f.Negative))</f>
        <v/>
      </c>
      <c r="AP744" s="369"/>
      <c r="AQ744" s="369" t="str">
        <f>IF(ISBLANK(Inputs!$A95),"",
Mat.Conc_Alpha.1*Mat.Conc_f.c*Geometry_b.w*MAX(0,AM744*Mat.Conc_Beta.1-Geometry_h.f.Negative))</f>
        <v/>
      </c>
      <c r="AR744" s="369"/>
      <c r="AS744" s="369" t="str">
        <f>IF(ISBLANK(Inputs!$A95),"",
Mat.Rebar_A.s.Positive*MIN(Mat.Rebar_f.y,(Mat.Rebar_epsilon.cl*(Geometry_d.s.Negative-AM744)/AM744)*Mat.PT_E.s))</f>
        <v/>
      </c>
      <c r="AT744" s="369"/>
      <c r="AU744" s="369" t="str">
        <f>IF(ISBLANK(Inputs!$A95),"",
Mat.PT_A.ps*(Mat.PT_f.pu*(1-Mat.PT_k*AM744/Geometry_d.p.Negative)))</f>
        <v/>
      </c>
      <c r="AV744" s="369"/>
      <c r="AW744" s="369" t="str">
        <f>IF(ISBLANK(Inputs!$A95),"",
(Mat.PT_f.pe/Mat.PT_E.ps)+(Mat.Rebar_epsilon.cl*((Geometry_d.p.Negative-AM744)/AM744)))</f>
        <v/>
      </c>
      <c r="AX744" s="369"/>
      <c r="AY744" s="369" t="str">
        <f>IF(ISBLANK(Inputs!$A95),"",
0.5*MIN(AM744*Mat.Conc_Beta.1,Geometry_h.f.Negative))</f>
        <v/>
      </c>
      <c r="AZ744" s="369"/>
      <c r="BA744" s="369" t="str">
        <f>IF(ISBLANK(Inputs!$A95),"",
IF(AQ744=0,0,Geometry_h.f.Negative+0.5*MAX(0,AM744*Mat.Conc_Beta.1-Geometry_h.f.Negative)))</f>
        <v/>
      </c>
      <c r="BB744" s="369"/>
      <c r="BC744" s="369" t="str">
        <f>IF(ISBLANK(Inputs!$A95),"",
Inputs!L95)</f>
        <v/>
      </c>
      <c r="BD744" s="369"/>
      <c r="BE744" s="369" t="str">
        <f>IF(ISBLANK(Inputs!$A95),"",Inputs!$B$10-Inputs!F95)</f>
        <v/>
      </c>
      <c r="BF744" s="369"/>
      <c r="BG744" s="369" t="str">
        <f>IF(ISBLANK(Inputs!$A95),"",
MAX(0.75,MIN(1,0.75+0.25*(AW744-Mat.Rebar_epsilon.cl)/(Mat.Rebar_epsilon.tl-Mat.Rebar_epsilon.cl))))</f>
        <v/>
      </c>
      <c r="BH744" s="369"/>
      <c r="BI744" s="370" t="str">
        <f>IF(ISBLANK(Inputs!$A95),"",
-((BE744*AU744+BC744*AS744-BA744*AQ744-AY744*AO744)/12)*BG744)</f>
        <v/>
      </c>
      <c r="BJ744" s="370"/>
      <c r="BK744" s="370"/>
      <c r="BL744" s="370" t="str">
        <f>IF(ISBLANK(Inputs!C95),"",Inputs!C95)</f>
        <v/>
      </c>
      <c r="BM744" s="370"/>
      <c r="BN744" s="370"/>
      <c r="BO744" s="374" t="str">
        <f>IF(ISBLANK(Inputs!$A95),"",
IFERROR(IF(BL744&gt;=0,ABS(BL744)/ABS(AH744),ABS(BL744)/ABS(BI744)),""))</f>
        <v/>
      </c>
      <c r="BP744" s="374"/>
      <c r="BQ744" s="374"/>
      <c r="BR744" s="59"/>
      <c r="BS744" s="70"/>
      <c r="BT744" s="70"/>
      <c r="BU744" s="70"/>
      <c r="BV744" s="70"/>
      <c r="BW744" s="8"/>
      <c r="BX744" s="8"/>
      <c r="BY744" s="8"/>
      <c r="BZ744" s="8"/>
      <c r="CA744" s="8"/>
      <c r="CB744" s="10"/>
    </row>
    <row r="745" spans="3:80" ht="15" customHeight="1" x14ac:dyDescent="0.25">
      <c r="C745" s="69"/>
      <c r="F745" s="369" t="str">
        <f>IF(ISBLANK(Inputs!A96),"",Inputs!A96)</f>
        <v/>
      </c>
      <c r="G745" s="369"/>
      <c r="H745" s="369" t="str">
        <f>IF(ISBLANK(Inputs!B96),"",Inputs!B96)</f>
        <v/>
      </c>
      <c r="I745" s="369"/>
      <c r="J745" s="369" t="str">
        <f>IF(ISBLANK(Inputs!$A96),"",
MAX(IF(ISNUMBER(AE488),1),
IF(ISNUMBER(AI488),2),
IF(ISNUMBER(AM488),3),
IF(ISNUMBER(AQ488),4),
IF(ISNUMBER(AU488),5),
IF(ISNUMBER(AY488),6),
IF(ISNUMBER(BC488),7),
IF(ISNUMBER(BG488),8),
IF(ISNUMBER(BK488),9),
IF(ISNUMBER(BO488),10)))</f>
        <v/>
      </c>
      <c r="K745" s="369"/>
      <c r="L745" s="369" t="str">
        <f>IF(ISBLANK(Inputs!$A96),"",
_xlfn.LET(
_xlpm.n,J745,
CHOOSE(_xlpm.n,
AE488,AI488,AM488,AQ488,AU488,
AY488,BC488,BG488,BK488,BO488
)
))</f>
        <v/>
      </c>
      <c r="M745" s="369"/>
      <c r="N745" s="369" t="str">
        <f>IF(ISBLANK(Inputs!$A96),"",
Mat.Conc_Alpha.1*Mat.Conc_f.c*Inputs!J96*MIN(L745*Mat.Conc_Beta.1,Inputs!I96))</f>
        <v/>
      </c>
      <c r="O745" s="369"/>
      <c r="P745" s="372" t="str">
        <f>IF(ISBLANK(Inputs!$A96),"",
Mat.Conc_Alpha.1*Mat.Conc_f.c*Inputs!E96*MAX(0,L745*Mat.Conc_Beta.1-Inputs!I96))</f>
        <v/>
      </c>
      <c r="Q745" s="369"/>
      <c r="R745" s="369" t="str">
        <f>IF(ISBLANK(Inputs!$A96),"",Inputs!G96*MIN(Mat.Rebar_f.y,(Mat.Rebar_epsilon.cl*(Inputs!H96-L745)/L745)*Mat.PT_E.s))</f>
        <v/>
      </c>
      <c r="S745" s="369"/>
      <c r="T745" s="369" t="str">
        <f>IF(ISBLANK(Inputs!$A96),"",Inputs!D96*(Mat.PT_f.pu*(1-Mat.PT_k*L745/Inputs!F96)))</f>
        <v/>
      </c>
      <c r="U745" s="369"/>
      <c r="V745" s="369" t="str">
        <f>IF(ISBLANK(Inputs!$A96),"",
(Mat.PT_f.pe/Mat.PT_E.ps)+(Mat.Rebar_epsilon.cl*((Geometry_d.p.Positive-L745)/L745)))</f>
        <v/>
      </c>
      <c r="W745" s="369"/>
      <c r="X745" s="369" t="str">
        <f>IF(ISBLANK(Inputs!$A96),"",
0.5*MIN(L745*Mat.Conc_Beta.1,Geometry_h.f.Positive))</f>
        <v/>
      </c>
      <c r="Y745" s="369"/>
      <c r="Z745" s="369" t="str">
        <f>IF(ISBLANK(Inputs!$A96),"",
IF(P745=0,0,Geometry_h.f.Positive+0.5*MAX(0,L745*Mat.Conc_Beta.1-Geometry_h.f.Positive)))</f>
        <v/>
      </c>
      <c r="AA745" s="369"/>
      <c r="AB745" s="369" t="str">
        <f>IF(ISBLANK(Inputs!$A96),"",
Inputs!H96)</f>
        <v/>
      </c>
      <c r="AC745" s="369"/>
      <c r="AD745" s="369" t="str">
        <f>IF(ISBLANK(Inputs!$A96),"",
Inputs!F96)</f>
        <v/>
      </c>
      <c r="AE745" s="369"/>
      <c r="AF745" s="369" t="str">
        <f>IF(ISBLANK(Inputs!$A96),"",
MAX(0.75,MIN(1,0.75+0.25*(V745-Mat.Rebar_epsilon.cl)/(Mat.Rebar_epsilon.tl-Mat.Rebar_epsilon.cl))))</f>
        <v/>
      </c>
      <c r="AG745" s="369"/>
      <c r="AH745" s="370" t="str">
        <f>IF(ISBLANK(Inputs!$A96),"",
((AD745*T745+AB745*R745-Z745*P745-X745*N745)/12)*AF745)</f>
        <v/>
      </c>
      <c r="AI745" s="370"/>
      <c r="AJ745" s="370"/>
      <c r="AK745" s="369" t="str">
        <f>IF(ISBLANK(Inputs!$A96),"",
MAX(IF(ISNUMBER(AE613),1),
IF(ISNUMBER(AI613),2),
IF(ISNUMBER(AM613),3),
IF(ISNUMBER(AQ613),4),
IF(ISNUMBER(AU613),5),
IF(ISNUMBER(AY613),6),
IF(ISNUMBER(BC613),7),
IF(ISNUMBER(BG613),8),
IF(ISNUMBER(BK613),9),
IF(ISNUMBER(BO613),10)))</f>
        <v/>
      </c>
      <c r="AL745" s="369"/>
      <c r="AM745" s="369" t="str">
        <f>IF(ISBLANK(Inputs!$A96),"",
_xlfn.LET(
_xlpm.n,AK745,
CHOOSE(_xlpm.n,
AE613,AI613,AM613,AQ613,AU613,
AY613,BC613,BG613,BK613,BO613
)
))</f>
        <v/>
      </c>
      <c r="AN745" s="369"/>
      <c r="AO745" s="369" t="str">
        <f>IF(ISBLANK(Inputs!$A96),"",
Mat.Conc_Alpha.1*Mat.Conc_f.c*Geometry_b.Negative*MIN(AM745*Mat.Conc_Beta.1,Geometry_h.f.Negative))</f>
        <v/>
      </c>
      <c r="AP745" s="369"/>
      <c r="AQ745" s="369" t="str">
        <f>IF(ISBLANK(Inputs!$A96),"",
Mat.Conc_Alpha.1*Mat.Conc_f.c*Geometry_b.w*MAX(0,AM745*Mat.Conc_Beta.1-Geometry_h.f.Negative))</f>
        <v/>
      </c>
      <c r="AR745" s="369"/>
      <c r="AS745" s="369" t="str">
        <f>IF(ISBLANK(Inputs!$A96),"",
Mat.Rebar_A.s.Positive*MIN(Mat.Rebar_f.y,(Mat.Rebar_epsilon.cl*(Geometry_d.s.Negative-AM745)/AM745)*Mat.PT_E.s))</f>
        <v/>
      </c>
      <c r="AT745" s="369"/>
      <c r="AU745" s="369" t="str">
        <f>IF(ISBLANK(Inputs!$A96),"",
Mat.PT_A.ps*(Mat.PT_f.pu*(1-Mat.PT_k*AM745/Geometry_d.p.Negative)))</f>
        <v/>
      </c>
      <c r="AV745" s="369"/>
      <c r="AW745" s="369" t="str">
        <f>IF(ISBLANK(Inputs!$A96),"",
(Mat.PT_f.pe/Mat.PT_E.ps)+(Mat.Rebar_epsilon.cl*((Geometry_d.p.Negative-AM745)/AM745)))</f>
        <v/>
      </c>
      <c r="AX745" s="369"/>
      <c r="AY745" s="369" t="str">
        <f>IF(ISBLANK(Inputs!$A96),"",
0.5*MIN(AM745*Mat.Conc_Beta.1,Geometry_h.f.Negative))</f>
        <v/>
      </c>
      <c r="AZ745" s="369"/>
      <c r="BA745" s="369" t="str">
        <f>IF(ISBLANK(Inputs!$A96),"",
IF(AQ745=0,0,Geometry_h.f.Negative+0.5*MAX(0,AM745*Mat.Conc_Beta.1-Geometry_h.f.Negative)))</f>
        <v/>
      </c>
      <c r="BB745" s="369"/>
      <c r="BC745" s="369" t="str">
        <f>IF(ISBLANK(Inputs!$A96),"",
Inputs!L96)</f>
        <v/>
      </c>
      <c r="BD745" s="369"/>
      <c r="BE745" s="369" t="str">
        <f>IF(ISBLANK(Inputs!$A96),"",Inputs!$B$10-Inputs!F96)</f>
        <v/>
      </c>
      <c r="BF745" s="369"/>
      <c r="BG745" s="369" t="str">
        <f>IF(ISBLANK(Inputs!$A96),"",
MAX(0.75,MIN(1,0.75+0.25*(AW745-Mat.Rebar_epsilon.cl)/(Mat.Rebar_epsilon.tl-Mat.Rebar_epsilon.cl))))</f>
        <v/>
      </c>
      <c r="BH745" s="369"/>
      <c r="BI745" s="370" t="str">
        <f>IF(ISBLANK(Inputs!$A96),"",
-((BE745*AU745+BC745*AS745-BA745*AQ745-AY745*AO745)/12)*BG745)</f>
        <v/>
      </c>
      <c r="BJ745" s="370"/>
      <c r="BK745" s="370"/>
      <c r="BL745" s="370" t="str">
        <f>IF(ISBLANK(Inputs!C96),"",Inputs!C96)</f>
        <v/>
      </c>
      <c r="BM745" s="370"/>
      <c r="BN745" s="370"/>
      <c r="BO745" s="374" t="str">
        <f>IF(ISBLANK(Inputs!$A96),"",
IFERROR(IF(BL745&gt;=0,ABS(BL745)/ABS(AH745),ABS(BL745)/ABS(BI745)),""))</f>
        <v/>
      </c>
      <c r="BP745" s="374"/>
      <c r="BQ745" s="374"/>
      <c r="BR745" s="59"/>
      <c r="BS745" s="70"/>
      <c r="BT745" s="70"/>
      <c r="BU745" s="70"/>
      <c r="BV745" s="70"/>
      <c r="BW745" s="8"/>
      <c r="BX745" s="8"/>
      <c r="BY745" s="8"/>
      <c r="BZ745" s="8"/>
      <c r="CA745" s="8"/>
      <c r="CB745" s="10"/>
    </row>
    <row r="746" spans="3:80" ht="15" customHeight="1" x14ac:dyDescent="0.25">
      <c r="C746" s="69"/>
      <c r="F746" s="369" t="str">
        <f>IF(ISBLANK(Inputs!A97),"",Inputs!A97)</f>
        <v/>
      </c>
      <c r="G746" s="369"/>
      <c r="H746" s="369" t="str">
        <f>IF(ISBLANK(Inputs!B97),"",Inputs!B97)</f>
        <v/>
      </c>
      <c r="I746" s="369"/>
      <c r="J746" s="369" t="str">
        <f>IF(ISBLANK(Inputs!$A97),"",
MAX(IF(ISNUMBER(AE489),1),
IF(ISNUMBER(AI489),2),
IF(ISNUMBER(AM489),3),
IF(ISNUMBER(AQ489),4),
IF(ISNUMBER(AU489),5),
IF(ISNUMBER(AY489),6),
IF(ISNUMBER(BC489),7),
IF(ISNUMBER(BG489),8),
IF(ISNUMBER(BK489),9),
IF(ISNUMBER(BO489),10)))</f>
        <v/>
      </c>
      <c r="K746" s="369"/>
      <c r="L746" s="369" t="str">
        <f>IF(ISBLANK(Inputs!$A97),"",
_xlfn.LET(
_xlpm.n,J746,
CHOOSE(_xlpm.n,
AE489,AI489,AM489,AQ489,AU489,
AY489,BC489,BG489,BK489,BO489
)
))</f>
        <v/>
      </c>
      <c r="M746" s="369"/>
      <c r="N746" s="369" t="str">
        <f>IF(ISBLANK(Inputs!$A97),"",
Mat.Conc_Alpha.1*Mat.Conc_f.c*Inputs!J97*MIN(L746*Mat.Conc_Beta.1,Inputs!I97))</f>
        <v/>
      </c>
      <c r="O746" s="369"/>
      <c r="P746" s="372" t="str">
        <f>IF(ISBLANK(Inputs!$A97),"",
Mat.Conc_Alpha.1*Mat.Conc_f.c*Inputs!E97*MAX(0,L746*Mat.Conc_Beta.1-Inputs!I97))</f>
        <v/>
      </c>
      <c r="Q746" s="369"/>
      <c r="R746" s="369" t="str">
        <f>IF(ISBLANK(Inputs!$A97),"",Inputs!G97*MIN(Mat.Rebar_f.y,(Mat.Rebar_epsilon.cl*(Inputs!H97-L746)/L746)*Mat.PT_E.s))</f>
        <v/>
      </c>
      <c r="S746" s="369"/>
      <c r="T746" s="369" t="str">
        <f>IF(ISBLANK(Inputs!$A97),"",Inputs!D97*(Mat.PT_f.pu*(1-Mat.PT_k*L746/Inputs!F97)))</f>
        <v/>
      </c>
      <c r="U746" s="369"/>
      <c r="V746" s="369" t="str">
        <f>IF(ISBLANK(Inputs!$A97),"",
(Mat.PT_f.pe/Mat.PT_E.ps)+(Mat.Rebar_epsilon.cl*((Geometry_d.p.Positive-L746)/L746)))</f>
        <v/>
      </c>
      <c r="W746" s="369"/>
      <c r="X746" s="369" t="str">
        <f>IF(ISBLANK(Inputs!$A97),"",
0.5*MIN(L746*Mat.Conc_Beta.1,Geometry_h.f.Positive))</f>
        <v/>
      </c>
      <c r="Y746" s="369"/>
      <c r="Z746" s="369" t="str">
        <f>IF(ISBLANK(Inputs!$A97),"",
IF(P746=0,0,Geometry_h.f.Positive+0.5*MAX(0,L746*Mat.Conc_Beta.1-Geometry_h.f.Positive)))</f>
        <v/>
      </c>
      <c r="AA746" s="369"/>
      <c r="AB746" s="369" t="str">
        <f>IF(ISBLANK(Inputs!$A97),"",
Inputs!H97)</f>
        <v/>
      </c>
      <c r="AC746" s="369"/>
      <c r="AD746" s="369" t="str">
        <f>IF(ISBLANK(Inputs!$A97),"",
Inputs!F97)</f>
        <v/>
      </c>
      <c r="AE746" s="369"/>
      <c r="AF746" s="369" t="str">
        <f>IF(ISBLANK(Inputs!$A97),"",
MAX(0.75,MIN(1,0.75+0.25*(V746-Mat.Rebar_epsilon.cl)/(Mat.Rebar_epsilon.tl-Mat.Rebar_epsilon.cl))))</f>
        <v/>
      </c>
      <c r="AG746" s="369"/>
      <c r="AH746" s="370" t="str">
        <f>IF(ISBLANK(Inputs!$A97),"",
((AD746*T746+AB746*R746-Z746*P746-X746*N746)/12)*AF746)</f>
        <v/>
      </c>
      <c r="AI746" s="370"/>
      <c r="AJ746" s="370"/>
      <c r="AK746" s="369" t="str">
        <f>IF(ISBLANK(Inputs!$A97),"",
MAX(IF(ISNUMBER(AE614),1),
IF(ISNUMBER(AI614),2),
IF(ISNUMBER(AM614),3),
IF(ISNUMBER(AQ614),4),
IF(ISNUMBER(AU614),5),
IF(ISNUMBER(AY614),6),
IF(ISNUMBER(BC614),7),
IF(ISNUMBER(BG614),8),
IF(ISNUMBER(BK614),9),
IF(ISNUMBER(BO614),10)))</f>
        <v/>
      </c>
      <c r="AL746" s="369"/>
      <c r="AM746" s="369" t="str">
        <f>IF(ISBLANK(Inputs!$A97),"",
_xlfn.LET(
_xlpm.n,AK746,
CHOOSE(_xlpm.n,
AE614,AI614,AM614,AQ614,AU614,
AY614,BC614,BG614,BK614,BO614
)
))</f>
        <v/>
      </c>
      <c r="AN746" s="369"/>
      <c r="AO746" s="369" t="str">
        <f>IF(ISBLANK(Inputs!$A97),"",
Mat.Conc_Alpha.1*Mat.Conc_f.c*Geometry_b.Negative*MIN(AM746*Mat.Conc_Beta.1,Geometry_h.f.Negative))</f>
        <v/>
      </c>
      <c r="AP746" s="369"/>
      <c r="AQ746" s="369" t="str">
        <f>IF(ISBLANK(Inputs!$A97),"",
Mat.Conc_Alpha.1*Mat.Conc_f.c*Geometry_b.w*MAX(0,AM746*Mat.Conc_Beta.1-Geometry_h.f.Negative))</f>
        <v/>
      </c>
      <c r="AR746" s="369"/>
      <c r="AS746" s="369" t="str">
        <f>IF(ISBLANK(Inputs!$A97),"",
Mat.Rebar_A.s.Positive*MIN(Mat.Rebar_f.y,(Mat.Rebar_epsilon.cl*(Geometry_d.s.Negative-AM746)/AM746)*Mat.PT_E.s))</f>
        <v/>
      </c>
      <c r="AT746" s="369"/>
      <c r="AU746" s="369" t="str">
        <f>IF(ISBLANK(Inputs!$A97),"",
Mat.PT_A.ps*(Mat.PT_f.pu*(1-Mat.PT_k*AM746/Geometry_d.p.Negative)))</f>
        <v/>
      </c>
      <c r="AV746" s="369"/>
      <c r="AW746" s="369" t="str">
        <f>IF(ISBLANK(Inputs!$A97),"",
(Mat.PT_f.pe/Mat.PT_E.ps)+(Mat.Rebar_epsilon.cl*((Geometry_d.p.Negative-AM746)/AM746)))</f>
        <v/>
      </c>
      <c r="AX746" s="369"/>
      <c r="AY746" s="369" t="str">
        <f>IF(ISBLANK(Inputs!$A97),"",
0.5*MIN(AM746*Mat.Conc_Beta.1,Geometry_h.f.Negative))</f>
        <v/>
      </c>
      <c r="AZ746" s="369"/>
      <c r="BA746" s="369" t="str">
        <f>IF(ISBLANK(Inputs!$A97),"",
IF(AQ746=0,0,Geometry_h.f.Negative+0.5*MAX(0,AM746*Mat.Conc_Beta.1-Geometry_h.f.Negative)))</f>
        <v/>
      </c>
      <c r="BB746" s="369"/>
      <c r="BC746" s="369" t="str">
        <f>IF(ISBLANK(Inputs!$A97),"",
Inputs!L97)</f>
        <v/>
      </c>
      <c r="BD746" s="369"/>
      <c r="BE746" s="369" t="str">
        <f>IF(ISBLANK(Inputs!$A97),"",Inputs!$B$10-Inputs!F97)</f>
        <v/>
      </c>
      <c r="BF746" s="369"/>
      <c r="BG746" s="369" t="str">
        <f>IF(ISBLANK(Inputs!$A97),"",
MAX(0.75,MIN(1,0.75+0.25*(AW746-Mat.Rebar_epsilon.cl)/(Mat.Rebar_epsilon.tl-Mat.Rebar_epsilon.cl))))</f>
        <v/>
      </c>
      <c r="BH746" s="369"/>
      <c r="BI746" s="370" t="str">
        <f>IF(ISBLANK(Inputs!$A97),"",
-((BE746*AU746+BC746*AS746-BA746*AQ746-AY746*AO746)/12)*BG746)</f>
        <v/>
      </c>
      <c r="BJ746" s="370"/>
      <c r="BK746" s="370"/>
      <c r="BL746" s="370" t="str">
        <f>IF(ISBLANK(Inputs!C97),"",Inputs!C97)</f>
        <v/>
      </c>
      <c r="BM746" s="370"/>
      <c r="BN746" s="370"/>
      <c r="BO746" s="374" t="str">
        <f>IF(ISBLANK(Inputs!$A97),"",
IFERROR(IF(BL746&gt;=0,ABS(BL746)/ABS(AH746),ABS(BL746)/ABS(BI746)),""))</f>
        <v/>
      </c>
      <c r="BP746" s="374"/>
      <c r="BQ746" s="374"/>
      <c r="BR746" s="59"/>
      <c r="BS746" s="70"/>
      <c r="BT746" s="70"/>
      <c r="BU746" s="70"/>
      <c r="BV746" s="70"/>
      <c r="BW746" s="8"/>
      <c r="BX746" s="8"/>
      <c r="BY746" s="8"/>
      <c r="BZ746" s="8"/>
      <c r="CA746" s="8"/>
      <c r="CB746" s="10"/>
    </row>
    <row r="747" spans="3:80" ht="15" customHeight="1" x14ac:dyDescent="0.25">
      <c r="C747" s="69"/>
      <c r="F747" s="369" t="str">
        <f>IF(ISBLANK(Inputs!A98),"",Inputs!A98)</f>
        <v/>
      </c>
      <c r="G747" s="369"/>
      <c r="H747" s="369" t="str">
        <f>IF(ISBLANK(Inputs!B98),"",Inputs!B98)</f>
        <v/>
      </c>
      <c r="I747" s="369"/>
      <c r="J747" s="369" t="str">
        <f>IF(ISBLANK(Inputs!$A98),"",
MAX(IF(ISNUMBER(AE490),1),
IF(ISNUMBER(AI490),2),
IF(ISNUMBER(AM490),3),
IF(ISNUMBER(AQ490),4),
IF(ISNUMBER(AU490),5),
IF(ISNUMBER(AY490),6),
IF(ISNUMBER(BC490),7),
IF(ISNUMBER(BG490),8),
IF(ISNUMBER(BK490),9),
IF(ISNUMBER(BO490),10)))</f>
        <v/>
      </c>
      <c r="K747" s="369"/>
      <c r="L747" s="369" t="str">
        <f>IF(ISBLANK(Inputs!$A98),"",
_xlfn.LET(
_xlpm.n,J747,
CHOOSE(_xlpm.n,
AE490,AI490,AM490,AQ490,AU490,
AY490,BC490,BG490,BK490,BO490
)
))</f>
        <v/>
      </c>
      <c r="M747" s="369"/>
      <c r="N747" s="369" t="str">
        <f>IF(ISBLANK(Inputs!$A98),"",
Mat.Conc_Alpha.1*Mat.Conc_f.c*Inputs!J98*MIN(L747*Mat.Conc_Beta.1,Inputs!I98))</f>
        <v/>
      </c>
      <c r="O747" s="369"/>
      <c r="P747" s="372" t="str">
        <f>IF(ISBLANK(Inputs!$A98),"",
Mat.Conc_Alpha.1*Mat.Conc_f.c*Inputs!E98*MAX(0,L747*Mat.Conc_Beta.1-Inputs!I98))</f>
        <v/>
      </c>
      <c r="Q747" s="369"/>
      <c r="R747" s="369" t="str">
        <f>IF(ISBLANK(Inputs!$A98),"",Inputs!G98*MIN(Mat.Rebar_f.y,(Mat.Rebar_epsilon.cl*(Inputs!H98-L747)/L747)*Mat.PT_E.s))</f>
        <v/>
      </c>
      <c r="S747" s="369"/>
      <c r="T747" s="369" t="str">
        <f>IF(ISBLANK(Inputs!$A98),"",Inputs!D98*(Mat.PT_f.pu*(1-Mat.PT_k*L747/Inputs!F98)))</f>
        <v/>
      </c>
      <c r="U747" s="369"/>
      <c r="V747" s="369" t="str">
        <f>IF(ISBLANK(Inputs!$A98),"",
(Mat.PT_f.pe/Mat.PT_E.ps)+(Mat.Rebar_epsilon.cl*((Geometry_d.p.Positive-L747)/L747)))</f>
        <v/>
      </c>
      <c r="W747" s="369"/>
      <c r="X747" s="369" t="str">
        <f>IF(ISBLANK(Inputs!$A98),"",
0.5*MIN(L747*Mat.Conc_Beta.1,Geometry_h.f.Positive))</f>
        <v/>
      </c>
      <c r="Y747" s="369"/>
      <c r="Z747" s="369" t="str">
        <f>IF(ISBLANK(Inputs!$A98),"",
IF(P747=0,0,Geometry_h.f.Positive+0.5*MAX(0,L747*Mat.Conc_Beta.1-Geometry_h.f.Positive)))</f>
        <v/>
      </c>
      <c r="AA747" s="369"/>
      <c r="AB747" s="369" t="str">
        <f>IF(ISBLANK(Inputs!$A98),"",
Inputs!H98)</f>
        <v/>
      </c>
      <c r="AC747" s="369"/>
      <c r="AD747" s="369" t="str">
        <f>IF(ISBLANK(Inputs!$A98),"",
Inputs!F98)</f>
        <v/>
      </c>
      <c r="AE747" s="369"/>
      <c r="AF747" s="369" t="str">
        <f>IF(ISBLANK(Inputs!$A98),"",
MAX(0.75,MIN(1,0.75+0.25*(V747-Mat.Rebar_epsilon.cl)/(Mat.Rebar_epsilon.tl-Mat.Rebar_epsilon.cl))))</f>
        <v/>
      </c>
      <c r="AG747" s="369"/>
      <c r="AH747" s="370" t="str">
        <f>IF(ISBLANK(Inputs!$A98),"",
((AD747*T747+AB747*R747-Z747*P747-X747*N747)/12)*AF747)</f>
        <v/>
      </c>
      <c r="AI747" s="370"/>
      <c r="AJ747" s="370"/>
      <c r="AK747" s="369" t="str">
        <f>IF(ISBLANK(Inputs!$A98),"",
MAX(IF(ISNUMBER(AE615),1),
IF(ISNUMBER(AI615),2),
IF(ISNUMBER(AM615),3),
IF(ISNUMBER(AQ615),4),
IF(ISNUMBER(AU615),5),
IF(ISNUMBER(AY615),6),
IF(ISNUMBER(BC615),7),
IF(ISNUMBER(BG615),8),
IF(ISNUMBER(BK615),9),
IF(ISNUMBER(BO615),10)))</f>
        <v/>
      </c>
      <c r="AL747" s="369"/>
      <c r="AM747" s="369" t="str">
        <f>IF(ISBLANK(Inputs!$A98),"",
_xlfn.LET(
_xlpm.n,AK747,
CHOOSE(_xlpm.n,
AE615,AI615,AM615,AQ615,AU615,
AY615,BC615,BG615,BK615,BO615
)
))</f>
        <v/>
      </c>
      <c r="AN747" s="369"/>
      <c r="AO747" s="369" t="str">
        <f>IF(ISBLANK(Inputs!$A98),"",
Mat.Conc_Alpha.1*Mat.Conc_f.c*Geometry_b.Negative*MIN(AM747*Mat.Conc_Beta.1,Geometry_h.f.Negative))</f>
        <v/>
      </c>
      <c r="AP747" s="369"/>
      <c r="AQ747" s="369" t="str">
        <f>IF(ISBLANK(Inputs!$A98),"",
Mat.Conc_Alpha.1*Mat.Conc_f.c*Geometry_b.w*MAX(0,AM747*Mat.Conc_Beta.1-Geometry_h.f.Negative))</f>
        <v/>
      </c>
      <c r="AR747" s="369"/>
      <c r="AS747" s="369" t="str">
        <f>IF(ISBLANK(Inputs!$A98),"",
Mat.Rebar_A.s.Positive*MIN(Mat.Rebar_f.y,(Mat.Rebar_epsilon.cl*(Geometry_d.s.Negative-AM747)/AM747)*Mat.PT_E.s))</f>
        <v/>
      </c>
      <c r="AT747" s="369"/>
      <c r="AU747" s="369" t="str">
        <f>IF(ISBLANK(Inputs!$A98),"",
Mat.PT_A.ps*(Mat.PT_f.pu*(1-Mat.PT_k*AM747/Geometry_d.p.Negative)))</f>
        <v/>
      </c>
      <c r="AV747" s="369"/>
      <c r="AW747" s="369" t="str">
        <f>IF(ISBLANK(Inputs!$A98),"",
(Mat.PT_f.pe/Mat.PT_E.ps)+(Mat.Rebar_epsilon.cl*((Geometry_d.p.Negative-AM747)/AM747)))</f>
        <v/>
      </c>
      <c r="AX747" s="369"/>
      <c r="AY747" s="369" t="str">
        <f>IF(ISBLANK(Inputs!$A98),"",
0.5*MIN(AM747*Mat.Conc_Beta.1,Geometry_h.f.Negative))</f>
        <v/>
      </c>
      <c r="AZ747" s="369"/>
      <c r="BA747" s="369" t="str">
        <f>IF(ISBLANK(Inputs!$A98),"",
IF(AQ747=0,0,Geometry_h.f.Negative+0.5*MAX(0,AM747*Mat.Conc_Beta.1-Geometry_h.f.Negative)))</f>
        <v/>
      </c>
      <c r="BB747" s="369"/>
      <c r="BC747" s="369" t="str">
        <f>IF(ISBLANK(Inputs!$A98),"",
Inputs!L98)</f>
        <v/>
      </c>
      <c r="BD747" s="369"/>
      <c r="BE747" s="369" t="str">
        <f>IF(ISBLANK(Inputs!$A98),"",Inputs!$B$10-Inputs!F98)</f>
        <v/>
      </c>
      <c r="BF747" s="369"/>
      <c r="BG747" s="369" t="str">
        <f>IF(ISBLANK(Inputs!$A98),"",
MAX(0.75,MIN(1,0.75+0.25*(AW747-Mat.Rebar_epsilon.cl)/(Mat.Rebar_epsilon.tl-Mat.Rebar_epsilon.cl))))</f>
        <v/>
      </c>
      <c r="BH747" s="369"/>
      <c r="BI747" s="370" t="str">
        <f>IF(ISBLANK(Inputs!$A98),"",
-((BE747*AU747+BC747*AS747-BA747*AQ747-AY747*AO747)/12)*BG747)</f>
        <v/>
      </c>
      <c r="BJ747" s="370"/>
      <c r="BK747" s="370"/>
      <c r="BL747" s="370" t="str">
        <f>IF(ISBLANK(Inputs!C98),"",Inputs!C98)</f>
        <v/>
      </c>
      <c r="BM747" s="370"/>
      <c r="BN747" s="370"/>
      <c r="BO747" s="374" t="str">
        <f>IF(ISBLANK(Inputs!$A98),"",
IFERROR(IF(BL747&gt;=0,ABS(BL747)/ABS(AH747),ABS(BL747)/ABS(BI747)),""))</f>
        <v/>
      </c>
      <c r="BP747" s="374"/>
      <c r="BQ747" s="374"/>
      <c r="BR747" s="59"/>
      <c r="BS747" s="70"/>
      <c r="BT747" s="70"/>
      <c r="BU747" s="70"/>
      <c r="BV747" s="70"/>
      <c r="BW747" s="8"/>
      <c r="BX747" s="8"/>
      <c r="BY747" s="8"/>
      <c r="BZ747" s="8"/>
      <c r="CA747" s="8"/>
      <c r="CB747" s="10"/>
    </row>
    <row r="748" spans="3:80" ht="15" customHeight="1" x14ac:dyDescent="0.25">
      <c r="C748" s="69"/>
      <c r="F748" s="369" t="str">
        <f>IF(ISBLANK(Inputs!A99),"",Inputs!A99)</f>
        <v/>
      </c>
      <c r="G748" s="369"/>
      <c r="H748" s="369" t="str">
        <f>IF(ISBLANK(Inputs!B99),"",Inputs!B99)</f>
        <v/>
      </c>
      <c r="I748" s="369"/>
      <c r="J748" s="369" t="str">
        <f>IF(ISBLANK(Inputs!$A99),"",
MAX(IF(ISNUMBER(AE491),1),
IF(ISNUMBER(AI491),2),
IF(ISNUMBER(AM491),3),
IF(ISNUMBER(AQ491),4),
IF(ISNUMBER(AU491),5),
IF(ISNUMBER(AY491),6),
IF(ISNUMBER(BC491),7),
IF(ISNUMBER(BG491),8),
IF(ISNUMBER(BK491),9),
IF(ISNUMBER(BO491),10)))</f>
        <v/>
      </c>
      <c r="K748" s="369"/>
      <c r="L748" s="369" t="str">
        <f>IF(ISBLANK(Inputs!$A99),"",
_xlfn.LET(
_xlpm.n,J748,
CHOOSE(_xlpm.n,
AE491,AI491,AM491,AQ491,AU491,
AY491,BC491,BG491,BK491,BO491
)
))</f>
        <v/>
      </c>
      <c r="M748" s="369"/>
      <c r="N748" s="369" t="str">
        <f>IF(ISBLANK(Inputs!$A99),"",
Mat.Conc_Alpha.1*Mat.Conc_f.c*Inputs!J99*MIN(L748*Mat.Conc_Beta.1,Inputs!I99))</f>
        <v/>
      </c>
      <c r="O748" s="369"/>
      <c r="P748" s="372" t="str">
        <f>IF(ISBLANK(Inputs!$A99),"",
Mat.Conc_Alpha.1*Mat.Conc_f.c*Inputs!E99*MAX(0,L748*Mat.Conc_Beta.1-Inputs!I99))</f>
        <v/>
      </c>
      <c r="Q748" s="369"/>
      <c r="R748" s="369" t="str">
        <f>IF(ISBLANK(Inputs!$A99),"",Inputs!G99*MIN(Mat.Rebar_f.y,(Mat.Rebar_epsilon.cl*(Inputs!H99-L748)/L748)*Mat.PT_E.s))</f>
        <v/>
      </c>
      <c r="S748" s="369"/>
      <c r="T748" s="369" t="str">
        <f>IF(ISBLANK(Inputs!$A99),"",Inputs!D99*(Mat.PT_f.pu*(1-Mat.PT_k*L748/Inputs!F99)))</f>
        <v/>
      </c>
      <c r="U748" s="369"/>
      <c r="V748" s="369" t="str">
        <f>IF(ISBLANK(Inputs!$A99),"",
(Mat.PT_f.pe/Mat.PT_E.ps)+(Mat.Rebar_epsilon.cl*((Geometry_d.p.Positive-L748)/L748)))</f>
        <v/>
      </c>
      <c r="W748" s="369"/>
      <c r="X748" s="369" t="str">
        <f>IF(ISBLANK(Inputs!$A99),"",
0.5*MIN(L748*Mat.Conc_Beta.1,Geometry_h.f.Positive))</f>
        <v/>
      </c>
      <c r="Y748" s="369"/>
      <c r="Z748" s="369" t="str">
        <f>IF(ISBLANK(Inputs!$A99),"",
IF(P748=0,0,Geometry_h.f.Positive+0.5*MAX(0,L748*Mat.Conc_Beta.1-Geometry_h.f.Positive)))</f>
        <v/>
      </c>
      <c r="AA748" s="369"/>
      <c r="AB748" s="369" t="str">
        <f>IF(ISBLANK(Inputs!$A99),"",
Inputs!H99)</f>
        <v/>
      </c>
      <c r="AC748" s="369"/>
      <c r="AD748" s="369" t="str">
        <f>IF(ISBLANK(Inputs!$A99),"",
Inputs!F99)</f>
        <v/>
      </c>
      <c r="AE748" s="369"/>
      <c r="AF748" s="369" t="str">
        <f>IF(ISBLANK(Inputs!$A99),"",
MAX(0.75,MIN(1,0.75+0.25*(V748-Mat.Rebar_epsilon.cl)/(Mat.Rebar_epsilon.tl-Mat.Rebar_epsilon.cl))))</f>
        <v/>
      </c>
      <c r="AG748" s="369"/>
      <c r="AH748" s="370" t="str">
        <f>IF(ISBLANK(Inputs!$A99),"",
((AD748*T748+AB748*R748-Z748*P748-X748*N748)/12)*AF748)</f>
        <v/>
      </c>
      <c r="AI748" s="370"/>
      <c r="AJ748" s="370"/>
      <c r="AK748" s="369" t="str">
        <f>IF(ISBLANK(Inputs!$A99),"",
MAX(IF(ISNUMBER(AE616),1),
IF(ISNUMBER(AI616),2),
IF(ISNUMBER(AM616),3),
IF(ISNUMBER(AQ616),4),
IF(ISNUMBER(AU616),5),
IF(ISNUMBER(AY616),6),
IF(ISNUMBER(BC616),7),
IF(ISNUMBER(BG616),8),
IF(ISNUMBER(BK616),9),
IF(ISNUMBER(BO616),10)))</f>
        <v/>
      </c>
      <c r="AL748" s="369"/>
      <c r="AM748" s="369" t="str">
        <f>IF(ISBLANK(Inputs!$A99),"",
_xlfn.LET(
_xlpm.n,AK748,
CHOOSE(_xlpm.n,
AE616,AI616,AM616,AQ616,AU616,
AY616,BC616,BG616,BK616,BO616
)
))</f>
        <v/>
      </c>
      <c r="AN748" s="369"/>
      <c r="AO748" s="369" t="str">
        <f>IF(ISBLANK(Inputs!$A99),"",
Mat.Conc_Alpha.1*Mat.Conc_f.c*Geometry_b.Negative*MIN(AM748*Mat.Conc_Beta.1,Geometry_h.f.Negative))</f>
        <v/>
      </c>
      <c r="AP748" s="369"/>
      <c r="AQ748" s="369" t="str">
        <f>IF(ISBLANK(Inputs!$A99),"",
Mat.Conc_Alpha.1*Mat.Conc_f.c*Geometry_b.w*MAX(0,AM748*Mat.Conc_Beta.1-Geometry_h.f.Negative))</f>
        <v/>
      </c>
      <c r="AR748" s="369"/>
      <c r="AS748" s="369" t="str">
        <f>IF(ISBLANK(Inputs!$A99),"",
Mat.Rebar_A.s.Positive*MIN(Mat.Rebar_f.y,(Mat.Rebar_epsilon.cl*(Geometry_d.s.Negative-AM748)/AM748)*Mat.PT_E.s))</f>
        <v/>
      </c>
      <c r="AT748" s="369"/>
      <c r="AU748" s="369" t="str">
        <f>IF(ISBLANK(Inputs!$A99),"",
Mat.PT_A.ps*(Mat.PT_f.pu*(1-Mat.PT_k*AM748/Geometry_d.p.Negative)))</f>
        <v/>
      </c>
      <c r="AV748" s="369"/>
      <c r="AW748" s="369" t="str">
        <f>IF(ISBLANK(Inputs!$A99),"",
(Mat.PT_f.pe/Mat.PT_E.ps)+(Mat.Rebar_epsilon.cl*((Geometry_d.p.Negative-AM748)/AM748)))</f>
        <v/>
      </c>
      <c r="AX748" s="369"/>
      <c r="AY748" s="369" t="str">
        <f>IF(ISBLANK(Inputs!$A99),"",
0.5*MIN(AM748*Mat.Conc_Beta.1,Geometry_h.f.Negative))</f>
        <v/>
      </c>
      <c r="AZ748" s="369"/>
      <c r="BA748" s="369" t="str">
        <f>IF(ISBLANK(Inputs!$A99),"",
IF(AQ748=0,0,Geometry_h.f.Negative+0.5*MAX(0,AM748*Mat.Conc_Beta.1-Geometry_h.f.Negative)))</f>
        <v/>
      </c>
      <c r="BB748" s="369"/>
      <c r="BC748" s="369" t="str">
        <f>IF(ISBLANK(Inputs!$A99),"",
Inputs!L99)</f>
        <v/>
      </c>
      <c r="BD748" s="369"/>
      <c r="BE748" s="369" t="str">
        <f>IF(ISBLANK(Inputs!$A99),"",Inputs!$B$10-Inputs!F99)</f>
        <v/>
      </c>
      <c r="BF748" s="369"/>
      <c r="BG748" s="369" t="str">
        <f>IF(ISBLANK(Inputs!$A99),"",
MAX(0.75,MIN(1,0.75+0.25*(AW748-Mat.Rebar_epsilon.cl)/(Mat.Rebar_epsilon.tl-Mat.Rebar_epsilon.cl))))</f>
        <v/>
      </c>
      <c r="BH748" s="369"/>
      <c r="BI748" s="370" t="str">
        <f>IF(ISBLANK(Inputs!$A99),"",
-((BE748*AU748+BC748*AS748-BA748*AQ748-AY748*AO748)/12)*BG748)</f>
        <v/>
      </c>
      <c r="BJ748" s="370"/>
      <c r="BK748" s="370"/>
      <c r="BL748" s="370" t="str">
        <f>IF(ISBLANK(Inputs!C99),"",Inputs!C99)</f>
        <v/>
      </c>
      <c r="BM748" s="370"/>
      <c r="BN748" s="370"/>
      <c r="BO748" s="374" t="str">
        <f>IF(ISBLANK(Inputs!$A99),"",
IFERROR(IF(BL748&gt;=0,ABS(BL748)/ABS(AH748),ABS(BL748)/ABS(BI748)),""))</f>
        <v/>
      </c>
      <c r="BP748" s="374"/>
      <c r="BQ748" s="374"/>
      <c r="BR748" s="59"/>
      <c r="BS748" s="70"/>
      <c r="BT748" s="70"/>
      <c r="BU748" s="70"/>
      <c r="BV748" s="70"/>
      <c r="BW748" s="8"/>
      <c r="BX748" s="8"/>
      <c r="BY748" s="8"/>
      <c r="BZ748" s="8"/>
      <c r="CA748" s="8"/>
      <c r="CB748" s="10"/>
    </row>
    <row r="749" spans="3:80" ht="15" customHeight="1" x14ac:dyDescent="0.25">
      <c r="C749" s="69"/>
      <c r="F749" s="369" t="str">
        <f>IF(ISBLANK(Inputs!A100),"",Inputs!A100)</f>
        <v/>
      </c>
      <c r="G749" s="369"/>
      <c r="H749" s="369" t="str">
        <f>IF(ISBLANK(Inputs!B100),"",Inputs!B100)</f>
        <v/>
      </c>
      <c r="I749" s="369"/>
      <c r="J749" s="369" t="str">
        <f>IF(ISBLANK(Inputs!$A100),"",
MAX(IF(ISNUMBER(AE492),1),
IF(ISNUMBER(AI492),2),
IF(ISNUMBER(AM492),3),
IF(ISNUMBER(AQ492),4),
IF(ISNUMBER(AU492),5),
IF(ISNUMBER(AY492),6),
IF(ISNUMBER(BC492),7),
IF(ISNUMBER(BG492),8),
IF(ISNUMBER(BK492),9),
IF(ISNUMBER(BO492),10)))</f>
        <v/>
      </c>
      <c r="K749" s="369"/>
      <c r="L749" s="369" t="str">
        <f>IF(ISBLANK(Inputs!$A100),"",
_xlfn.LET(
_xlpm.n,J749,
CHOOSE(_xlpm.n,
AE492,AI492,AM492,AQ492,AU492,
AY492,BC492,BG492,BK492,BO492
)
))</f>
        <v/>
      </c>
      <c r="M749" s="369"/>
      <c r="N749" s="369" t="str">
        <f>IF(ISBLANK(Inputs!$A100),"",
Mat.Conc_Alpha.1*Mat.Conc_f.c*Inputs!J100*MIN(L749*Mat.Conc_Beta.1,Inputs!I100))</f>
        <v/>
      </c>
      <c r="O749" s="369"/>
      <c r="P749" s="372" t="str">
        <f>IF(ISBLANK(Inputs!$A100),"",
Mat.Conc_Alpha.1*Mat.Conc_f.c*Inputs!E100*MAX(0,L749*Mat.Conc_Beta.1-Inputs!I100))</f>
        <v/>
      </c>
      <c r="Q749" s="369"/>
      <c r="R749" s="369" t="str">
        <f>IF(ISBLANK(Inputs!$A100),"",Inputs!G100*MIN(Mat.Rebar_f.y,(Mat.Rebar_epsilon.cl*(Inputs!H100-L749)/L749)*Mat.PT_E.s))</f>
        <v/>
      </c>
      <c r="S749" s="369"/>
      <c r="T749" s="369" t="str">
        <f>IF(ISBLANK(Inputs!$A100),"",Inputs!D100*(Mat.PT_f.pu*(1-Mat.PT_k*L749/Inputs!F100)))</f>
        <v/>
      </c>
      <c r="U749" s="369"/>
      <c r="V749" s="369" t="str">
        <f>IF(ISBLANK(Inputs!$A100),"",
(Mat.PT_f.pe/Mat.PT_E.ps)+(Mat.Rebar_epsilon.cl*((Geometry_d.p.Positive-L749)/L749)))</f>
        <v/>
      </c>
      <c r="W749" s="369"/>
      <c r="X749" s="369" t="str">
        <f>IF(ISBLANK(Inputs!$A100),"",
0.5*MIN(L749*Mat.Conc_Beta.1,Geometry_h.f.Positive))</f>
        <v/>
      </c>
      <c r="Y749" s="369"/>
      <c r="Z749" s="369" t="str">
        <f>IF(ISBLANK(Inputs!$A100),"",
IF(P749=0,0,Geometry_h.f.Positive+0.5*MAX(0,L749*Mat.Conc_Beta.1-Geometry_h.f.Positive)))</f>
        <v/>
      </c>
      <c r="AA749" s="369"/>
      <c r="AB749" s="369" t="str">
        <f>IF(ISBLANK(Inputs!$A100),"",
Inputs!H100)</f>
        <v/>
      </c>
      <c r="AC749" s="369"/>
      <c r="AD749" s="369" t="str">
        <f>IF(ISBLANK(Inputs!$A100),"",
Inputs!F100)</f>
        <v/>
      </c>
      <c r="AE749" s="369"/>
      <c r="AF749" s="369" t="str">
        <f>IF(ISBLANK(Inputs!$A100),"",
MAX(0.75,MIN(1,0.75+0.25*(V749-Mat.Rebar_epsilon.cl)/(Mat.Rebar_epsilon.tl-Mat.Rebar_epsilon.cl))))</f>
        <v/>
      </c>
      <c r="AG749" s="369"/>
      <c r="AH749" s="370" t="str">
        <f>IF(ISBLANK(Inputs!$A100),"",
((AD749*T749+AB749*R749-Z749*P749-X749*N749)/12)*AF749)</f>
        <v/>
      </c>
      <c r="AI749" s="370"/>
      <c r="AJ749" s="370"/>
      <c r="AK749" s="369" t="str">
        <f>IF(ISBLANK(Inputs!$A100),"",
MAX(IF(ISNUMBER(AE617),1),
IF(ISNUMBER(AI617),2),
IF(ISNUMBER(AM617),3),
IF(ISNUMBER(AQ617),4),
IF(ISNUMBER(AU617),5),
IF(ISNUMBER(AY617),6),
IF(ISNUMBER(BC617),7),
IF(ISNUMBER(BG617),8),
IF(ISNUMBER(BK617),9),
IF(ISNUMBER(BO617),10)))</f>
        <v/>
      </c>
      <c r="AL749" s="369"/>
      <c r="AM749" s="369" t="str">
        <f>IF(ISBLANK(Inputs!$A100),"",
_xlfn.LET(
_xlpm.n,AK749,
CHOOSE(_xlpm.n,
AE617,AI617,AM617,AQ617,AU617,
AY617,BC617,BG617,BK617,BO617
)
))</f>
        <v/>
      </c>
      <c r="AN749" s="369"/>
      <c r="AO749" s="369" t="str">
        <f>IF(ISBLANK(Inputs!$A100),"",
Mat.Conc_Alpha.1*Mat.Conc_f.c*Geometry_b.Negative*MIN(AM749*Mat.Conc_Beta.1,Geometry_h.f.Negative))</f>
        <v/>
      </c>
      <c r="AP749" s="369"/>
      <c r="AQ749" s="369" t="str">
        <f>IF(ISBLANK(Inputs!$A100),"",
Mat.Conc_Alpha.1*Mat.Conc_f.c*Geometry_b.w*MAX(0,AM749*Mat.Conc_Beta.1-Geometry_h.f.Negative))</f>
        <v/>
      </c>
      <c r="AR749" s="369"/>
      <c r="AS749" s="369" t="str">
        <f>IF(ISBLANK(Inputs!$A100),"",
Mat.Rebar_A.s.Positive*MIN(Mat.Rebar_f.y,(Mat.Rebar_epsilon.cl*(Geometry_d.s.Negative-AM749)/AM749)*Mat.PT_E.s))</f>
        <v/>
      </c>
      <c r="AT749" s="369"/>
      <c r="AU749" s="369" t="str">
        <f>IF(ISBLANK(Inputs!$A100),"",
Mat.PT_A.ps*(Mat.PT_f.pu*(1-Mat.PT_k*AM749/Geometry_d.p.Negative)))</f>
        <v/>
      </c>
      <c r="AV749" s="369"/>
      <c r="AW749" s="369" t="str">
        <f>IF(ISBLANK(Inputs!$A100),"",
(Mat.PT_f.pe/Mat.PT_E.ps)+(Mat.Rebar_epsilon.cl*((Geometry_d.p.Negative-AM749)/AM749)))</f>
        <v/>
      </c>
      <c r="AX749" s="369"/>
      <c r="AY749" s="369" t="str">
        <f>IF(ISBLANK(Inputs!$A100),"",
0.5*MIN(AM749*Mat.Conc_Beta.1,Geometry_h.f.Negative))</f>
        <v/>
      </c>
      <c r="AZ749" s="369"/>
      <c r="BA749" s="369" t="str">
        <f>IF(ISBLANK(Inputs!$A100),"",
IF(AQ749=0,0,Geometry_h.f.Negative+0.5*MAX(0,AM749*Mat.Conc_Beta.1-Geometry_h.f.Negative)))</f>
        <v/>
      </c>
      <c r="BB749" s="369"/>
      <c r="BC749" s="369" t="str">
        <f>IF(ISBLANK(Inputs!$A100),"",
Inputs!L100)</f>
        <v/>
      </c>
      <c r="BD749" s="369"/>
      <c r="BE749" s="369" t="str">
        <f>IF(ISBLANK(Inputs!$A100),"",Inputs!$B$10-Inputs!F100)</f>
        <v/>
      </c>
      <c r="BF749" s="369"/>
      <c r="BG749" s="369" t="str">
        <f>IF(ISBLANK(Inputs!$A100),"",
MAX(0.75,MIN(1,0.75+0.25*(AW749-Mat.Rebar_epsilon.cl)/(Mat.Rebar_epsilon.tl-Mat.Rebar_epsilon.cl))))</f>
        <v/>
      </c>
      <c r="BH749" s="369"/>
      <c r="BI749" s="370" t="str">
        <f>IF(ISBLANK(Inputs!$A100),"",
-((BE749*AU749+BC749*AS749-BA749*AQ749-AY749*AO749)/12)*BG749)</f>
        <v/>
      </c>
      <c r="BJ749" s="370"/>
      <c r="BK749" s="370"/>
      <c r="BL749" s="370" t="str">
        <f>IF(ISBLANK(Inputs!C100),"",Inputs!C100)</f>
        <v/>
      </c>
      <c r="BM749" s="370"/>
      <c r="BN749" s="370"/>
      <c r="BO749" s="374" t="str">
        <f>IF(ISBLANK(Inputs!$A100),"",
IFERROR(IF(BL749&gt;=0,ABS(BL749)/ABS(AH749),ABS(BL749)/ABS(BI749)),""))</f>
        <v/>
      </c>
      <c r="BP749" s="374"/>
      <c r="BQ749" s="374"/>
      <c r="BR749" s="59"/>
      <c r="BS749" s="70"/>
      <c r="BT749" s="70"/>
      <c r="BU749" s="70"/>
      <c r="BV749" s="70"/>
      <c r="BW749" s="8"/>
      <c r="BX749" s="8"/>
      <c r="BY749" s="8"/>
      <c r="BZ749" s="8"/>
      <c r="CA749" s="8"/>
      <c r="CB749" s="10"/>
    </row>
    <row r="750" spans="3:80" ht="15" customHeight="1" x14ac:dyDescent="0.25">
      <c r="C750" s="69"/>
      <c r="F750" s="369" t="str">
        <f>IF(ISBLANK(Inputs!A101),"",Inputs!A101)</f>
        <v/>
      </c>
      <c r="G750" s="369"/>
      <c r="H750" s="369" t="str">
        <f>IF(ISBLANK(Inputs!B101),"",Inputs!B101)</f>
        <v/>
      </c>
      <c r="I750" s="369"/>
      <c r="J750" s="369" t="str">
        <f>IF(ISBLANK(Inputs!$A101),"",
MAX(IF(ISNUMBER(AE493),1),
IF(ISNUMBER(AI493),2),
IF(ISNUMBER(AM493),3),
IF(ISNUMBER(AQ493),4),
IF(ISNUMBER(AU493),5),
IF(ISNUMBER(AY493),6),
IF(ISNUMBER(BC493),7),
IF(ISNUMBER(BG493),8),
IF(ISNUMBER(BK493),9),
IF(ISNUMBER(BO493),10)))</f>
        <v/>
      </c>
      <c r="K750" s="369"/>
      <c r="L750" s="369" t="str">
        <f>IF(ISBLANK(Inputs!$A101),"",
_xlfn.LET(
_xlpm.n,J750,
CHOOSE(_xlpm.n,
AE493,AI493,AM493,AQ493,AU493,
AY493,BC493,BG493,BK493,BO493
)
))</f>
        <v/>
      </c>
      <c r="M750" s="369"/>
      <c r="N750" s="369" t="str">
        <f>IF(ISBLANK(Inputs!$A101),"",
Mat.Conc_Alpha.1*Mat.Conc_f.c*Inputs!J101*MIN(L750*Mat.Conc_Beta.1,Inputs!I101))</f>
        <v/>
      </c>
      <c r="O750" s="369"/>
      <c r="P750" s="372" t="str">
        <f>IF(ISBLANK(Inputs!$A101),"",
Mat.Conc_Alpha.1*Mat.Conc_f.c*Inputs!E101*MAX(0,L750*Mat.Conc_Beta.1-Inputs!I101))</f>
        <v/>
      </c>
      <c r="Q750" s="369"/>
      <c r="R750" s="369" t="str">
        <f>IF(ISBLANK(Inputs!$A101),"",Inputs!G101*MIN(Mat.Rebar_f.y,(Mat.Rebar_epsilon.cl*(Inputs!H101-L750)/L750)*Mat.PT_E.s))</f>
        <v/>
      </c>
      <c r="S750" s="369"/>
      <c r="T750" s="369" t="str">
        <f>IF(ISBLANK(Inputs!$A101),"",Inputs!D101*(Mat.PT_f.pu*(1-Mat.PT_k*L750/Inputs!F101)))</f>
        <v/>
      </c>
      <c r="U750" s="369"/>
      <c r="V750" s="369" t="str">
        <f>IF(ISBLANK(Inputs!$A101),"",
(Mat.PT_f.pe/Mat.PT_E.ps)+(Mat.Rebar_epsilon.cl*((Geometry_d.p.Positive-L750)/L750)))</f>
        <v/>
      </c>
      <c r="W750" s="369"/>
      <c r="X750" s="369" t="str">
        <f>IF(ISBLANK(Inputs!$A101),"",
0.5*MIN(L750*Mat.Conc_Beta.1,Geometry_h.f.Positive))</f>
        <v/>
      </c>
      <c r="Y750" s="369"/>
      <c r="Z750" s="369" t="str">
        <f>IF(ISBLANK(Inputs!$A101),"",
IF(P750=0,0,Geometry_h.f.Positive+0.5*MAX(0,L750*Mat.Conc_Beta.1-Geometry_h.f.Positive)))</f>
        <v/>
      </c>
      <c r="AA750" s="369"/>
      <c r="AB750" s="369" t="str">
        <f>IF(ISBLANK(Inputs!$A101),"",
Inputs!H101)</f>
        <v/>
      </c>
      <c r="AC750" s="369"/>
      <c r="AD750" s="369" t="str">
        <f>IF(ISBLANK(Inputs!$A101),"",
Inputs!F101)</f>
        <v/>
      </c>
      <c r="AE750" s="369"/>
      <c r="AF750" s="369" t="str">
        <f>IF(ISBLANK(Inputs!$A101),"",
MAX(0.75,MIN(1,0.75+0.25*(V750-Mat.Rebar_epsilon.cl)/(Mat.Rebar_epsilon.tl-Mat.Rebar_epsilon.cl))))</f>
        <v/>
      </c>
      <c r="AG750" s="369"/>
      <c r="AH750" s="370" t="str">
        <f>IF(ISBLANK(Inputs!$A101),"",
((AD750*T750+AB750*R750-Z750*P750-X750*N750)/12)*AF750)</f>
        <v/>
      </c>
      <c r="AI750" s="370"/>
      <c r="AJ750" s="370"/>
      <c r="AK750" s="369" t="str">
        <f>IF(ISBLANK(Inputs!$A101),"",
MAX(IF(ISNUMBER(AE618),1),
IF(ISNUMBER(AI618),2),
IF(ISNUMBER(AM618),3),
IF(ISNUMBER(AQ618),4),
IF(ISNUMBER(AU618),5),
IF(ISNUMBER(AY618),6),
IF(ISNUMBER(BC618),7),
IF(ISNUMBER(BG618),8),
IF(ISNUMBER(BK618),9),
IF(ISNUMBER(BO618),10)))</f>
        <v/>
      </c>
      <c r="AL750" s="369"/>
      <c r="AM750" s="369" t="str">
        <f>IF(ISBLANK(Inputs!$A101),"",
_xlfn.LET(
_xlpm.n,AK750,
CHOOSE(_xlpm.n,
AE618,AI618,AM618,AQ618,AU618,
AY618,BC618,BG618,BK618,BO618
)
))</f>
        <v/>
      </c>
      <c r="AN750" s="369"/>
      <c r="AO750" s="369" t="str">
        <f>IF(ISBLANK(Inputs!$A101),"",
Mat.Conc_Alpha.1*Mat.Conc_f.c*Geometry_b.Negative*MIN(AM750*Mat.Conc_Beta.1,Geometry_h.f.Negative))</f>
        <v/>
      </c>
      <c r="AP750" s="369"/>
      <c r="AQ750" s="369" t="str">
        <f>IF(ISBLANK(Inputs!$A101),"",
Mat.Conc_Alpha.1*Mat.Conc_f.c*Geometry_b.w*MAX(0,AM750*Mat.Conc_Beta.1-Geometry_h.f.Negative))</f>
        <v/>
      </c>
      <c r="AR750" s="369"/>
      <c r="AS750" s="369" t="str">
        <f>IF(ISBLANK(Inputs!$A101),"",
Mat.Rebar_A.s.Positive*MIN(Mat.Rebar_f.y,(Mat.Rebar_epsilon.cl*(Geometry_d.s.Negative-AM750)/AM750)*Mat.PT_E.s))</f>
        <v/>
      </c>
      <c r="AT750" s="369"/>
      <c r="AU750" s="369" t="str">
        <f>IF(ISBLANK(Inputs!$A101),"",
Mat.PT_A.ps*(Mat.PT_f.pu*(1-Mat.PT_k*AM750/Geometry_d.p.Negative)))</f>
        <v/>
      </c>
      <c r="AV750" s="369"/>
      <c r="AW750" s="369" t="str">
        <f>IF(ISBLANK(Inputs!$A101),"",
(Mat.PT_f.pe/Mat.PT_E.ps)+(Mat.Rebar_epsilon.cl*((Geometry_d.p.Negative-AM750)/AM750)))</f>
        <v/>
      </c>
      <c r="AX750" s="369"/>
      <c r="AY750" s="369" t="str">
        <f>IF(ISBLANK(Inputs!$A101),"",
0.5*MIN(AM750*Mat.Conc_Beta.1,Geometry_h.f.Negative))</f>
        <v/>
      </c>
      <c r="AZ750" s="369"/>
      <c r="BA750" s="369" t="str">
        <f>IF(ISBLANK(Inputs!$A101),"",
IF(AQ750=0,0,Geometry_h.f.Negative+0.5*MAX(0,AM750*Mat.Conc_Beta.1-Geometry_h.f.Negative)))</f>
        <v/>
      </c>
      <c r="BB750" s="369"/>
      <c r="BC750" s="369" t="str">
        <f>IF(ISBLANK(Inputs!$A101),"",
Inputs!L101)</f>
        <v/>
      </c>
      <c r="BD750" s="369"/>
      <c r="BE750" s="369" t="str">
        <f>IF(ISBLANK(Inputs!$A101),"",Inputs!$B$10-Inputs!F101)</f>
        <v/>
      </c>
      <c r="BF750" s="369"/>
      <c r="BG750" s="369" t="str">
        <f>IF(ISBLANK(Inputs!$A101),"",
MAX(0.75,MIN(1,0.75+0.25*(AW750-Mat.Rebar_epsilon.cl)/(Mat.Rebar_epsilon.tl-Mat.Rebar_epsilon.cl))))</f>
        <v/>
      </c>
      <c r="BH750" s="369"/>
      <c r="BI750" s="370" t="str">
        <f>IF(ISBLANK(Inputs!$A101),"",
-((BE750*AU750+BC750*AS750-BA750*AQ750-AY750*AO750)/12)*BG750)</f>
        <v/>
      </c>
      <c r="BJ750" s="370"/>
      <c r="BK750" s="370"/>
      <c r="BL750" s="370" t="str">
        <f>IF(ISBLANK(Inputs!C101),"",Inputs!C101)</f>
        <v/>
      </c>
      <c r="BM750" s="370"/>
      <c r="BN750" s="370"/>
      <c r="BO750" s="374" t="str">
        <f>IF(ISBLANK(Inputs!$A101),"",
IFERROR(IF(BL750&gt;=0,ABS(BL750)/ABS(AH750),ABS(BL750)/ABS(BI750)),""))</f>
        <v/>
      </c>
      <c r="BP750" s="374"/>
      <c r="BQ750" s="374"/>
      <c r="BR750" s="59"/>
      <c r="BS750" s="70"/>
      <c r="BT750" s="70"/>
      <c r="BU750" s="70"/>
      <c r="BV750" s="70"/>
      <c r="BW750" s="8"/>
      <c r="BX750" s="8"/>
      <c r="BY750" s="8"/>
      <c r="BZ750" s="8"/>
      <c r="CA750" s="8"/>
      <c r="CB750" s="10"/>
    </row>
    <row r="751" spans="3:80" ht="15" customHeight="1" x14ac:dyDescent="0.25">
      <c r="C751" s="69"/>
      <c r="F751" s="369" t="str">
        <f>IF(ISBLANK(Inputs!A102),"",Inputs!A102)</f>
        <v/>
      </c>
      <c r="G751" s="369"/>
      <c r="H751" s="369" t="str">
        <f>IF(ISBLANK(Inputs!B102),"",Inputs!B102)</f>
        <v/>
      </c>
      <c r="I751" s="369"/>
      <c r="J751" s="369" t="str">
        <f>IF(ISBLANK(Inputs!$A102),"",
MAX(IF(ISNUMBER(AE494),1),
IF(ISNUMBER(AI494),2),
IF(ISNUMBER(AM494),3),
IF(ISNUMBER(AQ494),4),
IF(ISNUMBER(AU494),5),
IF(ISNUMBER(AY494),6),
IF(ISNUMBER(BC494),7),
IF(ISNUMBER(BG494),8),
IF(ISNUMBER(BK494),9),
IF(ISNUMBER(BO494),10)))</f>
        <v/>
      </c>
      <c r="K751" s="369"/>
      <c r="L751" s="369" t="str">
        <f>IF(ISBLANK(Inputs!$A102),"",
_xlfn.LET(
_xlpm.n,J751,
CHOOSE(_xlpm.n,
AE494,AI494,AM494,AQ494,AU494,
AY494,BC494,BG494,BK494,BO494
)
))</f>
        <v/>
      </c>
      <c r="M751" s="369"/>
      <c r="N751" s="369" t="str">
        <f>IF(ISBLANK(Inputs!$A102),"",
Mat.Conc_Alpha.1*Mat.Conc_f.c*Inputs!J102*MIN(L751*Mat.Conc_Beta.1,Inputs!I102))</f>
        <v/>
      </c>
      <c r="O751" s="369"/>
      <c r="P751" s="372" t="str">
        <f>IF(ISBLANK(Inputs!$A102),"",
Mat.Conc_Alpha.1*Mat.Conc_f.c*Inputs!E102*MAX(0,L751*Mat.Conc_Beta.1-Inputs!I102))</f>
        <v/>
      </c>
      <c r="Q751" s="369"/>
      <c r="R751" s="369" t="str">
        <f>IF(ISBLANK(Inputs!$A102),"",Inputs!G102*MIN(Mat.Rebar_f.y,(Mat.Rebar_epsilon.cl*(Inputs!H102-L751)/L751)*Mat.PT_E.s))</f>
        <v/>
      </c>
      <c r="S751" s="369"/>
      <c r="T751" s="369" t="str">
        <f>IF(ISBLANK(Inputs!$A102),"",Inputs!D102*(Mat.PT_f.pu*(1-Mat.PT_k*L751/Inputs!F102)))</f>
        <v/>
      </c>
      <c r="U751" s="369"/>
      <c r="V751" s="369" t="str">
        <f>IF(ISBLANK(Inputs!$A102),"",
(Mat.PT_f.pe/Mat.PT_E.ps)+(Mat.Rebar_epsilon.cl*((Geometry_d.p.Positive-L751)/L751)))</f>
        <v/>
      </c>
      <c r="W751" s="369"/>
      <c r="X751" s="369" t="str">
        <f>IF(ISBLANK(Inputs!$A102),"",
0.5*MIN(L751*Mat.Conc_Beta.1,Geometry_h.f.Positive))</f>
        <v/>
      </c>
      <c r="Y751" s="369"/>
      <c r="Z751" s="369" t="str">
        <f>IF(ISBLANK(Inputs!$A102),"",
IF(P751=0,0,Geometry_h.f.Positive+0.5*MAX(0,L751*Mat.Conc_Beta.1-Geometry_h.f.Positive)))</f>
        <v/>
      </c>
      <c r="AA751" s="369"/>
      <c r="AB751" s="369" t="str">
        <f>IF(ISBLANK(Inputs!$A102),"",
Inputs!H102)</f>
        <v/>
      </c>
      <c r="AC751" s="369"/>
      <c r="AD751" s="369" t="str">
        <f>IF(ISBLANK(Inputs!$A102),"",
Inputs!F102)</f>
        <v/>
      </c>
      <c r="AE751" s="369"/>
      <c r="AF751" s="369" t="str">
        <f>IF(ISBLANK(Inputs!$A102),"",
MAX(0.75,MIN(1,0.75+0.25*(V751-Mat.Rebar_epsilon.cl)/(Mat.Rebar_epsilon.tl-Mat.Rebar_epsilon.cl))))</f>
        <v/>
      </c>
      <c r="AG751" s="369"/>
      <c r="AH751" s="370" t="str">
        <f>IF(ISBLANK(Inputs!$A102),"",
((AD751*T751+AB751*R751-Z751*P751-X751*N751)/12)*AF751)</f>
        <v/>
      </c>
      <c r="AI751" s="370"/>
      <c r="AJ751" s="370"/>
      <c r="AK751" s="369" t="str">
        <f>IF(ISBLANK(Inputs!$A102),"",
MAX(IF(ISNUMBER(AE619),1),
IF(ISNUMBER(AI619),2),
IF(ISNUMBER(AM619),3),
IF(ISNUMBER(AQ619),4),
IF(ISNUMBER(AU619),5),
IF(ISNUMBER(AY619),6),
IF(ISNUMBER(BC619),7),
IF(ISNUMBER(BG619),8),
IF(ISNUMBER(BK619),9),
IF(ISNUMBER(BO619),10)))</f>
        <v/>
      </c>
      <c r="AL751" s="369"/>
      <c r="AM751" s="369" t="str">
        <f>IF(ISBLANK(Inputs!$A102),"",
_xlfn.LET(
_xlpm.n,AK751,
CHOOSE(_xlpm.n,
AE619,AI619,AM619,AQ619,AU619,
AY619,BC619,BG619,BK619,BO619
)
))</f>
        <v/>
      </c>
      <c r="AN751" s="369"/>
      <c r="AO751" s="369" t="str">
        <f>IF(ISBLANK(Inputs!$A102),"",
Mat.Conc_Alpha.1*Mat.Conc_f.c*Geometry_b.Negative*MIN(AM751*Mat.Conc_Beta.1,Geometry_h.f.Negative))</f>
        <v/>
      </c>
      <c r="AP751" s="369"/>
      <c r="AQ751" s="369" t="str">
        <f>IF(ISBLANK(Inputs!$A102),"",
Mat.Conc_Alpha.1*Mat.Conc_f.c*Geometry_b.w*MAX(0,AM751*Mat.Conc_Beta.1-Geometry_h.f.Negative))</f>
        <v/>
      </c>
      <c r="AR751" s="369"/>
      <c r="AS751" s="369" t="str">
        <f>IF(ISBLANK(Inputs!$A102),"",
Mat.Rebar_A.s.Positive*MIN(Mat.Rebar_f.y,(Mat.Rebar_epsilon.cl*(Geometry_d.s.Negative-AM751)/AM751)*Mat.PT_E.s))</f>
        <v/>
      </c>
      <c r="AT751" s="369"/>
      <c r="AU751" s="369" t="str">
        <f>IF(ISBLANK(Inputs!$A102),"",
Mat.PT_A.ps*(Mat.PT_f.pu*(1-Mat.PT_k*AM751/Geometry_d.p.Negative)))</f>
        <v/>
      </c>
      <c r="AV751" s="369"/>
      <c r="AW751" s="369" t="str">
        <f>IF(ISBLANK(Inputs!$A102),"",
(Mat.PT_f.pe/Mat.PT_E.ps)+(Mat.Rebar_epsilon.cl*((Geometry_d.p.Negative-AM751)/AM751)))</f>
        <v/>
      </c>
      <c r="AX751" s="369"/>
      <c r="AY751" s="369" t="str">
        <f>IF(ISBLANK(Inputs!$A102),"",
0.5*MIN(AM751*Mat.Conc_Beta.1,Geometry_h.f.Negative))</f>
        <v/>
      </c>
      <c r="AZ751" s="369"/>
      <c r="BA751" s="369" t="str">
        <f>IF(ISBLANK(Inputs!$A102),"",
IF(AQ751=0,0,Geometry_h.f.Negative+0.5*MAX(0,AM751*Mat.Conc_Beta.1-Geometry_h.f.Negative)))</f>
        <v/>
      </c>
      <c r="BB751" s="369"/>
      <c r="BC751" s="369" t="str">
        <f>IF(ISBLANK(Inputs!$A102),"",
Inputs!L102)</f>
        <v/>
      </c>
      <c r="BD751" s="369"/>
      <c r="BE751" s="369" t="str">
        <f>IF(ISBLANK(Inputs!$A102),"",Inputs!$B$10-Inputs!F102)</f>
        <v/>
      </c>
      <c r="BF751" s="369"/>
      <c r="BG751" s="369" t="str">
        <f>IF(ISBLANK(Inputs!$A102),"",
MAX(0.75,MIN(1,0.75+0.25*(AW751-Mat.Rebar_epsilon.cl)/(Mat.Rebar_epsilon.tl-Mat.Rebar_epsilon.cl))))</f>
        <v/>
      </c>
      <c r="BH751" s="369"/>
      <c r="BI751" s="370" t="str">
        <f>IF(ISBLANK(Inputs!$A102),"",
-((BE751*AU751+BC751*AS751-BA751*AQ751-AY751*AO751)/12)*BG751)</f>
        <v/>
      </c>
      <c r="BJ751" s="370"/>
      <c r="BK751" s="370"/>
      <c r="BL751" s="370" t="str">
        <f>IF(ISBLANK(Inputs!C102),"",Inputs!C102)</f>
        <v/>
      </c>
      <c r="BM751" s="370"/>
      <c r="BN751" s="370"/>
      <c r="BO751" s="374" t="str">
        <f>IF(ISBLANK(Inputs!$A102),"",
IFERROR(IF(BL751&gt;=0,ABS(BL751)/ABS(AH751),ABS(BL751)/ABS(BI751)),""))</f>
        <v/>
      </c>
      <c r="BP751" s="374"/>
      <c r="BQ751" s="374"/>
      <c r="BR751" s="59"/>
      <c r="BS751" s="70"/>
      <c r="BT751" s="70"/>
      <c r="BU751" s="70"/>
      <c r="BV751" s="70"/>
      <c r="BW751" s="8"/>
      <c r="BX751" s="8"/>
      <c r="BY751" s="8"/>
      <c r="BZ751" s="8"/>
      <c r="CA751" s="8"/>
      <c r="CB751" s="10"/>
    </row>
    <row r="752" spans="3:80" ht="15" customHeight="1" x14ac:dyDescent="0.25">
      <c r="C752" s="69"/>
      <c r="F752" s="369" t="str">
        <f>IF(ISBLANK(Inputs!A103),"",Inputs!A103)</f>
        <v/>
      </c>
      <c r="G752" s="369"/>
      <c r="H752" s="369" t="str">
        <f>IF(ISBLANK(Inputs!B103),"",Inputs!B103)</f>
        <v/>
      </c>
      <c r="I752" s="369"/>
      <c r="J752" s="369" t="str">
        <f>IF(ISBLANK(Inputs!$A103),"",
MAX(IF(ISNUMBER(AE495),1),
IF(ISNUMBER(AI495),2),
IF(ISNUMBER(AM495),3),
IF(ISNUMBER(AQ495),4),
IF(ISNUMBER(AU495),5),
IF(ISNUMBER(AY495),6),
IF(ISNUMBER(BC495),7),
IF(ISNUMBER(BG495),8),
IF(ISNUMBER(BK495),9),
IF(ISNUMBER(BO495),10)))</f>
        <v/>
      </c>
      <c r="K752" s="369"/>
      <c r="L752" s="369" t="str">
        <f>IF(ISBLANK(Inputs!$A103),"",
_xlfn.LET(
_xlpm.n,J752,
CHOOSE(_xlpm.n,
AE495,AI495,AM495,AQ495,AU495,
AY495,BC495,BG495,BK495,BO495
)
))</f>
        <v/>
      </c>
      <c r="M752" s="369"/>
      <c r="N752" s="369" t="str">
        <f>IF(ISBLANK(Inputs!$A103),"",
Mat.Conc_Alpha.1*Mat.Conc_f.c*Inputs!J103*MIN(L752*Mat.Conc_Beta.1,Inputs!I103))</f>
        <v/>
      </c>
      <c r="O752" s="369"/>
      <c r="P752" s="372" t="str">
        <f>IF(ISBLANK(Inputs!$A103),"",
Mat.Conc_Alpha.1*Mat.Conc_f.c*Inputs!E103*MAX(0,L752*Mat.Conc_Beta.1-Inputs!I103))</f>
        <v/>
      </c>
      <c r="Q752" s="369"/>
      <c r="R752" s="369" t="str">
        <f>IF(ISBLANK(Inputs!$A103),"",Inputs!G103*MIN(Mat.Rebar_f.y,(Mat.Rebar_epsilon.cl*(Inputs!H103-L752)/L752)*Mat.PT_E.s))</f>
        <v/>
      </c>
      <c r="S752" s="369"/>
      <c r="T752" s="369" t="str">
        <f>IF(ISBLANK(Inputs!$A103),"",Inputs!D103*(Mat.PT_f.pu*(1-Mat.PT_k*L752/Inputs!F103)))</f>
        <v/>
      </c>
      <c r="U752" s="369"/>
      <c r="V752" s="369" t="str">
        <f>IF(ISBLANK(Inputs!$A103),"",
(Mat.PT_f.pe/Mat.PT_E.ps)+(Mat.Rebar_epsilon.cl*((Geometry_d.p.Positive-L752)/L752)))</f>
        <v/>
      </c>
      <c r="W752" s="369"/>
      <c r="X752" s="369" t="str">
        <f>IF(ISBLANK(Inputs!$A103),"",
0.5*MIN(L752*Mat.Conc_Beta.1,Geometry_h.f.Positive))</f>
        <v/>
      </c>
      <c r="Y752" s="369"/>
      <c r="Z752" s="369" t="str">
        <f>IF(ISBLANK(Inputs!$A103),"",
IF(P752=0,0,Geometry_h.f.Positive+0.5*MAX(0,L752*Mat.Conc_Beta.1-Geometry_h.f.Positive)))</f>
        <v/>
      </c>
      <c r="AA752" s="369"/>
      <c r="AB752" s="369" t="str">
        <f>IF(ISBLANK(Inputs!$A103),"",
Inputs!H103)</f>
        <v/>
      </c>
      <c r="AC752" s="369"/>
      <c r="AD752" s="369" t="str">
        <f>IF(ISBLANK(Inputs!$A103),"",
Inputs!F103)</f>
        <v/>
      </c>
      <c r="AE752" s="369"/>
      <c r="AF752" s="369" t="str">
        <f>IF(ISBLANK(Inputs!$A103),"",
MAX(0.75,MIN(1,0.75+0.25*(V752-Mat.Rebar_epsilon.cl)/(Mat.Rebar_epsilon.tl-Mat.Rebar_epsilon.cl))))</f>
        <v/>
      </c>
      <c r="AG752" s="369"/>
      <c r="AH752" s="370" t="str">
        <f>IF(ISBLANK(Inputs!$A103),"",
((AD752*T752+AB752*R752-Z752*P752-X752*N752)/12)*AF752)</f>
        <v/>
      </c>
      <c r="AI752" s="370"/>
      <c r="AJ752" s="370"/>
      <c r="AK752" s="369" t="str">
        <f>IF(ISBLANK(Inputs!$A103),"",
MAX(IF(ISNUMBER(AE620),1),
IF(ISNUMBER(AI620),2),
IF(ISNUMBER(AM620),3),
IF(ISNUMBER(AQ620),4),
IF(ISNUMBER(AU620),5),
IF(ISNUMBER(AY620),6),
IF(ISNUMBER(BC620),7),
IF(ISNUMBER(BG620),8),
IF(ISNUMBER(BK620),9),
IF(ISNUMBER(BO620),10)))</f>
        <v/>
      </c>
      <c r="AL752" s="369"/>
      <c r="AM752" s="369" t="str">
        <f>IF(ISBLANK(Inputs!$A103),"",
_xlfn.LET(
_xlpm.n,AK752,
CHOOSE(_xlpm.n,
AE620,AI620,AM620,AQ620,AU620,
AY620,BC620,BG620,BK620,BO620
)
))</f>
        <v/>
      </c>
      <c r="AN752" s="369"/>
      <c r="AO752" s="369" t="str">
        <f>IF(ISBLANK(Inputs!$A103),"",
Mat.Conc_Alpha.1*Mat.Conc_f.c*Geometry_b.Negative*MIN(AM752*Mat.Conc_Beta.1,Geometry_h.f.Negative))</f>
        <v/>
      </c>
      <c r="AP752" s="369"/>
      <c r="AQ752" s="369" t="str">
        <f>IF(ISBLANK(Inputs!$A103),"",
Mat.Conc_Alpha.1*Mat.Conc_f.c*Geometry_b.w*MAX(0,AM752*Mat.Conc_Beta.1-Geometry_h.f.Negative))</f>
        <v/>
      </c>
      <c r="AR752" s="369"/>
      <c r="AS752" s="369" t="str">
        <f>IF(ISBLANK(Inputs!$A103),"",
Mat.Rebar_A.s.Positive*MIN(Mat.Rebar_f.y,(Mat.Rebar_epsilon.cl*(Geometry_d.s.Negative-AM752)/AM752)*Mat.PT_E.s))</f>
        <v/>
      </c>
      <c r="AT752" s="369"/>
      <c r="AU752" s="369" t="str">
        <f>IF(ISBLANK(Inputs!$A103),"",
Mat.PT_A.ps*(Mat.PT_f.pu*(1-Mat.PT_k*AM752/Geometry_d.p.Negative)))</f>
        <v/>
      </c>
      <c r="AV752" s="369"/>
      <c r="AW752" s="369" t="str">
        <f>IF(ISBLANK(Inputs!$A103),"",
(Mat.PT_f.pe/Mat.PT_E.ps)+(Mat.Rebar_epsilon.cl*((Geometry_d.p.Negative-AM752)/AM752)))</f>
        <v/>
      </c>
      <c r="AX752" s="369"/>
      <c r="AY752" s="369" t="str">
        <f>IF(ISBLANK(Inputs!$A103),"",
0.5*MIN(AM752*Mat.Conc_Beta.1,Geometry_h.f.Negative))</f>
        <v/>
      </c>
      <c r="AZ752" s="369"/>
      <c r="BA752" s="369" t="str">
        <f>IF(ISBLANK(Inputs!$A103),"",
IF(AQ752=0,0,Geometry_h.f.Negative+0.5*MAX(0,AM752*Mat.Conc_Beta.1-Geometry_h.f.Negative)))</f>
        <v/>
      </c>
      <c r="BB752" s="369"/>
      <c r="BC752" s="369" t="str">
        <f>IF(ISBLANK(Inputs!$A103),"",
Inputs!L103)</f>
        <v/>
      </c>
      <c r="BD752" s="369"/>
      <c r="BE752" s="369" t="str">
        <f>IF(ISBLANK(Inputs!$A103),"",Inputs!$B$10-Inputs!F103)</f>
        <v/>
      </c>
      <c r="BF752" s="369"/>
      <c r="BG752" s="369" t="str">
        <f>IF(ISBLANK(Inputs!$A103),"",
MAX(0.75,MIN(1,0.75+0.25*(AW752-Mat.Rebar_epsilon.cl)/(Mat.Rebar_epsilon.tl-Mat.Rebar_epsilon.cl))))</f>
        <v/>
      </c>
      <c r="BH752" s="369"/>
      <c r="BI752" s="370" t="str">
        <f>IF(ISBLANK(Inputs!$A103),"",
-((BE752*AU752+BC752*AS752-BA752*AQ752-AY752*AO752)/12)*BG752)</f>
        <v/>
      </c>
      <c r="BJ752" s="370"/>
      <c r="BK752" s="370"/>
      <c r="BL752" s="370" t="str">
        <f>IF(ISBLANK(Inputs!C103),"",Inputs!C103)</f>
        <v/>
      </c>
      <c r="BM752" s="370"/>
      <c r="BN752" s="370"/>
      <c r="BO752" s="374" t="str">
        <f>IF(ISBLANK(Inputs!$A103),"",
IFERROR(IF(BL752&gt;=0,ABS(BL752)/ABS(AH752),ABS(BL752)/ABS(BI752)),""))</f>
        <v/>
      </c>
      <c r="BP752" s="374"/>
      <c r="BQ752" s="374"/>
      <c r="BR752" s="59"/>
      <c r="BS752" s="70"/>
      <c r="BT752" s="70"/>
      <c r="BU752" s="70"/>
      <c r="BV752" s="70"/>
      <c r="BW752" s="8"/>
      <c r="BX752" s="8"/>
      <c r="BY752" s="8"/>
      <c r="BZ752" s="8"/>
      <c r="CA752" s="8"/>
      <c r="CB752" s="10"/>
    </row>
    <row r="753" spans="3:80" ht="15" customHeight="1" x14ac:dyDescent="0.25">
      <c r="C753" s="69"/>
      <c r="F753" s="369" t="str">
        <f>IF(ISBLANK(Inputs!A104),"",Inputs!A104)</f>
        <v/>
      </c>
      <c r="G753" s="369"/>
      <c r="H753" s="369" t="str">
        <f>IF(ISBLANK(Inputs!B104),"",Inputs!B104)</f>
        <v/>
      </c>
      <c r="I753" s="369"/>
      <c r="J753" s="369" t="str">
        <f>IF(ISBLANK(Inputs!$A104),"",
MAX(IF(ISNUMBER(AE496),1),
IF(ISNUMBER(AI496),2),
IF(ISNUMBER(AM496),3),
IF(ISNUMBER(AQ496),4),
IF(ISNUMBER(AU496),5),
IF(ISNUMBER(AY496),6),
IF(ISNUMBER(BC496),7),
IF(ISNUMBER(BG496),8),
IF(ISNUMBER(BK496),9),
IF(ISNUMBER(BO496),10)))</f>
        <v/>
      </c>
      <c r="K753" s="369"/>
      <c r="L753" s="369" t="str">
        <f>IF(ISBLANK(Inputs!$A104),"",
_xlfn.LET(
_xlpm.n,J753,
CHOOSE(_xlpm.n,
AE496,AI496,AM496,AQ496,AU496,
AY496,BC496,BG496,BK496,BO496
)
))</f>
        <v/>
      </c>
      <c r="M753" s="369"/>
      <c r="N753" s="369" t="str">
        <f>IF(ISBLANK(Inputs!$A104),"",
Mat.Conc_Alpha.1*Mat.Conc_f.c*Inputs!J104*MIN(L753*Mat.Conc_Beta.1,Inputs!I104))</f>
        <v/>
      </c>
      <c r="O753" s="369"/>
      <c r="P753" s="372" t="str">
        <f>IF(ISBLANK(Inputs!$A104),"",
Mat.Conc_Alpha.1*Mat.Conc_f.c*Inputs!E104*MAX(0,L753*Mat.Conc_Beta.1-Inputs!I104))</f>
        <v/>
      </c>
      <c r="Q753" s="369"/>
      <c r="R753" s="369" t="str">
        <f>IF(ISBLANK(Inputs!$A104),"",Inputs!G104*MIN(Mat.Rebar_f.y,(Mat.Rebar_epsilon.cl*(Inputs!H104-L753)/L753)*Mat.PT_E.s))</f>
        <v/>
      </c>
      <c r="S753" s="369"/>
      <c r="T753" s="369" t="str">
        <f>IF(ISBLANK(Inputs!$A104),"",Inputs!D104*(Mat.PT_f.pu*(1-Mat.PT_k*L753/Inputs!F104)))</f>
        <v/>
      </c>
      <c r="U753" s="369"/>
      <c r="V753" s="369" t="str">
        <f>IF(ISBLANK(Inputs!$A104),"",
(Mat.PT_f.pe/Mat.PT_E.ps)+(Mat.Rebar_epsilon.cl*((Geometry_d.p.Positive-L753)/L753)))</f>
        <v/>
      </c>
      <c r="W753" s="369"/>
      <c r="X753" s="369" t="str">
        <f>IF(ISBLANK(Inputs!$A104),"",
0.5*MIN(L753*Mat.Conc_Beta.1,Geometry_h.f.Positive))</f>
        <v/>
      </c>
      <c r="Y753" s="369"/>
      <c r="Z753" s="369" t="str">
        <f>IF(ISBLANK(Inputs!$A104),"",
IF(P753=0,0,Geometry_h.f.Positive+0.5*MAX(0,L753*Mat.Conc_Beta.1-Geometry_h.f.Positive)))</f>
        <v/>
      </c>
      <c r="AA753" s="369"/>
      <c r="AB753" s="369" t="str">
        <f>IF(ISBLANK(Inputs!$A104),"",
Inputs!H104)</f>
        <v/>
      </c>
      <c r="AC753" s="369"/>
      <c r="AD753" s="369" t="str">
        <f>IF(ISBLANK(Inputs!$A104),"",
Inputs!F104)</f>
        <v/>
      </c>
      <c r="AE753" s="369"/>
      <c r="AF753" s="369" t="str">
        <f>IF(ISBLANK(Inputs!$A104),"",
MAX(0.75,MIN(1,0.75+0.25*(V753-Mat.Rebar_epsilon.cl)/(Mat.Rebar_epsilon.tl-Mat.Rebar_epsilon.cl))))</f>
        <v/>
      </c>
      <c r="AG753" s="369"/>
      <c r="AH753" s="370" t="str">
        <f>IF(ISBLANK(Inputs!$A104),"",
((AD753*T753+AB753*R753-Z753*P753-X753*N753)/12)*AF753)</f>
        <v/>
      </c>
      <c r="AI753" s="370"/>
      <c r="AJ753" s="370"/>
      <c r="AK753" s="369" t="str">
        <f>IF(ISBLANK(Inputs!$A104),"",
MAX(IF(ISNUMBER(AE621),1),
IF(ISNUMBER(AI621),2),
IF(ISNUMBER(AM621),3),
IF(ISNUMBER(AQ621),4),
IF(ISNUMBER(AU621),5),
IF(ISNUMBER(AY621),6),
IF(ISNUMBER(BC621),7),
IF(ISNUMBER(BG621),8),
IF(ISNUMBER(BK621),9),
IF(ISNUMBER(BO621),10)))</f>
        <v/>
      </c>
      <c r="AL753" s="369"/>
      <c r="AM753" s="369" t="str">
        <f>IF(ISBLANK(Inputs!$A104),"",
_xlfn.LET(
_xlpm.n,AK753,
CHOOSE(_xlpm.n,
AE621,AI621,AM621,AQ621,AU621,
AY621,BC621,BG621,BK621,BO621
)
))</f>
        <v/>
      </c>
      <c r="AN753" s="369"/>
      <c r="AO753" s="369" t="str">
        <f>IF(ISBLANK(Inputs!$A104),"",
Mat.Conc_Alpha.1*Mat.Conc_f.c*Geometry_b.Negative*MIN(AM753*Mat.Conc_Beta.1,Geometry_h.f.Negative))</f>
        <v/>
      </c>
      <c r="AP753" s="369"/>
      <c r="AQ753" s="369" t="str">
        <f>IF(ISBLANK(Inputs!$A104),"",
Mat.Conc_Alpha.1*Mat.Conc_f.c*Geometry_b.w*MAX(0,AM753*Mat.Conc_Beta.1-Geometry_h.f.Negative))</f>
        <v/>
      </c>
      <c r="AR753" s="369"/>
      <c r="AS753" s="369" t="str">
        <f>IF(ISBLANK(Inputs!$A104),"",
Mat.Rebar_A.s.Positive*MIN(Mat.Rebar_f.y,(Mat.Rebar_epsilon.cl*(Geometry_d.s.Negative-AM753)/AM753)*Mat.PT_E.s))</f>
        <v/>
      </c>
      <c r="AT753" s="369"/>
      <c r="AU753" s="369" t="str">
        <f>IF(ISBLANK(Inputs!$A104),"",
Mat.PT_A.ps*(Mat.PT_f.pu*(1-Mat.PT_k*AM753/Geometry_d.p.Negative)))</f>
        <v/>
      </c>
      <c r="AV753" s="369"/>
      <c r="AW753" s="369" t="str">
        <f>IF(ISBLANK(Inputs!$A104),"",
(Mat.PT_f.pe/Mat.PT_E.ps)+(Mat.Rebar_epsilon.cl*((Geometry_d.p.Negative-AM753)/AM753)))</f>
        <v/>
      </c>
      <c r="AX753" s="369"/>
      <c r="AY753" s="369" t="str">
        <f>IF(ISBLANK(Inputs!$A104),"",
0.5*MIN(AM753*Mat.Conc_Beta.1,Geometry_h.f.Negative))</f>
        <v/>
      </c>
      <c r="AZ753" s="369"/>
      <c r="BA753" s="369" t="str">
        <f>IF(ISBLANK(Inputs!$A104),"",
IF(AQ753=0,0,Geometry_h.f.Negative+0.5*MAX(0,AM753*Mat.Conc_Beta.1-Geometry_h.f.Negative)))</f>
        <v/>
      </c>
      <c r="BB753" s="369"/>
      <c r="BC753" s="369" t="str">
        <f>IF(ISBLANK(Inputs!$A104),"",
Inputs!L104)</f>
        <v/>
      </c>
      <c r="BD753" s="369"/>
      <c r="BE753" s="369" t="str">
        <f>IF(ISBLANK(Inputs!$A104),"",Inputs!$B$10-Inputs!F104)</f>
        <v/>
      </c>
      <c r="BF753" s="369"/>
      <c r="BG753" s="369" t="str">
        <f>IF(ISBLANK(Inputs!$A104),"",
MAX(0.75,MIN(1,0.75+0.25*(AW753-Mat.Rebar_epsilon.cl)/(Mat.Rebar_epsilon.tl-Mat.Rebar_epsilon.cl))))</f>
        <v/>
      </c>
      <c r="BH753" s="369"/>
      <c r="BI753" s="370" t="str">
        <f>IF(ISBLANK(Inputs!$A104),"",
-((BE753*AU753+BC753*AS753-BA753*AQ753-AY753*AO753)/12)*BG753)</f>
        <v/>
      </c>
      <c r="BJ753" s="370"/>
      <c r="BK753" s="370"/>
      <c r="BL753" s="370" t="str">
        <f>IF(ISBLANK(Inputs!C104),"",Inputs!C104)</f>
        <v/>
      </c>
      <c r="BM753" s="370"/>
      <c r="BN753" s="370"/>
      <c r="BO753" s="374" t="str">
        <f>IF(ISBLANK(Inputs!$A104),"",
IFERROR(IF(BL753&gt;=0,ABS(BL753)/ABS(AH753),ABS(BL753)/ABS(BI753)),""))</f>
        <v/>
      </c>
      <c r="BP753" s="374"/>
      <c r="BQ753" s="374"/>
      <c r="BR753" s="59"/>
      <c r="BS753" s="70"/>
      <c r="BT753" s="70"/>
      <c r="BU753" s="70"/>
      <c r="BV753" s="70"/>
      <c r="BW753" s="8"/>
      <c r="BX753" s="8"/>
      <c r="BY753" s="8"/>
      <c r="BZ753" s="8"/>
      <c r="CA753" s="8"/>
      <c r="CB753" s="10"/>
    </row>
    <row r="754" spans="3:80" ht="15" customHeight="1" x14ac:dyDescent="0.25">
      <c r="C754" s="69"/>
      <c r="F754" s="369" t="str">
        <f>IF(ISBLANK(Inputs!A105),"",Inputs!A105)</f>
        <v/>
      </c>
      <c r="G754" s="369"/>
      <c r="H754" s="369" t="str">
        <f>IF(ISBLANK(Inputs!B105),"",Inputs!B105)</f>
        <v/>
      </c>
      <c r="I754" s="369"/>
      <c r="J754" s="369" t="str">
        <f>IF(ISBLANK(Inputs!$A105),"",
MAX(IF(ISNUMBER(AE497),1),
IF(ISNUMBER(AI497),2),
IF(ISNUMBER(AM497),3),
IF(ISNUMBER(AQ497),4),
IF(ISNUMBER(AU497),5),
IF(ISNUMBER(AY497),6),
IF(ISNUMBER(BC497),7),
IF(ISNUMBER(BG497),8),
IF(ISNUMBER(BK497),9),
IF(ISNUMBER(BO497),10)))</f>
        <v/>
      </c>
      <c r="K754" s="369"/>
      <c r="L754" s="369" t="str">
        <f>IF(ISBLANK(Inputs!$A105),"",
_xlfn.LET(
_xlpm.n,J754,
CHOOSE(_xlpm.n,
AE497,AI497,AM497,AQ497,AU497,
AY497,BC497,BG497,BK497,BO497
)
))</f>
        <v/>
      </c>
      <c r="M754" s="369"/>
      <c r="N754" s="369" t="str">
        <f>IF(ISBLANK(Inputs!$A105),"",
Mat.Conc_Alpha.1*Mat.Conc_f.c*Inputs!J105*MIN(L754*Mat.Conc_Beta.1,Inputs!I105))</f>
        <v/>
      </c>
      <c r="O754" s="369"/>
      <c r="P754" s="372" t="str">
        <f>IF(ISBLANK(Inputs!$A105),"",
Mat.Conc_Alpha.1*Mat.Conc_f.c*Inputs!E105*MAX(0,L754*Mat.Conc_Beta.1-Inputs!I105))</f>
        <v/>
      </c>
      <c r="Q754" s="369"/>
      <c r="R754" s="369" t="str">
        <f>IF(ISBLANK(Inputs!$A105),"",Inputs!G105*MIN(Mat.Rebar_f.y,(Mat.Rebar_epsilon.cl*(Inputs!H105-L754)/L754)*Mat.PT_E.s))</f>
        <v/>
      </c>
      <c r="S754" s="369"/>
      <c r="T754" s="369" t="str">
        <f>IF(ISBLANK(Inputs!$A105),"",Inputs!D105*(Mat.PT_f.pu*(1-Mat.PT_k*L754/Inputs!F105)))</f>
        <v/>
      </c>
      <c r="U754" s="369"/>
      <c r="V754" s="369" t="str">
        <f>IF(ISBLANK(Inputs!$A105),"",
(Mat.PT_f.pe/Mat.PT_E.ps)+(Mat.Rebar_epsilon.cl*((Geometry_d.p.Positive-L754)/L754)))</f>
        <v/>
      </c>
      <c r="W754" s="369"/>
      <c r="X754" s="369" t="str">
        <f>IF(ISBLANK(Inputs!$A105),"",
0.5*MIN(L754*Mat.Conc_Beta.1,Geometry_h.f.Positive))</f>
        <v/>
      </c>
      <c r="Y754" s="369"/>
      <c r="Z754" s="369" t="str">
        <f>IF(ISBLANK(Inputs!$A105),"",
IF(P754=0,0,Geometry_h.f.Positive+0.5*MAX(0,L754*Mat.Conc_Beta.1-Geometry_h.f.Positive)))</f>
        <v/>
      </c>
      <c r="AA754" s="369"/>
      <c r="AB754" s="369" t="str">
        <f>IF(ISBLANK(Inputs!$A105),"",
Inputs!H105)</f>
        <v/>
      </c>
      <c r="AC754" s="369"/>
      <c r="AD754" s="369" t="str">
        <f>IF(ISBLANK(Inputs!$A105),"",
Inputs!F105)</f>
        <v/>
      </c>
      <c r="AE754" s="369"/>
      <c r="AF754" s="369" t="str">
        <f>IF(ISBLANK(Inputs!$A105),"",
MAX(0.75,MIN(1,0.75+0.25*(V754-Mat.Rebar_epsilon.cl)/(Mat.Rebar_epsilon.tl-Mat.Rebar_epsilon.cl))))</f>
        <v/>
      </c>
      <c r="AG754" s="369"/>
      <c r="AH754" s="370" t="str">
        <f>IF(ISBLANK(Inputs!$A105),"",
((AD754*T754+AB754*R754-Z754*P754-X754*N754)/12)*AF754)</f>
        <v/>
      </c>
      <c r="AI754" s="370"/>
      <c r="AJ754" s="370"/>
      <c r="AK754" s="369" t="str">
        <f>IF(ISBLANK(Inputs!$A105),"",
MAX(IF(ISNUMBER(AE622),1),
IF(ISNUMBER(AI622),2),
IF(ISNUMBER(AM622),3),
IF(ISNUMBER(AQ622),4),
IF(ISNUMBER(AU622),5),
IF(ISNUMBER(AY622),6),
IF(ISNUMBER(BC622),7),
IF(ISNUMBER(BG622),8),
IF(ISNUMBER(BK622),9),
IF(ISNUMBER(BO622),10)))</f>
        <v/>
      </c>
      <c r="AL754" s="369"/>
      <c r="AM754" s="369" t="str">
        <f>IF(ISBLANK(Inputs!$A105),"",
_xlfn.LET(
_xlpm.n,AK754,
CHOOSE(_xlpm.n,
AE622,AI622,AM622,AQ622,AU622,
AY622,BC622,BG622,BK622,BO622
)
))</f>
        <v/>
      </c>
      <c r="AN754" s="369"/>
      <c r="AO754" s="369" t="str">
        <f>IF(ISBLANK(Inputs!$A105),"",
Mat.Conc_Alpha.1*Mat.Conc_f.c*Geometry_b.Negative*MIN(AM754*Mat.Conc_Beta.1,Geometry_h.f.Negative))</f>
        <v/>
      </c>
      <c r="AP754" s="369"/>
      <c r="AQ754" s="369" t="str">
        <f>IF(ISBLANK(Inputs!$A105),"",
Mat.Conc_Alpha.1*Mat.Conc_f.c*Geometry_b.w*MAX(0,AM754*Mat.Conc_Beta.1-Geometry_h.f.Negative))</f>
        <v/>
      </c>
      <c r="AR754" s="369"/>
      <c r="AS754" s="369" t="str">
        <f>IF(ISBLANK(Inputs!$A105),"",
Mat.Rebar_A.s.Positive*MIN(Mat.Rebar_f.y,(Mat.Rebar_epsilon.cl*(Geometry_d.s.Negative-AM754)/AM754)*Mat.PT_E.s))</f>
        <v/>
      </c>
      <c r="AT754" s="369"/>
      <c r="AU754" s="369" t="str">
        <f>IF(ISBLANK(Inputs!$A105),"",
Mat.PT_A.ps*(Mat.PT_f.pu*(1-Mat.PT_k*AM754/Geometry_d.p.Negative)))</f>
        <v/>
      </c>
      <c r="AV754" s="369"/>
      <c r="AW754" s="369" t="str">
        <f>IF(ISBLANK(Inputs!$A105),"",
(Mat.PT_f.pe/Mat.PT_E.ps)+(Mat.Rebar_epsilon.cl*((Geometry_d.p.Negative-AM754)/AM754)))</f>
        <v/>
      </c>
      <c r="AX754" s="369"/>
      <c r="AY754" s="369" t="str">
        <f>IF(ISBLANK(Inputs!$A105),"",
0.5*MIN(AM754*Mat.Conc_Beta.1,Geometry_h.f.Negative))</f>
        <v/>
      </c>
      <c r="AZ754" s="369"/>
      <c r="BA754" s="369" t="str">
        <f>IF(ISBLANK(Inputs!$A105),"",
IF(AQ754=0,0,Geometry_h.f.Negative+0.5*MAX(0,AM754*Mat.Conc_Beta.1-Geometry_h.f.Negative)))</f>
        <v/>
      </c>
      <c r="BB754" s="369"/>
      <c r="BC754" s="369" t="str">
        <f>IF(ISBLANK(Inputs!$A105),"",
Inputs!L105)</f>
        <v/>
      </c>
      <c r="BD754" s="369"/>
      <c r="BE754" s="369" t="str">
        <f>IF(ISBLANK(Inputs!$A105),"",Inputs!$B$10-Inputs!F105)</f>
        <v/>
      </c>
      <c r="BF754" s="369"/>
      <c r="BG754" s="369" t="str">
        <f>IF(ISBLANK(Inputs!$A105),"",
MAX(0.75,MIN(1,0.75+0.25*(AW754-Mat.Rebar_epsilon.cl)/(Mat.Rebar_epsilon.tl-Mat.Rebar_epsilon.cl))))</f>
        <v/>
      </c>
      <c r="BH754" s="369"/>
      <c r="BI754" s="370" t="str">
        <f>IF(ISBLANK(Inputs!$A105),"",
-((BE754*AU754+BC754*AS754-BA754*AQ754-AY754*AO754)/12)*BG754)</f>
        <v/>
      </c>
      <c r="BJ754" s="370"/>
      <c r="BK754" s="370"/>
      <c r="BL754" s="370" t="str">
        <f>IF(ISBLANK(Inputs!C105),"",Inputs!C105)</f>
        <v/>
      </c>
      <c r="BM754" s="370"/>
      <c r="BN754" s="370"/>
      <c r="BO754" s="374" t="str">
        <f>IF(ISBLANK(Inputs!$A105),"",
IFERROR(IF(BL754&gt;=0,ABS(BL754)/ABS(AH754),ABS(BL754)/ABS(BI754)),""))</f>
        <v/>
      </c>
      <c r="BP754" s="374"/>
      <c r="BQ754" s="374"/>
      <c r="BR754" s="59"/>
      <c r="BS754" s="70"/>
      <c r="BT754" s="70"/>
      <c r="BU754" s="70"/>
      <c r="BV754" s="70"/>
      <c r="BW754" s="8"/>
      <c r="BX754" s="8"/>
      <c r="BY754" s="8"/>
      <c r="BZ754" s="8"/>
      <c r="CA754" s="8"/>
      <c r="CB754" s="10"/>
    </row>
    <row r="755" spans="3:80" ht="15" customHeight="1" x14ac:dyDescent="0.25">
      <c r="C755" s="69"/>
      <c r="F755" s="369" t="str">
        <f>IF(ISBLANK(Inputs!A106),"",Inputs!A106)</f>
        <v/>
      </c>
      <c r="G755" s="369"/>
      <c r="H755" s="369" t="str">
        <f>IF(ISBLANK(Inputs!B106),"",Inputs!B106)</f>
        <v/>
      </c>
      <c r="I755" s="369"/>
      <c r="J755" s="369" t="str">
        <f>IF(ISBLANK(Inputs!$A106),"",
MAX(IF(ISNUMBER(AE498),1),
IF(ISNUMBER(AI498),2),
IF(ISNUMBER(AM498),3),
IF(ISNUMBER(AQ498),4),
IF(ISNUMBER(AU498),5),
IF(ISNUMBER(AY498),6),
IF(ISNUMBER(BC498),7),
IF(ISNUMBER(BG498),8),
IF(ISNUMBER(BK498),9),
IF(ISNUMBER(BO498),10)))</f>
        <v/>
      </c>
      <c r="K755" s="369"/>
      <c r="L755" s="369" t="str">
        <f>IF(ISBLANK(Inputs!$A106),"",
_xlfn.LET(
_xlpm.n,J755,
CHOOSE(_xlpm.n,
AE498,AI498,AM498,AQ498,AU498,
AY498,BC498,BG498,BK498,BO498
)
))</f>
        <v/>
      </c>
      <c r="M755" s="369"/>
      <c r="N755" s="369" t="str">
        <f>IF(ISBLANK(Inputs!$A106),"",
Mat.Conc_Alpha.1*Mat.Conc_f.c*Inputs!J106*MIN(L755*Mat.Conc_Beta.1,Inputs!I106))</f>
        <v/>
      </c>
      <c r="O755" s="369"/>
      <c r="P755" s="372" t="str">
        <f>IF(ISBLANK(Inputs!$A106),"",
Mat.Conc_Alpha.1*Mat.Conc_f.c*Inputs!E106*MAX(0,L755*Mat.Conc_Beta.1-Inputs!I106))</f>
        <v/>
      </c>
      <c r="Q755" s="369"/>
      <c r="R755" s="369" t="str">
        <f>IF(ISBLANK(Inputs!$A106),"",Inputs!G106*MIN(Mat.Rebar_f.y,(Mat.Rebar_epsilon.cl*(Inputs!H106-L755)/L755)*Mat.PT_E.s))</f>
        <v/>
      </c>
      <c r="S755" s="369"/>
      <c r="T755" s="369" t="str">
        <f>IF(ISBLANK(Inputs!$A106),"",Inputs!D106*(Mat.PT_f.pu*(1-Mat.PT_k*L755/Inputs!F106)))</f>
        <v/>
      </c>
      <c r="U755" s="369"/>
      <c r="V755" s="369" t="str">
        <f>IF(ISBLANK(Inputs!$A106),"",
(Mat.PT_f.pe/Mat.PT_E.ps)+(Mat.Rebar_epsilon.cl*((Geometry_d.p.Positive-L755)/L755)))</f>
        <v/>
      </c>
      <c r="W755" s="369"/>
      <c r="X755" s="369" t="str">
        <f>IF(ISBLANK(Inputs!$A106),"",
0.5*MIN(L755*Mat.Conc_Beta.1,Geometry_h.f.Positive))</f>
        <v/>
      </c>
      <c r="Y755" s="369"/>
      <c r="Z755" s="369" t="str">
        <f>IF(ISBLANK(Inputs!$A106),"",
IF(P755=0,0,Geometry_h.f.Positive+0.5*MAX(0,L755*Mat.Conc_Beta.1-Geometry_h.f.Positive)))</f>
        <v/>
      </c>
      <c r="AA755" s="369"/>
      <c r="AB755" s="369" t="str">
        <f>IF(ISBLANK(Inputs!$A106),"",
Inputs!H106)</f>
        <v/>
      </c>
      <c r="AC755" s="369"/>
      <c r="AD755" s="369" t="str">
        <f>IF(ISBLANK(Inputs!$A106),"",
Inputs!F106)</f>
        <v/>
      </c>
      <c r="AE755" s="369"/>
      <c r="AF755" s="369" t="str">
        <f>IF(ISBLANK(Inputs!$A106),"",
MAX(0.75,MIN(1,0.75+0.25*(V755-Mat.Rebar_epsilon.cl)/(Mat.Rebar_epsilon.tl-Mat.Rebar_epsilon.cl))))</f>
        <v/>
      </c>
      <c r="AG755" s="369"/>
      <c r="AH755" s="370" t="str">
        <f>IF(ISBLANK(Inputs!$A106),"",
((AD755*T755+AB755*R755-Z755*P755-X755*N755)/12)*AF755)</f>
        <v/>
      </c>
      <c r="AI755" s="370"/>
      <c r="AJ755" s="370"/>
      <c r="AK755" s="369" t="str">
        <f>IF(ISBLANK(Inputs!$A106),"",
MAX(IF(ISNUMBER(AE623),1),
IF(ISNUMBER(AI623),2),
IF(ISNUMBER(AM623),3),
IF(ISNUMBER(AQ623),4),
IF(ISNUMBER(AU623),5),
IF(ISNUMBER(AY623),6),
IF(ISNUMBER(BC623),7),
IF(ISNUMBER(BG623),8),
IF(ISNUMBER(BK623),9),
IF(ISNUMBER(BO623),10)))</f>
        <v/>
      </c>
      <c r="AL755" s="369"/>
      <c r="AM755" s="369" t="str">
        <f>IF(ISBLANK(Inputs!$A106),"",
_xlfn.LET(
_xlpm.n,AK755,
CHOOSE(_xlpm.n,
AE623,AI623,AM623,AQ623,AU623,
AY623,BC623,BG623,BK623,BO623
)
))</f>
        <v/>
      </c>
      <c r="AN755" s="369"/>
      <c r="AO755" s="369" t="str">
        <f>IF(ISBLANK(Inputs!$A106),"",
Mat.Conc_Alpha.1*Mat.Conc_f.c*Geometry_b.Negative*MIN(AM755*Mat.Conc_Beta.1,Geometry_h.f.Negative))</f>
        <v/>
      </c>
      <c r="AP755" s="369"/>
      <c r="AQ755" s="369" t="str">
        <f>IF(ISBLANK(Inputs!$A106),"",
Mat.Conc_Alpha.1*Mat.Conc_f.c*Geometry_b.w*MAX(0,AM755*Mat.Conc_Beta.1-Geometry_h.f.Negative))</f>
        <v/>
      </c>
      <c r="AR755" s="369"/>
      <c r="AS755" s="369" t="str">
        <f>IF(ISBLANK(Inputs!$A106),"",
Mat.Rebar_A.s.Positive*MIN(Mat.Rebar_f.y,(Mat.Rebar_epsilon.cl*(Geometry_d.s.Negative-AM755)/AM755)*Mat.PT_E.s))</f>
        <v/>
      </c>
      <c r="AT755" s="369"/>
      <c r="AU755" s="369" t="str">
        <f>IF(ISBLANK(Inputs!$A106),"",
Mat.PT_A.ps*(Mat.PT_f.pu*(1-Mat.PT_k*AM755/Geometry_d.p.Negative)))</f>
        <v/>
      </c>
      <c r="AV755" s="369"/>
      <c r="AW755" s="369" t="str">
        <f>IF(ISBLANK(Inputs!$A106),"",
(Mat.PT_f.pe/Mat.PT_E.ps)+(Mat.Rebar_epsilon.cl*((Geometry_d.p.Negative-AM755)/AM755)))</f>
        <v/>
      </c>
      <c r="AX755" s="369"/>
      <c r="AY755" s="369" t="str">
        <f>IF(ISBLANK(Inputs!$A106),"",
0.5*MIN(AM755*Mat.Conc_Beta.1,Geometry_h.f.Negative))</f>
        <v/>
      </c>
      <c r="AZ755" s="369"/>
      <c r="BA755" s="369" t="str">
        <f>IF(ISBLANK(Inputs!$A106),"",
IF(AQ755=0,0,Geometry_h.f.Negative+0.5*MAX(0,AM755*Mat.Conc_Beta.1-Geometry_h.f.Negative)))</f>
        <v/>
      </c>
      <c r="BB755" s="369"/>
      <c r="BC755" s="369" t="str">
        <f>IF(ISBLANK(Inputs!$A106),"",
Inputs!L106)</f>
        <v/>
      </c>
      <c r="BD755" s="369"/>
      <c r="BE755" s="369" t="str">
        <f>IF(ISBLANK(Inputs!$A106),"",Inputs!$B$10-Inputs!F106)</f>
        <v/>
      </c>
      <c r="BF755" s="369"/>
      <c r="BG755" s="369" t="str">
        <f>IF(ISBLANK(Inputs!$A106),"",
MAX(0.75,MIN(1,0.75+0.25*(AW755-Mat.Rebar_epsilon.cl)/(Mat.Rebar_epsilon.tl-Mat.Rebar_epsilon.cl))))</f>
        <v/>
      </c>
      <c r="BH755" s="369"/>
      <c r="BI755" s="370" t="str">
        <f>IF(ISBLANK(Inputs!$A106),"",
-((BE755*AU755+BC755*AS755-BA755*AQ755-AY755*AO755)/12)*BG755)</f>
        <v/>
      </c>
      <c r="BJ755" s="370"/>
      <c r="BK755" s="370"/>
      <c r="BL755" s="370" t="str">
        <f>IF(ISBLANK(Inputs!C106),"",Inputs!C106)</f>
        <v/>
      </c>
      <c r="BM755" s="370"/>
      <c r="BN755" s="370"/>
      <c r="BO755" s="374" t="str">
        <f>IF(ISBLANK(Inputs!$A106),"",
IFERROR(IF(BL755&gt;=0,ABS(BL755)/ABS(AH755),ABS(BL755)/ABS(BI755)),""))</f>
        <v/>
      </c>
      <c r="BP755" s="374"/>
      <c r="BQ755" s="374"/>
      <c r="BR755" s="59"/>
      <c r="BS755" s="70"/>
      <c r="BT755" s="70"/>
      <c r="BU755" s="70"/>
      <c r="BV755" s="70"/>
      <c r="BW755" s="8"/>
      <c r="BX755" s="8"/>
      <c r="BY755" s="8"/>
      <c r="BZ755" s="8"/>
      <c r="CA755" s="8"/>
      <c r="CB755" s="10"/>
    </row>
    <row r="756" spans="3:80" ht="15" customHeight="1" x14ac:dyDescent="0.25">
      <c r="C756" s="69"/>
      <c r="F756" s="369" t="str">
        <f>IF(ISBLANK(Inputs!A107),"",Inputs!A107)</f>
        <v/>
      </c>
      <c r="G756" s="369"/>
      <c r="H756" s="369" t="str">
        <f>IF(ISBLANK(Inputs!B107),"",Inputs!B107)</f>
        <v/>
      </c>
      <c r="I756" s="369"/>
      <c r="J756" s="369" t="str">
        <f>IF(ISBLANK(Inputs!$A107),"",
MAX(IF(ISNUMBER(AE499),1),
IF(ISNUMBER(AI499),2),
IF(ISNUMBER(AM499),3),
IF(ISNUMBER(AQ499),4),
IF(ISNUMBER(AU499),5),
IF(ISNUMBER(AY499),6),
IF(ISNUMBER(BC499),7),
IF(ISNUMBER(BG499),8),
IF(ISNUMBER(BK499),9),
IF(ISNUMBER(BO499),10)))</f>
        <v/>
      </c>
      <c r="K756" s="369"/>
      <c r="L756" s="369" t="str">
        <f>IF(ISBLANK(Inputs!$A107),"",
_xlfn.LET(
_xlpm.n,J756,
CHOOSE(_xlpm.n,
AE499,AI499,AM499,AQ499,AU499,
AY499,BC499,BG499,BK499,BO499
)
))</f>
        <v/>
      </c>
      <c r="M756" s="369"/>
      <c r="N756" s="369" t="str">
        <f>IF(ISBLANK(Inputs!$A107),"",
Mat.Conc_Alpha.1*Mat.Conc_f.c*Inputs!J107*MIN(L756*Mat.Conc_Beta.1,Inputs!I107))</f>
        <v/>
      </c>
      <c r="O756" s="369"/>
      <c r="P756" s="372" t="str">
        <f>IF(ISBLANK(Inputs!$A107),"",
Mat.Conc_Alpha.1*Mat.Conc_f.c*Inputs!E107*MAX(0,L756*Mat.Conc_Beta.1-Inputs!I107))</f>
        <v/>
      </c>
      <c r="Q756" s="369"/>
      <c r="R756" s="369" t="str">
        <f>IF(ISBLANK(Inputs!$A107),"",Inputs!G107*MIN(Mat.Rebar_f.y,(Mat.Rebar_epsilon.cl*(Inputs!H107-L756)/L756)*Mat.PT_E.s))</f>
        <v/>
      </c>
      <c r="S756" s="369"/>
      <c r="T756" s="369" t="str">
        <f>IF(ISBLANK(Inputs!$A107),"",Inputs!D107*(Mat.PT_f.pu*(1-Mat.PT_k*L756/Inputs!F107)))</f>
        <v/>
      </c>
      <c r="U756" s="369"/>
      <c r="V756" s="369" t="str">
        <f>IF(ISBLANK(Inputs!$A107),"",
(Mat.PT_f.pe/Mat.PT_E.ps)+(Mat.Rebar_epsilon.cl*((Geometry_d.p.Positive-L756)/L756)))</f>
        <v/>
      </c>
      <c r="W756" s="369"/>
      <c r="X756" s="369" t="str">
        <f>IF(ISBLANK(Inputs!$A107),"",
0.5*MIN(L756*Mat.Conc_Beta.1,Geometry_h.f.Positive))</f>
        <v/>
      </c>
      <c r="Y756" s="369"/>
      <c r="Z756" s="369" t="str">
        <f>IF(ISBLANK(Inputs!$A107),"",
IF(P756=0,0,Geometry_h.f.Positive+0.5*MAX(0,L756*Mat.Conc_Beta.1-Geometry_h.f.Positive)))</f>
        <v/>
      </c>
      <c r="AA756" s="369"/>
      <c r="AB756" s="369" t="str">
        <f>IF(ISBLANK(Inputs!$A107),"",
Inputs!H107)</f>
        <v/>
      </c>
      <c r="AC756" s="369"/>
      <c r="AD756" s="369" t="str">
        <f>IF(ISBLANK(Inputs!$A107),"",
Inputs!F107)</f>
        <v/>
      </c>
      <c r="AE756" s="369"/>
      <c r="AF756" s="369" t="str">
        <f>IF(ISBLANK(Inputs!$A107),"",
MAX(0.75,MIN(1,0.75+0.25*(V756-Mat.Rebar_epsilon.cl)/(Mat.Rebar_epsilon.tl-Mat.Rebar_epsilon.cl))))</f>
        <v/>
      </c>
      <c r="AG756" s="369"/>
      <c r="AH756" s="370" t="str">
        <f>IF(ISBLANK(Inputs!$A107),"",
((AD756*T756+AB756*R756-Z756*P756-X756*N756)/12)*AF756)</f>
        <v/>
      </c>
      <c r="AI756" s="370"/>
      <c r="AJ756" s="370"/>
      <c r="AK756" s="369" t="str">
        <f>IF(ISBLANK(Inputs!$A107),"",
MAX(IF(ISNUMBER(AE624),1),
IF(ISNUMBER(AI624),2),
IF(ISNUMBER(AM624),3),
IF(ISNUMBER(AQ624),4),
IF(ISNUMBER(AU624),5),
IF(ISNUMBER(AY624),6),
IF(ISNUMBER(BC624),7),
IF(ISNUMBER(BG624),8),
IF(ISNUMBER(BK624),9),
IF(ISNUMBER(BO624),10)))</f>
        <v/>
      </c>
      <c r="AL756" s="369"/>
      <c r="AM756" s="369" t="str">
        <f>IF(ISBLANK(Inputs!$A107),"",
_xlfn.LET(
_xlpm.n,AK756,
CHOOSE(_xlpm.n,
AE624,AI624,AM624,AQ624,AU624,
AY624,BC624,BG624,BK624,BO624
)
))</f>
        <v/>
      </c>
      <c r="AN756" s="369"/>
      <c r="AO756" s="369" t="str">
        <f>IF(ISBLANK(Inputs!$A107),"",
Mat.Conc_Alpha.1*Mat.Conc_f.c*Geometry_b.Negative*MIN(AM756*Mat.Conc_Beta.1,Geometry_h.f.Negative))</f>
        <v/>
      </c>
      <c r="AP756" s="369"/>
      <c r="AQ756" s="369" t="str">
        <f>IF(ISBLANK(Inputs!$A107),"",
Mat.Conc_Alpha.1*Mat.Conc_f.c*Geometry_b.w*MAX(0,AM756*Mat.Conc_Beta.1-Geometry_h.f.Negative))</f>
        <v/>
      </c>
      <c r="AR756" s="369"/>
      <c r="AS756" s="369" t="str">
        <f>IF(ISBLANK(Inputs!$A107),"",
Mat.Rebar_A.s.Positive*MIN(Mat.Rebar_f.y,(Mat.Rebar_epsilon.cl*(Geometry_d.s.Negative-AM756)/AM756)*Mat.PT_E.s))</f>
        <v/>
      </c>
      <c r="AT756" s="369"/>
      <c r="AU756" s="369" t="str">
        <f>IF(ISBLANK(Inputs!$A107),"",
Mat.PT_A.ps*(Mat.PT_f.pu*(1-Mat.PT_k*AM756/Geometry_d.p.Negative)))</f>
        <v/>
      </c>
      <c r="AV756" s="369"/>
      <c r="AW756" s="369" t="str">
        <f>IF(ISBLANK(Inputs!$A107),"",
(Mat.PT_f.pe/Mat.PT_E.ps)+(Mat.Rebar_epsilon.cl*((Geometry_d.p.Negative-AM756)/AM756)))</f>
        <v/>
      </c>
      <c r="AX756" s="369"/>
      <c r="AY756" s="369" t="str">
        <f>IF(ISBLANK(Inputs!$A107),"",
0.5*MIN(AM756*Mat.Conc_Beta.1,Geometry_h.f.Negative))</f>
        <v/>
      </c>
      <c r="AZ756" s="369"/>
      <c r="BA756" s="369" t="str">
        <f>IF(ISBLANK(Inputs!$A107),"",
IF(AQ756=0,0,Geometry_h.f.Negative+0.5*MAX(0,AM756*Mat.Conc_Beta.1-Geometry_h.f.Negative)))</f>
        <v/>
      </c>
      <c r="BB756" s="369"/>
      <c r="BC756" s="369" t="str">
        <f>IF(ISBLANK(Inputs!$A107),"",
Inputs!L107)</f>
        <v/>
      </c>
      <c r="BD756" s="369"/>
      <c r="BE756" s="369" t="str">
        <f>IF(ISBLANK(Inputs!$A107),"",Inputs!$B$10-Inputs!F107)</f>
        <v/>
      </c>
      <c r="BF756" s="369"/>
      <c r="BG756" s="369" t="str">
        <f>IF(ISBLANK(Inputs!$A107),"",
MAX(0.75,MIN(1,0.75+0.25*(AW756-Mat.Rebar_epsilon.cl)/(Mat.Rebar_epsilon.tl-Mat.Rebar_epsilon.cl))))</f>
        <v/>
      </c>
      <c r="BH756" s="369"/>
      <c r="BI756" s="370" t="str">
        <f>IF(ISBLANK(Inputs!$A107),"",
-((BE756*AU756+BC756*AS756-BA756*AQ756-AY756*AO756)/12)*BG756)</f>
        <v/>
      </c>
      <c r="BJ756" s="370"/>
      <c r="BK756" s="370"/>
      <c r="BL756" s="370" t="str">
        <f>IF(ISBLANK(Inputs!C107),"",Inputs!C107)</f>
        <v/>
      </c>
      <c r="BM756" s="370"/>
      <c r="BN756" s="370"/>
      <c r="BO756" s="374" t="str">
        <f>IF(ISBLANK(Inputs!$A107),"",
IFERROR(IF(BL756&gt;=0,ABS(BL756)/ABS(AH756),ABS(BL756)/ABS(BI756)),""))</f>
        <v/>
      </c>
      <c r="BP756" s="374"/>
      <c r="BQ756" s="374"/>
      <c r="BR756" s="59"/>
      <c r="BS756" s="70"/>
      <c r="BT756" s="70"/>
      <c r="BU756" s="70"/>
      <c r="BV756" s="70"/>
      <c r="BW756" s="8"/>
      <c r="BX756" s="8"/>
      <c r="BY756" s="8"/>
      <c r="BZ756" s="8"/>
      <c r="CA756" s="8"/>
      <c r="CB756" s="10"/>
    </row>
    <row r="757" spans="3:80" ht="15" customHeight="1" x14ac:dyDescent="0.25">
      <c r="C757" s="69"/>
      <c r="F757" s="369" t="str">
        <f>IF(ISBLANK(Inputs!A108),"",Inputs!A108)</f>
        <v/>
      </c>
      <c r="G757" s="369"/>
      <c r="H757" s="369" t="str">
        <f>IF(ISBLANK(Inputs!B108),"",Inputs!B108)</f>
        <v/>
      </c>
      <c r="I757" s="369"/>
      <c r="J757" s="369" t="str">
        <f>IF(ISBLANK(Inputs!$A108),"",
MAX(IF(ISNUMBER(AE500),1),
IF(ISNUMBER(AI500),2),
IF(ISNUMBER(AM500),3),
IF(ISNUMBER(AQ500),4),
IF(ISNUMBER(AU500),5),
IF(ISNUMBER(AY500),6),
IF(ISNUMBER(BC500),7),
IF(ISNUMBER(BG500),8),
IF(ISNUMBER(BK500),9),
IF(ISNUMBER(BO500),10)))</f>
        <v/>
      </c>
      <c r="K757" s="369"/>
      <c r="L757" s="369" t="str">
        <f>IF(ISBLANK(Inputs!$A108),"",
_xlfn.LET(
_xlpm.n,J757,
CHOOSE(_xlpm.n,
AE500,AI500,AM500,AQ500,AU500,
AY500,BC500,BG500,BK500,BO500
)
))</f>
        <v/>
      </c>
      <c r="M757" s="369"/>
      <c r="N757" s="369" t="str">
        <f>IF(ISBLANK(Inputs!$A108),"",
Mat.Conc_Alpha.1*Mat.Conc_f.c*Inputs!J108*MIN(L757*Mat.Conc_Beta.1,Inputs!I108))</f>
        <v/>
      </c>
      <c r="O757" s="369"/>
      <c r="P757" s="372" t="str">
        <f>IF(ISBLANK(Inputs!$A108),"",
Mat.Conc_Alpha.1*Mat.Conc_f.c*Inputs!E108*MAX(0,L757*Mat.Conc_Beta.1-Inputs!I108))</f>
        <v/>
      </c>
      <c r="Q757" s="369"/>
      <c r="R757" s="369" t="str">
        <f>IF(ISBLANK(Inputs!$A108),"",Inputs!G108*MIN(Mat.Rebar_f.y,(Mat.Rebar_epsilon.cl*(Inputs!H108-L757)/L757)*Mat.PT_E.s))</f>
        <v/>
      </c>
      <c r="S757" s="369"/>
      <c r="T757" s="369" t="str">
        <f>IF(ISBLANK(Inputs!$A108),"",Inputs!D108*(Mat.PT_f.pu*(1-Mat.PT_k*L757/Inputs!F108)))</f>
        <v/>
      </c>
      <c r="U757" s="369"/>
      <c r="V757" s="369" t="str">
        <f>IF(ISBLANK(Inputs!$A108),"",
(Mat.PT_f.pe/Mat.PT_E.ps)+(Mat.Rebar_epsilon.cl*((Geometry_d.p.Positive-L757)/L757)))</f>
        <v/>
      </c>
      <c r="W757" s="369"/>
      <c r="X757" s="369" t="str">
        <f>IF(ISBLANK(Inputs!$A108),"",
0.5*MIN(L757*Mat.Conc_Beta.1,Geometry_h.f.Positive))</f>
        <v/>
      </c>
      <c r="Y757" s="369"/>
      <c r="Z757" s="369" t="str">
        <f>IF(ISBLANK(Inputs!$A108),"",
IF(P757=0,0,Geometry_h.f.Positive+0.5*MAX(0,L757*Mat.Conc_Beta.1-Geometry_h.f.Positive)))</f>
        <v/>
      </c>
      <c r="AA757" s="369"/>
      <c r="AB757" s="369" t="str">
        <f>IF(ISBLANK(Inputs!$A108),"",
Inputs!H108)</f>
        <v/>
      </c>
      <c r="AC757" s="369"/>
      <c r="AD757" s="369" t="str">
        <f>IF(ISBLANK(Inputs!$A108),"",
Inputs!F108)</f>
        <v/>
      </c>
      <c r="AE757" s="369"/>
      <c r="AF757" s="369" t="str">
        <f>IF(ISBLANK(Inputs!$A108),"",
MAX(0.75,MIN(1,0.75+0.25*(V757-Mat.Rebar_epsilon.cl)/(Mat.Rebar_epsilon.tl-Mat.Rebar_epsilon.cl))))</f>
        <v/>
      </c>
      <c r="AG757" s="369"/>
      <c r="AH757" s="370" t="str">
        <f>IF(ISBLANK(Inputs!$A108),"",
((AD757*T757+AB757*R757-Z757*P757-X757*N757)/12)*AF757)</f>
        <v/>
      </c>
      <c r="AI757" s="370"/>
      <c r="AJ757" s="370"/>
      <c r="AK757" s="369" t="str">
        <f>IF(ISBLANK(Inputs!$A108),"",
MAX(IF(ISNUMBER(AE625),1),
IF(ISNUMBER(AI625),2),
IF(ISNUMBER(AM625),3),
IF(ISNUMBER(AQ625),4),
IF(ISNUMBER(AU625),5),
IF(ISNUMBER(AY625),6),
IF(ISNUMBER(BC625),7),
IF(ISNUMBER(BG625),8),
IF(ISNUMBER(BK625),9),
IF(ISNUMBER(BO625),10)))</f>
        <v/>
      </c>
      <c r="AL757" s="369"/>
      <c r="AM757" s="369" t="str">
        <f>IF(ISBLANK(Inputs!$A108),"",
_xlfn.LET(
_xlpm.n,AK757,
CHOOSE(_xlpm.n,
AE625,AI625,AM625,AQ625,AU625,
AY625,BC625,BG625,BK625,BO625
)
))</f>
        <v/>
      </c>
      <c r="AN757" s="369"/>
      <c r="AO757" s="369" t="str">
        <f>IF(ISBLANK(Inputs!$A108),"",
Mat.Conc_Alpha.1*Mat.Conc_f.c*Geometry_b.Negative*MIN(AM757*Mat.Conc_Beta.1,Geometry_h.f.Negative))</f>
        <v/>
      </c>
      <c r="AP757" s="369"/>
      <c r="AQ757" s="369" t="str">
        <f>IF(ISBLANK(Inputs!$A108),"",
Mat.Conc_Alpha.1*Mat.Conc_f.c*Geometry_b.w*MAX(0,AM757*Mat.Conc_Beta.1-Geometry_h.f.Negative))</f>
        <v/>
      </c>
      <c r="AR757" s="369"/>
      <c r="AS757" s="369" t="str">
        <f>IF(ISBLANK(Inputs!$A108),"",
Mat.Rebar_A.s.Positive*MIN(Mat.Rebar_f.y,(Mat.Rebar_epsilon.cl*(Geometry_d.s.Negative-AM757)/AM757)*Mat.PT_E.s))</f>
        <v/>
      </c>
      <c r="AT757" s="369"/>
      <c r="AU757" s="369" t="str">
        <f>IF(ISBLANK(Inputs!$A108),"",
Mat.PT_A.ps*(Mat.PT_f.pu*(1-Mat.PT_k*AM757/Geometry_d.p.Negative)))</f>
        <v/>
      </c>
      <c r="AV757" s="369"/>
      <c r="AW757" s="369" t="str">
        <f>IF(ISBLANK(Inputs!$A108),"",
(Mat.PT_f.pe/Mat.PT_E.ps)+(Mat.Rebar_epsilon.cl*((Geometry_d.p.Negative-AM757)/AM757)))</f>
        <v/>
      </c>
      <c r="AX757" s="369"/>
      <c r="AY757" s="369" t="str">
        <f>IF(ISBLANK(Inputs!$A108),"",
0.5*MIN(AM757*Mat.Conc_Beta.1,Geometry_h.f.Negative))</f>
        <v/>
      </c>
      <c r="AZ757" s="369"/>
      <c r="BA757" s="369" t="str">
        <f>IF(ISBLANK(Inputs!$A108),"",
IF(AQ757=0,0,Geometry_h.f.Negative+0.5*MAX(0,AM757*Mat.Conc_Beta.1-Geometry_h.f.Negative)))</f>
        <v/>
      </c>
      <c r="BB757" s="369"/>
      <c r="BC757" s="369" t="str">
        <f>IF(ISBLANK(Inputs!$A108),"",
Inputs!L108)</f>
        <v/>
      </c>
      <c r="BD757" s="369"/>
      <c r="BE757" s="369" t="str">
        <f>IF(ISBLANK(Inputs!$A108),"",Inputs!$B$10-Inputs!F108)</f>
        <v/>
      </c>
      <c r="BF757" s="369"/>
      <c r="BG757" s="369" t="str">
        <f>IF(ISBLANK(Inputs!$A108),"",
MAX(0.75,MIN(1,0.75+0.25*(AW757-Mat.Rebar_epsilon.cl)/(Mat.Rebar_epsilon.tl-Mat.Rebar_epsilon.cl))))</f>
        <v/>
      </c>
      <c r="BH757" s="369"/>
      <c r="BI757" s="370" t="str">
        <f>IF(ISBLANK(Inputs!$A108),"",
-((BE757*AU757+BC757*AS757-BA757*AQ757-AY757*AO757)/12)*BG757)</f>
        <v/>
      </c>
      <c r="BJ757" s="370"/>
      <c r="BK757" s="370"/>
      <c r="BL757" s="370" t="str">
        <f>IF(ISBLANK(Inputs!C108),"",Inputs!C108)</f>
        <v/>
      </c>
      <c r="BM757" s="370"/>
      <c r="BN757" s="370"/>
      <c r="BO757" s="374" t="str">
        <f>IF(ISBLANK(Inputs!$A108),"",
IFERROR(IF(BL757&gt;=0,ABS(BL757)/ABS(AH757),ABS(BL757)/ABS(BI757)),""))</f>
        <v/>
      </c>
      <c r="BP757" s="374"/>
      <c r="BQ757" s="374"/>
      <c r="BR757" s="59"/>
      <c r="BS757" s="70"/>
      <c r="BT757" s="70"/>
      <c r="BU757" s="70"/>
      <c r="BV757" s="70"/>
      <c r="BW757" s="8"/>
      <c r="BX757" s="8"/>
      <c r="BY757" s="8"/>
      <c r="BZ757" s="8"/>
      <c r="CA757" s="8"/>
      <c r="CB757" s="10"/>
    </row>
    <row r="758" spans="3:80" ht="15" customHeight="1" x14ac:dyDescent="0.25">
      <c r="C758" s="69"/>
      <c r="F758" s="369" t="str">
        <f>IF(ISBLANK(Inputs!A109),"",Inputs!A109)</f>
        <v/>
      </c>
      <c r="G758" s="369"/>
      <c r="H758" s="369" t="str">
        <f>IF(ISBLANK(Inputs!B109),"",Inputs!B109)</f>
        <v/>
      </c>
      <c r="I758" s="369"/>
      <c r="J758" s="369" t="str">
        <f>IF(ISBLANK(Inputs!$A109),"",
MAX(IF(ISNUMBER(AE501),1),
IF(ISNUMBER(AI501),2),
IF(ISNUMBER(AM501),3),
IF(ISNUMBER(AQ501),4),
IF(ISNUMBER(AU501),5),
IF(ISNUMBER(AY501),6),
IF(ISNUMBER(BC501),7),
IF(ISNUMBER(BG501),8),
IF(ISNUMBER(BK501),9),
IF(ISNUMBER(BO501),10)))</f>
        <v/>
      </c>
      <c r="K758" s="369"/>
      <c r="L758" s="369" t="str">
        <f>IF(ISBLANK(Inputs!$A109),"",
_xlfn.LET(
_xlpm.n,J758,
CHOOSE(_xlpm.n,
AE501,AI501,AM501,AQ501,AU501,
AY501,BC501,BG501,BK501,BO501
)
))</f>
        <v/>
      </c>
      <c r="M758" s="369"/>
      <c r="N758" s="369" t="str">
        <f>IF(ISBLANK(Inputs!$A109),"",
Mat.Conc_Alpha.1*Mat.Conc_f.c*Inputs!J109*MIN(L758*Mat.Conc_Beta.1,Inputs!I109))</f>
        <v/>
      </c>
      <c r="O758" s="369"/>
      <c r="P758" s="372" t="str">
        <f>IF(ISBLANK(Inputs!$A109),"",
Mat.Conc_Alpha.1*Mat.Conc_f.c*Inputs!E109*MAX(0,L758*Mat.Conc_Beta.1-Inputs!I109))</f>
        <v/>
      </c>
      <c r="Q758" s="369"/>
      <c r="R758" s="369" t="str">
        <f>IF(ISBLANK(Inputs!$A109),"",Inputs!G109*MIN(Mat.Rebar_f.y,(Mat.Rebar_epsilon.cl*(Inputs!H109-L758)/L758)*Mat.PT_E.s))</f>
        <v/>
      </c>
      <c r="S758" s="369"/>
      <c r="T758" s="369" t="str">
        <f>IF(ISBLANK(Inputs!$A109),"",Inputs!D109*(Mat.PT_f.pu*(1-Mat.PT_k*L758/Inputs!F109)))</f>
        <v/>
      </c>
      <c r="U758" s="369"/>
      <c r="V758" s="369" t="str">
        <f>IF(ISBLANK(Inputs!$A109),"",
(Mat.PT_f.pe/Mat.PT_E.ps)+(Mat.Rebar_epsilon.cl*((Geometry_d.p.Positive-L758)/L758)))</f>
        <v/>
      </c>
      <c r="W758" s="369"/>
      <c r="X758" s="369" t="str">
        <f>IF(ISBLANK(Inputs!$A109),"",
0.5*MIN(L758*Mat.Conc_Beta.1,Geometry_h.f.Positive))</f>
        <v/>
      </c>
      <c r="Y758" s="369"/>
      <c r="Z758" s="369" t="str">
        <f>IF(ISBLANK(Inputs!$A109),"",
IF(P758=0,0,Geometry_h.f.Positive+0.5*MAX(0,L758*Mat.Conc_Beta.1-Geometry_h.f.Positive)))</f>
        <v/>
      </c>
      <c r="AA758" s="369"/>
      <c r="AB758" s="369" t="str">
        <f>IF(ISBLANK(Inputs!$A109),"",
Inputs!H109)</f>
        <v/>
      </c>
      <c r="AC758" s="369"/>
      <c r="AD758" s="369" t="str">
        <f>IF(ISBLANK(Inputs!$A109),"",
Inputs!F109)</f>
        <v/>
      </c>
      <c r="AE758" s="369"/>
      <c r="AF758" s="369" t="str">
        <f>IF(ISBLANK(Inputs!$A109),"",
MAX(0.75,MIN(1,0.75+0.25*(V758-Mat.Rebar_epsilon.cl)/(Mat.Rebar_epsilon.tl-Mat.Rebar_epsilon.cl))))</f>
        <v/>
      </c>
      <c r="AG758" s="369"/>
      <c r="AH758" s="370" t="str">
        <f>IF(ISBLANK(Inputs!$A109),"",
((AD758*T758+AB758*R758-Z758*P758-X758*N758)/12)*AF758)</f>
        <v/>
      </c>
      <c r="AI758" s="370"/>
      <c r="AJ758" s="370"/>
      <c r="AK758" s="369" t="str">
        <f>IF(ISBLANK(Inputs!$A109),"",
MAX(IF(ISNUMBER(AE626),1),
IF(ISNUMBER(AI626),2),
IF(ISNUMBER(AM626),3),
IF(ISNUMBER(AQ626),4),
IF(ISNUMBER(AU626),5),
IF(ISNUMBER(AY626),6),
IF(ISNUMBER(BC626),7),
IF(ISNUMBER(BG626),8),
IF(ISNUMBER(BK626),9),
IF(ISNUMBER(BO626),10)))</f>
        <v/>
      </c>
      <c r="AL758" s="369"/>
      <c r="AM758" s="369" t="str">
        <f>IF(ISBLANK(Inputs!$A109),"",
_xlfn.LET(
_xlpm.n,AK758,
CHOOSE(_xlpm.n,
AE626,AI626,AM626,AQ626,AU626,
AY626,BC626,BG626,BK626,BO626
)
))</f>
        <v/>
      </c>
      <c r="AN758" s="369"/>
      <c r="AO758" s="369" t="str">
        <f>IF(ISBLANK(Inputs!$A109),"",
Mat.Conc_Alpha.1*Mat.Conc_f.c*Geometry_b.Negative*MIN(AM758*Mat.Conc_Beta.1,Geometry_h.f.Negative))</f>
        <v/>
      </c>
      <c r="AP758" s="369"/>
      <c r="AQ758" s="369" t="str">
        <f>IF(ISBLANK(Inputs!$A109),"",
Mat.Conc_Alpha.1*Mat.Conc_f.c*Geometry_b.w*MAX(0,AM758*Mat.Conc_Beta.1-Geometry_h.f.Negative))</f>
        <v/>
      </c>
      <c r="AR758" s="369"/>
      <c r="AS758" s="369" t="str">
        <f>IF(ISBLANK(Inputs!$A109),"",
Mat.Rebar_A.s.Positive*MIN(Mat.Rebar_f.y,(Mat.Rebar_epsilon.cl*(Geometry_d.s.Negative-AM758)/AM758)*Mat.PT_E.s))</f>
        <v/>
      </c>
      <c r="AT758" s="369"/>
      <c r="AU758" s="369" t="str">
        <f>IF(ISBLANK(Inputs!$A109),"",
Mat.PT_A.ps*(Mat.PT_f.pu*(1-Mat.PT_k*AM758/Geometry_d.p.Negative)))</f>
        <v/>
      </c>
      <c r="AV758" s="369"/>
      <c r="AW758" s="369" t="str">
        <f>IF(ISBLANK(Inputs!$A109),"",
(Mat.PT_f.pe/Mat.PT_E.ps)+(Mat.Rebar_epsilon.cl*((Geometry_d.p.Negative-AM758)/AM758)))</f>
        <v/>
      </c>
      <c r="AX758" s="369"/>
      <c r="AY758" s="369" t="str">
        <f>IF(ISBLANK(Inputs!$A109),"",
0.5*MIN(AM758*Mat.Conc_Beta.1,Geometry_h.f.Negative))</f>
        <v/>
      </c>
      <c r="AZ758" s="369"/>
      <c r="BA758" s="369" t="str">
        <f>IF(ISBLANK(Inputs!$A109),"",
IF(AQ758=0,0,Geometry_h.f.Negative+0.5*MAX(0,AM758*Mat.Conc_Beta.1-Geometry_h.f.Negative)))</f>
        <v/>
      </c>
      <c r="BB758" s="369"/>
      <c r="BC758" s="369" t="str">
        <f>IF(ISBLANK(Inputs!$A109),"",
Inputs!L109)</f>
        <v/>
      </c>
      <c r="BD758" s="369"/>
      <c r="BE758" s="369" t="str">
        <f>IF(ISBLANK(Inputs!$A109),"",Inputs!$B$10-Inputs!F109)</f>
        <v/>
      </c>
      <c r="BF758" s="369"/>
      <c r="BG758" s="369" t="str">
        <f>IF(ISBLANK(Inputs!$A109),"",
MAX(0.75,MIN(1,0.75+0.25*(AW758-Mat.Rebar_epsilon.cl)/(Mat.Rebar_epsilon.tl-Mat.Rebar_epsilon.cl))))</f>
        <v/>
      </c>
      <c r="BH758" s="369"/>
      <c r="BI758" s="370" t="str">
        <f>IF(ISBLANK(Inputs!$A109),"",
-((BE758*AU758+BC758*AS758-BA758*AQ758-AY758*AO758)/12)*BG758)</f>
        <v/>
      </c>
      <c r="BJ758" s="370"/>
      <c r="BK758" s="370"/>
      <c r="BL758" s="370" t="str">
        <f>IF(ISBLANK(Inputs!C109),"",Inputs!C109)</f>
        <v/>
      </c>
      <c r="BM758" s="370"/>
      <c r="BN758" s="370"/>
      <c r="BO758" s="374" t="str">
        <f>IF(ISBLANK(Inputs!$A109),"",
IFERROR(IF(BL758&gt;=0,ABS(BL758)/ABS(AH758),ABS(BL758)/ABS(BI758)),""))</f>
        <v/>
      </c>
      <c r="BP758" s="374"/>
      <c r="BQ758" s="374"/>
      <c r="BR758" s="59"/>
      <c r="BS758" s="70"/>
      <c r="BT758" s="70"/>
      <c r="BU758" s="70"/>
      <c r="BV758" s="70"/>
      <c r="BW758" s="8"/>
      <c r="BX758" s="8"/>
      <c r="BY758" s="8"/>
      <c r="BZ758" s="8"/>
      <c r="CA758" s="8"/>
      <c r="CB758" s="10"/>
    </row>
    <row r="759" spans="3:80" ht="15" customHeight="1" x14ac:dyDescent="0.25">
      <c r="C759" s="69"/>
      <c r="F759" s="369" t="str">
        <f>IF(ISBLANK(Inputs!A110),"",Inputs!A110)</f>
        <v/>
      </c>
      <c r="G759" s="369"/>
      <c r="H759" s="369" t="str">
        <f>IF(ISBLANK(Inputs!B110),"",Inputs!B110)</f>
        <v/>
      </c>
      <c r="I759" s="369"/>
      <c r="J759" s="369" t="str">
        <f>IF(ISBLANK(Inputs!$A110),"",
MAX(IF(ISNUMBER(AE502),1),
IF(ISNUMBER(AI502),2),
IF(ISNUMBER(AM502),3),
IF(ISNUMBER(AQ502),4),
IF(ISNUMBER(AU502),5),
IF(ISNUMBER(AY502),6),
IF(ISNUMBER(BC502),7),
IF(ISNUMBER(BG502),8),
IF(ISNUMBER(BK502),9),
IF(ISNUMBER(BO502),10)))</f>
        <v/>
      </c>
      <c r="K759" s="369"/>
      <c r="L759" s="369" t="str">
        <f>IF(ISBLANK(Inputs!$A110),"",
_xlfn.LET(
_xlpm.n,J759,
CHOOSE(_xlpm.n,
AE502,AI502,AM502,AQ502,AU502,
AY502,BC502,BG502,BK502,BO502
)
))</f>
        <v/>
      </c>
      <c r="M759" s="369"/>
      <c r="N759" s="369" t="str">
        <f>IF(ISBLANK(Inputs!$A110),"",
Mat.Conc_Alpha.1*Mat.Conc_f.c*Inputs!J110*MIN(L759*Mat.Conc_Beta.1,Inputs!I110))</f>
        <v/>
      </c>
      <c r="O759" s="369"/>
      <c r="P759" s="372" t="str">
        <f>IF(ISBLANK(Inputs!$A110),"",
Mat.Conc_Alpha.1*Mat.Conc_f.c*Inputs!E110*MAX(0,L759*Mat.Conc_Beta.1-Inputs!I110))</f>
        <v/>
      </c>
      <c r="Q759" s="369"/>
      <c r="R759" s="369" t="str">
        <f>IF(ISBLANK(Inputs!$A110),"",Inputs!G110*MIN(Mat.Rebar_f.y,(Mat.Rebar_epsilon.cl*(Inputs!H110-L759)/L759)*Mat.PT_E.s))</f>
        <v/>
      </c>
      <c r="S759" s="369"/>
      <c r="T759" s="369" t="str">
        <f>IF(ISBLANK(Inputs!$A110),"",Inputs!D110*(Mat.PT_f.pu*(1-Mat.PT_k*L759/Inputs!F110)))</f>
        <v/>
      </c>
      <c r="U759" s="369"/>
      <c r="V759" s="369" t="str">
        <f>IF(ISBLANK(Inputs!$A110),"",
(Mat.PT_f.pe/Mat.PT_E.ps)+(Mat.Rebar_epsilon.cl*((Geometry_d.p.Positive-L759)/L759)))</f>
        <v/>
      </c>
      <c r="W759" s="369"/>
      <c r="X759" s="369" t="str">
        <f>IF(ISBLANK(Inputs!$A110),"",
0.5*MIN(L759*Mat.Conc_Beta.1,Geometry_h.f.Positive))</f>
        <v/>
      </c>
      <c r="Y759" s="369"/>
      <c r="Z759" s="369" t="str">
        <f>IF(ISBLANK(Inputs!$A110),"",
IF(P759=0,0,Geometry_h.f.Positive+0.5*MAX(0,L759*Mat.Conc_Beta.1-Geometry_h.f.Positive)))</f>
        <v/>
      </c>
      <c r="AA759" s="369"/>
      <c r="AB759" s="369" t="str">
        <f>IF(ISBLANK(Inputs!$A110),"",
Inputs!H110)</f>
        <v/>
      </c>
      <c r="AC759" s="369"/>
      <c r="AD759" s="369" t="str">
        <f>IF(ISBLANK(Inputs!$A110),"",
Inputs!F110)</f>
        <v/>
      </c>
      <c r="AE759" s="369"/>
      <c r="AF759" s="369" t="str">
        <f>IF(ISBLANK(Inputs!$A110),"",
MAX(0.75,MIN(1,0.75+0.25*(V759-Mat.Rebar_epsilon.cl)/(Mat.Rebar_epsilon.tl-Mat.Rebar_epsilon.cl))))</f>
        <v/>
      </c>
      <c r="AG759" s="369"/>
      <c r="AH759" s="370" t="str">
        <f>IF(ISBLANK(Inputs!$A110),"",
((AD759*T759+AB759*R759-Z759*P759-X759*N759)/12)*AF759)</f>
        <v/>
      </c>
      <c r="AI759" s="370"/>
      <c r="AJ759" s="370"/>
      <c r="AK759" s="369" t="str">
        <f>IF(ISBLANK(Inputs!$A110),"",
MAX(IF(ISNUMBER(AE627),1),
IF(ISNUMBER(AI627),2),
IF(ISNUMBER(AM627),3),
IF(ISNUMBER(AQ627),4),
IF(ISNUMBER(AU627),5),
IF(ISNUMBER(AY627),6),
IF(ISNUMBER(BC627),7),
IF(ISNUMBER(BG627),8),
IF(ISNUMBER(BK627),9),
IF(ISNUMBER(BO627),10)))</f>
        <v/>
      </c>
      <c r="AL759" s="369"/>
      <c r="AM759" s="369" t="str">
        <f>IF(ISBLANK(Inputs!$A110),"",
_xlfn.LET(
_xlpm.n,AK759,
CHOOSE(_xlpm.n,
AE627,AI627,AM627,AQ627,AU627,
AY627,BC627,BG627,BK627,BO627
)
))</f>
        <v/>
      </c>
      <c r="AN759" s="369"/>
      <c r="AO759" s="369" t="str">
        <f>IF(ISBLANK(Inputs!$A110),"",
Mat.Conc_Alpha.1*Mat.Conc_f.c*Geometry_b.Negative*MIN(AM759*Mat.Conc_Beta.1,Geometry_h.f.Negative))</f>
        <v/>
      </c>
      <c r="AP759" s="369"/>
      <c r="AQ759" s="369" t="str">
        <f>IF(ISBLANK(Inputs!$A110),"",
Mat.Conc_Alpha.1*Mat.Conc_f.c*Geometry_b.w*MAX(0,AM759*Mat.Conc_Beta.1-Geometry_h.f.Negative))</f>
        <v/>
      </c>
      <c r="AR759" s="369"/>
      <c r="AS759" s="369" t="str">
        <f>IF(ISBLANK(Inputs!$A110),"",
Mat.Rebar_A.s.Positive*MIN(Mat.Rebar_f.y,(Mat.Rebar_epsilon.cl*(Geometry_d.s.Negative-AM759)/AM759)*Mat.PT_E.s))</f>
        <v/>
      </c>
      <c r="AT759" s="369"/>
      <c r="AU759" s="369" t="str">
        <f>IF(ISBLANK(Inputs!$A110),"",
Mat.PT_A.ps*(Mat.PT_f.pu*(1-Mat.PT_k*AM759/Geometry_d.p.Negative)))</f>
        <v/>
      </c>
      <c r="AV759" s="369"/>
      <c r="AW759" s="369" t="str">
        <f>IF(ISBLANK(Inputs!$A110),"",
(Mat.PT_f.pe/Mat.PT_E.ps)+(Mat.Rebar_epsilon.cl*((Geometry_d.p.Negative-AM759)/AM759)))</f>
        <v/>
      </c>
      <c r="AX759" s="369"/>
      <c r="AY759" s="369" t="str">
        <f>IF(ISBLANK(Inputs!$A110),"",
0.5*MIN(AM759*Mat.Conc_Beta.1,Geometry_h.f.Negative))</f>
        <v/>
      </c>
      <c r="AZ759" s="369"/>
      <c r="BA759" s="369" t="str">
        <f>IF(ISBLANK(Inputs!$A110),"",
IF(AQ759=0,0,Geometry_h.f.Negative+0.5*MAX(0,AM759*Mat.Conc_Beta.1-Geometry_h.f.Negative)))</f>
        <v/>
      </c>
      <c r="BB759" s="369"/>
      <c r="BC759" s="369" t="str">
        <f>IF(ISBLANK(Inputs!$A110),"",
Inputs!L110)</f>
        <v/>
      </c>
      <c r="BD759" s="369"/>
      <c r="BE759" s="369" t="str">
        <f>IF(ISBLANK(Inputs!$A110),"",Inputs!$B$10-Inputs!F110)</f>
        <v/>
      </c>
      <c r="BF759" s="369"/>
      <c r="BG759" s="369" t="str">
        <f>IF(ISBLANK(Inputs!$A110),"",
MAX(0.75,MIN(1,0.75+0.25*(AW759-Mat.Rebar_epsilon.cl)/(Mat.Rebar_epsilon.tl-Mat.Rebar_epsilon.cl))))</f>
        <v/>
      </c>
      <c r="BH759" s="369"/>
      <c r="BI759" s="370" t="str">
        <f>IF(ISBLANK(Inputs!$A110),"",
-((BE759*AU759+BC759*AS759-BA759*AQ759-AY759*AO759)/12)*BG759)</f>
        <v/>
      </c>
      <c r="BJ759" s="370"/>
      <c r="BK759" s="370"/>
      <c r="BL759" s="370" t="str">
        <f>IF(ISBLANK(Inputs!C110),"",Inputs!C110)</f>
        <v/>
      </c>
      <c r="BM759" s="370"/>
      <c r="BN759" s="370"/>
      <c r="BO759" s="374" t="str">
        <f>IF(ISBLANK(Inputs!$A110),"",
IFERROR(IF(BL759&gt;=0,ABS(BL759)/ABS(AH759),ABS(BL759)/ABS(BI759)),""))</f>
        <v/>
      </c>
      <c r="BP759" s="374"/>
      <c r="BQ759" s="374"/>
      <c r="BR759" s="59"/>
      <c r="BS759" s="70"/>
      <c r="BT759" s="70"/>
      <c r="BU759" s="70"/>
      <c r="BV759" s="70"/>
      <c r="BW759" s="8"/>
      <c r="BX759" s="8"/>
      <c r="BY759" s="8"/>
      <c r="BZ759" s="8"/>
      <c r="CA759" s="8"/>
      <c r="CB759" s="10"/>
    </row>
    <row r="760" spans="3:80" ht="15" customHeight="1" x14ac:dyDescent="0.25">
      <c r="C760" s="69"/>
      <c r="F760" s="369" t="str">
        <f>IF(ISBLANK(Inputs!A111),"",Inputs!A111)</f>
        <v/>
      </c>
      <c r="G760" s="369"/>
      <c r="H760" s="369" t="str">
        <f>IF(ISBLANK(Inputs!B111),"",Inputs!B111)</f>
        <v/>
      </c>
      <c r="I760" s="369"/>
      <c r="J760" s="369" t="str">
        <f>IF(ISBLANK(Inputs!$A111),"",
MAX(IF(ISNUMBER(AE503),1),
IF(ISNUMBER(AI503),2),
IF(ISNUMBER(AM503),3),
IF(ISNUMBER(AQ503),4),
IF(ISNUMBER(AU503),5),
IF(ISNUMBER(AY503),6),
IF(ISNUMBER(BC503),7),
IF(ISNUMBER(BG503),8),
IF(ISNUMBER(BK503),9),
IF(ISNUMBER(BO503),10)))</f>
        <v/>
      </c>
      <c r="K760" s="369"/>
      <c r="L760" s="369" t="str">
        <f>IF(ISBLANK(Inputs!$A111),"",
_xlfn.LET(
_xlpm.n,J760,
CHOOSE(_xlpm.n,
AE503,AI503,AM503,AQ503,AU503,
AY503,BC503,BG503,BK503,BO503
)
))</f>
        <v/>
      </c>
      <c r="M760" s="369"/>
      <c r="N760" s="369" t="str">
        <f>IF(ISBLANK(Inputs!$A111),"",
Mat.Conc_Alpha.1*Mat.Conc_f.c*Inputs!J111*MIN(L760*Mat.Conc_Beta.1,Inputs!I111))</f>
        <v/>
      </c>
      <c r="O760" s="369"/>
      <c r="P760" s="372" t="str">
        <f>IF(ISBLANK(Inputs!$A111),"",
Mat.Conc_Alpha.1*Mat.Conc_f.c*Inputs!E111*MAX(0,L760*Mat.Conc_Beta.1-Inputs!I111))</f>
        <v/>
      </c>
      <c r="Q760" s="369"/>
      <c r="R760" s="369" t="str">
        <f>IF(ISBLANK(Inputs!$A111),"",Inputs!G111*MIN(Mat.Rebar_f.y,(Mat.Rebar_epsilon.cl*(Inputs!H111-L760)/L760)*Mat.PT_E.s))</f>
        <v/>
      </c>
      <c r="S760" s="369"/>
      <c r="T760" s="369" t="str">
        <f>IF(ISBLANK(Inputs!$A111),"",Inputs!D111*(Mat.PT_f.pu*(1-Mat.PT_k*L760/Inputs!F111)))</f>
        <v/>
      </c>
      <c r="U760" s="369"/>
      <c r="V760" s="369" t="str">
        <f>IF(ISBLANK(Inputs!$A111),"",
(Mat.PT_f.pe/Mat.PT_E.ps)+(Mat.Rebar_epsilon.cl*((Geometry_d.p.Positive-L760)/L760)))</f>
        <v/>
      </c>
      <c r="W760" s="369"/>
      <c r="X760" s="369" t="str">
        <f>IF(ISBLANK(Inputs!$A111),"",
0.5*MIN(L760*Mat.Conc_Beta.1,Geometry_h.f.Positive))</f>
        <v/>
      </c>
      <c r="Y760" s="369"/>
      <c r="Z760" s="369" t="str">
        <f>IF(ISBLANK(Inputs!$A111),"",
IF(P760=0,0,Geometry_h.f.Positive+0.5*MAX(0,L760*Mat.Conc_Beta.1-Geometry_h.f.Positive)))</f>
        <v/>
      </c>
      <c r="AA760" s="369"/>
      <c r="AB760" s="369" t="str">
        <f>IF(ISBLANK(Inputs!$A111),"",
Inputs!H111)</f>
        <v/>
      </c>
      <c r="AC760" s="369"/>
      <c r="AD760" s="369" t="str">
        <f>IF(ISBLANK(Inputs!$A111),"",
Inputs!F111)</f>
        <v/>
      </c>
      <c r="AE760" s="369"/>
      <c r="AF760" s="369" t="str">
        <f>IF(ISBLANK(Inputs!$A111),"",
MAX(0.75,MIN(1,0.75+0.25*(V760-Mat.Rebar_epsilon.cl)/(Mat.Rebar_epsilon.tl-Mat.Rebar_epsilon.cl))))</f>
        <v/>
      </c>
      <c r="AG760" s="369"/>
      <c r="AH760" s="370" t="str">
        <f>IF(ISBLANK(Inputs!$A111),"",
((AD760*T760+AB760*R760-Z760*P760-X760*N760)/12)*AF760)</f>
        <v/>
      </c>
      <c r="AI760" s="370"/>
      <c r="AJ760" s="370"/>
      <c r="AK760" s="369" t="str">
        <f>IF(ISBLANK(Inputs!$A111),"",
MAX(IF(ISNUMBER(AE628),1),
IF(ISNUMBER(AI628),2),
IF(ISNUMBER(AM628),3),
IF(ISNUMBER(AQ628),4),
IF(ISNUMBER(AU628),5),
IF(ISNUMBER(AY628),6),
IF(ISNUMBER(BC628),7),
IF(ISNUMBER(BG628),8),
IF(ISNUMBER(BK628),9),
IF(ISNUMBER(BO628),10)))</f>
        <v/>
      </c>
      <c r="AL760" s="369"/>
      <c r="AM760" s="369" t="str">
        <f>IF(ISBLANK(Inputs!$A111),"",
_xlfn.LET(
_xlpm.n,AK760,
CHOOSE(_xlpm.n,
AE628,AI628,AM628,AQ628,AU628,
AY628,BC628,BG628,BK628,BO628
)
))</f>
        <v/>
      </c>
      <c r="AN760" s="369"/>
      <c r="AO760" s="369" t="str">
        <f>IF(ISBLANK(Inputs!$A111),"",
Mat.Conc_Alpha.1*Mat.Conc_f.c*Geometry_b.Negative*MIN(AM760*Mat.Conc_Beta.1,Geometry_h.f.Negative))</f>
        <v/>
      </c>
      <c r="AP760" s="369"/>
      <c r="AQ760" s="369" t="str">
        <f>IF(ISBLANK(Inputs!$A111),"",
Mat.Conc_Alpha.1*Mat.Conc_f.c*Geometry_b.w*MAX(0,AM760*Mat.Conc_Beta.1-Geometry_h.f.Negative))</f>
        <v/>
      </c>
      <c r="AR760" s="369"/>
      <c r="AS760" s="369" t="str">
        <f>IF(ISBLANK(Inputs!$A111),"",
Mat.Rebar_A.s.Positive*MIN(Mat.Rebar_f.y,(Mat.Rebar_epsilon.cl*(Geometry_d.s.Negative-AM760)/AM760)*Mat.PT_E.s))</f>
        <v/>
      </c>
      <c r="AT760" s="369"/>
      <c r="AU760" s="369" t="str">
        <f>IF(ISBLANK(Inputs!$A111),"",
Mat.PT_A.ps*(Mat.PT_f.pu*(1-Mat.PT_k*AM760/Geometry_d.p.Negative)))</f>
        <v/>
      </c>
      <c r="AV760" s="369"/>
      <c r="AW760" s="369" t="str">
        <f>IF(ISBLANK(Inputs!$A111),"",
(Mat.PT_f.pe/Mat.PT_E.ps)+(Mat.Rebar_epsilon.cl*((Geometry_d.p.Negative-AM760)/AM760)))</f>
        <v/>
      </c>
      <c r="AX760" s="369"/>
      <c r="AY760" s="369" t="str">
        <f>IF(ISBLANK(Inputs!$A111),"",
0.5*MIN(AM760*Mat.Conc_Beta.1,Geometry_h.f.Negative))</f>
        <v/>
      </c>
      <c r="AZ760" s="369"/>
      <c r="BA760" s="369" t="str">
        <f>IF(ISBLANK(Inputs!$A111),"",
IF(AQ760=0,0,Geometry_h.f.Negative+0.5*MAX(0,AM760*Mat.Conc_Beta.1-Geometry_h.f.Negative)))</f>
        <v/>
      </c>
      <c r="BB760" s="369"/>
      <c r="BC760" s="369" t="str">
        <f>IF(ISBLANK(Inputs!$A111),"",
Inputs!L111)</f>
        <v/>
      </c>
      <c r="BD760" s="369"/>
      <c r="BE760" s="369" t="str">
        <f>IF(ISBLANK(Inputs!$A111),"",Inputs!$B$10-Inputs!F111)</f>
        <v/>
      </c>
      <c r="BF760" s="369"/>
      <c r="BG760" s="369" t="str">
        <f>IF(ISBLANK(Inputs!$A111),"",
MAX(0.75,MIN(1,0.75+0.25*(AW760-Mat.Rebar_epsilon.cl)/(Mat.Rebar_epsilon.tl-Mat.Rebar_epsilon.cl))))</f>
        <v/>
      </c>
      <c r="BH760" s="369"/>
      <c r="BI760" s="370" t="str">
        <f>IF(ISBLANK(Inputs!$A111),"",
-((BE760*AU760+BC760*AS760-BA760*AQ760-AY760*AO760)/12)*BG760)</f>
        <v/>
      </c>
      <c r="BJ760" s="370"/>
      <c r="BK760" s="370"/>
      <c r="BL760" s="370" t="str">
        <f>IF(ISBLANK(Inputs!C111),"",Inputs!C111)</f>
        <v/>
      </c>
      <c r="BM760" s="370"/>
      <c r="BN760" s="370"/>
      <c r="BO760" s="374" t="str">
        <f>IF(ISBLANK(Inputs!$A111),"",
IFERROR(IF(BL760&gt;=0,ABS(BL760)/ABS(AH760),ABS(BL760)/ABS(BI760)),""))</f>
        <v/>
      </c>
      <c r="BP760" s="374"/>
      <c r="BQ760" s="374"/>
      <c r="BR760" s="59"/>
      <c r="BS760" s="70"/>
      <c r="BT760" s="70"/>
      <c r="BU760" s="70"/>
      <c r="BV760" s="70"/>
      <c r="BW760" s="8"/>
      <c r="BX760" s="8"/>
      <c r="BY760" s="8"/>
      <c r="BZ760" s="8"/>
      <c r="CA760" s="8"/>
      <c r="CB760" s="10"/>
    </row>
    <row r="761" spans="3:80" ht="15" customHeight="1" x14ac:dyDescent="0.25">
      <c r="C761" s="69"/>
      <c r="F761" s="369" t="str">
        <f>IF(ISBLANK(Inputs!A112),"",Inputs!A112)</f>
        <v/>
      </c>
      <c r="G761" s="369"/>
      <c r="H761" s="369" t="str">
        <f>IF(ISBLANK(Inputs!B112),"",Inputs!B112)</f>
        <v/>
      </c>
      <c r="I761" s="369"/>
      <c r="J761" s="369" t="str">
        <f>IF(ISBLANK(Inputs!$A112),"",
MAX(IF(ISNUMBER(AE504),1),
IF(ISNUMBER(AI504),2),
IF(ISNUMBER(AM504),3),
IF(ISNUMBER(AQ504),4),
IF(ISNUMBER(AU504),5),
IF(ISNUMBER(AY504),6),
IF(ISNUMBER(BC504),7),
IF(ISNUMBER(BG504),8),
IF(ISNUMBER(BK504),9),
IF(ISNUMBER(BO504),10)))</f>
        <v/>
      </c>
      <c r="K761" s="369"/>
      <c r="L761" s="369" t="str">
        <f>IF(ISBLANK(Inputs!$A112),"",
_xlfn.LET(
_xlpm.n,J761,
CHOOSE(_xlpm.n,
AE504,AI504,AM504,AQ504,AU504,
AY504,BC504,BG504,BK504,BO504
)
))</f>
        <v/>
      </c>
      <c r="M761" s="369"/>
      <c r="N761" s="369" t="str">
        <f>IF(ISBLANK(Inputs!$A112),"",
Mat.Conc_Alpha.1*Mat.Conc_f.c*Inputs!J112*MIN(L761*Mat.Conc_Beta.1,Inputs!I112))</f>
        <v/>
      </c>
      <c r="O761" s="369"/>
      <c r="P761" s="372" t="str">
        <f>IF(ISBLANK(Inputs!$A112),"",
Mat.Conc_Alpha.1*Mat.Conc_f.c*Inputs!E112*MAX(0,L761*Mat.Conc_Beta.1-Inputs!I112))</f>
        <v/>
      </c>
      <c r="Q761" s="369"/>
      <c r="R761" s="369" t="str">
        <f>IF(ISBLANK(Inputs!$A112),"",Inputs!G112*MIN(Mat.Rebar_f.y,(Mat.Rebar_epsilon.cl*(Inputs!H112-L761)/L761)*Mat.PT_E.s))</f>
        <v/>
      </c>
      <c r="S761" s="369"/>
      <c r="T761" s="369" t="str">
        <f>IF(ISBLANK(Inputs!$A112),"",Inputs!D112*(Mat.PT_f.pu*(1-Mat.PT_k*L761/Inputs!F112)))</f>
        <v/>
      </c>
      <c r="U761" s="369"/>
      <c r="V761" s="369" t="str">
        <f>IF(ISBLANK(Inputs!$A112),"",
(Mat.PT_f.pe/Mat.PT_E.ps)+(Mat.Rebar_epsilon.cl*((Geometry_d.p.Positive-L761)/L761)))</f>
        <v/>
      </c>
      <c r="W761" s="369"/>
      <c r="X761" s="369" t="str">
        <f>IF(ISBLANK(Inputs!$A112),"",
0.5*MIN(L761*Mat.Conc_Beta.1,Geometry_h.f.Positive))</f>
        <v/>
      </c>
      <c r="Y761" s="369"/>
      <c r="Z761" s="369" t="str">
        <f>IF(ISBLANK(Inputs!$A112),"",
IF(P761=0,0,Geometry_h.f.Positive+0.5*MAX(0,L761*Mat.Conc_Beta.1-Geometry_h.f.Positive)))</f>
        <v/>
      </c>
      <c r="AA761" s="369"/>
      <c r="AB761" s="369" t="str">
        <f>IF(ISBLANK(Inputs!$A112),"",
Inputs!H112)</f>
        <v/>
      </c>
      <c r="AC761" s="369"/>
      <c r="AD761" s="369" t="str">
        <f>IF(ISBLANK(Inputs!$A112),"",
Inputs!F112)</f>
        <v/>
      </c>
      <c r="AE761" s="369"/>
      <c r="AF761" s="369" t="str">
        <f>IF(ISBLANK(Inputs!$A112),"",
MAX(0.75,MIN(1,0.75+0.25*(V761-Mat.Rebar_epsilon.cl)/(Mat.Rebar_epsilon.tl-Mat.Rebar_epsilon.cl))))</f>
        <v/>
      </c>
      <c r="AG761" s="369"/>
      <c r="AH761" s="370" t="str">
        <f>IF(ISBLANK(Inputs!$A112),"",
((AD761*T761+AB761*R761-Z761*P761-X761*N761)/12)*AF761)</f>
        <v/>
      </c>
      <c r="AI761" s="370"/>
      <c r="AJ761" s="370"/>
      <c r="AK761" s="369" t="str">
        <f>IF(ISBLANK(Inputs!$A112),"",
MAX(IF(ISNUMBER(AE629),1),
IF(ISNUMBER(AI629),2),
IF(ISNUMBER(AM629),3),
IF(ISNUMBER(AQ629),4),
IF(ISNUMBER(AU629),5),
IF(ISNUMBER(AY629),6),
IF(ISNUMBER(BC629),7),
IF(ISNUMBER(BG629),8),
IF(ISNUMBER(BK629),9),
IF(ISNUMBER(BO629),10)))</f>
        <v/>
      </c>
      <c r="AL761" s="369"/>
      <c r="AM761" s="369" t="str">
        <f>IF(ISBLANK(Inputs!$A112),"",
_xlfn.LET(
_xlpm.n,AK761,
CHOOSE(_xlpm.n,
AE629,AI629,AM629,AQ629,AU629,
AY629,BC629,BG629,BK629,BO629
)
))</f>
        <v/>
      </c>
      <c r="AN761" s="369"/>
      <c r="AO761" s="369" t="str">
        <f>IF(ISBLANK(Inputs!$A112),"",
Mat.Conc_Alpha.1*Mat.Conc_f.c*Geometry_b.Negative*MIN(AM761*Mat.Conc_Beta.1,Geometry_h.f.Negative))</f>
        <v/>
      </c>
      <c r="AP761" s="369"/>
      <c r="AQ761" s="369" t="str">
        <f>IF(ISBLANK(Inputs!$A112),"",
Mat.Conc_Alpha.1*Mat.Conc_f.c*Geometry_b.w*MAX(0,AM761*Mat.Conc_Beta.1-Geometry_h.f.Negative))</f>
        <v/>
      </c>
      <c r="AR761" s="369"/>
      <c r="AS761" s="369" t="str">
        <f>IF(ISBLANK(Inputs!$A112),"",
Mat.Rebar_A.s.Positive*MIN(Mat.Rebar_f.y,(Mat.Rebar_epsilon.cl*(Geometry_d.s.Negative-AM761)/AM761)*Mat.PT_E.s))</f>
        <v/>
      </c>
      <c r="AT761" s="369"/>
      <c r="AU761" s="369" t="str">
        <f>IF(ISBLANK(Inputs!$A112),"",
Mat.PT_A.ps*(Mat.PT_f.pu*(1-Mat.PT_k*AM761/Geometry_d.p.Negative)))</f>
        <v/>
      </c>
      <c r="AV761" s="369"/>
      <c r="AW761" s="369" t="str">
        <f>IF(ISBLANK(Inputs!$A112),"",
(Mat.PT_f.pe/Mat.PT_E.ps)+(Mat.Rebar_epsilon.cl*((Geometry_d.p.Negative-AM761)/AM761)))</f>
        <v/>
      </c>
      <c r="AX761" s="369"/>
      <c r="AY761" s="369" t="str">
        <f>IF(ISBLANK(Inputs!$A112),"",
0.5*MIN(AM761*Mat.Conc_Beta.1,Geometry_h.f.Negative))</f>
        <v/>
      </c>
      <c r="AZ761" s="369"/>
      <c r="BA761" s="369" t="str">
        <f>IF(ISBLANK(Inputs!$A112),"",
IF(AQ761=0,0,Geometry_h.f.Negative+0.5*MAX(0,AM761*Mat.Conc_Beta.1-Geometry_h.f.Negative)))</f>
        <v/>
      </c>
      <c r="BB761" s="369"/>
      <c r="BC761" s="369" t="str">
        <f>IF(ISBLANK(Inputs!$A112),"",
Inputs!L112)</f>
        <v/>
      </c>
      <c r="BD761" s="369"/>
      <c r="BE761" s="369" t="str">
        <f>IF(ISBLANK(Inputs!$A112),"",Inputs!$B$10-Inputs!F112)</f>
        <v/>
      </c>
      <c r="BF761" s="369"/>
      <c r="BG761" s="369" t="str">
        <f>IF(ISBLANK(Inputs!$A112),"",
MAX(0.75,MIN(1,0.75+0.25*(AW761-Mat.Rebar_epsilon.cl)/(Mat.Rebar_epsilon.tl-Mat.Rebar_epsilon.cl))))</f>
        <v/>
      </c>
      <c r="BH761" s="369"/>
      <c r="BI761" s="370" t="str">
        <f>IF(ISBLANK(Inputs!$A112),"",
-((BE761*AU761+BC761*AS761-BA761*AQ761-AY761*AO761)/12)*BG761)</f>
        <v/>
      </c>
      <c r="BJ761" s="370"/>
      <c r="BK761" s="370"/>
      <c r="BL761" s="370" t="str">
        <f>IF(ISBLANK(Inputs!C112),"",Inputs!C112)</f>
        <v/>
      </c>
      <c r="BM761" s="370"/>
      <c r="BN761" s="370"/>
      <c r="BO761" s="374" t="str">
        <f>IF(ISBLANK(Inputs!$A112),"",
IFERROR(IF(BL761&gt;=0,ABS(BL761)/ABS(AH761),ABS(BL761)/ABS(BI761)),""))</f>
        <v/>
      </c>
      <c r="BP761" s="374"/>
      <c r="BQ761" s="374"/>
      <c r="BR761" s="59"/>
      <c r="BS761" s="70"/>
      <c r="BT761" s="70"/>
      <c r="BU761" s="70"/>
      <c r="BV761" s="70"/>
      <c r="BW761" s="8"/>
      <c r="BX761" s="8"/>
      <c r="BY761" s="8"/>
      <c r="BZ761" s="8"/>
      <c r="CA761" s="8"/>
      <c r="CB761" s="10"/>
    </row>
    <row r="762" spans="3:80" ht="15" customHeight="1" x14ac:dyDescent="0.25">
      <c r="C762" s="69"/>
      <c r="F762" s="369" t="str">
        <f>IF(ISBLANK(Inputs!A113),"",Inputs!A113)</f>
        <v/>
      </c>
      <c r="G762" s="369"/>
      <c r="H762" s="369" t="str">
        <f>IF(ISBLANK(Inputs!B113),"",Inputs!B113)</f>
        <v/>
      </c>
      <c r="I762" s="369"/>
      <c r="J762" s="369" t="str">
        <f>IF(ISBLANK(Inputs!$A113),"",
MAX(IF(ISNUMBER(AE505),1),
IF(ISNUMBER(AI505),2),
IF(ISNUMBER(AM505),3),
IF(ISNUMBER(AQ505),4),
IF(ISNUMBER(AU505),5),
IF(ISNUMBER(AY505),6),
IF(ISNUMBER(BC505),7),
IF(ISNUMBER(BG505),8),
IF(ISNUMBER(BK505),9),
IF(ISNUMBER(BO505),10)))</f>
        <v/>
      </c>
      <c r="K762" s="369"/>
      <c r="L762" s="369" t="str">
        <f>IF(ISBLANK(Inputs!$A113),"",
_xlfn.LET(
_xlpm.n,J762,
CHOOSE(_xlpm.n,
AE505,AI505,AM505,AQ505,AU505,
AY505,BC505,BG505,BK505,BO505
)
))</f>
        <v/>
      </c>
      <c r="M762" s="369"/>
      <c r="N762" s="369" t="str">
        <f>IF(ISBLANK(Inputs!$A113),"",
Mat.Conc_Alpha.1*Mat.Conc_f.c*Inputs!J113*MIN(L762*Mat.Conc_Beta.1,Inputs!I113))</f>
        <v/>
      </c>
      <c r="O762" s="369"/>
      <c r="P762" s="372" t="str">
        <f>IF(ISBLANK(Inputs!$A113),"",
Mat.Conc_Alpha.1*Mat.Conc_f.c*Inputs!E113*MAX(0,L762*Mat.Conc_Beta.1-Inputs!I113))</f>
        <v/>
      </c>
      <c r="Q762" s="369"/>
      <c r="R762" s="369" t="str">
        <f>IF(ISBLANK(Inputs!$A113),"",Inputs!G113*MIN(Mat.Rebar_f.y,(Mat.Rebar_epsilon.cl*(Inputs!H113-L762)/L762)*Mat.PT_E.s))</f>
        <v/>
      </c>
      <c r="S762" s="369"/>
      <c r="T762" s="369" t="str">
        <f>IF(ISBLANK(Inputs!$A113),"",Inputs!D113*(Mat.PT_f.pu*(1-Mat.PT_k*L762/Inputs!F113)))</f>
        <v/>
      </c>
      <c r="U762" s="369"/>
      <c r="V762" s="369" t="str">
        <f>IF(ISBLANK(Inputs!$A113),"",
(Mat.PT_f.pe/Mat.PT_E.ps)+(Mat.Rebar_epsilon.cl*((Geometry_d.p.Positive-L762)/L762)))</f>
        <v/>
      </c>
      <c r="W762" s="369"/>
      <c r="X762" s="369" t="str">
        <f>IF(ISBLANK(Inputs!$A113),"",
0.5*MIN(L762*Mat.Conc_Beta.1,Geometry_h.f.Positive))</f>
        <v/>
      </c>
      <c r="Y762" s="369"/>
      <c r="Z762" s="369" t="str">
        <f>IF(ISBLANK(Inputs!$A113),"",
IF(P762=0,0,Geometry_h.f.Positive+0.5*MAX(0,L762*Mat.Conc_Beta.1-Geometry_h.f.Positive)))</f>
        <v/>
      </c>
      <c r="AA762" s="369"/>
      <c r="AB762" s="369" t="str">
        <f>IF(ISBLANK(Inputs!$A113),"",
Inputs!H113)</f>
        <v/>
      </c>
      <c r="AC762" s="369"/>
      <c r="AD762" s="369" t="str">
        <f>IF(ISBLANK(Inputs!$A113),"",
Inputs!F113)</f>
        <v/>
      </c>
      <c r="AE762" s="369"/>
      <c r="AF762" s="369" t="str">
        <f>IF(ISBLANK(Inputs!$A113),"",
MAX(0.75,MIN(1,0.75+0.25*(V762-Mat.Rebar_epsilon.cl)/(Mat.Rebar_epsilon.tl-Mat.Rebar_epsilon.cl))))</f>
        <v/>
      </c>
      <c r="AG762" s="369"/>
      <c r="AH762" s="370" t="str">
        <f>IF(ISBLANK(Inputs!$A113),"",
((AD762*T762+AB762*R762-Z762*P762-X762*N762)/12)*AF762)</f>
        <v/>
      </c>
      <c r="AI762" s="370"/>
      <c r="AJ762" s="370"/>
      <c r="AK762" s="369" t="str">
        <f>IF(ISBLANK(Inputs!$A113),"",
MAX(IF(ISNUMBER(AE630),1),
IF(ISNUMBER(AI630),2),
IF(ISNUMBER(AM630),3),
IF(ISNUMBER(AQ630),4),
IF(ISNUMBER(AU630),5),
IF(ISNUMBER(AY630),6),
IF(ISNUMBER(BC630),7),
IF(ISNUMBER(BG630),8),
IF(ISNUMBER(BK630),9),
IF(ISNUMBER(BO630),10)))</f>
        <v/>
      </c>
      <c r="AL762" s="369"/>
      <c r="AM762" s="369" t="str">
        <f>IF(ISBLANK(Inputs!$A113),"",
_xlfn.LET(
_xlpm.n,AK762,
CHOOSE(_xlpm.n,
AE630,AI630,AM630,AQ630,AU630,
AY630,BC630,BG630,BK630,BO630
)
))</f>
        <v/>
      </c>
      <c r="AN762" s="369"/>
      <c r="AO762" s="369" t="str">
        <f>IF(ISBLANK(Inputs!$A113),"",
Mat.Conc_Alpha.1*Mat.Conc_f.c*Geometry_b.Negative*MIN(AM762*Mat.Conc_Beta.1,Geometry_h.f.Negative))</f>
        <v/>
      </c>
      <c r="AP762" s="369"/>
      <c r="AQ762" s="369" t="str">
        <f>IF(ISBLANK(Inputs!$A113),"",
Mat.Conc_Alpha.1*Mat.Conc_f.c*Geometry_b.w*MAX(0,AM762*Mat.Conc_Beta.1-Geometry_h.f.Negative))</f>
        <v/>
      </c>
      <c r="AR762" s="369"/>
      <c r="AS762" s="369" t="str">
        <f>IF(ISBLANK(Inputs!$A113),"",
Mat.Rebar_A.s.Positive*MIN(Mat.Rebar_f.y,(Mat.Rebar_epsilon.cl*(Geometry_d.s.Negative-AM762)/AM762)*Mat.PT_E.s))</f>
        <v/>
      </c>
      <c r="AT762" s="369"/>
      <c r="AU762" s="369" t="str">
        <f>IF(ISBLANK(Inputs!$A113),"",
Mat.PT_A.ps*(Mat.PT_f.pu*(1-Mat.PT_k*AM762/Geometry_d.p.Negative)))</f>
        <v/>
      </c>
      <c r="AV762" s="369"/>
      <c r="AW762" s="369" t="str">
        <f>IF(ISBLANK(Inputs!$A113),"",
(Mat.PT_f.pe/Mat.PT_E.ps)+(Mat.Rebar_epsilon.cl*((Geometry_d.p.Negative-AM762)/AM762)))</f>
        <v/>
      </c>
      <c r="AX762" s="369"/>
      <c r="AY762" s="369" t="str">
        <f>IF(ISBLANK(Inputs!$A113),"",
0.5*MIN(AM762*Mat.Conc_Beta.1,Geometry_h.f.Negative))</f>
        <v/>
      </c>
      <c r="AZ762" s="369"/>
      <c r="BA762" s="369" t="str">
        <f>IF(ISBLANK(Inputs!$A113),"",
IF(AQ762=0,0,Geometry_h.f.Negative+0.5*MAX(0,AM762*Mat.Conc_Beta.1-Geometry_h.f.Negative)))</f>
        <v/>
      </c>
      <c r="BB762" s="369"/>
      <c r="BC762" s="369" t="str">
        <f>IF(ISBLANK(Inputs!$A113),"",
Inputs!L113)</f>
        <v/>
      </c>
      <c r="BD762" s="369"/>
      <c r="BE762" s="369" t="str">
        <f>IF(ISBLANK(Inputs!$A113),"",Inputs!$B$10-Inputs!F113)</f>
        <v/>
      </c>
      <c r="BF762" s="369"/>
      <c r="BG762" s="369" t="str">
        <f>IF(ISBLANK(Inputs!$A113),"",
MAX(0.75,MIN(1,0.75+0.25*(AW762-Mat.Rebar_epsilon.cl)/(Mat.Rebar_epsilon.tl-Mat.Rebar_epsilon.cl))))</f>
        <v/>
      </c>
      <c r="BH762" s="369"/>
      <c r="BI762" s="370" t="str">
        <f>IF(ISBLANK(Inputs!$A113),"",
-((BE762*AU762+BC762*AS762-BA762*AQ762-AY762*AO762)/12)*BG762)</f>
        <v/>
      </c>
      <c r="BJ762" s="370"/>
      <c r="BK762" s="370"/>
      <c r="BL762" s="370" t="str">
        <f>IF(ISBLANK(Inputs!C113),"",Inputs!C113)</f>
        <v/>
      </c>
      <c r="BM762" s="370"/>
      <c r="BN762" s="370"/>
      <c r="BO762" s="374" t="str">
        <f>IF(ISBLANK(Inputs!$A113),"",
IFERROR(IF(BL762&gt;=0,ABS(BL762)/ABS(AH762),ABS(BL762)/ABS(BI762)),""))</f>
        <v/>
      </c>
      <c r="BP762" s="374"/>
      <c r="BQ762" s="374"/>
      <c r="BR762" s="59"/>
      <c r="BS762" s="70"/>
      <c r="BT762" s="70"/>
      <c r="BU762" s="70"/>
      <c r="BV762" s="70"/>
      <c r="BW762" s="8"/>
      <c r="BX762" s="8"/>
      <c r="BY762" s="8"/>
      <c r="BZ762" s="8"/>
      <c r="CA762" s="8"/>
      <c r="CB762" s="10"/>
    </row>
    <row r="763" spans="3:80" ht="15" customHeight="1" x14ac:dyDescent="0.25">
      <c r="C763" s="69"/>
      <c r="F763" s="369" t="str">
        <f>IF(ISBLANK(Inputs!A114),"",Inputs!A114)</f>
        <v/>
      </c>
      <c r="G763" s="369"/>
      <c r="H763" s="369" t="str">
        <f>IF(ISBLANK(Inputs!B114),"",Inputs!B114)</f>
        <v/>
      </c>
      <c r="I763" s="369"/>
      <c r="J763" s="369" t="str">
        <f>IF(ISBLANK(Inputs!$A114),"",
MAX(IF(ISNUMBER(AE506),1),
IF(ISNUMBER(AI506),2),
IF(ISNUMBER(AM506),3),
IF(ISNUMBER(AQ506),4),
IF(ISNUMBER(AU506),5),
IF(ISNUMBER(AY506),6),
IF(ISNUMBER(BC506),7),
IF(ISNUMBER(BG506),8),
IF(ISNUMBER(BK506),9),
IF(ISNUMBER(BO506),10)))</f>
        <v/>
      </c>
      <c r="K763" s="369"/>
      <c r="L763" s="369" t="str">
        <f>IF(ISBLANK(Inputs!$A114),"",
_xlfn.LET(
_xlpm.n,J763,
CHOOSE(_xlpm.n,
AE506,AI506,AM506,AQ506,AU506,
AY506,BC506,BG506,BK506,BO506
)
))</f>
        <v/>
      </c>
      <c r="M763" s="369"/>
      <c r="N763" s="369" t="str">
        <f>IF(ISBLANK(Inputs!$A114),"",
Mat.Conc_Alpha.1*Mat.Conc_f.c*Inputs!J114*MIN(L763*Mat.Conc_Beta.1,Inputs!I114))</f>
        <v/>
      </c>
      <c r="O763" s="369"/>
      <c r="P763" s="372" t="str">
        <f>IF(ISBLANK(Inputs!$A114),"",
Mat.Conc_Alpha.1*Mat.Conc_f.c*Inputs!E114*MAX(0,L763*Mat.Conc_Beta.1-Inputs!I114))</f>
        <v/>
      </c>
      <c r="Q763" s="369"/>
      <c r="R763" s="369" t="str">
        <f>IF(ISBLANK(Inputs!$A114),"",Inputs!G114*MIN(Mat.Rebar_f.y,(Mat.Rebar_epsilon.cl*(Inputs!H114-L763)/L763)*Mat.PT_E.s))</f>
        <v/>
      </c>
      <c r="S763" s="369"/>
      <c r="T763" s="369" t="str">
        <f>IF(ISBLANK(Inputs!$A114),"",Inputs!D114*(Mat.PT_f.pu*(1-Mat.PT_k*L763/Inputs!F114)))</f>
        <v/>
      </c>
      <c r="U763" s="369"/>
      <c r="V763" s="369" t="str">
        <f>IF(ISBLANK(Inputs!$A114),"",
(Mat.PT_f.pe/Mat.PT_E.ps)+(Mat.Rebar_epsilon.cl*((Geometry_d.p.Positive-L763)/L763)))</f>
        <v/>
      </c>
      <c r="W763" s="369"/>
      <c r="X763" s="369" t="str">
        <f>IF(ISBLANK(Inputs!$A114),"",
0.5*MIN(L763*Mat.Conc_Beta.1,Geometry_h.f.Positive))</f>
        <v/>
      </c>
      <c r="Y763" s="369"/>
      <c r="Z763" s="369" t="str">
        <f>IF(ISBLANK(Inputs!$A114),"",
IF(P763=0,0,Geometry_h.f.Positive+0.5*MAX(0,L763*Mat.Conc_Beta.1-Geometry_h.f.Positive)))</f>
        <v/>
      </c>
      <c r="AA763" s="369"/>
      <c r="AB763" s="369" t="str">
        <f>IF(ISBLANK(Inputs!$A114),"",
Inputs!H114)</f>
        <v/>
      </c>
      <c r="AC763" s="369"/>
      <c r="AD763" s="369" t="str">
        <f>IF(ISBLANK(Inputs!$A114),"",
Inputs!F114)</f>
        <v/>
      </c>
      <c r="AE763" s="369"/>
      <c r="AF763" s="369" t="str">
        <f>IF(ISBLANK(Inputs!$A114),"",
MAX(0.75,MIN(1,0.75+0.25*(V763-Mat.Rebar_epsilon.cl)/(Mat.Rebar_epsilon.tl-Mat.Rebar_epsilon.cl))))</f>
        <v/>
      </c>
      <c r="AG763" s="369"/>
      <c r="AH763" s="370" t="str">
        <f>IF(ISBLANK(Inputs!$A114),"",
((AD763*T763+AB763*R763-Z763*P763-X763*N763)/12)*AF763)</f>
        <v/>
      </c>
      <c r="AI763" s="370"/>
      <c r="AJ763" s="370"/>
      <c r="AK763" s="369" t="str">
        <f>IF(ISBLANK(Inputs!$A114),"",
MAX(IF(ISNUMBER(AE631),1),
IF(ISNUMBER(AI631),2),
IF(ISNUMBER(AM631),3),
IF(ISNUMBER(AQ631),4),
IF(ISNUMBER(AU631),5),
IF(ISNUMBER(AY631),6),
IF(ISNUMBER(BC631),7),
IF(ISNUMBER(BG631),8),
IF(ISNUMBER(BK631),9),
IF(ISNUMBER(BO631),10)))</f>
        <v/>
      </c>
      <c r="AL763" s="369"/>
      <c r="AM763" s="369" t="str">
        <f>IF(ISBLANK(Inputs!$A114),"",
_xlfn.LET(
_xlpm.n,AK763,
CHOOSE(_xlpm.n,
AE631,AI631,AM631,AQ631,AU631,
AY631,BC631,BG631,BK631,BO631
)
))</f>
        <v/>
      </c>
      <c r="AN763" s="369"/>
      <c r="AO763" s="369" t="str">
        <f>IF(ISBLANK(Inputs!$A114),"",
Mat.Conc_Alpha.1*Mat.Conc_f.c*Geometry_b.Negative*MIN(AM763*Mat.Conc_Beta.1,Geometry_h.f.Negative))</f>
        <v/>
      </c>
      <c r="AP763" s="369"/>
      <c r="AQ763" s="369" t="str">
        <f>IF(ISBLANK(Inputs!$A114),"",
Mat.Conc_Alpha.1*Mat.Conc_f.c*Geometry_b.w*MAX(0,AM763*Mat.Conc_Beta.1-Geometry_h.f.Negative))</f>
        <v/>
      </c>
      <c r="AR763" s="369"/>
      <c r="AS763" s="369" t="str">
        <f>IF(ISBLANK(Inputs!$A114),"",
Mat.Rebar_A.s.Positive*MIN(Mat.Rebar_f.y,(Mat.Rebar_epsilon.cl*(Geometry_d.s.Negative-AM763)/AM763)*Mat.PT_E.s))</f>
        <v/>
      </c>
      <c r="AT763" s="369"/>
      <c r="AU763" s="369" t="str">
        <f>IF(ISBLANK(Inputs!$A114),"",
Mat.PT_A.ps*(Mat.PT_f.pu*(1-Mat.PT_k*AM763/Geometry_d.p.Negative)))</f>
        <v/>
      </c>
      <c r="AV763" s="369"/>
      <c r="AW763" s="369" t="str">
        <f>IF(ISBLANK(Inputs!$A114),"",
(Mat.PT_f.pe/Mat.PT_E.ps)+(Mat.Rebar_epsilon.cl*((Geometry_d.p.Negative-AM763)/AM763)))</f>
        <v/>
      </c>
      <c r="AX763" s="369"/>
      <c r="AY763" s="369" t="str">
        <f>IF(ISBLANK(Inputs!$A114),"",
0.5*MIN(AM763*Mat.Conc_Beta.1,Geometry_h.f.Negative))</f>
        <v/>
      </c>
      <c r="AZ763" s="369"/>
      <c r="BA763" s="369" t="str">
        <f>IF(ISBLANK(Inputs!$A114),"",
IF(AQ763=0,0,Geometry_h.f.Negative+0.5*MAX(0,AM763*Mat.Conc_Beta.1-Geometry_h.f.Negative)))</f>
        <v/>
      </c>
      <c r="BB763" s="369"/>
      <c r="BC763" s="369" t="str">
        <f>IF(ISBLANK(Inputs!$A114),"",
Inputs!L114)</f>
        <v/>
      </c>
      <c r="BD763" s="369"/>
      <c r="BE763" s="369" t="str">
        <f>IF(ISBLANK(Inputs!$A114),"",Inputs!$B$10-Inputs!F114)</f>
        <v/>
      </c>
      <c r="BF763" s="369"/>
      <c r="BG763" s="369" t="str">
        <f>IF(ISBLANK(Inputs!$A114),"",
MAX(0.75,MIN(1,0.75+0.25*(AW763-Mat.Rebar_epsilon.cl)/(Mat.Rebar_epsilon.tl-Mat.Rebar_epsilon.cl))))</f>
        <v/>
      </c>
      <c r="BH763" s="369"/>
      <c r="BI763" s="370" t="str">
        <f>IF(ISBLANK(Inputs!$A114),"",
-((BE763*AU763+BC763*AS763-BA763*AQ763-AY763*AO763)/12)*BG763)</f>
        <v/>
      </c>
      <c r="BJ763" s="370"/>
      <c r="BK763" s="370"/>
      <c r="BL763" s="370" t="str">
        <f>IF(ISBLANK(Inputs!C114),"",Inputs!C114)</f>
        <v/>
      </c>
      <c r="BM763" s="370"/>
      <c r="BN763" s="370"/>
      <c r="BO763" s="374" t="str">
        <f>IF(ISBLANK(Inputs!$A114),"",
IFERROR(IF(BL763&gt;=0,ABS(BL763)/ABS(AH763),ABS(BL763)/ABS(BI763)),""))</f>
        <v/>
      </c>
      <c r="BP763" s="374"/>
      <c r="BQ763" s="374"/>
      <c r="BR763" s="59"/>
      <c r="BS763" s="70"/>
      <c r="BT763" s="70"/>
      <c r="BU763" s="70"/>
      <c r="BV763" s="70"/>
      <c r="BW763" s="8"/>
      <c r="BX763" s="8"/>
      <c r="BY763" s="8"/>
      <c r="BZ763" s="8"/>
      <c r="CA763" s="8"/>
      <c r="CB763" s="10"/>
    </row>
    <row r="764" spans="3:80" ht="15" customHeight="1" x14ac:dyDescent="0.25">
      <c r="C764" s="69"/>
      <c r="F764" s="369" t="str">
        <f>IF(ISBLANK(Inputs!A115),"",Inputs!A115)</f>
        <v/>
      </c>
      <c r="G764" s="369"/>
      <c r="H764" s="369" t="str">
        <f>IF(ISBLANK(Inputs!B115),"",Inputs!B115)</f>
        <v/>
      </c>
      <c r="I764" s="369"/>
      <c r="J764" s="369" t="str">
        <f>IF(ISBLANK(Inputs!$A115),"",
MAX(IF(ISNUMBER(AE507),1),
IF(ISNUMBER(AI507),2),
IF(ISNUMBER(AM507),3),
IF(ISNUMBER(AQ507),4),
IF(ISNUMBER(AU507),5),
IF(ISNUMBER(AY507),6),
IF(ISNUMBER(BC507),7),
IF(ISNUMBER(BG507),8),
IF(ISNUMBER(BK507),9),
IF(ISNUMBER(BO507),10)))</f>
        <v/>
      </c>
      <c r="K764" s="369"/>
      <c r="L764" s="369" t="str">
        <f>IF(ISBLANK(Inputs!$A115),"",
_xlfn.LET(
_xlpm.n,J764,
CHOOSE(_xlpm.n,
AE507,AI507,AM507,AQ507,AU507,
AY507,BC507,BG507,BK507,BO507
)
))</f>
        <v/>
      </c>
      <c r="M764" s="369"/>
      <c r="N764" s="369" t="str">
        <f>IF(ISBLANK(Inputs!$A115),"",
Mat.Conc_Alpha.1*Mat.Conc_f.c*Inputs!J115*MIN(L764*Mat.Conc_Beta.1,Inputs!I115))</f>
        <v/>
      </c>
      <c r="O764" s="369"/>
      <c r="P764" s="372" t="str">
        <f>IF(ISBLANK(Inputs!$A115),"",
Mat.Conc_Alpha.1*Mat.Conc_f.c*Inputs!E115*MAX(0,L764*Mat.Conc_Beta.1-Inputs!I115))</f>
        <v/>
      </c>
      <c r="Q764" s="369"/>
      <c r="R764" s="369" t="str">
        <f>IF(ISBLANK(Inputs!$A115),"",Inputs!G115*MIN(Mat.Rebar_f.y,(Mat.Rebar_epsilon.cl*(Inputs!H115-L764)/L764)*Mat.PT_E.s))</f>
        <v/>
      </c>
      <c r="S764" s="369"/>
      <c r="T764" s="369" t="str">
        <f>IF(ISBLANK(Inputs!$A115),"",Inputs!D115*(Mat.PT_f.pu*(1-Mat.PT_k*L764/Inputs!F115)))</f>
        <v/>
      </c>
      <c r="U764" s="369"/>
      <c r="V764" s="369" t="str">
        <f>IF(ISBLANK(Inputs!$A115),"",
(Mat.PT_f.pe/Mat.PT_E.ps)+(Mat.Rebar_epsilon.cl*((Geometry_d.p.Positive-L764)/L764)))</f>
        <v/>
      </c>
      <c r="W764" s="369"/>
      <c r="X764" s="369" t="str">
        <f>IF(ISBLANK(Inputs!$A115),"",
0.5*MIN(L764*Mat.Conc_Beta.1,Geometry_h.f.Positive))</f>
        <v/>
      </c>
      <c r="Y764" s="369"/>
      <c r="Z764" s="369" t="str">
        <f>IF(ISBLANK(Inputs!$A115),"",
IF(P764=0,0,Geometry_h.f.Positive+0.5*MAX(0,L764*Mat.Conc_Beta.1-Geometry_h.f.Positive)))</f>
        <v/>
      </c>
      <c r="AA764" s="369"/>
      <c r="AB764" s="369" t="str">
        <f>IF(ISBLANK(Inputs!$A115),"",
Inputs!H115)</f>
        <v/>
      </c>
      <c r="AC764" s="369"/>
      <c r="AD764" s="369" t="str">
        <f>IF(ISBLANK(Inputs!$A115),"",
Inputs!F115)</f>
        <v/>
      </c>
      <c r="AE764" s="369"/>
      <c r="AF764" s="369" t="str">
        <f>IF(ISBLANK(Inputs!$A115),"",
MAX(0.75,MIN(1,0.75+0.25*(V764-Mat.Rebar_epsilon.cl)/(Mat.Rebar_epsilon.tl-Mat.Rebar_epsilon.cl))))</f>
        <v/>
      </c>
      <c r="AG764" s="369"/>
      <c r="AH764" s="370" t="str">
        <f>IF(ISBLANK(Inputs!$A115),"",
((AD764*T764+AB764*R764-Z764*P764-X764*N764)/12)*AF764)</f>
        <v/>
      </c>
      <c r="AI764" s="370"/>
      <c r="AJ764" s="370"/>
      <c r="AK764" s="369" t="str">
        <f>IF(ISBLANK(Inputs!$A115),"",
MAX(IF(ISNUMBER(AE632),1),
IF(ISNUMBER(AI632),2),
IF(ISNUMBER(AM632),3),
IF(ISNUMBER(AQ632),4),
IF(ISNUMBER(AU632),5),
IF(ISNUMBER(AY632),6),
IF(ISNUMBER(BC632),7),
IF(ISNUMBER(BG632),8),
IF(ISNUMBER(BK632),9),
IF(ISNUMBER(BO632),10)))</f>
        <v/>
      </c>
      <c r="AL764" s="369"/>
      <c r="AM764" s="369" t="str">
        <f>IF(ISBLANK(Inputs!$A115),"",
_xlfn.LET(
_xlpm.n,AK764,
CHOOSE(_xlpm.n,
AE632,AI632,AM632,AQ632,AU632,
AY632,BC632,BG632,BK632,BO632
)
))</f>
        <v/>
      </c>
      <c r="AN764" s="369"/>
      <c r="AO764" s="369" t="str">
        <f>IF(ISBLANK(Inputs!$A115),"",
Mat.Conc_Alpha.1*Mat.Conc_f.c*Geometry_b.Negative*MIN(AM764*Mat.Conc_Beta.1,Geometry_h.f.Negative))</f>
        <v/>
      </c>
      <c r="AP764" s="369"/>
      <c r="AQ764" s="369" t="str">
        <f>IF(ISBLANK(Inputs!$A115),"",
Mat.Conc_Alpha.1*Mat.Conc_f.c*Geometry_b.w*MAX(0,AM764*Mat.Conc_Beta.1-Geometry_h.f.Negative))</f>
        <v/>
      </c>
      <c r="AR764" s="369"/>
      <c r="AS764" s="369" t="str">
        <f>IF(ISBLANK(Inputs!$A115),"",
Mat.Rebar_A.s.Positive*MIN(Mat.Rebar_f.y,(Mat.Rebar_epsilon.cl*(Geometry_d.s.Negative-AM764)/AM764)*Mat.PT_E.s))</f>
        <v/>
      </c>
      <c r="AT764" s="369"/>
      <c r="AU764" s="369" t="str">
        <f>IF(ISBLANK(Inputs!$A115),"",
Mat.PT_A.ps*(Mat.PT_f.pu*(1-Mat.PT_k*AM764/Geometry_d.p.Negative)))</f>
        <v/>
      </c>
      <c r="AV764" s="369"/>
      <c r="AW764" s="369" t="str">
        <f>IF(ISBLANK(Inputs!$A115),"",
(Mat.PT_f.pe/Mat.PT_E.ps)+(Mat.Rebar_epsilon.cl*((Geometry_d.p.Negative-AM764)/AM764)))</f>
        <v/>
      </c>
      <c r="AX764" s="369"/>
      <c r="AY764" s="369" t="str">
        <f>IF(ISBLANK(Inputs!$A115),"",
0.5*MIN(AM764*Mat.Conc_Beta.1,Geometry_h.f.Negative))</f>
        <v/>
      </c>
      <c r="AZ764" s="369"/>
      <c r="BA764" s="369" t="str">
        <f>IF(ISBLANK(Inputs!$A115),"",
IF(AQ764=0,0,Geometry_h.f.Negative+0.5*MAX(0,AM764*Mat.Conc_Beta.1-Geometry_h.f.Negative)))</f>
        <v/>
      </c>
      <c r="BB764" s="369"/>
      <c r="BC764" s="369" t="str">
        <f>IF(ISBLANK(Inputs!$A115),"",
Inputs!L115)</f>
        <v/>
      </c>
      <c r="BD764" s="369"/>
      <c r="BE764" s="369" t="str">
        <f>IF(ISBLANK(Inputs!$A115),"",Inputs!$B$10-Inputs!F115)</f>
        <v/>
      </c>
      <c r="BF764" s="369"/>
      <c r="BG764" s="369" t="str">
        <f>IF(ISBLANK(Inputs!$A115),"",
MAX(0.75,MIN(1,0.75+0.25*(AW764-Mat.Rebar_epsilon.cl)/(Mat.Rebar_epsilon.tl-Mat.Rebar_epsilon.cl))))</f>
        <v/>
      </c>
      <c r="BH764" s="369"/>
      <c r="BI764" s="370" t="str">
        <f>IF(ISBLANK(Inputs!$A115),"",
-((BE764*AU764+BC764*AS764-BA764*AQ764-AY764*AO764)/12)*BG764)</f>
        <v/>
      </c>
      <c r="BJ764" s="370"/>
      <c r="BK764" s="370"/>
      <c r="BL764" s="370" t="str">
        <f>IF(ISBLANK(Inputs!C115),"",Inputs!C115)</f>
        <v/>
      </c>
      <c r="BM764" s="370"/>
      <c r="BN764" s="370"/>
      <c r="BO764" s="374" t="str">
        <f>IF(ISBLANK(Inputs!$A115),"",
IFERROR(IF(BL764&gt;=0,ABS(BL764)/ABS(AH764),ABS(BL764)/ABS(BI764)),""))</f>
        <v/>
      </c>
      <c r="BP764" s="374"/>
      <c r="BQ764" s="374"/>
      <c r="BR764" s="59"/>
      <c r="BS764" s="70"/>
      <c r="BT764" s="70"/>
      <c r="BU764" s="70"/>
      <c r="BV764" s="70"/>
      <c r="BW764" s="8"/>
      <c r="BX764" s="8"/>
      <c r="BY764" s="8"/>
      <c r="BZ764" s="8"/>
      <c r="CA764" s="8"/>
      <c r="CB764" s="10"/>
    </row>
    <row r="765" spans="3:80" ht="15" customHeight="1" x14ac:dyDescent="0.25">
      <c r="C765" s="69"/>
      <c r="F765" s="369" t="str">
        <f>IF(ISBLANK(Inputs!A116),"",Inputs!A116)</f>
        <v/>
      </c>
      <c r="G765" s="369"/>
      <c r="H765" s="369" t="str">
        <f>IF(ISBLANK(Inputs!B116),"",Inputs!B116)</f>
        <v/>
      </c>
      <c r="I765" s="369"/>
      <c r="J765" s="369" t="str">
        <f>IF(ISBLANK(Inputs!$A116),"",
MAX(IF(ISNUMBER(AE508),1),
IF(ISNUMBER(AI508),2),
IF(ISNUMBER(AM508),3),
IF(ISNUMBER(AQ508),4),
IF(ISNUMBER(AU508),5),
IF(ISNUMBER(AY508),6),
IF(ISNUMBER(BC508),7),
IF(ISNUMBER(BG508),8),
IF(ISNUMBER(BK508),9),
IF(ISNUMBER(BO508),10)))</f>
        <v/>
      </c>
      <c r="K765" s="369"/>
      <c r="L765" s="369" t="str">
        <f>IF(ISBLANK(Inputs!$A116),"",
_xlfn.LET(
_xlpm.n,J765,
CHOOSE(_xlpm.n,
AE508,AI508,AM508,AQ508,AU508,
AY508,BC508,BG508,BK508,BO508
)
))</f>
        <v/>
      </c>
      <c r="M765" s="369"/>
      <c r="N765" s="369" t="str">
        <f>IF(ISBLANK(Inputs!$A116),"",
Mat.Conc_Alpha.1*Mat.Conc_f.c*Inputs!J116*MIN(L765*Mat.Conc_Beta.1,Inputs!I116))</f>
        <v/>
      </c>
      <c r="O765" s="369"/>
      <c r="P765" s="372" t="str">
        <f>IF(ISBLANK(Inputs!$A116),"",
Mat.Conc_Alpha.1*Mat.Conc_f.c*Inputs!E116*MAX(0,L765*Mat.Conc_Beta.1-Inputs!I116))</f>
        <v/>
      </c>
      <c r="Q765" s="369"/>
      <c r="R765" s="369" t="str">
        <f>IF(ISBLANK(Inputs!$A116),"",Inputs!G116*MIN(Mat.Rebar_f.y,(Mat.Rebar_epsilon.cl*(Inputs!H116-L765)/L765)*Mat.PT_E.s))</f>
        <v/>
      </c>
      <c r="S765" s="369"/>
      <c r="T765" s="369" t="str">
        <f>IF(ISBLANK(Inputs!$A116),"",Inputs!D116*(Mat.PT_f.pu*(1-Mat.PT_k*L765/Inputs!F116)))</f>
        <v/>
      </c>
      <c r="U765" s="369"/>
      <c r="V765" s="369" t="str">
        <f>IF(ISBLANK(Inputs!$A116),"",
(Mat.PT_f.pe/Mat.PT_E.ps)+(Mat.Rebar_epsilon.cl*((Geometry_d.p.Positive-L765)/L765)))</f>
        <v/>
      </c>
      <c r="W765" s="369"/>
      <c r="X765" s="369" t="str">
        <f>IF(ISBLANK(Inputs!$A116),"",
0.5*MIN(L765*Mat.Conc_Beta.1,Geometry_h.f.Positive))</f>
        <v/>
      </c>
      <c r="Y765" s="369"/>
      <c r="Z765" s="369" t="str">
        <f>IF(ISBLANK(Inputs!$A116),"",
IF(P765=0,0,Geometry_h.f.Positive+0.5*MAX(0,L765*Mat.Conc_Beta.1-Geometry_h.f.Positive)))</f>
        <v/>
      </c>
      <c r="AA765" s="369"/>
      <c r="AB765" s="369" t="str">
        <f>IF(ISBLANK(Inputs!$A116),"",
Inputs!H116)</f>
        <v/>
      </c>
      <c r="AC765" s="369"/>
      <c r="AD765" s="369" t="str">
        <f>IF(ISBLANK(Inputs!$A116),"",
Inputs!F116)</f>
        <v/>
      </c>
      <c r="AE765" s="369"/>
      <c r="AF765" s="369" t="str">
        <f>IF(ISBLANK(Inputs!$A116),"",
MAX(0.75,MIN(1,0.75+0.25*(V765-Mat.Rebar_epsilon.cl)/(Mat.Rebar_epsilon.tl-Mat.Rebar_epsilon.cl))))</f>
        <v/>
      </c>
      <c r="AG765" s="369"/>
      <c r="AH765" s="370" t="str">
        <f>IF(ISBLANK(Inputs!$A116),"",
((AD765*T765+AB765*R765-Z765*P765-X765*N765)/12)*AF765)</f>
        <v/>
      </c>
      <c r="AI765" s="370"/>
      <c r="AJ765" s="370"/>
      <c r="AK765" s="369" t="str">
        <f>IF(ISBLANK(Inputs!$A116),"",
MAX(IF(ISNUMBER(AE633),1),
IF(ISNUMBER(AI633),2),
IF(ISNUMBER(AM633),3),
IF(ISNUMBER(AQ633),4),
IF(ISNUMBER(AU633),5),
IF(ISNUMBER(AY633),6),
IF(ISNUMBER(BC633),7),
IF(ISNUMBER(BG633),8),
IF(ISNUMBER(BK633),9),
IF(ISNUMBER(BO633),10)))</f>
        <v/>
      </c>
      <c r="AL765" s="369"/>
      <c r="AM765" s="369" t="str">
        <f>IF(ISBLANK(Inputs!$A116),"",
_xlfn.LET(
_xlpm.n,AK765,
CHOOSE(_xlpm.n,
AE633,AI633,AM633,AQ633,AU633,
AY633,BC633,BG633,BK633,BO633
)
))</f>
        <v/>
      </c>
      <c r="AN765" s="369"/>
      <c r="AO765" s="369" t="str">
        <f>IF(ISBLANK(Inputs!$A116),"",
Mat.Conc_Alpha.1*Mat.Conc_f.c*Geometry_b.Negative*MIN(AM765*Mat.Conc_Beta.1,Geometry_h.f.Negative))</f>
        <v/>
      </c>
      <c r="AP765" s="369"/>
      <c r="AQ765" s="369" t="str">
        <f>IF(ISBLANK(Inputs!$A116),"",
Mat.Conc_Alpha.1*Mat.Conc_f.c*Geometry_b.w*MAX(0,AM765*Mat.Conc_Beta.1-Geometry_h.f.Negative))</f>
        <v/>
      </c>
      <c r="AR765" s="369"/>
      <c r="AS765" s="369" t="str">
        <f>IF(ISBLANK(Inputs!$A116),"",
Mat.Rebar_A.s.Positive*MIN(Mat.Rebar_f.y,(Mat.Rebar_epsilon.cl*(Geometry_d.s.Negative-AM765)/AM765)*Mat.PT_E.s))</f>
        <v/>
      </c>
      <c r="AT765" s="369"/>
      <c r="AU765" s="369" t="str">
        <f>IF(ISBLANK(Inputs!$A116),"",
Mat.PT_A.ps*(Mat.PT_f.pu*(1-Mat.PT_k*AM765/Geometry_d.p.Negative)))</f>
        <v/>
      </c>
      <c r="AV765" s="369"/>
      <c r="AW765" s="369" t="str">
        <f>IF(ISBLANK(Inputs!$A116),"",
(Mat.PT_f.pe/Mat.PT_E.ps)+(Mat.Rebar_epsilon.cl*((Geometry_d.p.Negative-AM765)/AM765)))</f>
        <v/>
      </c>
      <c r="AX765" s="369"/>
      <c r="AY765" s="369" t="str">
        <f>IF(ISBLANK(Inputs!$A116),"",
0.5*MIN(AM765*Mat.Conc_Beta.1,Geometry_h.f.Negative))</f>
        <v/>
      </c>
      <c r="AZ765" s="369"/>
      <c r="BA765" s="369" t="str">
        <f>IF(ISBLANK(Inputs!$A116),"",
IF(AQ765=0,0,Geometry_h.f.Negative+0.5*MAX(0,AM765*Mat.Conc_Beta.1-Geometry_h.f.Negative)))</f>
        <v/>
      </c>
      <c r="BB765" s="369"/>
      <c r="BC765" s="369" t="str">
        <f>IF(ISBLANK(Inputs!$A116),"",
Inputs!L116)</f>
        <v/>
      </c>
      <c r="BD765" s="369"/>
      <c r="BE765" s="369" t="str">
        <f>IF(ISBLANK(Inputs!$A116),"",Inputs!$B$10-Inputs!F116)</f>
        <v/>
      </c>
      <c r="BF765" s="369"/>
      <c r="BG765" s="369" t="str">
        <f>IF(ISBLANK(Inputs!$A116),"",
MAX(0.75,MIN(1,0.75+0.25*(AW765-Mat.Rebar_epsilon.cl)/(Mat.Rebar_epsilon.tl-Mat.Rebar_epsilon.cl))))</f>
        <v/>
      </c>
      <c r="BH765" s="369"/>
      <c r="BI765" s="370" t="str">
        <f>IF(ISBLANK(Inputs!$A116),"",
-((BE765*AU765+BC765*AS765-BA765*AQ765-AY765*AO765)/12)*BG765)</f>
        <v/>
      </c>
      <c r="BJ765" s="370"/>
      <c r="BK765" s="370"/>
      <c r="BL765" s="370" t="str">
        <f>IF(ISBLANK(Inputs!C116),"",Inputs!C116)</f>
        <v/>
      </c>
      <c r="BM765" s="370"/>
      <c r="BN765" s="370"/>
      <c r="BO765" s="374" t="str">
        <f>IF(ISBLANK(Inputs!$A116),"",
IFERROR(IF(BL765&gt;=0,ABS(BL765)/ABS(AH765),ABS(BL765)/ABS(BI765)),""))</f>
        <v/>
      </c>
      <c r="BP765" s="374"/>
      <c r="BQ765" s="374"/>
      <c r="BR765" s="59"/>
      <c r="BS765" s="70"/>
      <c r="BT765" s="70"/>
      <c r="BU765" s="70"/>
      <c r="BV765" s="70"/>
      <c r="BW765" s="8"/>
      <c r="BX765" s="8"/>
      <c r="BY765" s="8"/>
      <c r="BZ765" s="8"/>
      <c r="CA765" s="8"/>
      <c r="CB765" s="10"/>
    </row>
    <row r="766" spans="3:80" ht="15" customHeight="1" x14ac:dyDescent="0.25">
      <c r="C766" s="69"/>
      <c r="F766" s="369" t="str">
        <f>IF(ISBLANK(Inputs!A117),"",Inputs!A117)</f>
        <v/>
      </c>
      <c r="G766" s="369"/>
      <c r="H766" s="369" t="str">
        <f>IF(ISBLANK(Inputs!B117),"",Inputs!B117)</f>
        <v/>
      </c>
      <c r="I766" s="369"/>
      <c r="J766" s="369" t="str">
        <f>IF(ISBLANK(Inputs!$A117),"",
MAX(IF(ISNUMBER(AE509),1),
IF(ISNUMBER(AI509),2),
IF(ISNUMBER(AM509),3),
IF(ISNUMBER(AQ509),4),
IF(ISNUMBER(AU509),5),
IF(ISNUMBER(AY509),6),
IF(ISNUMBER(BC509),7),
IF(ISNUMBER(BG509),8),
IF(ISNUMBER(BK509),9),
IF(ISNUMBER(BO509),10)))</f>
        <v/>
      </c>
      <c r="K766" s="369"/>
      <c r="L766" s="369" t="str">
        <f>IF(ISBLANK(Inputs!$A117),"",
_xlfn.LET(
_xlpm.n,J766,
CHOOSE(_xlpm.n,
AE509,AI509,AM509,AQ509,AU509,
AY509,BC509,BG509,BK509,BO509
)
))</f>
        <v/>
      </c>
      <c r="M766" s="369"/>
      <c r="N766" s="369" t="str">
        <f>IF(ISBLANK(Inputs!$A117),"",
Mat.Conc_Alpha.1*Mat.Conc_f.c*Inputs!J117*MIN(L766*Mat.Conc_Beta.1,Inputs!I117))</f>
        <v/>
      </c>
      <c r="O766" s="369"/>
      <c r="P766" s="372" t="str">
        <f>IF(ISBLANK(Inputs!$A117),"",
Mat.Conc_Alpha.1*Mat.Conc_f.c*Inputs!E117*MAX(0,L766*Mat.Conc_Beta.1-Inputs!I117))</f>
        <v/>
      </c>
      <c r="Q766" s="369"/>
      <c r="R766" s="369" t="str">
        <f>IF(ISBLANK(Inputs!$A117),"",Inputs!G117*MIN(Mat.Rebar_f.y,(Mat.Rebar_epsilon.cl*(Inputs!H117-L766)/L766)*Mat.PT_E.s))</f>
        <v/>
      </c>
      <c r="S766" s="369"/>
      <c r="T766" s="369" t="str">
        <f>IF(ISBLANK(Inputs!$A117),"",Inputs!D117*(Mat.PT_f.pu*(1-Mat.PT_k*L766/Inputs!F117)))</f>
        <v/>
      </c>
      <c r="U766" s="369"/>
      <c r="V766" s="369" t="str">
        <f>IF(ISBLANK(Inputs!$A117),"",
(Mat.PT_f.pe/Mat.PT_E.ps)+(Mat.Rebar_epsilon.cl*((Geometry_d.p.Positive-L766)/L766)))</f>
        <v/>
      </c>
      <c r="W766" s="369"/>
      <c r="X766" s="369" t="str">
        <f>IF(ISBLANK(Inputs!$A117),"",
0.5*MIN(L766*Mat.Conc_Beta.1,Geometry_h.f.Positive))</f>
        <v/>
      </c>
      <c r="Y766" s="369"/>
      <c r="Z766" s="369" t="str">
        <f>IF(ISBLANK(Inputs!$A117),"",
IF(P766=0,0,Geometry_h.f.Positive+0.5*MAX(0,L766*Mat.Conc_Beta.1-Geometry_h.f.Positive)))</f>
        <v/>
      </c>
      <c r="AA766" s="369"/>
      <c r="AB766" s="369" t="str">
        <f>IF(ISBLANK(Inputs!$A117),"",
Inputs!H117)</f>
        <v/>
      </c>
      <c r="AC766" s="369"/>
      <c r="AD766" s="369" t="str">
        <f>IF(ISBLANK(Inputs!$A117),"",
Inputs!F117)</f>
        <v/>
      </c>
      <c r="AE766" s="369"/>
      <c r="AF766" s="369" t="str">
        <f>IF(ISBLANK(Inputs!$A117),"",
MAX(0.75,MIN(1,0.75+0.25*(V766-Mat.Rebar_epsilon.cl)/(Mat.Rebar_epsilon.tl-Mat.Rebar_epsilon.cl))))</f>
        <v/>
      </c>
      <c r="AG766" s="369"/>
      <c r="AH766" s="370" t="str">
        <f>IF(ISBLANK(Inputs!$A117),"",
((AD766*T766+AB766*R766-Z766*P766-X766*N766)/12)*AF766)</f>
        <v/>
      </c>
      <c r="AI766" s="370"/>
      <c r="AJ766" s="370"/>
      <c r="AK766" s="369" t="str">
        <f>IF(ISBLANK(Inputs!$A117),"",
MAX(IF(ISNUMBER(AE634),1),
IF(ISNUMBER(AI634),2),
IF(ISNUMBER(AM634),3),
IF(ISNUMBER(AQ634),4),
IF(ISNUMBER(AU634),5),
IF(ISNUMBER(AY634),6),
IF(ISNUMBER(BC634),7),
IF(ISNUMBER(BG634),8),
IF(ISNUMBER(BK634),9),
IF(ISNUMBER(BO634),10)))</f>
        <v/>
      </c>
      <c r="AL766" s="369"/>
      <c r="AM766" s="369" t="str">
        <f>IF(ISBLANK(Inputs!$A117),"",
_xlfn.LET(
_xlpm.n,AK766,
CHOOSE(_xlpm.n,
AE634,AI634,AM634,AQ634,AU634,
AY634,BC634,BG634,BK634,BO634
)
))</f>
        <v/>
      </c>
      <c r="AN766" s="369"/>
      <c r="AO766" s="369" t="str">
        <f>IF(ISBLANK(Inputs!$A117),"",
Mat.Conc_Alpha.1*Mat.Conc_f.c*Geometry_b.Negative*MIN(AM766*Mat.Conc_Beta.1,Geometry_h.f.Negative))</f>
        <v/>
      </c>
      <c r="AP766" s="369"/>
      <c r="AQ766" s="369" t="str">
        <f>IF(ISBLANK(Inputs!$A117),"",
Mat.Conc_Alpha.1*Mat.Conc_f.c*Geometry_b.w*MAX(0,AM766*Mat.Conc_Beta.1-Geometry_h.f.Negative))</f>
        <v/>
      </c>
      <c r="AR766" s="369"/>
      <c r="AS766" s="369" t="str">
        <f>IF(ISBLANK(Inputs!$A117),"",
Mat.Rebar_A.s.Positive*MIN(Mat.Rebar_f.y,(Mat.Rebar_epsilon.cl*(Geometry_d.s.Negative-AM766)/AM766)*Mat.PT_E.s))</f>
        <v/>
      </c>
      <c r="AT766" s="369"/>
      <c r="AU766" s="369" t="str">
        <f>IF(ISBLANK(Inputs!$A117),"",
Mat.PT_A.ps*(Mat.PT_f.pu*(1-Mat.PT_k*AM766/Geometry_d.p.Negative)))</f>
        <v/>
      </c>
      <c r="AV766" s="369"/>
      <c r="AW766" s="369" t="str">
        <f>IF(ISBLANK(Inputs!$A117),"",
(Mat.PT_f.pe/Mat.PT_E.ps)+(Mat.Rebar_epsilon.cl*((Geometry_d.p.Negative-AM766)/AM766)))</f>
        <v/>
      </c>
      <c r="AX766" s="369"/>
      <c r="AY766" s="369" t="str">
        <f>IF(ISBLANK(Inputs!$A117),"",
0.5*MIN(AM766*Mat.Conc_Beta.1,Geometry_h.f.Negative))</f>
        <v/>
      </c>
      <c r="AZ766" s="369"/>
      <c r="BA766" s="369" t="str">
        <f>IF(ISBLANK(Inputs!$A117),"",
IF(AQ766=0,0,Geometry_h.f.Negative+0.5*MAX(0,AM766*Mat.Conc_Beta.1-Geometry_h.f.Negative)))</f>
        <v/>
      </c>
      <c r="BB766" s="369"/>
      <c r="BC766" s="369" t="str">
        <f>IF(ISBLANK(Inputs!$A117),"",
Inputs!L117)</f>
        <v/>
      </c>
      <c r="BD766" s="369"/>
      <c r="BE766" s="369" t="str">
        <f>IF(ISBLANK(Inputs!$A117),"",Inputs!$B$10-Inputs!F117)</f>
        <v/>
      </c>
      <c r="BF766" s="369"/>
      <c r="BG766" s="369" t="str">
        <f>IF(ISBLANK(Inputs!$A117),"",
MAX(0.75,MIN(1,0.75+0.25*(AW766-Mat.Rebar_epsilon.cl)/(Mat.Rebar_epsilon.tl-Mat.Rebar_epsilon.cl))))</f>
        <v/>
      </c>
      <c r="BH766" s="369"/>
      <c r="BI766" s="370" t="str">
        <f>IF(ISBLANK(Inputs!$A117),"",
-((BE766*AU766+BC766*AS766-BA766*AQ766-AY766*AO766)/12)*BG766)</f>
        <v/>
      </c>
      <c r="BJ766" s="370"/>
      <c r="BK766" s="370"/>
      <c r="BL766" s="370" t="str">
        <f>IF(ISBLANK(Inputs!C117),"",Inputs!C117)</f>
        <v/>
      </c>
      <c r="BM766" s="370"/>
      <c r="BN766" s="370"/>
      <c r="BO766" s="374" t="str">
        <f>IF(ISBLANK(Inputs!$A117),"",
IFERROR(IF(BL766&gt;=0,ABS(BL766)/ABS(AH766),ABS(BL766)/ABS(BI766)),""))</f>
        <v/>
      </c>
      <c r="BP766" s="374"/>
      <c r="BQ766" s="374"/>
      <c r="BR766" s="59"/>
      <c r="BS766" s="70"/>
      <c r="BT766" s="70"/>
      <c r="BU766" s="70"/>
      <c r="BV766" s="70"/>
      <c r="BW766" s="8"/>
      <c r="BX766" s="8"/>
      <c r="BY766" s="8"/>
      <c r="BZ766" s="8"/>
      <c r="CA766" s="8"/>
      <c r="CB766" s="10"/>
    </row>
    <row r="767" spans="3:80" ht="15" customHeight="1" x14ac:dyDescent="0.25">
      <c r="C767" s="69"/>
      <c r="F767" s="369" t="str">
        <f>IF(ISBLANK(Inputs!A118),"",Inputs!A118)</f>
        <v/>
      </c>
      <c r="G767" s="369"/>
      <c r="H767" s="369" t="str">
        <f>IF(ISBLANK(Inputs!B118),"",Inputs!B118)</f>
        <v/>
      </c>
      <c r="I767" s="369"/>
      <c r="J767" s="369" t="str">
        <f>IF(ISBLANK(Inputs!$A118),"",
MAX(IF(ISNUMBER(AE510),1),
IF(ISNUMBER(AI510),2),
IF(ISNUMBER(AM510),3),
IF(ISNUMBER(AQ510),4),
IF(ISNUMBER(AU510),5),
IF(ISNUMBER(AY510),6),
IF(ISNUMBER(BC510),7),
IF(ISNUMBER(BG510),8),
IF(ISNUMBER(BK510),9),
IF(ISNUMBER(BO510),10)))</f>
        <v/>
      </c>
      <c r="K767" s="369"/>
      <c r="L767" s="369" t="str">
        <f>IF(ISBLANK(Inputs!$A118),"",
_xlfn.LET(
_xlpm.n,J767,
CHOOSE(_xlpm.n,
AE510,AI510,AM510,AQ510,AU510,
AY510,BC510,BG510,BK510,BO510
)
))</f>
        <v/>
      </c>
      <c r="M767" s="369"/>
      <c r="N767" s="369" t="str">
        <f>IF(ISBLANK(Inputs!$A118),"",
Mat.Conc_Alpha.1*Mat.Conc_f.c*Inputs!J118*MIN(L767*Mat.Conc_Beta.1,Inputs!I118))</f>
        <v/>
      </c>
      <c r="O767" s="369"/>
      <c r="P767" s="372" t="str">
        <f>IF(ISBLANK(Inputs!$A118),"",
Mat.Conc_Alpha.1*Mat.Conc_f.c*Inputs!E118*MAX(0,L767*Mat.Conc_Beta.1-Inputs!I118))</f>
        <v/>
      </c>
      <c r="Q767" s="369"/>
      <c r="R767" s="369" t="str">
        <f>IF(ISBLANK(Inputs!$A118),"",Inputs!G118*MIN(Mat.Rebar_f.y,(Mat.Rebar_epsilon.cl*(Inputs!H118-L767)/L767)*Mat.PT_E.s))</f>
        <v/>
      </c>
      <c r="S767" s="369"/>
      <c r="T767" s="369" t="str">
        <f>IF(ISBLANK(Inputs!$A118),"",Inputs!D118*(Mat.PT_f.pu*(1-Mat.PT_k*L767/Inputs!F118)))</f>
        <v/>
      </c>
      <c r="U767" s="369"/>
      <c r="V767" s="369" t="str">
        <f>IF(ISBLANK(Inputs!$A118),"",
(Mat.PT_f.pe/Mat.PT_E.ps)+(Mat.Rebar_epsilon.cl*((Geometry_d.p.Positive-L767)/L767)))</f>
        <v/>
      </c>
      <c r="W767" s="369"/>
      <c r="X767" s="369" t="str">
        <f>IF(ISBLANK(Inputs!$A118),"",
0.5*MIN(L767*Mat.Conc_Beta.1,Geometry_h.f.Positive))</f>
        <v/>
      </c>
      <c r="Y767" s="369"/>
      <c r="Z767" s="369" t="str">
        <f>IF(ISBLANK(Inputs!$A118),"",
IF(P767=0,0,Geometry_h.f.Positive+0.5*MAX(0,L767*Mat.Conc_Beta.1-Geometry_h.f.Positive)))</f>
        <v/>
      </c>
      <c r="AA767" s="369"/>
      <c r="AB767" s="369" t="str">
        <f>IF(ISBLANK(Inputs!$A118),"",
Inputs!H118)</f>
        <v/>
      </c>
      <c r="AC767" s="369"/>
      <c r="AD767" s="369" t="str">
        <f>IF(ISBLANK(Inputs!$A118),"",
Inputs!F118)</f>
        <v/>
      </c>
      <c r="AE767" s="369"/>
      <c r="AF767" s="369" t="str">
        <f>IF(ISBLANK(Inputs!$A118),"",
MAX(0.75,MIN(1,0.75+0.25*(V767-Mat.Rebar_epsilon.cl)/(Mat.Rebar_epsilon.tl-Mat.Rebar_epsilon.cl))))</f>
        <v/>
      </c>
      <c r="AG767" s="369"/>
      <c r="AH767" s="370" t="str">
        <f>IF(ISBLANK(Inputs!$A118),"",
((AD767*T767+AB767*R767-Z767*P767-X767*N767)/12)*AF767)</f>
        <v/>
      </c>
      <c r="AI767" s="370"/>
      <c r="AJ767" s="370"/>
      <c r="AK767" s="369" t="str">
        <f>IF(ISBLANK(Inputs!$A118),"",
MAX(IF(ISNUMBER(AE635),1),
IF(ISNUMBER(AI635),2),
IF(ISNUMBER(AM635),3),
IF(ISNUMBER(AQ635),4),
IF(ISNUMBER(AU635),5),
IF(ISNUMBER(AY635),6),
IF(ISNUMBER(BC635),7),
IF(ISNUMBER(BG635),8),
IF(ISNUMBER(BK635),9),
IF(ISNUMBER(BO635),10)))</f>
        <v/>
      </c>
      <c r="AL767" s="369"/>
      <c r="AM767" s="369" t="str">
        <f>IF(ISBLANK(Inputs!$A118),"",
_xlfn.LET(
_xlpm.n,AK767,
CHOOSE(_xlpm.n,
AE635,AI635,AM635,AQ635,AU635,
AY635,BC635,BG635,BK635,BO635
)
))</f>
        <v/>
      </c>
      <c r="AN767" s="369"/>
      <c r="AO767" s="369" t="str">
        <f>IF(ISBLANK(Inputs!$A118),"",
Mat.Conc_Alpha.1*Mat.Conc_f.c*Geometry_b.Negative*MIN(AM767*Mat.Conc_Beta.1,Geometry_h.f.Negative))</f>
        <v/>
      </c>
      <c r="AP767" s="369"/>
      <c r="AQ767" s="369" t="str">
        <f>IF(ISBLANK(Inputs!$A118),"",
Mat.Conc_Alpha.1*Mat.Conc_f.c*Geometry_b.w*MAX(0,AM767*Mat.Conc_Beta.1-Geometry_h.f.Negative))</f>
        <v/>
      </c>
      <c r="AR767" s="369"/>
      <c r="AS767" s="369" t="str">
        <f>IF(ISBLANK(Inputs!$A118),"",
Mat.Rebar_A.s.Positive*MIN(Mat.Rebar_f.y,(Mat.Rebar_epsilon.cl*(Geometry_d.s.Negative-AM767)/AM767)*Mat.PT_E.s))</f>
        <v/>
      </c>
      <c r="AT767" s="369"/>
      <c r="AU767" s="369" t="str">
        <f>IF(ISBLANK(Inputs!$A118),"",
Mat.PT_A.ps*(Mat.PT_f.pu*(1-Mat.PT_k*AM767/Geometry_d.p.Negative)))</f>
        <v/>
      </c>
      <c r="AV767" s="369"/>
      <c r="AW767" s="369" t="str">
        <f>IF(ISBLANK(Inputs!$A118),"",
(Mat.PT_f.pe/Mat.PT_E.ps)+(Mat.Rebar_epsilon.cl*((Geometry_d.p.Negative-AM767)/AM767)))</f>
        <v/>
      </c>
      <c r="AX767" s="369"/>
      <c r="AY767" s="369" t="str">
        <f>IF(ISBLANK(Inputs!$A118),"",
0.5*MIN(AM767*Mat.Conc_Beta.1,Geometry_h.f.Negative))</f>
        <v/>
      </c>
      <c r="AZ767" s="369"/>
      <c r="BA767" s="369" t="str">
        <f>IF(ISBLANK(Inputs!$A118),"",
IF(AQ767=0,0,Geometry_h.f.Negative+0.5*MAX(0,AM767*Mat.Conc_Beta.1-Geometry_h.f.Negative)))</f>
        <v/>
      </c>
      <c r="BB767" s="369"/>
      <c r="BC767" s="369" t="str">
        <f>IF(ISBLANK(Inputs!$A118),"",
Inputs!L118)</f>
        <v/>
      </c>
      <c r="BD767" s="369"/>
      <c r="BE767" s="369" t="str">
        <f>IF(ISBLANK(Inputs!$A118),"",Inputs!$B$10-Inputs!F118)</f>
        <v/>
      </c>
      <c r="BF767" s="369"/>
      <c r="BG767" s="369" t="str">
        <f>IF(ISBLANK(Inputs!$A118),"",
MAX(0.75,MIN(1,0.75+0.25*(AW767-Mat.Rebar_epsilon.cl)/(Mat.Rebar_epsilon.tl-Mat.Rebar_epsilon.cl))))</f>
        <v/>
      </c>
      <c r="BH767" s="369"/>
      <c r="BI767" s="370" t="str">
        <f>IF(ISBLANK(Inputs!$A118),"",
-((BE767*AU767+BC767*AS767-BA767*AQ767-AY767*AO767)/12)*BG767)</f>
        <v/>
      </c>
      <c r="BJ767" s="370"/>
      <c r="BK767" s="370"/>
      <c r="BL767" s="370" t="str">
        <f>IF(ISBLANK(Inputs!C118),"",Inputs!C118)</f>
        <v/>
      </c>
      <c r="BM767" s="370"/>
      <c r="BN767" s="370"/>
      <c r="BO767" s="374" t="str">
        <f>IF(ISBLANK(Inputs!$A118),"",
IFERROR(IF(BL767&gt;=0,ABS(BL767)/ABS(AH767),ABS(BL767)/ABS(BI767)),""))</f>
        <v/>
      </c>
      <c r="BP767" s="374"/>
      <c r="BQ767" s="374"/>
      <c r="BR767" s="59"/>
      <c r="BS767" s="70"/>
      <c r="BT767" s="70"/>
      <c r="BU767" s="70"/>
      <c r="BV767" s="70"/>
      <c r="BW767" s="8"/>
      <c r="BX767" s="8"/>
      <c r="BY767" s="8"/>
      <c r="BZ767" s="8"/>
      <c r="CA767" s="8"/>
      <c r="CB767" s="10"/>
    </row>
    <row r="768" spans="3:80" ht="15" customHeight="1" x14ac:dyDescent="0.25">
      <c r="C768" s="69"/>
      <c r="F768" s="369" t="str">
        <f>IF(ISBLANK(Inputs!A119),"",Inputs!A119)</f>
        <v/>
      </c>
      <c r="G768" s="369"/>
      <c r="H768" s="369" t="str">
        <f>IF(ISBLANK(Inputs!B119),"",Inputs!B119)</f>
        <v/>
      </c>
      <c r="I768" s="369"/>
      <c r="J768" s="369" t="str">
        <f>IF(ISBLANK(Inputs!$A119),"",
MAX(IF(ISNUMBER(AE511),1),
IF(ISNUMBER(AI511),2),
IF(ISNUMBER(AM511),3),
IF(ISNUMBER(AQ511),4),
IF(ISNUMBER(AU511),5),
IF(ISNUMBER(AY511),6),
IF(ISNUMBER(BC511),7),
IF(ISNUMBER(BG511),8),
IF(ISNUMBER(BK511),9),
IF(ISNUMBER(BO511),10)))</f>
        <v/>
      </c>
      <c r="K768" s="369"/>
      <c r="L768" s="369" t="str">
        <f>IF(ISBLANK(Inputs!$A119),"",
_xlfn.LET(
_xlpm.n,J768,
CHOOSE(_xlpm.n,
AE511,AI511,AM511,AQ511,AU511,
AY511,BC511,BG511,BK511,BO511
)
))</f>
        <v/>
      </c>
      <c r="M768" s="369"/>
      <c r="N768" s="369" t="str">
        <f>IF(ISBLANK(Inputs!$A119),"",
Mat.Conc_Alpha.1*Mat.Conc_f.c*Inputs!J119*MIN(L768*Mat.Conc_Beta.1,Inputs!I119))</f>
        <v/>
      </c>
      <c r="O768" s="369"/>
      <c r="P768" s="372" t="str">
        <f>IF(ISBLANK(Inputs!$A119),"",
Mat.Conc_Alpha.1*Mat.Conc_f.c*Inputs!E119*MAX(0,L768*Mat.Conc_Beta.1-Inputs!I119))</f>
        <v/>
      </c>
      <c r="Q768" s="369"/>
      <c r="R768" s="369" t="str">
        <f>IF(ISBLANK(Inputs!$A119),"",Inputs!G119*MIN(Mat.Rebar_f.y,(Mat.Rebar_epsilon.cl*(Inputs!H119-L768)/L768)*Mat.PT_E.s))</f>
        <v/>
      </c>
      <c r="S768" s="369"/>
      <c r="T768" s="369" t="str">
        <f>IF(ISBLANK(Inputs!$A119),"",Inputs!D119*(Mat.PT_f.pu*(1-Mat.PT_k*L768/Inputs!F119)))</f>
        <v/>
      </c>
      <c r="U768" s="369"/>
      <c r="V768" s="369" t="str">
        <f>IF(ISBLANK(Inputs!$A119),"",
(Mat.PT_f.pe/Mat.PT_E.ps)+(Mat.Rebar_epsilon.cl*((Geometry_d.p.Positive-L768)/L768)))</f>
        <v/>
      </c>
      <c r="W768" s="369"/>
      <c r="X768" s="369" t="str">
        <f>IF(ISBLANK(Inputs!$A119),"",
0.5*MIN(L768*Mat.Conc_Beta.1,Geometry_h.f.Positive))</f>
        <v/>
      </c>
      <c r="Y768" s="369"/>
      <c r="Z768" s="369" t="str">
        <f>IF(ISBLANK(Inputs!$A119),"",
IF(P768=0,0,Geometry_h.f.Positive+0.5*MAX(0,L768*Mat.Conc_Beta.1-Geometry_h.f.Positive)))</f>
        <v/>
      </c>
      <c r="AA768" s="369"/>
      <c r="AB768" s="369" t="str">
        <f>IF(ISBLANK(Inputs!$A119),"",
Inputs!H119)</f>
        <v/>
      </c>
      <c r="AC768" s="369"/>
      <c r="AD768" s="369" t="str">
        <f>IF(ISBLANK(Inputs!$A119),"",
Inputs!F119)</f>
        <v/>
      </c>
      <c r="AE768" s="369"/>
      <c r="AF768" s="369" t="str">
        <f>IF(ISBLANK(Inputs!$A119),"",
MAX(0.75,MIN(1,0.75+0.25*(V768-Mat.Rebar_epsilon.cl)/(Mat.Rebar_epsilon.tl-Mat.Rebar_epsilon.cl))))</f>
        <v/>
      </c>
      <c r="AG768" s="369"/>
      <c r="AH768" s="370" t="str">
        <f>IF(ISBLANK(Inputs!$A119),"",
((AD768*T768+AB768*R768-Z768*P768-X768*N768)/12)*AF768)</f>
        <v/>
      </c>
      <c r="AI768" s="370"/>
      <c r="AJ768" s="370"/>
      <c r="AK768" s="369" t="str">
        <f>IF(ISBLANK(Inputs!$A119),"",
MAX(IF(ISNUMBER(AE636),1),
IF(ISNUMBER(AI636),2),
IF(ISNUMBER(AM636),3),
IF(ISNUMBER(AQ636),4),
IF(ISNUMBER(AU636),5),
IF(ISNUMBER(AY636),6),
IF(ISNUMBER(BC636),7),
IF(ISNUMBER(BG636),8),
IF(ISNUMBER(BK636),9),
IF(ISNUMBER(BO636),10)))</f>
        <v/>
      </c>
      <c r="AL768" s="369"/>
      <c r="AM768" s="369" t="str">
        <f>IF(ISBLANK(Inputs!$A119),"",
_xlfn.LET(
_xlpm.n,AK768,
CHOOSE(_xlpm.n,
AE636,AI636,AM636,AQ636,AU636,
AY636,BC636,BG636,BK636,BO636
)
))</f>
        <v/>
      </c>
      <c r="AN768" s="369"/>
      <c r="AO768" s="369" t="str">
        <f>IF(ISBLANK(Inputs!$A119),"",
Mat.Conc_Alpha.1*Mat.Conc_f.c*Geometry_b.Negative*MIN(AM768*Mat.Conc_Beta.1,Geometry_h.f.Negative))</f>
        <v/>
      </c>
      <c r="AP768" s="369"/>
      <c r="AQ768" s="369" t="str">
        <f>IF(ISBLANK(Inputs!$A119),"",
Mat.Conc_Alpha.1*Mat.Conc_f.c*Geometry_b.w*MAX(0,AM768*Mat.Conc_Beta.1-Geometry_h.f.Negative))</f>
        <v/>
      </c>
      <c r="AR768" s="369"/>
      <c r="AS768" s="369" t="str">
        <f>IF(ISBLANK(Inputs!$A119),"",
Mat.Rebar_A.s.Positive*MIN(Mat.Rebar_f.y,(Mat.Rebar_epsilon.cl*(Geometry_d.s.Negative-AM768)/AM768)*Mat.PT_E.s))</f>
        <v/>
      </c>
      <c r="AT768" s="369"/>
      <c r="AU768" s="369" t="str">
        <f>IF(ISBLANK(Inputs!$A119),"",
Mat.PT_A.ps*(Mat.PT_f.pu*(1-Mat.PT_k*AM768/Geometry_d.p.Negative)))</f>
        <v/>
      </c>
      <c r="AV768" s="369"/>
      <c r="AW768" s="369" t="str">
        <f>IF(ISBLANK(Inputs!$A119),"",
(Mat.PT_f.pe/Mat.PT_E.ps)+(Mat.Rebar_epsilon.cl*((Geometry_d.p.Negative-AM768)/AM768)))</f>
        <v/>
      </c>
      <c r="AX768" s="369"/>
      <c r="AY768" s="369" t="str">
        <f>IF(ISBLANK(Inputs!$A119),"",
0.5*MIN(AM768*Mat.Conc_Beta.1,Geometry_h.f.Negative))</f>
        <v/>
      </c>
      <c r="AZ768" s="369"/>
      <c r="BA768" s="369" t="str">
        <f>IF(ISBLANK(Inputs!$A119),"",
IF(AQ768=0,0,Geometry_h.f.Negative+0.5*MAX(0,AM768*Mat.Conc_Beta.1-Geometry_h.f.Negative)))</f>
        <v/>
      </c>
      <c r="BB768" s="369"/>
      <c r="BC768" s="369" t="str">
        <f>IF(ISBLANK(Inputs!$A119),"",
Inputs!L119)</f>
        <v/>
      </c>
      <c r="BD768" s="369"/>
      <c r="BE768" s="369" t="str">
        <f>IF(ISBLANK(Inputs!$A119),"",Inputs!$B$10-Inputs!F119)</f>
        <v/>
      </c>
      <c r="BF768" s="369"/>
      <c r="BG768" s="369" t="str">
        <f>IF(ISBLANK(Inputs!$A119),"",
MAX(0.75,MIN(1,0.75+0.25*(AW768-Mat.Rebar_epsilon.cl)/(Mat.Rebar_epsilon.tl-Mat.Rebar_epsilon.cl))))</f>
        <v/>
      </c>
      <c r="BH768" s="369"/>
      <c r="BI768" s="370" t="str">
        <f>IF(ISBLANK(Inputs!$A119),"",
-((BE768*AU768+BC768*AS768-BA768*AQ768-AY768*AO768)/12)*BG768)</f>
        <v/>
      </c>
      <c r="BJ768" s="370"/>
      <c r="BK768" s="370"/>
      <c r="BL768" s="370" t="str">
        <f>IF(ISBLANK(Inputs!C119),"",Inputs!C119)</f>
        <v/>
      </c>
      <c r="BM768" s="370"/>
      <c r="BN768" s="370"/>
      <c r="BO768" s="374" t="str">
        <f>IF(ISBLANK(Inputs!$A119),"",
IFERROR(IF(BL768&gt;=0,ABS(BL768)/ABS(AH768),ABS(BL768)/ABS(BI768)),""))</f>
        <v/>
      </c>
      <c r="BP768" s="374"/>
      <c r="BQ768" s="374"/>
      <c r="BR768" s="59"/>
      <c r="BS768" s="70"/>
      <c r="BT768" s="70"/>
      <c r="BU768" s="70"/>
      <c r="BV768" s="70"/>
      <c r="BW768" s="8"/>
      <c r="BX768" s="8"/>
      <c r="BY768" s="8"/>
      <c r="BZ768" s="8"/>
      <c r="CA768" s="8"/>
      <c r="CB768" s="10"/>
    </row>
    <row r="769" spans="3:80" ht="15" customHeight="1" x14ac:dyDescent="0.25">
      <c r="C769" s="69"/>
      <c r="F769" s="369" t="str">
        <f>IF(ISBLANK(Inputs!A120),"",Inputs!A120)</f>
        <v/>
      </c>
      <c r="G769" s="369"/>
      <c r="H769" s="369" t="str">
        <f>IF(ISBLANK(Inputs!B120),"",Inputs!B120)</f>
        <v/>
      </c>
      <c r="I769" s="369"/>
      <c r="J769" s="369" t="str">
        <f>IF(ISBLANK(Inputs!$A120),"",
MAX(IF(ISNUMBER(AE512),1),
IF(ISNUMBER(AI512),2),
IF(ISNUMBER(AM512),3),
IF(ISNUMBER(AQ512),4),
IF(ISNUMBER(AU512),5),
IF(ISNUMBER(AY512),6),
IF(ISNUMBER(BC512),7),
IF(ISNUMBER(BG512),8),
IF(ISNUMBER(BK512),9),
IF(ISNUMBER(BO512),10)))</f>
        <v/>
      </c>
      <c r="K769" s="369"/>
      <c r="L769" s="369" t="str">
        <f>IF(ISBLANK(Inputs!$A120),"",
_xlfn.LET(
_xlpm.n,J769,
CHOOSE(_xlpm.n,
AE512,AI512,AM512,AQ512,AU512,
AY512,BC512,BG512,BK512,BO512
)
))</f>
        <v/>
      </c>
      <c r="M769" s="369"/>
      <c r="N769" s="369" t="str">
        <f>IF(ISBLANK(Inputs!$A120),"",
Mat.Conc_Alpha.1*Mat.Conc_f.c*Inputs!J120*MIN(L769*Mat.Conc_Beta.1,Inputs!I120))</f>
        <v/>
      </c>
      <c r="O769" s="369"/>
      <c r="P769" s="372" t="str">
        <f>IF(ISBLANK(Inputs!$A120),"",
Mat.Conc_Alpha.1*Mat.Conc_f.c*Inputs!E120*MAX(0,L769*Mat.Conc_Beta.1-Inputs!I120))</f>
        <v/>
      </c>
      <c r="Q769" s="369"/>
      <c r="R769" s="369" t="str">
        <f>IF(ISBLANK(Inputs!$A120),"",Inputs!G120*MIN(Mat.Rebar_f.y,(Mat.Rebar_epsilon.cl*(Inputs!H120-L769)/L769)*Mat.PT_E.s))</f>
        <v/>
      </c>
      <c r="S769" s="369"/>
      <c r="T769" s="369" t="str">
        <f>IF(ISBLANK(Inputs!$A120),"",Inputs!D120*(Mat.PT_f.pu*(1-Mat.PT_k*L769/Inputs!F120)))</f>
        <v/>
      </c>
      <c r="U769" s="369"/>
      <c r="V769" s="369" t="str">
        <f>IF(ISBLANK(Inputs!$A120),"",
(Mat.PT_f.pe/Mat.PT_E.ps)+(Mat.Rebar_epsilon.cl*((Geometry_d.p.Positive-L769)/L769)))</f>
        <v/>
      </c>
      <c r="W769" s="369"/>
      <c r="X769" s="369" t="str">
        <f>IF(ISBLANK(Inputs!$A120),"",
0.5*MIN(L769*Mat.Conc_Beta.1,Geometry_h.f.Positive))</f>
        <v/>
      </c>
      <c r="Y769" s="369"/>
      <c r="Z769" s="369" t="str">
        <f>IF(ISBLANK(Inputs!$A120),"",
IF(P769=0,0,Geometry_h.f.Positive+0.5*MAX(0,L769*Mat.Conc_Beta.1-Geometry_h.f.Positive)))</f>
        <v/>
      </c>
      <c r="AA769" s="369"/>
      <c r="AB769" s="369" t="str">
        <f>IF(ISBLANK(Inputs!$A120),"",
Inputs!H120)</f>
        <v/>
      </c>
      <c r="AC769" s="369"/>
      <c r="AD769" s="369" t="str">
        <f>IF(ISBLANK(Inputs!$A120),"",
Inputs!F120)</f>
        <v/>
      </c>
      <c r="AE769" s="369"/>
      <c r="AF769" s="369" t="str">
        <f>IF(ISBLANK(Inputs!$A120),"",
MAX(0.75,MIN(1,0.75+0.25*(V769-Mat.Rebar_epsilon.cl)/(Mat.Rebar_epsilon.tl-Mat.Rebar_epsilon.cl))))</f>
        <v/>
      </c>
      <c r="AG769" s="369"/>
      <c r="AH769" s="370" t="str">
        <f>IF(ISBLANK(Inputs!$A120),"",
((AD769*T769+AB769*R769-Z769*P769-X769*N769)/12)*AF769)</f>
        <v/>
      </c>
      <c r="AI769" s="370"/>
      <c r="AJ769" s="370"/>
      <c r="AK769" s="369" t="str">
        <f>IF(ISBLANK(Inputs!$A120),"",
MAX(IF(ISNUMBER(AE637),1),
IF(ISNUMBER(AI637),2),
IF(ISNUMBER(AM637),3),
IF(ISNUMBER(AQ637),4),
IF(ISNUMBER(AU637),5),
IF(ISNUMBER(AY637),6),
IF(ISNUMBER(BC637),7),
IF(ISNUMBER(BG637),8),
IF(ISNUMBER(BK637),9),
IF(ISNUMBER(BO637),10)))</f>
        <v/>
      </c>
      <c r="AL769" s="369"/>
      <c r="AM769" s="369" t="str">
        <f>IF(ISBLANK(Inputs!$A120),"",
_xlfn.LET(
_xlpm.n,AK769,
CHOOSE(_xlpm.n,
AE637,AI637,AM637,AQ637,AU637,
AY637,BC637,BG637,BK637,BO637
)
))</f>
        <v/>
      </c>
      <c r="AN769" s="369"/>
      <c r="AO769" s="369" t="str">
        <f>IF(ISBLANK(Inputs!$A120),"",
Mat.Conc_Alpha.1*Mat.Conc_f.c*Geometry_b.Negative*MIN(AM769*Mat.Conc_Beta.1,Geometry_h.f.Negative))</f>
        <v/>
      </c>
      <c r="AP769" s="369"/>
      <c r="AQ769" s="369" t="str">
        <f>IF(ISBLANK(Inputs!$A120),"",
Mat.Conc_Alpha.1*Mat.Conc_f.c*Geometry_b.w*MAX(0,AM769*Mat.Conc_Beta.1-Geometry_h.f.Negative))</f>
        <v/>
      </c>
      <c r="AR769" s="369"/>
      <c r="AS769" s="369" t="str">
        <f>IF(ISBLANK(Inputs!$A120),"",
Mat.Rebar_A.s.Positive*MIN(Mat.Rebar_f.y,(Mat.Rebar_epsilon.cl*(Geometry_d.s.Negative-AM769)/AM769)*Mat.PT_E.s))</f>
        <v/>
      </c>
      <c r="AT769" s="369"/>
      <c r="AU769" s="369" t="str">
        <f>IF(ISBLANK(Inputs!$A120),"",
Mat.PT_A.ps*(Mat.PT_f.pu*(1-Mat.PT_k*AM769/Geometry_d.p.Negative)))</f>
        <v/>
      </c>
      <c r="AV769" s="369"/>
      <c r="AW769" s="369" t="str">
        <f>IF(ISBLANK(Inputs!$A120),"",
(Mat.PT_f.pe/Mat.PT_E.ps)+(Mat.Rebar_epsilon.cl*((Geometry_d.p.Negative-AM769)/AM769)))</f>
        <v/>
      </c>
      <c r="AX769" s="369"/>
      <c r="AY769" s="369" t="str">
        <f>IF(ISBLANK(Inputs!$A120),"",
0.5*MIN(AM769*Mat.Conc_Beta.1,Geometry_h.f.Negative))</f>
        <v/>
      </c>
      <c r="AZ769" s="369"/>
      <c r="BA769" s="369" t="str">
        <f>IF(ISBLANK(Inputs!$A120),"",
IF(AQ769=0,0,Geometry_h.f.Negative+0.5*MAX(0,AM769*Mat.Conc_Beta.1-Geometry_h.f.Negative)))</f>
        <v/>
      </c>
      <c r="BB769" s="369"/>
      <c r="BC769" s="369" t="str">
        <f>IF(ISBLANK(Inputs!$A120),"",
Inputs!L120)</f>
        <v/>
      </c>
      <c r="BD769" s="369"/>
      <c r="BE769" s="369" t="str">
        <f>IF(ISBLANK(Inputs!$A120),"",Inputs!$B$10-Inputs!F120)</f>
        <v/>
      </c>
      <c r="BF769" s="369"/>
      <c r="BG769" s="369" t="str">
        <f>IF(ISBLANK(Inputs!$A120),"",
MAX(0.75,MIN(1,0.75+0.25*(AW769-Mat.Rebar_epsilon.cl)/(Mat.Rebar_epsilon.tl-Mat.Rebar_epsilon.cl))))</f>
        <v/>
      </c>
      <c r="BH769" s="369"/>
      <c r="BI769" s="370" t="str">
        <f>IF(ISBLANK(Inputs!$A120),"",
-((BE769*AU769+BC769*AS769-BA769*AQ769-AY769*AO769)/12)*BG769)</f>
        <v/>
      </c>
      <c r="BJ769" s="370"/>
      <c r="BK769" s="370"/>
      <c r="BL769" s="370" t="str">
        <f>IF(ISBLANK(Inputs!C120),"",Inputs!C120)</f>
        <v/>
      </c>
      <c r="BM769" s="370"/>
      <c r="BN769" s="370"/>
      <c r="BO769" s="374" t="str">
        <f>IF(ISBLANK(Inputs!$A120),"",
IFERROR(IF(BL769&gt;=0,ABS(BL769)/ABS(AH769),ABS(BL769)/ABS(BI769)),""))</f>
        <v/>
      </c>
      <c r="BP769" s="374"/>
      <c r="BQ769" s="374"/>
      <c r="BR769" s="59"/>
      <c r="BS769" s="70"/>
      <c r="BT769" s="70"/>
      <c r="BU769" s="70"/>
      <c r="BV769" s="70"/>
      <c r="BW769" s="8"/>
      <c r="BX769" s="8"/>
      <c r="BY769" s="8"/>
      <c r="BZ769" s="8"/>
      <c r="CA769" s="8"/>
      <c r="CB769" s="10"/>
    </row>
    <row r="770" spans="3:80" ht="15" customHeight="1" x14ac:dyDescent="0.25">
      <c r="C770" s="69"/>
      <c r="F770" s="369" t="str">
        <f>IF(ISBLANK(Inputs!A121),"",Inputs!A121)</f>
        <v/>
      </c>
      <c r="G770" s="369"/>
      <c r="H770" s="369" t="str">
        <f>IF(ISBLANK(Inputs!B121),"",Inputs!B121)</f>
        <v/>
      </c>
      <c r="I770" s="369"/>
      <c r="J770" s="369" t="str">
        <f>IF(ISBLANK(Inputs!$A121),"",
MAX(IF(ISNUMBER(AE513),1),
IF(ISNUMBER(AI513),2),
IF(ISNUMBER(AM513),3),
IF(ISNUMBER(AQ513),4),
IF(ISNUMBER(AU513),5),
IF(ISNUMBER(AY513),6),
IF(ISNUMBER(BC513),7),
IF(ISNUMBER(BG513),8),
IF(ISNUMBER(BK513),9),
IF(ISNUMBER(BO513),10)))</f>
        <v/>
      </c>
      <c r="K770" s="369"/>
      <c r="L770" s="369" t="str">
        <f>IF(ISBLANK(Inputs!$A121),"",
_xlfn.LET(
_xlpm.n,J770,
CHOOSE(_xlpm.n,
AE513,AI513,AM513,AQ513,AU513,
AY513,BC513,BG513,BK513,BO513
)
))</f>
        <v/>
      </c>
      <c r="M770" s="369"/>
      <c r="N770" s="369" t="str">
        <f>IF(ISBLANK(Inputs!$A121),"",
Mat.Conc_Alpha.1*Mat.Conc_f.c*Inputs!J121*MIN(L770*Mat.Conc_Beta.1,Inputs!I121))</f>
        <v/>
      </c>
      <c r="O770" s="369"/>
      <c r="P770" s="372" t="str">
        <f>IF(ISBLANK(Inputs!$A121),"",
Mat.Conc_Alpha.1*Mat.Conc_f.c*Inputs!E121*MAX(0,L770*Mat.Conc_Beta.1-Inputs!I121))</f>
        <v/>
      </c>
      <c r="Q770" s="369"/>
      <c r="R770" s="369" t="str">
        <f>IF(ISBLANK(Inputs!$A121),"",Inputs!G121*MIN(Mat.Rebar_f.y,(Mat.Rebar_epsilon.cl*(Inputs!H121-L770)/L770)*Mat.PT_E.s))</f>
        <v/>
      </c>
      <c r="S770" s="369"/>
      <c r="T770" s="369" t="str">
        <f>IF(ISBLANK(Inputs!$A121),"",Inputs!D121*(Mat.PT_f.pu*(1-Mat.PT_k*L770/Inputs!F121)))</f>
        <v/>
      </c>
      <c r="U770" s="369"/>
      <c r="V770" s="369" t="str">
        <f>IF(ISBLANK(Inputs!$A121),"",
(Mat.PT_f.pe/Mat.PT_E.ps)+(Mat.Rebar_epsilon.cl*((Geometry_d.p.Positive-L770)/L770)))</f>
        <v/>
      </c>
      <c r="W770" s="369"/>
      <c r="X770" s="369" t="str">
        <f>IF(ISBLANK(Inputs!$A121),"",
0.5*MIN(L770*Mat.Conc_Beta.1,Geometry_h.f.Positive))</f>
        <v/>
      </c>
      <c r="Y770" s="369"/>
      <c r="Z770" s="369" t="str">
        <f>IF(ISBLANK(Inputs!$A121),"",
IF(P770=0,0,Geometry_h.f.Positive+0.5*MAX(0,L770*Mat.Conc_Beta.1-Geometry_h.f.Positive)))</f>
        <v/>
      </c>
      <c r="AA770" s="369"/>
      <c r="AB770" s="369" t="str">
        <f>IF(ISBLANK(Inputs!$A121),"",
Inputs!H121)</f>
        <v/>
      </c>
      <c r="AC770" s="369"/>
      <c r="AD770" s="369" t="str">
        <f>IF(ISBLANK(Inputs!$A121),"",
Inputs!F121)</f>
        <v/>
      </c>
      <c r="AE770" s="369"/>
      <c r="AF770" s="369" t="str">
        <f>IF(ISBLANK(Inputs!$A121),"",
MAX(0.75,MIN(1,0.75+0.25*(V770-Mat.Rebar_epsilon.cl)/(Mat.Rebar_epsilon.tl-Mat.Rebar_epsilon.cl))))</f>
        <v/>
      </c>
      <c r="AG770" s="369"/>
      <c r="AH770" s="370" t="str">
        <f>IF(ISBLANK(Inputs!$A121),"",
((AD770*T770+AB770*R770-Z770*P770-X770*N770)/12)*AF770)</f>
        <v/>
      </c>
      <c r="AI770" s="370"/>
      <c r="AJ770" s="370"/>
      <c r="AK770" s="369" t="str">
        <f>IF(ISBLANK(Inputs!$A121),"",
MAX(IF(ISNUMBER(AE638),1),
IF(ISNUMBER(AI638),2),
IF(ISNUMBER(AM638),3),
IF(ISNUMBER(AQ638),4),
IF(ISNUMBER(AU638),5),
IF(ISNUMBER(AY638),6),
IF(ISNUMBER(BC638),7),
IF(ISNUMBER(BG638),8),
IF(ISNUMBER(BK638),9),
IF(ISNUMBER(BO638),10)))</f>
        <v/>
      </c>
      <c r="AL770" s="369"/>
      <c r="AM770" s="369" t="str">
        <f>IF(ISBLANK(Inputs!$A121),"",
_xlfn.LET(
_xlpm.n,AK770,
CHOOSE(_xlpm.n,
AE638,AI638,AM638,AQ638,AU638,
AY638,BC638,BG638,BK638,BO638
)
))</f>
        <v/>
      </c>
      <c r="AN770" s="369"/>
      <c r="AO770" s="369" t="str">
        <f>IF(ISBLANK(Inputs!$A121),"",
Mat.Conc_Alpha.1*Mat.Conc_f.c*Geometry_b.Negative*MIN(AM770*Mat.Conc_Beta.1,Geometry_h.f.Negative))</f>
        <v/>
      </c>
      <c r="AP770" s="369"/>
      <c r="AQ770" s="369" t="str">
        <f>IF(ISBLANK(Inputs!$A121),"",
Mat.Conc_Alpha.1*Mat.Conc_f.c*Geometry_b.w*MAX(0,AM770*Mat.Conc_Beta.1-Geometry_h.f.Negative))</f>
        <v/>
      </c>
      <c r="AR770" s="369"/>
      <c r="AS770" s="369" t="str">
        <f>IF(ISBLANK(Inputs!$A121),"",
Mat.Rebar_A.s.Positive*MIN(Mat.Rebar_f.y,(Mat.Rebar_epsilon.cl*(Geometry_d.s.Negative-AM770)/AM770)*Mat.PT_E.s))</f>
        <v/>
      </c>
      <c r="AT770" s="369"/>
      <c r="AU770" s="369" t="str">
        <f>IF(ISBLANK(Inputs!$A121),"",
Mat.PT_A.ps*(Mat.PT_f.pu*(1-Mat.PT_k*AM770/Geometry_d.p.Negative)))</f>
        <v/>
      </c>
      <c r="AV770" s="369"/>
      <c r="AW770" s="369" t="str">
        <f>IF(ISBLANK(Inputs!$A121),"",
(Mat.PT_f.pe/Mat.PT_E.ps)+(Mat.Rebar_epsilon.cl*((Geometry_d.p.Negative-AM770)/AM770)))</f>
        <v/>
      </c>
      <c r="AX770" s="369"/>
      <c r="AY770" s="369" t="str">
        <f>IF(ISBLANK(Inputs!$A121),"",
0.5*MIN(AM770*Mat.Conc_Beta.1,Geometry_h.f.Negative))</f>
        <v/>
      </c>
      <c r="AZ770" s="369"/>
      <c r="BA770" s="369" t="str">
        <f>IF(ISBLANK(Inputs!$A121),"",
IF(AQ770=0,0,Geometry_h.f.Negative+0.5*MAX(0,AM770*Mat.Conc_Beta.1-Geometry_h.f.Negative)))</f>
        <v/>
      </c>
      <c r="BB770" s="369"/>
      <c r="BC770" s="369" t="str">
        <f>IF(ISBLANK(Inputs!$A121),"",
Inputs!L121)</f>
        <v/>
      </c>
      <c r="BD770" s="369"/>
      <c r="BE770" s="369" t="str">
        <f>IF(ISBLANK(Inputs!$A121),"",Inputs!$B$10-Inputs!F121)</f>
        <v/>
      </c>
      <c r="BF770" s="369"/>
      <c r="BG770" s="369" t="str">
        <f>IF(ISBLANK(Inputs!$A121),"",
MAX(0.75,MIN(1,0.75+0.25*(AW770-Mat.Rebar_epsilon.cl)/(Mat.Rebar_epsilon.tl-Mat.Rebar_epsilon.cl))))</f>
        <v/>
      </c>
      <c r="BH770" s="369"/>
      <c r="BI770" s="370" t="str">
        <f>IF(ISBLANK(Inputs!$A121),"",
-((BE770*AU770+BC770*AS770-BA770*AQ770-AY770*AO770)/12)*BG770)</f>
        <v/>
      </c>
      <c r="BJ770" s="370"/>
      <c r="BK770" s="370"/>
      <c r="BL770" s="370" t="str">
        <f>IF(ISBLANK(Inputs!C121),"",Inputs!C121)</f>
        <v/>
      </c>
      <c r="BM770" s="370"/>
      <c r="BN770" s="370"/>
      <c r="BO770" s="374" t="str">
        <f>IF(ISBLANK(Inputs!$A121),"",
IFERROR(IF(BL770&gt;=0,ABS(BL770)/ABS(AH770),ABS(BL770)/ABS(BI770)),""))</f>
        <v/>
      </c>
      <c r="BP770" s="374"/>
      <c r="BQ770" s="374"/>
      <c r="BR770" s="59"/>
      <c r="BS770" s="70"/>
      <c r="BT770" s="70"/>
      <c r="BU770" s="70"/>
      <c r="BV770" s="70"/>
      <c r="BW770" s="8"/>
      <c r="BX770" s="8"/>
      <c r="BY770" s="8"/>
      <c r="BZ770" s="8"/>
      <c r="CA770" s="8"/>
      <c r="CB770" s="10"/>
    </row>
    <row r="771" spans="3:80" ht="15" customHeight="1" x14ac:dyDescent="0.25">
      <c r="C771" s="69"/>
      <c r="F771" s="369" t="str">
        <f>IF(ISBLANK(Inputs!A122),"",Inputs!A122)</f>
        <v/>
      </c>
      <c r="G771" s="369"/>
      <c r="H771" s="369" t="str">
        <f>IF(ISBLANK(Inputs!B122),"",Inputs!B122)</f>
        <v/>
      </c>
      <c r="I771" s="369"/>
      <c r="J771" s="369" t="str">
        <f>IF(ISBLANK(Inputs!$A122),"",
MAX(IF(ISNUMBER(AE514),1),
IF(ISNUMBER(AI514),2),
IF(ISNUMBER(AM514),3),
IF(ISNUMBER(AQ514),4),
IF(ISNUMBER(AU514),5),
IF(ISNUMBER(AY514),6),
IF(ISNUMBER(BC514),7),
IF(ISNUMBER(BG514),8),
IF(ISNUMBER(BK514),9),
IF(ISNUMBER(BO514),10)))</f>
        <v/>
      </c>
      <c r="K771" s="369"/>
      <c r="L771" s="369" t="str">
        <f>IF(ISBLANK(Inputs!$A122),"",
_xlfn.LET(
_xlpm.n,J771,
CHOOSE(_xlpm.n,
AE514,AI514,AM514,AQ514,AU514,
AY514,BC514,BG514,BK514,BO514
)
))</f>
        <v/>
      </c>
      <c r="M771" s="369"/>
      <c r="N771" s="369" t="str">
        <f>IF(ISBLANK(Inputs!$A122),"",
Mat.Conc_Alpha.1*Mat.Conc_f.c*Inputs!J122*MIN(L771*Mat.Conc_Beta.1,Inputs!I122))</f>
        <v/>
      </c>
      <c r="O771" s="369"/>
      <c r="P771" s="372" t="str">
        <f>IF(ISBLANK(Inputs!$A122),"",
Mat.Conc_Alpha.1*Mat.Conc_f.c*Inputs!E122*MAX(0,L771*Mat.Conc_Beta.1-Inputs!I122))</f>
        <v/>
      </c>
      <c r="Q771" s="369"/>
      <c r="R771" s="369" t="str">
        <f>IF(ISBLANK(Inputs!$A122),"",Inputs!G122*MIN(Mat.Rebar_f.y,(Mat.Rebar_epsilon.cl*(Inputs!H122-L771)/L771)*Mat.PT_E.s))</f>
        <v/>
      </c>
      <c r="S771" s="369"/>
      <c r="T771" s="369" t="str">
        <f>IF(ISBLANK(Inputs!$A122),"",Inputs!D122*(Mat.PT_f.pu*(1-Mat.PT_k*L771/Inputs!F122)))</f>
        <v/>
      </c>
      <c r="U771" s="369"/>
      <c r="V771" s="369" t="str">
        <f>IF(ISBLANK(Inputs!$A122),"",
(Mat.PT_f.pe/Mat.PT_E.ps)+(Mat.Rebar_epsilon.cl*((Geometry_d.p.Positive-L771)/L771)))</f>
        <v/>
      </c>
      <c r="W771" s="369"/>
      <c r="X771" s="369" t="str">
        <f>IF(ISBLANK(Inputs!$A122),"",
0.5*MIN(L771*Mat.Conc_Beta.1,Geometry_h.f.Positive))</f>
        <v/>
      </c>
      <c r="Y771" s="369"/>
      <c r="Z771" s="369" t="str">
        <f>IF(ISBLANK(Inputs!$A122),"",
IF(P771=0,0,Geometry_h.f.Positive+0.5*MAX(0,L771*Mat.Conc_Beta.1-Geometry_h.f.Positive)))</f>
        <v/>
      </c>
      <c r="AA771" s="369"/>
      <c r="AB771" s="369" t="str">
        <f>IF(ISBLANK(Inputs!$A122),"",
Inputs!H122)</f>
        <v/>
      </c>
      <c r="AC771" s="369"/>
      <c r="AD771" s="369" t="str">
        <f>IF(ISBLANK(Inputs!$A122),"",
Inputs!F122)</f>
        <v/>
      </c>
      <c r="AE771" s="369"/>
      <c r="AF771" s="369" t="str">
        <f>IF(ISBLANK(Inputs!$A122),"",
MAX(0.75,MIN(1,0.75+0.25*(V771-Mat.Rebar_epsilon.cl)/(Mat.Rebar_epsilon.tl-Mat.Rebar_epsilon.cl))))</f>
        <v/>
      </c>
      <c r="AG771" s="369"/>
      <c r="AH771" s="370" t="str">
        <f>IF(ISBLANK(Inputs!$A122),"",
((AD771*T771+AB771*R771-Z771*P771-X771*N771)/12)*AF771)</f>
        <v/>
      </c>
      <c r="AI771" s="370"/>
      <c r="AJ771" s="370"/>
      <c r="AK771" s="369" t="str">
        <f>IF(ISBLANK(Inputs!$A122),"",
MAX(IF(ISNUMBER(AE639),1),
IF(ISNUMBER(AI639),2),
IF(ISNUMBER(AM639),3),
IF(ISNUMBER(AQ639),4),
IF(ISNUMBER(AU639),5),
IF(ISNUMBER(AY639),6),
IF(ISNUMBER(BC639),7),
IF(ISNUMBER(BG639),8),
IF(ISNUMBER(BK639),9),
IF(ISNUMBER(BO639),10)))</f>
        <v/>
      </c>
      <c r="AL771" s="369"/>
      <c r="AM771" s="369" t="str">
        <f>IF(ISBLANK(Inputs!$A122),"",
_xlfn.LET(
_xlpm.n,AK771,
CHOOSE(_xlpm.n,
AE639,AI639,AM639,AQ639,AU639,
AY639,BC639,BG639,BK639,BO639
)
))</f>
        <v/>
      </c>
      <c r="AN771" s="369"/>
      <c r="AO771" s="369" t="str">
        <f>IF(ISBLANK(Inputs!$A122),"",
Mat.Conc_Alpha.1*Mat.Conc_f.c*Geometry_b.Negative*MIN(AM771*Mat.Conc_Beta.1,Geometry_h.f.Negative))</f>
        <v/>
      </c>
      <c r="AP771" s="369"/>
      <c r="AQ771" s="369" t="str">
        <f>IF(ISBLANK(Inputs!$A122),"",
Mat.Conc_Alpha.1*Mat.Conc_f.c*Geometry_b.w*MAX(0,AM771*Mat.Conc_Beta.1-Geometry_h.f.Negative))</f>
        <v/>
      </c>
      <c r="AR771" s="369"/>
      <c r="AS771" s="369" t="str">
        <f>IF(ISBLANK(Inputs!$A122),"",
Mat.Rebar_A.s.Positive*MIN(Mat.Rebar_f.y,(Mat.Rebar_epsilon.cl*(Geometry_d.s.Negative-AM771)/AM771)*Mat.PT_E.s))</f>
        <v/>
      </c>
      <c r="AT771" s="369"/>
      <c r="AU771" s="369" t="str">
        <f>IF(ISBLANK(Inputs!$A122),"",
Mat.PT_A.ps*(Mat.PT_f.pu*(1-Mat.PT_k*AM771/Geometry_d.p.Negative)))</f>
        <v/>
      </c>
      <c r="AV771" s="369"/>
      <c r="AW771" s="369" t="str">
        <f>IF(ISBLANK(Inputs!$A122),"",
(Mat.PT_f.pe/Mat.PT_E.ps)+(Mat.Rebar_epsilon.cl*((Geometry_d.p.Negative-AM771)/AM771)))</f>
        <v/>
      </c>
      <c r="AX771" s="369"/>
      <c r="AY771" s="369" t="str">
        <f>IF(ISBLANK(Inputs!$A122),"",
0.5*MIN(AM771*Mat.Conc_Beta.1,Geometry_h.f.Negative))</f>
        <v/>
      </c>
      <c r="AZ771" s="369"/>
      <c r="BA771" s="369" t="str">
        <f>IF(ISBLANK(Inputs!$A122),"",
IF(AQ771=0,0,Geometry_h.f.Negative+0.5*MAX(0,AM771*Mat.Conc_Beta.1-Geometry_h.f.Negative)))</f>
        <v/>
      </c>
      <c r="BB771" s="369"/>
      <c r="BC771" s="369" t="str">
        <f>IF(ISBLANK(Inputs!$A122),"",
Inputs!L122)</f>
        <v/>
      </c>
      <c r="BD771" s="369"/>
      <c r="BE771" s="369" t="str">
        <f>IF(ISBLANK(Inputs!$A122),"",Inputs!$B$10-Inputs!F122)</f>
        <v/>
      </c>
      <c r="BF771" s="369"/>
      <c r="BG771" s="369" t="str">
        <f>IF(ISBLANK(Inputs!$A122),"",
MAX(0.75,MIN(1,0.75+0.25*(AW771-Mat.Rebar_epsilon.cl)/(Mat.Rebar_epsilon.tl-Mat.Rebar_epsilon.cl))))</f>
        <v/>
      </c>
      <c r="BH771" s="369"/>
      <c r="BI771" s="370" t="str">
        <f>IF(ISBLANK(Inputs!$A122),"",
-((BE771*AU771+BC771*AS771-BA771*AQ771-AY771*AO771)/12)*BG771)</f>
        <v/>
      </c>
      <c r="BJ771" s="370"/>
      <c r="BK771" s="370"/>
      <c r="BL771" s="370" t="str">
        <f>IF(ISBLANK(Inputs!C122),"",Inputs!C122)</f>
        <v/>
      </c>
      <c r="BM771" s="370"/>
      <c r="BN771" s="370"/>
      <c r="BO771" s="374" t="str">
        <f>IF(ISBLANK(Inputs!$A122),"",
IFERROR(IF(BL771&gt;=0,ABS(BL771)/ABS(AH771),ABS(BL771)/ABS(BI771)),""))</f>
        <v/>
      </c>
      <c r="BP771" s="374"/>
      <c r="BQ771" s="374"/>
      <c r="BR771" s="59"/>
      <c r="BS771" s="70"/>
      <c r="BT771" s="70"/>
      <c r="BU771" s="70"/>
      <c r="BV771" s="70"/>
      <c r="BW771" s="8"/>
      <c r="BX771" s="8"/>
      <c r="BY771" s="8"/>
      <c r="BZ771" s="8"/>
      <c r="CA771" s="8"/>
      <c r="CB771" s="10"/>
    </row>
    <row r="772" spans="3:80" ht="15" customHeight="1" x14ac:dyDescent="0.25">
      <c r="C772" s="69"/>
      <c r="F772" s="369" t="str">
        <f>IF(ISBLANK(Inputs!A123),"",Inputs!A123)</f>
        <v/>
      </c>
      <c r="G772" s="369"/>
      <c r="H772" s="369" t="str">
        <f>IF(ISBLANK(Inputs!B123),"",Inputs!B123)</f>
        <v/>
      </c>
      <c r="I772" s="369"/>
      <c r="J772" s="369" t="str">
        <f>IF(ISBLANK(Inputs!$A123),"",
MAX(IF(ISNUMBER(AE515),1),
IF(ISNUMBER(AI515),2),
IF(ISNUMBER(AM515),3),
IF(ISNUMBER(AQ515),4),
IF(ISNUMBER(AU515),5),
IF(ISNUMBER(AY515),6),
IF(ISNUMBER(BC515),7),
IF(ISNUMBER(BG515),8),
IF(ISNUMBER(BK515),9),
IF(ISNUMBER(BO515),10)))</f>
        <v/>
      </c>
      <c r="K772" s="369"/>
      <c r="L772" s="369" t="str">
        <f>IF(ISBLANK(Inputs!$A123),"",
_xlfn.LET(
_xlpm.n,J772,
CHOOSE(_xlpm.n,
AE515,AI515,AM515,AQ515,AU515,
AY515,BC515,BG515,BK515,BO515
)
))</f>
        <v/>
      </c>
      <c r="M772" s="369"/>
      <c r="N772" s="369" t="str">
        <f>IF(ISBLANK(Inputs!$A123),"",
Mat.Conc_Alpha.1*Mat.Conc_f.c*Inputs!J123*MIN(L772*Mat.Conc_Beta.1,Inputs!I123))</f>
        <v/>
      </c>
      <c r="O772" s="369"/>
      <c r="P772" s="372" t="str">
        <f>IF(ISBLANK(Inputs!$A123),"",
Mat.Conc_Alpha.1*Mat.Conc_f.c*Inputs!E123*MAX(0,L772*Mat.Conc_Beta.1-Inputs!I123))</f>
        <v/>
      </c>
      <c r="Q772" s="369"/>
      <c r="R772" s="369" t="str">
        <f>IF(ISBLANK(Inputs!$A123),"",Inputs!G123*MIN(Mat.Rebar_f.y,(Mat.Rebar_epsilon.cl*(Inputs!H123-L772)/L772)*Mat.PT_E.s))</f>
        <v/>
      </c>
      <c r="S772" s="369"/>
      <c r="T772" s="369" t="str">
        <f>IF(ISBLANK(Inputs!$A123),"",Inputs!D123*(Mat.PT_f.pu*(1-Mat.PT_k*L772/Inputs!F123)))</f>
        <v/>
      </c>
      <c r="U772" s="369"/>
      <c r="V772" s="369" t="str">
        <f>IF(ISBLANK(Inputs!$A123),"",
(Mat.PT_f.pe/Mat.PT_E.ps)+(Mat.Rebar_epsilon.cl*((Geometry_d.p.Positive-L772)/L772)))</f>
        <v/>
      </c>
      <c r="W772" s="369"/>
      <c r="X772" s="369" t="str">
        <f>IF(ISBLANK(Inputs!$A123),"",
0.5*MIN(L772*Mat.Conc_Beta.1,Geometry_h.f.Positive))</f>
        <v/>
      </c>
      <c r="Y772" s="369"/>
      <c r="Z772" s="369" t="str">
        <f>IF(ISBLANK(Inputs!$A123),"",
IF(P772=0,0,Geometry_h.f.Positive+0.5*MAX(0,L772*Mat.Conc_Beta.1-Geometry_h.f.Positive)))</f>
        <v/>
      </c>
      <c r="AA772" s="369"/>
      <c r="AB772" s="369" t="str">
        <f>IF(ISBLANK(Inputs!$A123),"",
Inputs!H123)</f>
        <v/>
      </c>
      <c r="AC772" s="369"/>
      <c r="AD772" s="369" t="str">
        <f>IF(ISBLANK(Inputs!$A123),"",
Inputs!F123)</f>
        <v/>
      </c>
      <c r="AE772" s="369"/>
      <c r="AF772" s="369" t="str">
        <f>IF(ISBLANK(Inputs!$A123),"",
MAX(0.75,MIN(1,0.75+0.25*(V772-Mat.Rebar_epsilon.cl)/(Mat.Rebar_epsilon.tl-Mat.Rebar_epsilon.cl))))</f>
        <v/>
      </c>
      <c r="AG772" s="369"/>
      <c r="AH772" s="370" t="str">
        <f>IF(ISBLANK(Inputs!$A123),"",
((AD772*T772+AB772*R772-Z772*P772-X772*N772)/12)*AF772)</f>
        <v/>
      </c>
      <c r="AI772" s="370"/>
      <c r="AJ772" s="370"/>
      <c r="AK772" s="369" t="str">
        <f>IF(ISBLANK(Inputs!$A123),"",
MAX(IF(ISNUMBER(AE640),1),
IF(ISNUMBER(AI640),2),
IF(ISNUMBER(AM640),3),
IF(ISNUMBER(AQ640),4),
IF(ISNUMBER(AU640),5),
IF(ISNUMBER(AY640),6),
IF(ISNUMBER(BC640),7),
IF(ISNUMBER(BG640),8),
IF(ISNUMBER(BK640),9),
IF(ISNUMBER(BO640),10)))</f>
        <v/>
      </c>
      <c r="AL772" s="369"/>
      <c r="AM772" s="369" t="str">
        <f>IF(ISBLANK(Inputs!$A123),"",
_xlfn.LET(
_xlpm.n,AK772,
CHOOSE(_xlpm.n,
AE640,AI640,AM640,AQ640,AU640,
AY640,BC640,BG640,BK640,BO640
)
))</f>
        <v/>
      </c>
      <c r="AN772" s="369"/>
      <c r="AO772" s="369" t="str">
        <f>IF(ISBLANK(Inputs!$A123),"",
Mat.Conc_Alpha.1*Mat.Conc_f.c*Geometry_b.Negative*MIN(AM772*Mat.Conc_Beta.1,Geometry_h.f.Negative))</f>
        <v/>
      </c>
      <c r="AP772" s="369"/>
      <c r="AQ772" s="369" t="str">
        <f>IF(ISBLANK(Inputs!$A123),"",
Mat.Conc_Alpha.1*Mat.Conc_f.c*Geometry_b.w*MAX(0,AM772*Mat.Conc_Beta.1-Geometry_h.f.Negative))</f>
        <v/>
      </c>
      <c r="AR772" s="369"/>
      <c r="AS772" s="369" t="str">
        <f>IF(ISBLANK(Inputs!$A123),"",
Mat.Rebar_A.s.Positive*MIN(Mat.Rebar_f.y,(Mat.Rebar_epsilon.cl*(Geometry_d.s.Negative-AM772)/AM772)*Mat.PT_E.s))</f>
        <v/>
      </c>
      <c r="AT772" s="369"/>
      <c r="AU772" s="369" t="str">
        <f>IF(ISBLANK(Inputs!$A123),"",
Mat.PT_A.ps*(Mat.PT_f.pu*(1-Mat.PT_k*AM772/Geometry_d.p.Negative)))</f>
        <v/>
      </c>
      <c r="AV772" s="369"/>
      <c r="AW772" s="369" t="str">
        <f>IF(ISBLANK(Inputs!$A123),"",
(Mat.PT_f.pe/Mat.PT_E.ps)+(Mat.Rebar_epsilon.cl*((Geometry_d.p.Negative-AM772)/AM772)))</f>
        <v/>
      </c>
      <c r="AX772" s="369"/>
      <c r="AY772" s="369" t="str">
        <f>IF(ISBLANK(Inputs!$A123),"",
0.5*MIN(AM772*Mat.Conc_Beta.1,Geometry_h.f.Negative))</f>
        <v/>
      </c>
      <c r="AZ772" s="369"/>
      <c r="BA772" s="369" t="str">
        <f>IF(ISBLANK(Inputs!$A123),"",
IF(AQ772=0,0,Geometry_h.f.Negative+0.5*MAX(0,AM772*Mat.Conc_Beta.1-Geometry_h.f.Negative)))</f>
        <v/>
      </c>
      <c r="BB772" s="369"/>
      <c r="BC772" s="369" t="str">
        <f>IF(ISBLANK(Inputs!$A123),"",
Inputs!L123)</f>
        <v/>
      </c>
      <c r="BD772" s="369"/>
      <c r="BE772" s="369" t="str">
        <f>IF(ISBLANK(Inputs!$A123),"",Inputs!$B$10-Inputs!F123)</f>
        <v/>
      </c>
      <c r="BF772" s="369"/>
      <c r="BG772" s="369" t="str">
        <f>IF(ISBLANK(Inputs!$A123),"",
MAX(0.75,MIN(1,0.75+0.25*(AW772-Mat.Rebar_epsilon.cl)/(Mat.Rebar_epsilon.tl-Mat.Rebar_epsilon.cl))))</f>
        <v/>
      </c>
      <c r="BH772" s="369"/>
      <c r="BI772" s="370" t="str">
        <f>IF(ISBLANK(Inputs!$A123),"",
-((BE772*AU772+BC772*AS772-BA772*AQ772-AY772*AO772)/12)*BG772)</f>
        <v/>
      </c>
      <c r="BJ772" s="370"/>
      <c r="BK772" s="370"/>
      <c r="BL772" s="370" t="str">
        <f>IF(ISBLANK(Inputs!C123),"",Inputs!C123)</f>
        <v/>
      </c>
      <c r="BM772" s="370"/>
      <c r="BN772" s="370"/>
      <c r="BO772" s="374" t="str">
        <f>IF(ISBLANK(Inputs!$A123),"",
IFERROR(IF(BL772&gt;=0,ABS(BL772)/ABS(AH772),ABS(BL772)/ABS(BI772)),""))</f>
        <v/>
      </c>
      <c r="BP772" s="374"/>
      <c r="BQ772" s="374"/>
      <c r="BR772" s="59"/>
      <c r="BS772" s="70"/>
      <c r="BT772" s="70"/>
      <c r="BU772" s="70"/>
      <c r="BV772" s="70"/>
      <c r="BW772" s="8"/>
      <c r="BX772" s="8"/>
      <c r="BY772" s="8"/>
      <c r="BZ772" s="8"/>
      <c r="CA772" s="8"/>
      <c r="CB772" s="10"/>
    </row>
    <row r="773" spans="3:80" ht="15" customHeight="1" x14ac:dyDescent="0.25">
      <c r="C773" s="69"/>
      <c r="F773" s="369" t="str">
        <f>IF(ISBLANK(Inputs!A124),"",Inputs!A124)</f>
        <v/>
      </c>
      <c r="G773" s="369"/>
      <c r="H773" s="369" t="str">
        <f>IF(ISBLANK(Inputs!B124),"",Inputs!B124)</f>
        <v/>
      </c>
      <c r="I773" s="369"/>
      <c r="J773" s="369" t="str">
        <f>IF(ISBLANK(Inputs!$A124),"",
MAX(IF(ISNUMBER(AE516),1),
IF(ISNUMBER(AI516),2),
IF(ISNUMBER(AM516),3),
IF(ISNUMBER(AQ516),4),
IF(ISNUMBER(AU516),5),
IF(ISNUMBER(AY516),6),
IF(ISNUMBER(BC516),7),
IF(ISNUMBER(BG516),8),
IF(ISNUMBER(BK516),9),
IF(ISNUMBER(BO516),10)))</f>
        <v/>
      </c>
      <c r="K773" s="369"/>
      <c r="L773" s="369" t="str">
        <f>IF(ISBLANK(Inputs!$A124),"",
_xlfn.LET(
_xlpm.n,J773,
CHOOSE(_xlpm.n,
AE516,AI516,AM516,AQ516,AU516,
AY516,BC516,BG516,BK516,BO516
)
))</f>
        <v/>
      </c>
      <c r="M773" s="369"/>
      <c r="N773" s="369" t="str">
        <f>IF(ISBLANK(Inputs!$A124),"",
Mat.Conc_Alpha.1*Mat.Conc_f.c*Inputs!J124*MIN(L773*Mat.Conc_Beta.1,Inputs!I124))</f>
        <v/>
      </c>
      <c r="O773" s="369"/>
      <c r="P773" s="372" t="str">
        <f>IF(ISBLANK(Inputs!$A124),"",
Mat.Conc_Alpha.1*Mat.Conc_f.c*Inputs!E124*MAX(0,L773*Mat.Conc_Beta.1-Inputs!I124))</f>
        <v/>
      </c>
      <c r="Q773" s="369"/>
      <c r="R773" s="369" t="str">
        <f>IF(ISBLANK(Inputs!$A124),"",Inputs!G124*MIN(Mat.Rebar_f.y,(Mat.Rebar_epsilon.cl*(Inputs!H124-L773)/L773)*Mat.PT_E.s))</f>
        <v/>
      </c>
      <c r="S773" s="369"/>
      <c r="T773" s="369" t="str">
        <f>IF(ISBLANK(Inputs!$A124),"",Inputs!D124*(Mat.PT_f.pu*(1-Mat.PT_k*L773/Inputs!F124)))</f>
        <v/>
      </c>
      <c r="U773" s="369"/>
      <c r="V773" s="369" t="str">
        <f>IF(ISBLANK(Inputs!$A124),"",
(Mat.PT_f.pe/Mat.PT_E.ps)+(Mat.Rebar_epsilon.cl*((Geometry_d.p.Positive-L773)/L773)))</f>
        <v/>
      </c>
      <c r="W773" s="369"/>
      <c r="X773" s="369" t="str">
        <f>IF(ISBLANK(Inputs!$A124),"",
0.5*MIN(L773*Mat.Conc_Beta.1,Geometry_h.f.Positive))</f>
        <v/>
      </c>
      <c r="Y773" s="369"/>
      <c r="Z773" s="369" t="str">
        <f>IF(ISBLANK(Inputs!$A124),"",
IF(P773=0,0,Geometry_h.f.Positive+0.5*MAX(0,L773*Mat.Conc_Beta.1-Geometry_h.f.Positive)))</f>
        <v/>
      </c>
      <c r="AA773" s="369"/>
      <c r="AB773" s="369" t="str">
        <f>IF(ISBLANK(Inputs!$A124),"",
Inputs!H124)</f>
        <v/>
      </c>
      <c r="AC773" s="369"/>
      <c r="AD773" s="369" t="str">
        <f>IF(ISBLANK(Inputs!$A124),"",
Inputs!F124)</f>
        <v/>
      </c>
      <c r="AE773" s="369"/>
      <c r="AF773" s="369" t="str">
        <f>IF(ISBLANK(Inputs!$A124),"",
MAX(0.75,MIN(1,0.75+0.25*(V773-Mat.Rebar_epsilon.cl)/(Mat.Rebar_epsilon.tl-Mat.Rebar_epsilon.cl))))</f>
        <v/>
      </c>
      <c r="AG773" s="369"/>
      <c r="AH773" s="370" t="str">
        <f>IF(ISBLANK(Inputs!$A124),"",
((AD773*T773+AB773*R773-Z773*P773-X773*N773)/12)*AF773)</f>
        <v/>
      </c>
      <c r="AI773" s="370"/>
      <c r="AJ773" s="370"/>
      <c r="AK773" s="369" t="str">
        <f>IF(ISBLANK(Inputs!$A124),"",
MAX(IF(ISNUMBER(AE641),1),
IF(ISNUMBER(AI641),2),
IF(ISNUMBER(AM641),3),
IF(ISNUMBER(AQ641),4),
IF(ISNUMBER(AU641),5),
IF(ISNUMBER(AY641),6),
IF(ISNUMBER(BC641),7),
IF(ISNUMBER(BG641),8),
IF(ISNUMBER(BK641),9),
IF(ISNUMBER(BO641),10)))</f>
        <v/>
      </c>
      <c r="AL773" s="369"/>
      <c r="AM773" s="369" t="str">
        <f>IF(ISBLANK(Inputs!$A124),"",
_xlfn.LET(
_xlpm.n,AK773,
CHOOSE(_xlpm.n,
AE641,AI641,AM641,AQ641,AU641,
AY641,BC641,BG641,BK641,BO641
)
))</f>
        <v/>
      </c>
      <c r="AN773" s="369"/>
      <c r="AO773" s="369" t="str">
        <f>IF(ISBLANK(Inputs!$A124),"",
Mat.Conc_Alpha.1*Mat.Conc_f.c*Geometry_b.Negative*MIN(AM773*Mat.Conc_Beta.1,Geometry_h.f.Negative))</f>
        <v/>
      </c>
      <c r="AP773" s="369"/>
      <c r="AQ773" s="369" t="str">
        <f>IF(ISBLANK(Inputs!$A124),"",
Mat.Conc_Alpha.1*Mat.Conc_f.c*Geometry_b.w*MAX(0,AM773*Mat.Conc_Beta.1-Geometry_h.f.Negative))</f>
        <v/>
      </c>
      <c r="AR773" s="369"/>
      <c r="AS773" s="369" t="str">
        <f>IF(ISBLANK(Inputs!$A124),"",
Mat.Rebar_A.s.Positive*MIN(Mat.Rebar_f.y,(Mat.Rebar_epsilon.cl*(Geometry_d.s.Negative-AM773)/AM773)*Mat.PT_E.s))</f>
        <v/>
      </c>
      <c r="AT773" s="369"/>
      <c r="AU773" s="369" t="str">
        <f>IF(ISBLANK(Inputs!$A124),"",
Mat.PT_A.ps*(Mat.PT_f.pu*(1-Mat.PT_k*AM773/Geometry_d.p.Negative)))</f>
        <v/>
      </c>
      <c r="AV773" s="369"/>
      <c r="AW773" s="369" t="str">
        <f>IF(ISBLANK(Inputs!$A124),"",
(Mat.PT_f.pe/Mat.PT_E.ps)+(Mat.Rebar_epsilon.cl*((Geometry_d.p.Negative-AM773)/AM773)))</f>
        <v/>
      </c>
      <c r="AX773" s="369"/>
      <c r="AY773" s="369" t="str">
        <f>IF(ISBLANK(Inputs!$A124),"",
0.5*MIN(AM773*Mat.Conc_Beta.1,Geometry_h.f.Negative))</f>
        <v/>
      </c>
      <c r="AZ773" s="369"/>
      <c r="BA773" s="369" t="str">
        <f>IF(ISBLANK(Inputs!$A124),"",
IF(AQ773=0,0,Geometry_h.f.Negative+0.5*MAX(0,AM773*Mat.Conc_Beta.1-Geometry_h.f.Negative)))</f>
        <v/>
      </c>
      <c r="BB773" s="369"/>
      <c r="BC773" s="369" t="str">
        <f>IF(ISBLANK(Inputs!$A124),"",
Inputs!L124)</f>
        <v/>
      </c>
      <c r="BD773" s="369"/>
      <c r="BE773" s="369" t="str">
        <f>IF(ISBLANK(Inputs!$A124),"",Inputs!$B$10-Inputs!F124)</f>
        <v/>
      </c>
      <c r="BF773" s="369"/>
      <c r="BG773" s="369" t="str">
        <f>IF(ISBLANK(Inputs!$A124),"",
MAX(0.75,MIN(1,0.75+0.25*(AW773-Mat.Rebar_epsilon.cl)/(Mat.Rebar_epsilon.tl-Mat.Rebar_epsilon.cl))))</f>
        <v/>
      </c>
      <c r="BH773" s="369"/>
      <c r="BI773" s="370" t="str">
        <f>IF(ISBLANK(Inputs!$A124),"",
-((BE773*AU773+BC773*AS773-BA773*AQ773-AY773*AO773)/12)*BG773)</f>
        <v/>
      </c>
      <c r="BJ773" s="370"/>
      <c r="BK773" s="370"/>
      <c r="BL773" s="370" t="str">
        <f>IF(ISBLANK(Inputs!C124),"",Inputs!C124)</f>
        <v/>
      </c>
      <c r="BM773" s="370"/>
      <c r="BN773" s="370"/>
      <c r="BO773" s="374" t="str">
        <f>IF(ISBLANK(Inputs!$A124),"",
IFERROR(IF(BL773&gt;=0,ABS(BL773)/ABS(AH773),ABS(BL773)/ABS(BI773)),""))</f>
        <v/>
      </c>
      <c r="BP773" s="374"/>
      <c r="BQ773" s="374"/>
      <c r="BR773" s="59"/>
      <c r="BS773" s="70"/>
      <c r="BT773" s="70"/>
      <c r="BU773" s="70"/>
      <c r="BV773" s="70"/>
      <c r="BW773" s="8"/>
      <c r="BX773" s="8"/>
      <c r="BY773" s="8"/>
      <c r="BZ773" s="8"/>
      <c r="CA773" s="8"/>
      <c r="CB773" s="10"/>
    </row>
    <row r="774" spans="3:80" ht="15" customHeight="1" x14ac:dyDescent="0.25">
      <c r="C774" s="69"/>
      <c r="G774" s="58"/>
      <c r="H774" s="58"/>
      <c r="I774" s="58"/>
      <c r="J774" s="58"/>
      <c r="K774" s="59"/>
      <c r="L774" s="59"/>
      <c r="M774" s="59"/>
      <c r="N774" s="59"/>
      <c r="O774" s="59"/>
      <c r="P774" s="59"/>
      <c r="Q774" s="59"/>
      <c r="R774" s="59"/>
      <c r="S774" s="59"/>
      <c r="T774" s="59"/>
      <c r="U774" s="59"/>
      <c r="V774" s="59"/>
      <c r="W774" s="59"/>
      <c r="X774" s="59"/>
      <c r="AA774" s="59"/>
      <c r="AB774" s="59"/>
      <c r="AC774" s="59"/>
      <c r="AD774" s="59"/>
      <c r="AE774" s="59"/>
      <c r="AQ774" s="59"/>
      <c r="AR774" s="59"/>
      <c r="AS774" s="59"/>
      <c r="AT774" s="59"/>
      <c r="AU774" s="59"/>
      <c r="AV774" s="59"/>
      <c r="AW774" s="59"/>
      <c r="AX774" s="59"/>
      <c r="AY774" s="59"/>
      <c r="AZ774" s="59"/>
      <c r="BA774" s="59"/>
      <c r="BB774" s="59"/>
      <c r="BC774" s="59"/>
      <c r="BD774" s="59"/>
      <c r="BE774" s="59"/>
      <c r="BF774" s="59"/>
      <c r="BG774" s="59"/>
      <c r="BH774" s="59"/>
      <c r="BI774" s="59"/>
      <c r="BJ774" s="59"/>
      <c r="BK774" s="59"/>
      <c r="BL774" s="59"/>
      <c r="BM774" s="59"/>
      <c r="BN774" s="59"/>
      <c r="BO774" s="59"/>
      <c r="BP774" s="59"/>
      <c r="BQ774" s="59"/>
      <c r="BR774" s="59"/>
      <c r="BS774" s="70"/>
      <c r="BT774" s="70"/>
      <c r="BU774" s="70"/>
      <c r="BV774" s="70"/>
      <c r="BW774" s="8"/>
      <c r="BX774" s="8"/>
      <c r="BY774" s="8"/>
      <c r="BZ774" s="8"/>
      <c r="CA774" s="8"/>
      <c r="CB774" s="10"/>
    </row>
    <row r="775" spans="3:80" ht="15" customHeight="1" x14ac:dyDescent="0.25">
      <c r="C775" s="69"/>
      <c r="G775" s="58"/>
      <c r="H775" s="58"/>
      <c r="I775" s="58"/>
      <c r="J775" s="58"/>
      <c r="K775" s="59"/>
      <c r="L775" s="59"/>
      <c r="M775" s="59"/>
      <c r="N775" s="59"/>
      <c r="O775" s="59"/>
      <c r="P775" s="59"/>
      <c r="Q775" s="59"/>
      <c r="R775" s="59"/>
      <c r="S775" s="59"/>
      <c r="T775" s="59"/>
      <c r="U775" s="59"/>
      <c r="V775" s="59"/>
      <c r="W775" s="59"/>
      <c r="X775" s="59"/>
      <c r="AA775" s="59"/>
      <c r="AB775" s="59"/>
      <c r="AC775" s="59"/>
      <c r="AD775" s="59"/>
      <c r="AE775" s="59"/>
      <c r="AQ775" s="59"/>
      <c r="AR775" s="59"/>
      <c r="AS775" s="59"/>
      <c r="AT775" s="59"/>
      <c r="AU775" s="59"/>
      <c r="AV775" s="59"/>
      <c r="AW775" s="59"/>
      <c r="AX775" s="59"/>
      <c r="AY775" s="59"/>
      <c r="AZ775" s="59"/>
      <c r="BA775" s="59"/>
      <c r="BB775" s="59"/>
      <c r="BC775" s="59"/>
      <c r="BD775" s="59"/>
      <c r="BE775" s="59"/>
      <c r="BF775" s="59"/>
      <c r="BG775" s="59"/>
      <c r="BH775" s="59"/>
      <c r="BI775" s="59"/>
      <c r="BJ775" s="59"/>
      <c r="BK775" s="59"/>
      <c r="BL775" s="59"/>
      <c r="BM775" s="59"/>
      <c r="BN775" s="59"/>
      <c r="BO775" s="59"/>
      <c r="BP775" s="59"/>
      <c r="BQ775" s="59"/>
      <c r="BR775" s="59"/>
      <c r="BS775" s="70"/>
      <c r="BT775" s="70"/>
      <c r="BU775" s="70"/>
      <c r="BV775" s="70"/>
      <c r="BW775" s="8"/>
      <c r="BX775" s="8"/>
      <c r="BY775" s="8"/>
      <c r="BZ775" s="8"/>
      <c r="CA775" s="8"/>
      <c r="CB775" s="10"/>
    </row>
    <row r="776" spans="3:80" ht="15" customHeight="1" x14ac:dyDescent="0.25">
      <c r="C776" s="69"/>
      <c r="G776" s="58"/>
      <c r="H776" s="58"/>
      <c r="I776" s="58"/>
      <c r="J776" s="58"/>
      <c r="K776" s="59"/>
      <c r="L776" s="59"/>
      <c r="M776" s="59"/>
      <c r="N776" s="59"/>
      <c r="O776" s="59"/>
      <c r="P776" s="59"/>
      <c r="Q776" s="59"/>
      <c r="R776" s="59"/>
      <c r="S776" s="59"/>
      <c r="T776" s="59"/>
      <c r="U776" s="59"/>
      <c r="V776" s="59"/>
      <c r="W776" s="59"/>
      <c r="X776" s="59"/>
      <c r="Y776" s="59"/>
      <c r="Z776" s="59"/>
      <c r="AA776" s="59"/>
      <c r="AB776" s="59"/>
      <c r="AC776" s="59"/>
      <c r="AD776" s="59"/>
      <c r="AE776" s="59"/>
      <c r="AQ776" s="59"/>
      <c r="AR776" s="59"/>
      <c r="AS776" s="59"/>
      <c r="AT776" s="59"/>
      <c r="AU776" s="59"/>
      <c r="AV776" s="59"/>
      <c r="AW776" s="59"/>
      <c r="AX776" s="59"/>
      <c r="AY776" s="59"/>
      <c r="AZ776" s="59"/>
      <c r="BA776" s="59"/>
      <c r="BB776" s="59"/>
      <c r="BC776" s="59"/>
      <c r="BD776" s="59"/>
      <c r="BE776" s="59"/>
      <c r="BF776" s="59"/>
      <c r="BG776" s="59"/>
      <c r="BH776" s="59"/>
      <c r="BI776" s="59"/>
      <c r="BJ776" s="59"/>
      <c r="BK776" s="59"/>
      <c r="BL776" s="59"/>
      <c r="BM776" s="59"/>
      <c r="BN776" s="59"/>
      <c r="BO776" s="59"/>
      <c r="BP776" s="59"/>
      <c r="BQ776" s="59"/>
      <c r="BR776" s="59"/>
      <c r="BS776" s="70"/>
      <c r="BT776" s="70"/>
      <c r="BU776" s="70"/>
      <c r="BV776" s="70"/>
      <c r="BW776" s="8"/>
      <c r="BX776" s="8"/>
      <c r="BY776" s="8"/>
      <c r="BZ776" s="8"/>
      <c r="CA776" s="8"/>
      <c r="CB776" s="10"/>
    </row>
    <row r="777" spans="3:80" ht="15" customHeight="1" x14ac:dyDescent="0.25">
      <c r="C777" s="69"/>
      <c r="G777" s="58"/>
      <c r="H777" s="58"/>
      <c r="I777" s="58"/>
      <c r="J777" s="58"/>
      <c r="K777" s="59"/>
      <c r="L777" s="59"/>
      <c r="M777" s="59"/>
      <c r="N777" s="59"/>
      <c r="O777" s="59"/>
      <c r="P777" s="59"/>
      <c r="Q777" s="59"/>
      <c r="R777" s="59"/>
      <c r="S777" s="59"/>
      <c r="T777" s="59"/>
      <c r="U777" s="59"/>
      <c r="V777" s="59"/>
      <c r="W777" s="59"/>
      <c r="X777" s="59"/>
      <c r="Y777" s="59"/>
      <c r="Z777" s="59"/>
      <c r="AA777" s="59"/>
      <c r="AB777" s="59"/>
      <c r="AC777" s="59"/>
      <c r="AD777" s="59"/>
      <c r="AE777" s="59"/>
      <c r="AQ777" s="59"/>
      <c r="AR777" s="59"/>
      <c r="AS777" s="59"/>
      <c r="AT777" s="59"/>
      <c r="AU777" s="59"/>
      <c r="AV777" s="59"/>
      <c r="AW777" s="59"/>
      <c r="AX777" s="59"/>
      <c r="AY777" s="59"/>
      <c r="AZ777" s="59"/>
      <c r="BA777" s="59"/>
      <c r="BB777" s="59"/>
      <c r="BC777" s="59"/>
      <c r="BD777" s="59"/>
      <c r="BE777" s="59"/>
      <c r="BF777" s="59"/>
      <c r="BG777" s="59"/>
      <c r="BH777" s="59"/>
      <c r="BI777" s="59"/>
      <c r="BJ777" s="59"/>
      <c r="BK777" s="59"/>
      <c r="BL777" s="59"/>
      <c r="BM777" s="59"/>
      <c r="BN777" s="59"/>
      <c r="BO777" s="59"/>
      <c r="BP777" s="59"/>
      <c r="BQ777" s="59"/>
      <c r="BR777" s="59"/>
      <c r="BS777" s="70"/>
      <c r="BT777" s="70"/>
      <c r="BU777" s="70"/>
      <c r="BV777" s="70"/>
      <c r="BW777" s="8"/>
      <c r="BX777" s="8"/>
      <c r="BY777" s="8"/>
      <c r="BZ777" s="8"/>
      <c r="CA777" s="8"/>
      <c r="CB777" s="10"/>
    </row>
    <row r="778" spans="3:80" ht="15" customHeight="1" x14ac:dyDescent="0.2">
      <c r="C778" s="69"/>
      <c r="BZ778" s="16"/>
      <c r="CA778" s="16"/>
      <c r="CB778" s="16"/>
    </row>
    <row r="779" spans="3:80" ht="15" customHeight="1" x14ac:dyDescent="0.2">
      <c r="C779" s="69"/>
      <c r="BZ779" s="16"/>
      <c r="CA779" s="16"/>
      <c r="CB779" s="16"/>
    </row>
    <row r="780" spans="3:80" ht="15" customHeight="1" x14ac:dyDescent="0.2">
      <c r="C780" s="69"/>
      <c r="BZ780" s="16"/>
      <c r="CA780" s="16"/>
      <c r="CB780" s="16"/>
    </row>
    <row r="781" spans="3:80" ht="15" customHeight="1" x14ac:dyDescent="0.2">
      <c r="C781" s="69"/>
      <c r="BZ781" s="16"/>
      <c r="CA781" s="16"/>
      <c r="CB781" s="16"/>
    </row>
    <row r="782" spans="3:80" ht="15" customHeight="1" x14ac:dyDescent="0.2">
      <c r="C782" s="69"/>
      <c r="BZ782" s="16"/>
      <c r="CA782" s="16"/>
      <c r="CB782" s="16"/>
    </row>
    <row r="783" spans="3:80" ht="15" customHeight="1" x14ac:dyDescent="0.2">
      <c r="C783" s="69"/>
      <c r="BZ783" s="16"/>
      <c r="CA783" s="16"/>
      <c r="CB783" s="16"/>
    </row>
    <row r="784" spans="3:80" ht="15" customHeight="1" x14ac:dyDescent="0.2">
      <c r="C784" s="69"/>
    </row>
    <row r="785" spans="3:77" ht="15" customHeight="1" x14ac:dyDescent="0.2">
      <c r="C785" s="69"/>
    </row>
    <row r="786" spans="3:77" ht="15" customHeight="1" x14ac:dyDescent="0.2">
      <c r="C786" s="69"/>
    </row>
    <row r="787" spans="3:77" ht="15" customHeight="1" x14ac:dyDescent="0.2">
      <c r="C787" s="69"/>
    </row>
    <row r="788" spans="3:77" ht="15" customHeight="1" x14ac:dyDescent="0.2">
      <c r="C788" s="69"/>
    </row>
    <row r="789" spans="3:77" ht="15" customHeight="1" x14ac:dyDescent="0.2">
      <c r="C789" s="69"/>
    </row>
    <row r="790" spans="3:77" ht="15" customHeight="1" x14ac:dyDescent="0.2">
      <c r="C790" s="69"/>
    </row>
    <row r="791" spans="3:77" ht="15" customHeight="1" x14ac:dyDescent="0.2">
      <c r="C791" s="69"/>
    </row>
    <row r="792" spans="3:77" ht="15" customHeight="1" x14ac:dyDescent="0.2">
      <c r="C792" s="69"/>
    </row>
    <row r="793" spans="3:77" ht="15" customHeight="1" x14ac:dyDescent="0.2">
      <c r="C793" s="69"/>
    </row>
    <row r="794" spans="3:77" ht="15" customHeight="1" x14ac:dyDescent="0.2">
      <c r="C794" s="69"/>
    </row>
    <row r="795" spans="3:77" ht="15" customHeight="1" x14ac:dyDescent="0.2">
      <c r="C795" s="69"/>
    </row>
    <row r="796" spans="3:77" ht="15" customHeight="1" x14ac:dyDescent="0.2">
      <c r="C796" s="69"/>
    </row>
    <row r="797" spans="3:77" ht="15" customHeight="1" x14ac:dyDescent="0.2">
      <c r="C797" s="69"/>
    </row>
    <row r="798" spans="3:77" ht="15" customHeight="1" x14ac:dyDescent="0.2">
      <c r="C798" s="69"/>
    </row>
    <row r="799" spans="3:77" ht="15" customHeight="1" x14ac:dyDescent="0.25">
      <c r="C799" s="294" t="s">
        <v>158</v>
      </c>
      <c r="D799" s="295"/>
      <c r="E799" s="295"/>
      <c r="F799" s="295"/>
      <c r="G799" s="289" t="s">
        <v>157</v>
      </c>
      <c r="H799" s="289"/>
      <c r="I799" s="289"/>
      <c r="J799" s="289"/>
      <c r="K799" s="289"/>
      <c r="L799" s="289"/>
      <c r="M799" s="289"/>
      <c r="N799" s="289"/>
      <c r="O799" s="289"/>
      <c r="P799" s="289"/>
      <c r="Q799" s="289"/>
      <c r="R799" s="289"/>
      <c r="S799" s="289"/>
      <c r="T799" s="289"/>
      <c r="U799" s="289"/>
      <c r="V799" s="289"/>
      <c r="W799" s="289"/>
      <c r="X799" s="289"/>
      <c r="Y799" s="289"/>
      <c r="Z799" s="289"/>
      <c r="AA799" s="289"/>
      <c r="AB799" s="289"/>
      <c r="AC799" s="289"/>
      <c r="AD799" s="289"/>
      <c r="AE799" s="289"/>
      <c r="AF799" s="289"/>
      <c r="AG799" s="289"/>
      <c r="AH799" s="289"/>
      <c r="AI799" s="289"/>
      <c r="AJ799" s="289"/>
      <c r="AK799" s="289"/>
      <c r="AL799" s="289"/>
      <c r="AM799" s="289"/>
      <c r="AN799" s="289"/>
      <c r="AO799" s="289"/>
      <c r="AP799" s="289"/>
      <c r="AQ799" s="289"/>
      <c r="AR799" s="289"/>
      <c r="AS799" s="289"/>
      <c r="AT799" s="289"/>
      <c r="AU799" s="289"/>
      <c r="AV799" s="289"/>
      <c r="AW799" s="289"/>
      <c r="AX799" s="289"/>
      <c r="AY799" s="289"/>
      <c r="AZ799" s="289"/>
      <c r="BA799" s="289"/>
      <c r="BB799" s="289"/>
      <c r="BC799" s="289"/>
      <c r="BD799" s="289"/>
      <c r="BE799" s="289"/>
      <c r="BF799" s="289"/>
      <c r="BG799" s="289"/>
      <c r="BH799" s="289"/>
      <c r="BI799" s="289"/>
      <c r="BJ799" s="289"/>
      <c r="BK799" s="289"/>
      <c r="BL799" s="289"/>
      <c r="BM799" s="289"/>
      <c r="BN799" s="289"/>
      <c r="BO799" s="289"/>
      <c r="BP799" s="289"/>
      <c r="BQ799" s="289"/>
      <c r="BR799" s="59"/>
      <c r="BS799" s="8"/>
      <c r="BT799" s="8"/>
      <c r="BU799" s="8"/>
      <c r="BV799" s="8"/>
      <c r="BW799" s="8"/>
      <c r="BX799" s="8"/>
      <c r="BY799" s="10"/>
    </row>
    <row r="800" spans="3:77" ht="15" customHeight="1" x14ac:dyDescent="0.25">
      <c r="C800" s="294"/>
      <c r="D800" s="295"/>
      <c r="E800" s="295"/>
      <c r="F800" s="295"/>
      <c r="G800" s="289"/>
      <c r="H800" s="289"/>
      <c r="I800" s="289"/>
      <c r="J800" s="289"/>
      <c r="K800" s="289"/>
      <c r="L800" s="289"/>
      <c r="M800" s="289"/>
      <c r="N800" s="289"/>
      <c r="O800" s="289"/>
      <c r="P800" s="289"/>
      <c r="Q800" s="289"/>
      <c r="R800" s="289"/>
      <c r="S800" s="289"/>
      <c r="T800" s="289"/>
      <c r="U800" s="289"/>
      <c r="V800" s="289"/>
      <c r="W800" s="289"/>
      <c r="X800" s="289"/>
      <c r="Y800" s="289"/>
      <c r="Z800" s="289"/>
      <c r="AA800" s="289"/>
      <c r="AB800" s="289"/>
      <c r="AC800" s="289"/>
      <c r="AD800" s="289"/>
      <c r="AE800" s="289"/>
      <c r="AF800" s="289"/>
      <c r="AG800" s="289"/>
      <c r="AH800" s="289"/>
      <c r="AI800" s="289"/>
      <c r="AJ800" s="289"/>
      <c r="AK800" s="289"/>
      <c r="AL800" s="289"/>
      <c r="AM800" s="289"/>
      <c r="AN800" s="289"/>
      <c r="AO800" s="289"/>
      <c r="AP800" s="289"/>
      <c r="AQ800" s="289"/>
      <c r="AR800" s="289"/>
      <c r="AS800" s="289"/>
      <c r="AT800" s="289"/>
      <c r="AU800" s="289"/>
      <c r="AV800" s="289"/>
      <c r="AW800" s="289"/>
      <c r="AX800" s="289"/>
      <c r="AY800" s="289"/>
      <c r="AZ800" s="289"/>
      <c r="BA800" s="289"/>
      <c r="BB800" s="289"/>
      <c r="BC800" s="289"/>
      <c r="BD800" s="289"/>
      <c r="BE800" s="289"/>
      <c r="BF800" s="289"/>
      <c r="BG800" s="289"/>
      <c r="BH800" s="289"/>
      <c r="BI800" s="289"/>
      <c r="BJ800" s="289"/>
      <c r="BK800" s="289"/>
      <c r="BL800" s="289"/>
      <c r="BM800" s="289"/>
      <c r="BN800" s="289"/>
      <c r="BO800" s="289"/>
      <c r="BP800" s="289"/>
      <c r="BQ800" s="289"/>
      <c r="BR800" s="59"/>
      <c r="BS800" s="8"/>
      <c r="BT800" s="8"/>
      <c r="BU800" s="8"/>
      <c r="BV800" s="8"/>
      <c r="BW800" s="8"/>
      <c r="BX800" s="8"/>
      <c r="BY800" s="10"/>
    </row>
    <row r="801" spans="3:3" ht="15" customHeight="1" x14ac:dyDescent="0.2">
      <c r="C801" s="69"/>
    </row>
    <row r="802" spans="3:3" ht="15" customHeight="1" x14ac:dyDescent="0.2">
      <c r="C802" s="69"/>
    </row>
    <row r="803" spans="3:3" ht="15" customHeight="1" x14ac:dyDescent="0.2">
      <c r="C803" s="69"/>
    </row>
    <row r="804" spans="3:3" ht="15" customHeight="1" x14ac:dyDescent="0.2">
      <c r="C804" s="69"/>
    </row>
    <row r="805" spans="3:3" ht="15" customHeight="1" x14ac:dyDescent="0.2">
      <c r="C805" s="69"/>
    </row>
    <row r="806" spans="3:3" ht="15" customHeight="1" x14ac:dyDescent="0.2">
      <c r="C806" s="69"/>
    </row>
    <row r="807" spans="3:3" ht="15" customHeight="1" x14ac:dyDescent="0.2">
      <c r="C807" s="69"/>
    </row>
    <row r="808" spans="3:3" ht="15" customHeight="1" x14ac:dyDescent="0.2">
      <c r="C808" s="69"/>
    </row>
    <row r="809" spans="3:3" ht="15" customHeight="1" x14ac:dyDescent="0.2">
      <c r="C809" s="69"/>
    </row>
    <row r="810" spans="3:3" ht="15" customHeight="1" x14ac:dyDescent="0.2">
      <c r="C810" s="69"/>
    </row>
    <row r="811" spans="3:3" ht="15" customHeight="1" x14ac:dyDescent="0.2">
      <c r="C811" s="69"/>
    </row>
    <row r="812" spans="3:3" ht="15" customHeight="1" x14ac:dyDescent="0.2">
      <c r="C812" s="69"/>
    </row>
    <row r="813" spans="3:3" ht="15" customHeight="1" x14ac:dyDescent="0.2">
      <c r="C813" s="69"/>
    </row>
    <row r="814" spans="3:3" ht="15" customHeight="1" x14ac:dyDescent="0.2">
      <c r="C814" s="69"/>
    </row>
    <row r="815" spans="3:3" ht="15" customHeight="1" x14ac:dyDescent="0.2">
      <c r="C815" s="69"/>
    </row>
    <row r="816" spans="3:3" ht="15" customHeight="1" x14ac:dyDescent="0.2">
      <c r="C816" s="69"/>
    </row>
    <row r="817" spans="2:70" ht="15" customHeight="1" x14ac:dyDescent="0.2">
      <c r="C817" s="69"/>
    </row>
    <row r="818" spans="2:70" ht="15" customHeight="1" x14ac:dyDescent="0.2">
      <c r="B818" s="72"/>
    </row>
    <row r="819" spans="2:70" ht="15" customHeight="1" x14ac:dyDescent="0.2">
      <c r="C819" s="69"/>
    </row>
    <row r="820" spans="2:70" ht="15" customHeight="1" x14ac:dyDescent="0.2">
      <c r="C820" s="316" t="str">
        <f>"Figure "&amp;Inputs!B14&amp;"-1:  Factored Strength 1 Flexural Resistance versus Demand"</f>
        <v>Figure C.1-1:  Factored Strength 1 Flexural Resistance versus Demand</v>
      </c>
      <c r="D820" s="317"/>
      <c r="E820" s="317"/>
      <c r="F820" s="317"/>
      <c r="G820" s="317"/>
      <c r="H820" s="317"/>
      <c r="I820" s="317"/>
      <c r="J820" s="317"/>
      <c r="K820" s="317"/>
      <c r="L820" s="317"/>
      <c r="M820" s="317"/>
      <c r="N820" s="317"/>
      <c r="O820" s="317"/>
      <c r="P820" s="317"/>
      <c r="Q820" s="317"/>
      <c r="R820" s="317"/>
      <c r="S820" s="317"/>
      <c r="T820" s="317"/>
      <c r="U820" s="317"/>
      <c r="V820" s="317"/>
      <c r="W820" s="317"/>
      <c r="X820" s="317"/>
      <c r="Y820" s="317"/>
      <c r="Z820" s="317"/>
      <c r="AA820" s="317"/>
      <c r="AB820" s="317"/>
      <c r="AC820" s="317"/>
      <c r="AD820" s="317"/>
      <c r="AE820" s="317"/>
      <c r="AF820" s="317"/>
      <c r="AG820" s="317"/>
      <c r="AH820" s="317"/>
      <c r="AI820" s="317"/>
      <c r="AJ820" s="317"/>
      <c r="AK820" s="317"/>
      <c r="AL820" s="317"/>
      <c r="AM820" s="317"/>
      <c r="AN820" s="317"/>
      <c r="AO820" s="317"/>
      <c r="AP820" s="317"/>
      <c r="AQ820" s="317"/>
      <c r="AR820" s="317"/>
      <c r="AS820" s="317"/>
      <c r="AT820" s="317"/>
      <c r="AU820" s="317"/>
      <c r="AV820" s="317"/>
      <c r="AW820" s="317"/>
      <c r="AX820" s="317"/>
      <c r="AY820" s="317"/>
      <c r="AZ820" s="317"/>
      <c r="BA820" s="317"/>
      <c r="BB820" s="317"/>
      <c r="BC820" s="317"/>
      <c r="BD820" s="317"/>
      <c r="BE820" s="317"/>
      <c r="BF820" s="317"/>
      <c r="BG820" s="317"/>
      <c r="BH820" s="317"/>
      <c r="BI820" s="317"/>
      <c r="BJ820" s="317"/>
      <c r="BK820" s="317"/>
      <c r="BL820" s="317"/>
      <c r="BM820" s="317"/>
      <c r="BN820" s="317"/>
      <c r="BO820" s="317"/>
      <c r="BP820" s="317"/>
      <c r="BQ820" s="317"/>
      <c r="BR820" s="317"/>
    </row>
    <row r="821" spans="2:70" ht="15" customHeight="1" x14ac:dyDescent="0.2">
      <c r="C821" s="69"/>
    </row>
    <row r="822" spans="2:70" ht="15" customHeight="1" x14ac:dyDescent="0.2">
      <c r="C822" s="69"/>
    </row>
    <row r="823" spans="2:70" ht="15" customHeight="1" x14ac:dyDescent="0.2">
      <c r="C823" s="69"/>
    </row>
    <row r="824" spans="2:70" ht="15" customHeight="1" x14ac:dyDescent="0.2">
      <c r="C824" s="69"/>
    </row>
    <row r="825" spans="2:70" ht="15" customHeight="1" x14ac:dyDescent="0.2">
      <c r="C825" s="69"/>
    </row>
    <row r="826" spans="2:70" ht="15" customHeight="1" x14ac:dyDescent="0.2">
      <c r="C826" s="69"/>
    </row>
    <row r="827" spans="2:70" ht="15" customHeight="1" x14ac:dyDescent="0.2">
      <c r="C827" s="69"/>
    </row>
    <row r="828" spans="2:70" ht="15" customHeight="1" x14ac:dyDescent="0.2">
      <c r="C828" s="69"/>
    </row>
    <row r="829" spans="2:70" ht="15" customHeight="1" x14ac:dyDescent="0.2">
      <c r="C829" s="69"/>
    </row>
    <row r="830" spans="2:70" ht="15" customHeight="1" x14ac:dyDescent="0.2">
      <c r="C830" s="69"/>
    </row>
    <row r="831" spans="2:70" ht="15" customHeight="1" x14ac:dyDescent="0.2">
      <c r="C831" s="69"/>
    </row>
    <row r="832" spans="2:70" ht="15" customHeight="1" x14ac:dyDescent="0.2">
      <c r="C832" s="69"/>
    </row>
    <row r="833" spans="3:70" ht="15" customHeight="1" x14ac:dyDescent="0.2">
      <c r="C833" s="69"/>
    </row>
    <row r="834" spans="3:70" ht="15" customHeight="1" x14ac:dyDescent="0.2">
      <c r="C834" s="69"/>
    </row>
    <row r="835" spans="3:70" ht="15" customHeight="1" x14ac:dyDescent="0.2">
      <c r="C835" s="69"/>
    </row>
    <row r="836" spans="3:70" ht="15" customHeight="1" x14ac:dyDescent="0.2">
      <c r="C836" s="69"/>
    </row>
    <row r="837" spans="3:70" ht="15" customHeight="1" x14ac:dyDescent="0.2">
      <c r="C837" s="69"/>
    </row>
    <row r="838" spans="3:70" ht="15" customHeight="1" x14ac:dyDescent="0.2">
      <c r="C838" s="69"/>
    </row>
    <row r="839" spans="3:70" ht="15" customHeight="1" x14ac:dyDescent="0.2">
      <c r="C839" s="69"/>
    </row>
    <row r="840" spans="3:70" ht="15" customHeight="1" x14ac:dyDescent="0.2">
      <c r="C840" s="69"/>
    </row>
    <row r="841" spans="3:70" ht="15" customHeight="1" x14ac:dyDescent="0.2">
      <c r="C841" s="69"/>
    </row>
    <row r="842" spans="3:70" ht="15" customHeight="1" x14ac:dyDescent="0.2">
      <c r="C842" s="316" t="str">
        <f>"Figure "&amp;Inputs!B14&amp;"-2:  Factored Strength 1 Flexural Demand to Capacity Ratio"</f>
        <v>Figure C.1-2:  Factored Strength 1 Flexural Demand to Capacity Ratio</v>
      </c>
      <c r="D842" s="317"/>
      <c r="E842" s="317"/>
      <c r="F842" s="317"/>
      <c r="G842" s="317"/>
      <c r="H842" s="317"/>
      <c r="I842" s="317"/>
      <c r="J842" s="317"/>
      <c r="K842" s="317"/>
      <c r="L842" s="317"/>
      <c r="M842" s="317"/>
      <c r="N842" s="317"/>
      <c r="O842" s="317"/>
      <c r="P842" s="317"/>
      <c r="Q842" s="317"/>
      <c r="R842" s="317"/>
      <c r="S842" s="317"/>
      <c r="T842" s="317"/>
      <c r="U842" s="317"/>
      <c r="V842" s="317"/>
      <c r="W842" s="317"/>
      <c r="X842" s="317"/>
      <c r="Y842" s="317"/>
      <c r="Z842" s="317"/>
      <c r="AA842" s="317"/>
      <c r="AB842" s="317"/>
      <c r="AC842" s="317"/>
      <c r="AD842" s="317"/>
      <c r="AE842" s="317"/>
      <c r="AF842" s="317"/>
      <c r="AG842" s="317"/>
      <c r="AH842" s="317"/>
      <c r="AI842" s="317"/>
      <c r="AJ842" s="317"/>
      <c r="AK842" s="317"/>
      <c r="AL842" s="317"/>
      <c r="AM842" s="317"/>
      <c r="AN842" s="317"/>
      <c r="AO842" s="317"/>
      <c r="AP842" s="317"/>
      <c r="AQ842" s="317"/>
      <c r="AR842" s="317"/>
      <c r="AS842" s="317"/>
      <c r="AT842" s="317"/>
      <c r="AU842" s="317"/>
      <c r="AV842" s="317"/>
      <c r="AW842" s="317"/>
      <c r="AX842" s="317"/>
      <c r="AY842" s="317"/>
      <c r="AZ842" s="317"/>
      <c r="BA842" s="317"/>
      <c r="BB842" s="317"/>
      <c r="BC842" s="317"/>
      <c r="BD842" s="317"/>
      <c r="BE842" s="317"/>
      <c r="BF842" s="317"/>
      <c r="BG842" s="317"/>
      <c r="BH842" s="317"/>
      <c r="BI842" s="317"/>
      <c r="BJ842" s="317"/>
      <c r="BK842" s="317"/>
      <c r="BL842" s="317"/>
      <c r="BM842" s="317"/>
      <c r="BN842" s="317"/>
      <c r="BO842" s="317"/>
      <c r="BP842" s="317"/>
      <c r="BQ842" s="317"/>
      <c r="BR842" s="317"/>
    </row>
    <row r="843" spans="3:70" ht="15" customHeight="1" x14ac:dyDescent="0.2"/>
    <row r="844" spans="3:70" ht="15" customHeight="1" x14ac:dyDescent="0.2"/>
    <row r="845" spans="3:70" ht="15" customHeight="1" x14ac:dyDescent="0.2"/>
    <row r="846" spans="3:70" ht="15" customHeight="1" x14ac:dyDescent="0.2"/>
    <row r="847" spans="3:70" ht="15" customHeight="1" x14ac:dyDescent="0.2"/>
    <row r="848" spans="3:70"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5"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5" customHeight="1" x14ac:dyDescent="0.2"/>
    <row r="890" ht="15" customHeight="1" x14ac:dyDescent="0.2"/>
    <row r="891" ht="15" customHeight="1" x14ac:dyDescent="0.2"/>
    <row r="892" ht="15" customHeight="1" x14ac:dyDescent="0.2"/>
    <row r="893" ht="15" customHeight="1" x14ac:dyDescent="0.2"/>
    <row r="894" ht="15" customHeight="1" x14ac:dyDescent="0.2"/>
    <row r="895" ht="15" customHeight="1" x14ac:dyDescent="0.2"/>
    <row r="896"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ht="15" customHeight="1" x14ac:dyDescent="0.2"/>
    <row r="1090" ht="15" customHeight="1" x14ac:dyDescent="0.2"/>
    <row r="1091" ht="15" customHeight="1" x14ac:dyDescent="0.2"/>
    <row r="1092" ht="15" customHeight="1" x14ac:dyDescent="0.2"/>
    <row r="1093" ht="15" customHeight="1" x14ac:dyDescent="0.2"/>
    <row r="1094" ht="15" customHeight="1" x14ac:dyDescent="0.2"/>
    <row r="1095" ht="15" customHeight="1" x14ac:dyDescent="0.2"/>
    <row r="1096" ht="15" customHeight="1" x14ac:dyDescent="0.2"/>
    <row r="1097" ht="15" customHeight="1" x14ac:dyDescent="0.2"/>
    <row r="1098" ht="15" customHeight="1" x14ac:dyDescent="0.2"/>
    <row r="1099" ht="15"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sheetData>
  <sortState xmlns:xlrd2="http://schemas.microsoft.com/office/spreadsheetml/2017/richdata2" ref="I136:J144">
    <sortCondition ref="I136:I144"/>
  </sortState>
  <mergeCells count="9501">
    <mergeCell ref="BO771:BQ771"/>
    <mergeCell ref="BO752:BQ752"/>
    <mergeCell ref="BO753:BQ753"/>
    <mergeCell ref="BO754:BQ754"/>
    <mergeCell ref="BO721:BQ721"/>
    <mergeCell ref="BO722:BQ722"/>
    <mergeCell ref="BO723:BQ723"/>
    <mergeCell ref="BO724:BQ724"/>
    <mergeCell ref="BO725:BQ725"/>
    <mergeCell ref="BO734:BQ734"/>
    <mergeCell ref="BO735:BQ735"/>
    <mergeCell ref="BO736:BQ736"/>
    <mergeCell ref="BO737:BQ737"/>
    <mergeCell ref="BO738:BQ738"/>
    <mergeCell ref="BO739:BQ739"/>
    <mergeCell ref="BO740:BQ740"/>
    <mergeCell ref="BO741:BQ741"/>
    <mergeCell ref="BO742:BQ742"/>
    <mergeCell ref="BO750:BQ750"/>
    <mergeCell ref="BO751:BQ751"/>
    <mergeCell ref="BO730:BQ730"/>
    <mergeCell ref="BO731:BQ731"/>
    <mergeCell ref="BO732:BQ732"/>
    <mergeCell ref="BO733:BQ733"/>
    <mergeCell ref="G35:BQ41"/>
    <mergeCell ref="I84:BQ86"/>
    <mergeCell ref="I77:BQ78"/>
    <mergeCell ref="BO772:BQ772"/>
    <mergeCell ref="BO773:BQ773"/>
    <mergeCell ref="BO755:BQ755"/>
    <mergeCell ref="BO756:BQ756"/>
    <mergeCell ref="BO757:BQ757"/>
    <mergeCell ref="BO758:BQ758"/>
    <mergeCell ref="BO759:BQ759"/>
    <mergeCell ref="BO760:BQ760"/>
    <mergeCell ref="BO761:BQ761"/>
    <mergeCell ref="BO762:BQ762"/>
    <mergeCell ref="BO763:BQ763"/>
    <mergeCell ref="BO764:BQ764"/>
    <mergeCell ref="BO765:BQ765"/>
    <mergeCell ref="BO766:BQ766"/>
    <mergeCell ref="BO767:BQ767"/>
    <mergeCell ref="BO768:BQ768"/>
    <mergeCell ref="BO769:BQ769"/>
    <mergeCell ref="BO770:BQ770"/>
    <mergeCell ref="BO743:BQ743"/>
    <mergeCell ref="BO744:BQ744"/>
    <mergeCell ref="BO745:BQ745"/>
    <mergeCell ref="BO746:BQ746"/>
    <mergeCell ref="BO747:BQ747"/>
    <mergeCell ref="BO748:BQ748"/>
    <mergeCell ref="BO749:BQ749"/>
    <mergeCell ref="BO704:BQ704"/>
    <mergeCell ref="BO705:BQ705"/>
    <mergeCell ref="BO706:BQ706"/>
    <mergeCell ref="BO707:BQ707"/>
    <mergeCell ref="BO708:BQ708"/>
    <mergeCell ref="BO709:BQ709"/>
    <mergeCell ref="BO710:BQ710"/>
    <mergeCell ref="BO711:BQ711"/>
    <mergeCell ref="BO712:BQ712"/>
    <mergeCell ref="BO713:BQ713"/>
    <mergeCell ref="BO714:BQ714"/>
    <mergeCell ref="BO715:BQ715"/>
    <mergeCell ref="BO716:BQ716"/>
    <mergeCell ref="BO717:BQ717"/>
    <mergeCell ref="BO718:BQ718"/>
    <mergeCell ref="BO719:BQ719"/>
    <mergeCell ref="BO720:BQ720"/>
    <mergeCell ref="BO726:BQ726"/>
    <mergeCell ref="BO727:BQ727"/>
    <mergeCell ref="BO728:BQ728"/>
    <mergeCell ref="BO729:BQ729"/>
    <mergeCell ref="BL770:BN770"/>
    <mergeCell ref="BL771:BN771"/>
    <mergeCell ref="BL772:BN772"/>
    <mergeCell ref="BL773:BN773"/>
    <mergeCell ref="BO676:BQ676"/>
    <mergeCell ref="BO677:BQ677"/>
    <mergeCell ref="BO678:BQ678"/>
    <mergeCell ref="BO679:BQ679"/>
    <mergeCell ref="BO680:BQ680"/>
    <mergeCell ref="BO681:BQ681"/>
    <mergeCell ref="BO682:BQ682"/>
    <mergeCell ref="BO683:BQ683"/>
    <mergeCell ref="BO684:BQ684"/>
    <mergeCell ref="BO685:BQ685"/>
    <mergeCell ref="BO686:BQ686"/>
    <mergeCell ref="BO687:BQ687"/>
    <mergeCell ref="BO688:BQ688"/>
    <mergeCell ref="BO689:BQ689"/>
    <mergeCell ref="BO690:BQ690"/>
    <mergeCell ref="BO691:BQ691"/>
    <mergeCell ref="BO692:BQ692"/>
    <mergeCell ref="BO693:BQ693"/>
    <mergeCell ref="BO694:BQ694"/>
    <mergeCell ref="BO695:BQ695"/>
    <mergeCell ref="BO696:BQ696"/>
    <mergeCell ref="BO697:BQ697"/>
    <mergeCell ref="BO698:BQ698"/>
    <mergeCell ref="BO699:BQ699"/>
    <mergeCell ref="BO700:BQ700"/>
    <mergeCell ref="BO701:BQ701"/>
    <mergeCell ref="BO702:BQ702"/>
    <mergeCell ref="BO703:BQ703"/>
    <mergeCell ref="BL753:BN753"/>
    <mergeCell ref="BL754:BN754"/>
    <mergeCell ref="BL755:BN755"/>
    <mergeCell ref="BL756:BN756"/>
    <mergeCell ref="BL757:BN757"/>
    <mergeCell ref="BL758:BN758"/>
    <mergeCell ref="BL759:BN759"/>
    <mergeCell ref="BL760:BN760"/>
    <mergeCell ref="BL761:BN761"/>
    <mergeCell ref="BL762:BN762"/>
    <mergeCell ref="BL763:BN763"/>
    <mergeCell ref="BL764:BN764"/>
    <mergeCell ref="BL765:BN765"/>
    <mergeCell ref="BL766:BN766"/>
    <mergeCell ref="BL767:BN767"/>
    <mergeCell ref="BL768:BN768"/>
    <mergeCell ref="BL769:BN769"/>
    <mergeCell ref="BL736:BN736"/>
    <mergeCell ref="BL737:BN737"/>
    <mergeCell ref="BL738:BN738"/>
    <mergeCell ref="BL739:BN739"/>
    <mergeCell ref="BL740:BN740"/>
    <mergeCell ref="BL741:BN741"/>
    <mergeCell ref="BL742:BN742"/>
    <mergeCell ref="BL743:BN743"/>
    <mergeCell ref="BL744:BN744"/>
    <mergeCell ref="BL745:BN745"/>
    <mergeCell ref="BL746:BN746"/>
    <mergeCell ref="BL747:BN747"/>
    <mergeCell ref="BL748:BN748"/>
    <mergeCell ref="BL749:BN749"/>
    <mergeCell ref="BL750:BN750"/>
    <mergeCell ref="BL751:BN751"/>
    <mergeCell ref="BL752:BN752"/>
    <mergeCell ref="BL719:BN719"/>
    <mergeCell ref="BL720:BN720"/>
    <mergeCell ref="BL721:BN721"/>
    <mergeCell ref="BL722:BN722"/>
    <mergeCell ref="BL723:BN723"/>
    <mergeCell ref="BL724:BN724"/>
    <mergeCell ref="BL725:BN725"/>
    <mergeCell ref="BL726:BN726"/>
    <mergeCell ref="BL727:BN727"/>
    <mergeCell ref="BL728:BN728"/>
    <mergeCell ref="BL729:BN729"/>
    <mergeCell ref="BL730:BN730"/>
    <mergeCell ref="BL731:BN731"/>
    <mergeCell ref="BL732:BN732"/>
    <mergeCell ref="BL733:BN733"/>
    <mergeCell ref="BL734:BN734"/>
    <mergeCell ref="BL735:BN735"/>
    <mergeCell ref="BL702:BN702"/>
    <mergeCell ref="BL703:BN703"/>
    <mergeCell ref="BL704:BN704"/>
    <mergeCell ref="BL705:BN705"/>
    <mergeCell ref="BL706:BN706"/>
    <mergeCell ref="BL707:BN707"/>
    <mergeCell ref="BL708:BN708"/>
    <mergeCell ref="BL709:BN709"/>
    <mergeCell ref="BL710:BN710"/>
    <mergeCell ref="BL711:BN711"/>
    <mergeCell ref="BL712:BN712"/>
    <mergeCell ref="BL713:BN713"/>
    <mergeCell ref="BL714:BN714"/>
    <mergeCell ref="BL715:BN715"/>
    <mergeCell ref="BL716:BN716"/>
    <mergeCell ref="BL717:BN717"/>
    <mergeCell ref="BL718:BN718"/>
    <mergeCell ref="BI768:BK768"/>
    <mergeCell ref="BI769:BK769"/>
    <mergeCell ref="BI770:BK770"/>
    <mergeCell ref="BI771:BK771"/>
    <mergeCell ref="BI772:BK772"/>
    <mergeCell ref="BI773:BK773"/>
    <mergeCell ref="BL676:BN676"/>
    <mergeCell ref="BL677:BN677"/>
    <mergeCell ref="BL678:BN678"/>
    <mergeCell ref="BL679:BN679"/>
    <mergeCell ref="BL680:BN680"/>
    <mergeCell ref="BL681:BN681"/>
    <mergeCell ref="BL682:BN682"/>
    <mergeCell ref="BL683:BN683"/>
    <mergeCell ref="BL684:BN684"/>
    <mergeCell ref="BL685:BN685"/>
    <mergeCell ref="BL686:BN686"/>
    <mergeCell ref="BL687:BN687"/>
    <mergeCell ref="BL688:BN688"/>
    <mergeCell ref="BL689:BN689"/>
    <mergeCell ref="BL690:BN690"/>
    <mergeCell ref="BL691:BN691"/>
    <mergeCell ref="BL692:BN692"/>
    <mergeCell ref="BL693:BN693"/>
    <mergeCell ref="BL694:BN694"/>
    <mergeCell ref="BL695:BN695"/>
    <mergeCell ref="BL696:BN696"/>
    <mergeCell ref="BL697:BN697"/>
    <mergeCell ref="BL698:BN698"/>
    <mergeCell ref="BL699:BN699"/>
    <mergeCell ref="BL700:BN700"/>
    <mergeCell ref="BL701:BN701"/>
    <mergeCell ref="BI751:BK751"/>
    <mergeCell ref="BI752:BK752"/>
    <mergeCell ref="BI753:BK753"/>
    <mergeCell ref="BI754:BK754"/>
    <mergeCell ref="BI755:BK755"/>
    <mergeCell ref="BI756:BK756"/>
    <mergeCell ref="BI757:BK757"/>
    <mergeCell ref="BI758:BK758"/>
    <mergeCell ref="BI759:BK759"/>
    <mergeCell ref="BI760:BK760"/>
    <mergeCell ref="BI761:BK761"/>
    <mergeCell ref="BI762:BK762"/>
    <mergeCell ref="BI763:BK763"/>
    <mergeCell ref="BI764:BK764"/>
    <mergeCell ref="BI765:BK765"/>
    <mergeCell ref="BI766:BK766"/>
    <mergeCell ref="BI767:BK767"/>
    <mergeCell ref="BI734:BK734"/>
    <mergeCell ref="BI735:BK735"/>
    <mergeCell ref="BI736:BK736"/>
    <mergeCell ref="BI737:BK737"/>
    <mergeCell ref="BI738:BK738"/>
    <mergeCell ref="BI739:BK739"/>
    <mergeCell ref="BI740:BK740"/>
    <mergeCell ref="BI741:BK741"/>
    <mergeCell ref="BI742:BK742"/>
    <mergeCell ref="BI743:BK743"/>
    <mergeCell ref="BI744:BK744"/>
    <mergeCell ref="BI745:BK745"/>
    <mergeCell ref="BI746:BK746"/>
    <mergeCell ref="BI747:BK747"/>
    <mergeCell ref="BI748:BK748"/>
    <mergeCell ref="BI749:BK749"/>
    <mergeCell ref="BI750:BK750"/>
    <mergeCell ref="BI717:BK717"/>
    <mergeCell ref="BI718:BK718"/>
    <mergeCell ref="BI719:BK719"/>
    <mergeCell ref="BI720:BK720"/>
    <mergeCell ref="BI721:BK721"/>
    <mergeCell ref="BI722:BK722"/>
    <mergeCell ref="BI723:BK723"/>
    <mergeCell ref="BI724:BK724"/>
    <mergeCell ref="BI725:BK725"/>
    <mergeCell ref="BI726:BK726"/>
    <mergeCell ref="BI727:BK727"/>
    <mergeCell ref="BI728:BK728"/>
    <mergeCell ref="BI729:BK729"/>
    <mergeCell ref="BI730:BK730"/>
    <mergeCell ref="BI731:BK731"/>
    <mergeCell ref="BI732:BK732"/>
    <mergeCell ref="BI733:BK733"/>
    <mergeCell ref="BI700:BK700"/>
    <mergeCell ref="BI701:BK701"/>
    <mergeCell ref="BI702:BK702"/>
    <mergeCell ref="BI703:BK703"/>
    <mergeCell ref="BI704:BK704"/>
    <mergeCell ref="BI705:BK705"/>
    <mergeCell ref="BI706:BK706"/>
    <mergeCell ref="BI707:BK707"/>
    <mergeCell ref="BI708:BK708"/>
    <mergeCell ref="BI709:BK709"/>
    <mergeCell ref="BI710:BK710"/>
    <mergeCell ref="BI711:BK711"/>
    <mergeCell ref="BI712:BK712"/>
    <mergeCell ref="BI713:BK713"/>
    <mergeCell ref="BI714:BK714"/>
    <mergeCell ref="BI715:BK715"/>
    <mergeCell ref="BI716:BK716"/>
    <mergeCell ref="BG766:BH766"/>
    <mergeCell ref="BG767:BH767"/>
    <mergeCell ref="BG768:BH768"/>
    <mergeCell ref="BG769:BH769"/>
    <mergeCell ref="BG770:BH770"/>
    <mergeCell ref="BG771:BH771"/>
    <mergeCell ref="BG772:BH772"/>
    <mergeCell ref="BG773:BH773"/>
    <mergeCell ref="BI676:BK676"/>
    <mergeCell ref="BI677:BK677"/>
    <mergeCell ref="BI678:BK678"/>
    <mergeCell ref="BI679:BK679"/>
    <mergeCell ref="BI680:BK680"/>
    <mergeCell ref="BI681:BK681"/>
    <mergeCell ref="BI682:BK682"/>
    <mergeCell ref="BI683:BK683"/>
    <mergeCell ref="BI684:BK684"/>
    <mergeCell ref="BI685:BK685"/>
    <mergeCell ref="BI686:BK686"/>
    <mergeCell ref="BI687:BK687"/>
    <mergeCell ref="BI688:BK688"/>
    <mergeCell ref="BI689:BK689"/>
    <mergeCell ref="BI690:BK690"/>
    <mergeCell ref="BI691:BK691"/>
    <mergeCell ref="BI692:BK692"/>
    <mergeCell ref="BI693:BK693"/>
    <mergeCell ref="BI694:BK694"/>
    <mergeCell ref="BI695:BK695"/>
    <mergeCell ref="BI696:BK696"/>
    <mergeCell ref="BI697:BK697"/>
    <mergeCell ref="BI698:BK698"/>
    <mergeCell ref="BI699:BK699"/>
    <mergeCell ref="BG749:BH749"/>
    <mergeCell ref="BG750:BH750"/>
    <mergeCell ref="BG751:BH751"/>
    <mergeCell ref="BG752:BH752"/>
    <mergeCell ref="BG753:BH753"/>
    <mergeCell ref="BG754:BH754"/>
    <mergeCell ref="BG755:BH755"/>
    <mergeCell ref="BG756:BH756"/>
    <mergeCell ref="BG757:BH757"/>
    <mergeCell ref="BG758:BH758"/>
    <mergeCell ref="BG759:BH759"/>
    <mergeCell ref="BG760:BH760"/>
    <mergeCell ref="BG761:BH761"/>
    <mergeCell ref="BG762:BH762"/>
    <mergeCell ref="BG763:BH763"/>
    <mergeCell ref="BG764:BH764"/>
    <mergeCell ref="BG765:BH765"/>
    <mergeCell ref="BG732:BH732"/>
    <mergeCell ref="BG733:BH733"/>
    <mergeCell ref="BG734:BH734"/>
    <mergeCell ref="BG735:BH735"/>
    <mergeCell ref="BG736:BH736"/>
    <mergeCell ref="BG737:BH737"/>
    <mergeCell ref="BG738:BH738"/>
    <mergeCell ref="BG739:BH739"/>
    <mergeCell ref="BG740:BH740"/>
    <mergeCell ref="BG741:BH741"/>
    <mergeCell ref="BG742:BH742"/>
    <mergeCell ref="BG743:BH743"/>
    <mergeCell ref="BG744:BH744"/>
    <mergeCell ref="BG745:BH745"/>
    <mergeCell ref="BG746:BH746"/>
    <mergeCell ref="BG747:BH747"/>
    <mergeCell ref="BG748:BH748"/>
    <mergeCell ref="BG715:BH715"/>
    <mergeCell ref="BG716:BH716"/>
    <mergeCell ref="BG717:BH717"/>
    <mergeCell ref="BG718:BH718"/>
    <mergeCell ref="BG719:BH719"/>
    <mergeCell ref="BG720:BH720"/>
    <mergeCell ref="BG721:BH721"/>
    <mergeCell ref="BG722:BH722"/>
    <mergeCell ref="BG723:BH723"/>
    <mergeCell ref="BG724:BH724"/>
    <mergeCell ref="BG725:BH725"/>
    <mergeCell ref="BG726:BH726"/>
    <mergeCell ref="BG727:BH727"/>
    <mergeCell ref="BG728:BH728"/>
    <mergeCell ref="BG729:BH729"/>
    <mergeCell ref="BG730:BH730"/>
    <mergeCell ref="BG731:BH731"/>
    <mergeCell ref="BG698:BH698"/>
    <mergeCell ref="BG699:BH699"/>
    <mergeCell ref="BG700:BH700"/>
    <mergeCell ref="BG701:BH701"/>
    <mergeCell ref="BG702:BH702"/>
    <mergeCell ref="BG703:BH703"/>
    <mergeCell ref="BG704:BH704"/>
    <mergeCell ref="BG705:BH705"/>
    <mergeCell ref="BG706:BH706"/>
    <mergeCell ref="BG707:BH707"/>
    <mergeCell ref="BG708:BH708"/>
    <mergeCell ref="BG709:BH709"/>
    <mergeCell ref="BG710:BH710"/>
    <mergeCell ref="BG711:BH711"/>
    <mergeCell ref="BG712:BH712"/>
    <mergeCell ref="BG713:BH713"/>
    <mergeCell ref="BG714:BH714"/>
    <mergeCell ref="BE764:BF764"/>
    <mergeCell ref="BE765:BF765"/>
    <mergeCell ref="BE766:BF766"/>
    <mergeCell ref="BE767:BF767"/>
    <mergeCell ref="BE768:BF768"/>
    <mergeCell ref="BE769:BF769"/>
    <mergeCell ref="BE770:BF770"/>
    <mergeCell ref="BE771:BF771"/>
    <mergeCell ref="BE772:BF772"/>
    <mergeCell ref="BE773:BF773"/>
    <mergeCell ref="BG676:BH676"/>
    <mergeCell ref="BG677:BH677"/>
    <mergeCell ref="BG678:BH678"/>
    <mergeCell ref="BG679:BH679"/>
    <mergeCell ref="BG680:BH680"/>
    <mergeCell ref="BG681:BH681"/>
    <mergeCell ref="BG682:BH682"/>
    <mergeCell ref="BG683:BH683"/>
    <mergeCell ref="BG684:BH684"/>
    <mergeCell ref="BG685:BH685"/>
    <mergeCell ref="BG686:BH686"/>
    <mergeCell ref="BG687:BH687"/>
    <mergeCell ref="BG688:BH688"/>
    <mergeCell ref="BG689:BH689"/>
    <mergeCell ref="BG690:BH690"/>
    <mergeCell ref="BG691:BH691"/>
    <mergeCell ref="BG692:BH692"/>
    <mergeCell ref="BG693:BH693"/>
    <mergeCell ref="BG694:BH694"/>
    <mergeCell ref="BG695:BH695"/>
    <mergeCell ref="BG696:BH696"/>
    <mergeCell ref="BG697:BH697"/>
    <mergeCell ref="BE747:BF747"/>
    <mergeCell ref="BE748:BF748"/>
    <mergeCell ref="BE749:BF749"/>
    <mergeCell ref="BE750:BF750"/>
    <mergeCell ref="BE751:BF751"/>
    <mergeCell ref="BE752:BF752"/>
    <mergeCell ref="BE753:BF753"/>
    <mergeCell ref="BE754:BF754"/>
    <mergeCell ref="BE755:BF755"/>
    <mergeCell ref="BE756:BF756"/>
    <mergeCell ref="BE757:BF757"/>
    <mergeCell ref="BE758:BF758"/>
    <mergeCell ref="BE759:BF759"/>
    <mergeCell ref="BE760:BF760"/>
    <mergeCell ref="BE761:BF761"/>
    <mergeCell ref="BE762:BF762"/>
    <mergeCell ref="BE763:BF763"/>
    <mergeCell ref="BE730:BF730"/>
    <mergeCell ref="BE731:BF731"/>
    <mergeCell ref="BE732:BF732"/>
    <mergeCell ref="BE733:BF733"/>
    <mergeCell ref="BE734:BF734"/>
    <mergeCell ref="BE735:BF735"/>
    <mergeCell ref="BE736:BF736"/>
    <mergeCell ref="BE737:BF737"/>
    <mergeCell ref="BE738:BF738"/>
    <mergeCell ref="BE739:BF739"/>
    <mergeCell ref="BE740:BF740"/>
    <mergeCell ref="BE741:BF741"/>
    <mergeCell ref="BE742:BF742"/>
    <mergeCell ref="BE743:BF743"/>
    <mergeCell ref="BE744:BF744"/>
    <mergeCell ref="BE745:BF745"/>
    <mergeCell ref="BE746:BF746"/>
    <mergeCell ref="BE713:BF713"/>
    <mergeCell ref="BE714:BF714"/>
    <mergeCell ref="BE715:BF715"/>
    <mergeCell ref="BE716:BF716"/>
    <mergeCell ref="BE717:BF717"/>
    <mergeCell ref="BE718:BF718"/>
    <mergeCell ref="BE719:BF719"/>
    <mergeCell ref="BE720:BF720"/>
    <mergeCell ref="BE721:BF721"/>
    <mergeCell ref="BE722:BF722"/>
    <mergeCell ref="BE723:BF723"/>
    <mergeCell ref="BE724:BF724"/>
    <mergeCell ref="BE725:BF725"/>
    <mergeCell ref="BE726:BF726"/>
    <mergeCell ref="BE727:BF727"/>
    <mergeCell ref="BE728:BF728"/>
    <mergeCell ref="BE729:BF729"/>
    <mergeCell ref="BE696:BF696"/>
    <mergeCell ref="BE697:BF697"/>
    <mergeCell ref="BE698:BF698"/>
    <mergeCell ref="BE699:BF699"/>
    <mergeCell ref="BE700:BF700"/>
    <mergeCell ref="BE701:BF701"/>
    <mergeCell ref="BE702:BF702"/>
    <mergeCell ref="BE703:BF703"/>
    <mergeCell ref="BE704:BF704"/>
    <mergeCell ref="BE705:BF705"/>
    <mergeCell ref="BE706:BF706"/>
    <mergeCell ref="BE707:BF707"/>
    <mergeCell ref="BE708:BF708"/>
    <mergeCell ref="BE709:BF709"/>
    <mergeCell ref="BE710:BF710"/>
    <mergeCell ref="BE711:BF711"/>
    <mergeCell ref="BE712:BF712"/>
    <mergeCell ref="BC762:BD762"/>
    <mergeCell ref="BC763:BD763"/>
    <mergeCell ref="BC764:BD764"/>
    <mergeCell ref="BC765:BD765"/>
    <mergeCell ref="BC766:BD766"/>
    <mergeCell ref="BC767:BD767"/>
    <mergeCell ref="BC768:BD768"/>
    <mergeCell ref="BC769:BD769"/>
    <mergeCell ref="BC770:BD770"/>
    <mergeCell ref="BC771:BD771"/>
    <mergeCell ref="BC772:BD772"/>
    <mergeCell ref="BC773:BD773"/>
    <mergeCell ref="BE676:BF676"/>
    <mergeCell ref="BE677:BF677"/>
    <mergeCell ref="BE678:BF678"/>
    <mergeCell ref="BE679:BF679"/>
    <mergeCell ref="BE680:BF680"/>
    <mergeCell ref="BE681:BF681"/>
    <mergeCell ref="BE682:BF682"/>
    <mergeCell ref="BE683:BF683"/>
    <mergeCell ref="BE684:BF684"/>
    <mergeCell ref="BE685:BF685"/>
    <mergeCell ref="BE686:BF686"/>
    <mergeCell ref="BE687:BF687"/>
    <mergeCell ref="BE688:BF688"/>
    <mergeCell ref="BE689:BF689"/>
    <mergeCell ref="BE690:BF690"/>
    <mergeCell ref="BE691:BF691"/>
    <mergeCell ref="BE692:BF692"/>
    <mergeCell ref="BE693:BF693"/>
    <mergeCell ref="BE694:BF694"/>
    <mergeCell ref="BE695:BF695"/>
    <mergeCell ref="BC745:BD745"/>
    <mergeCell ref="BC746:BD746"/>
    <mergeCell ref="BC747:BD747"/>
    <mergeCell ref="BC748:BD748"/>
    <mergeCell ref="BC749:BD749"/>
    <mergeCell ref="BC750:BD750"/>
    <mergeCell ref="BC751:BD751"/>
    <mergeCell ref="BC752:BD752"/>
    <mergeCell ref="BC753:BD753"/>
    <mergeCell ref="BC754:BD754"/>
    <mergeCell ref="BC755:BD755"/>
    <mergeCell ref="BC756:BD756"/>
    <mergeCell ref="BC757:BD757"/>
    <mergeCell ref="BC758:BD758"/>
    <mergeCell ref="BC759:BD759"/>
    <mergeCell ref="BC760:BD760"/>
    <mergeCell ref="BC761:BD761"/>
    <mergeCell ref="BC728:BD728"/>
    <mergeCell ref="BC729:BD729"/>
    <mergeCell ref="BC730:BD730"/>
    <mergeCell ref="BC731:BD731"/>
    <mergeCell ref="BC732:BD732"/>
    <mergeCell ref="BC733:BD733"/>
    <mergeCell ref="BC734:BD734"/>
    <mergeCell ref="BC735:BD735"/>
    <mergeCell ref="BC736:BD736"/>
    <mergeCell ref="BC737:BD737"/>
    <mergeCell ref="BC738:BD738"/>
    <mergeCell ref="BC739:BD739"/>
    <mergeCell ref="BC740:BD740"/>
    <mergeCell ref="BC741:BD741"/>
    <mergeCell ref="BC742:BD742"/>
    <mergeCell ref="BC743:BD743"/>
    <mergeCell ref="BC744:BD744"/>
    <mergeCell ref="BC711:BD711"/>
    <mergeCell ref="BC712:BD712"/>
    <mergeCell ref="BC713:BD713"/>
    <mergeCell ref="BC714:BD714"/>
    <mergeCell ref="BC715:BD715"/>
    <mergeCell ref="BC716:BD716"/>
    <mergeCell ref="BC717:BD717"/>
    <mergeCell ref="BC718:BD718"/>
    <mergeCell ref="BC719:BD719"/>
    <mergeCell ref="BC720:BD720"/>
    <mergeCell ref="BC721:BD721"/>
    <mergeCell ref="BC722:BD722"/>
    <mergeCell ref="BC723:BD723"/>
    <mergeCell ref="BC724:BD724"/>
    <mergeCell ref="BC725:BD725"/>
    <mergeCell ref="BC726:BD726"/>
    <mergeCell ref="BC727:BD727"/>
    <mergeCell ref="BC694:BD694"/>
    <mergeCell ref="BC695:BD695"/>
    <mergeCell ref="BC696:BD696"/>
    <mergeCell ref="BC697:BD697"/>
    <mergeCell ref="BC698:BD698"/>
    <mergeCell ref="BC699:BD699"/>
    <mergeCell ref="BC700:BD700"/>
    <mergeCell ref="BC701:BD701"/>
    <mergeCell ref="BC702:BD702"/>
    <mergeCell ref="BC703:BD703"/>
    <mergeCell ref="BC704:BD704"/>
    <mergeCell ref="BC705:BD705"/>
    <mergeCell ref="BC706:BD706"/>
    <mergeCell ref="BC707:BD707"/>
    <mergeCell ref="BC708:BD708"/>
    <mergeCell ref="BC709:BD709"/>
    <mergeCell ref="BC710:BD710"/>
    <mergeCell ref="BA760:BB760"/>
    <mergeCell ref="BA761:BB761"/>
    <mergeCell ref="BA762:BB762"/>
    <mergeCell ref="BA763:BB763"/>
    <mergeCell ref="BA764:BB764"/>
    <mergeCell ref="BA765:BB765"/>
    <mergeCell ref="BA766:BB766"/>
    <mergeCell ref="BA767:BB767"/>
    <mergeCell ref="BA768:BB768"/>
    <mergeCell ref="BA769:BB769"/>
    <mergeCell ref="BA770:BB770"/>
    <mergeCell ref="BA771:BB771"/>
    <mergeCell ref="BA772:BB772"/>
    <mergeCell ref="BA773:BB773"/>
    <mergeCell ref="BC676:BD676"/>
    <mergeCell ref="BC677:BD677"/>
    <mergeCell ref="BC678:BD678"/>
    <mergeCell ref="BC679:BD679"/>
    <mergeCell ref="BC680:BD680"/>
    <mergeCell ref="BC681:BD681"/>
    <mergeCell ref="BC682:BD682"/>
    <mergeCell ref="BC683:BD683"/>
    <mergeCell ref="BC684:BD684"/>
    <mergeCell ref="BC685:BD685"/>
    <mergeCell ref="BC686:BD686"/>
    <mergeCell ref="BC687:BD687"/>
    <mergeCell ref="BC688:BD688"/>
    <mergeCell ref="BC689:BD689"/>
    <mergeCell ref="BC690:BD690"/>
    <mergeCell ref="BC691:BD691"/>
    <mergeCell ref="BC692:BD692"/>
    <mergeCell ref="BC693:BD693"/>
    <mergeCell ref="BA743:BB743"/>
    <mergeCell ref="BA744:BB744"/>
    <mergeCell ref="BA745:BB745"/>
    <mergeCell ref="BA746:BB746"/>
    <mergeCell ref="BA747:BB747"/>
    <mergeCell ref="BA748:BB748"/>
    <mergeCell ref="BA749:BB749"/>
    <mergeCell ref="BA750:BB750"/>
    <mergeCell ref="BA751:BB751"/>
    <mergeCell ref="BA752:BB752"/>
    <mergeCell ref="BA753:BB753"/>
    <mergeCell ref="BA754:BB754"/>
    <mergeCell ref="BA755:BB755"/>
    <mergeCell ref="BA756:BB756"/>
    <mergeCell ref="BA757:BB757"/>
    <mergeCell ref="BA758:BB758"/>
    <mergeCell ref="BA759:BB759"/>
    <mergeCell ref="BA726:BB726"/>
    <mergeCell ref="BA727:BB727"/>
    <mergeCell ref="BA728:BB728"/>
    <mergeCell ref="BA729:BB729"/>
    <mergeCell ref="BA730:BB730"/>
    <mergeCell ref="BA731:BB731"/>
    <mergeCell ref="BA732:BB732"/>
    <mergeCell ref="BA733:BB733"/>
    <mergeCell ref="BA734:BB734"/>
    <mergeCell ref="BA735:BB735"/>
    <mergeCell ref="BA736:BB736"/>
    <mergeCell ref="BA737:BB737"/>
    <mergeCell ref="BA738:BB738"/>
    <mergeCell ref="BA739:BB739"/>
    <mergeCell ref="BA740:BB740"/>
    <mergeCell ref="BA741:BB741"/>
    <mergeCell ref="BA742:BB742"/>
    <mergeCell ref="BA709:BB709"/>
    <mergeCell ref="BA710:BB710"/>
    <mergeCell ref="BA711:BB711"/>
    <mergeCell ref="BA712:BB712"/>
    <mergeCell ref="BA713:BB713"/>
    <mergeCell ref="BA714:BB714"/>
    <mergeCell ref="BA715:BB715"/>
    <mergeCell ref="BA716:BB716"/>
    <mergeCell ref="BA717:BB717"/>
    <mergeCell ref="BA718:BB718"/>
    <mergeCell ref="BA719:BB719"/>
    <mergeCell ref="BA720:BB720"/>
    <mergeCell ref="BA721:BB721"/>
    <mergeCell ref="BA722:BB722"/>
    <mergeCell ref="BA723:BB723"/>
    <mergeCell ref="BA724:BB724"/>
    <mergeCell ref="BA725:BB725"/>
    <mergeCell ref="BA692:BB692"/>
    <mergeCell ref="BA693:BB693"/>
    <mergeCell ref="BA694:BB694"/>
    <mergeCell ref="BA695:BB695"/>
    <mergeCell ref="BA696:BB696"/>
    <mergeCell ref="BA697:BB697"/>
    <mergeCell ref="BA698:BB698"/>
    <mergeCell ref="BA699:BB699"/>
    <mergeCell ref="BA700:BB700"/>
    <mergeCell ref="BA701:BB701"/>
    <mergeCell ref="BA702:BB702"/>
    <mergeCell ref="BA703:BB703"/>
    <mergeCell ref="BA704:BB704"/>
    <mergeCell ref="BA705:BB705"/>
    <mergeCell ref="BA706:BB706"/>
    <mergeCell ref="BA707:BB707"/>
    <mergeCell ref="BA708:BB708"/>
    <mergeCell ref="AY758:AZ758"/>
    <mergeCell ref="AY759:AZ759"/>
    <mergeCell ref="AY760:AZ760"/>
    <mergeCell ref="AY761:AZ761"/>
    <mergeCell ref="AY762:AZ762"/>
    <mergeCell ref="AY763:AZ763"/>
    <mergeCell ref="AY764:AZ764"/>
    <mergeCell ref="AY765:AZ765"/>
    <mergeCell ref="AY766:AZ766"/>
    <mergeCell ref="AY767:AZ767"/>
    <mergeCell ref="AY768:AZ768"/>
    <mergeCell ref="AY769:AZ769"/>
    <mergeCell ref="AY770:AZ770"/>
    <mergeCell ref="AY771:AZ771"/>
    <mergeCell ref="AY772:AZ772"/>
    <mergeCell ref="AY773:AZ773"/>
    <mergeCell ref="BA676:BB676"/>
    <mergeCell ref="BA677:BB677"/>
    <mergeCell ref="BA678:BB678"/>
    <mergeCell ref="BA679:BB679"/>
    <mergeCell ref="BA680:BB680"/>
    <mergeCell ref="BA681:BB681"/>
    <mergeCell ref="BA682:BB682"/>
    <mergeCell ref="BA683:BB683"/>
    <mergeCell ref="BA684:BB684"/>
    <mergeCell ref="BA685:BB685"/>
    <mergeCell ref="BA686:BB686"/>
    <mergeCell ref="BA687:BB687"/>
    <mergeCell ref="BA688:BB688"/>
    <mergeCell ref="BA689:BB689"/>
    <mergeCell ref="BA690:BB690"/>
    <mergeCell ref="BA691:BB691"/>
    <mergeCell ref="AY741:AZ741"/>
    <mergeCell ref="AY742:AZ742"/>
    <mergeCell ref="AY743:AZ743"/>
    <mergeCell ref="AY744:AZ744"/>
    <mergeCell ref="AY745:AZ745"/>
    <mergeCell ref="AY746:AZ746"/>
    <mergeCell ref="AY747:AZ747"/>
    <mergeCell ref="AY748:AZ748"/>
    <mergeCell ref="AY749:AZ749"/>
    <mergeCell ref="AY750:AZ750"/>
    <mergeCell ref="AY751:AZ751"/>
    <mergeCell ref="AY752:AZ752"/>
    <mergeCell ref="AY753:AZ753"/>
    <mergeCell ref="AY754:AZ754"/>
    <mergeCell ref="AY755:AZ755"/>
    <mergeCell ref="AY756:AZ756"/>
    <mergeCell ref="AY757:AZ757"/>
    <mergeCell ref="AY724:AZ724"/>
    <mergeCell ref="AY725:AZ725"/>
    <mergeCell ref="AY726:AZ726"/>
    <mergeCell ref="AY727:AZ727"/>
    <mergeCell ref="AY728:AZ728"/>
    <mergeCell ref="AY729:AZ729"/>
    <mergeCell ref="AY730:AZ730"/>
    <mergeCell ref="AY731:AZ731"/>
    <mergeCell ref="AY732:AZ732"/>
    <mergeCell ref="AY733:AZ733"/>
    <mergeCell ref="AY734:AZ734"/>
    <mergeCell ref="AY735:AZ735"/>
    <mergeCell ref="AY736:AZ736"/>
    <mergeCell ref="AY737:AZ737"/>
    <mergeCell ref="AY738:AZ738"/>
    <mergeCell ref="AY739:AZ739"/>
    <mergeCell ref="AY740:AZ740"/>
    <mergeCell ref="AY707:AZ707"/>
    <mergeCell ref="AY708:AZ708"/>
    <mergeCell ref="AY709:AZ709"/>
    <mergeCell ref="AY710:AZ710"/>
    <mergeCell ref="AY711:AZ711"/>
    <mergeCell ref="AY712:AZ712"/>
    <mergeCell ref="AY713:AZ713"/>
    <mergeCell ref="AY714:AZ714"/>
    <mergeCell ref="AY715:AZ715"/>
    <mergeCell ref="AY716:AZ716"/>
    <mergeCell ref="AY717:AZ717"/>
    <mergeCell ref="AY718:AZ718"/>
    <mergeCell ref="AY719:AZ719"/>
    <mergeCell ref="AY720:AZ720"/>
    <mergeCell ref="AY721:AZ721"/>
    <mergeCell ref="AY722:AZ722"/>
    <mergeCell ref="AY723:AZ723"/>
    <mergeCell ref="AW773:AX773"/>
    <mergeCell ref="AY676:AZ676"/>
    <mergeCell ref="AY677:AZ677"/>
    <mergeCell ref="AY678:AZ678"/>
    <mergeCell ref="AY679:AZ679"/>
    <mergeCell ref="AY680:AZ680"/>
    <mergeCell ref="AY681:AZ681"/>
    <mergeCell ref="AY682:AZ682"/>
    <mergeCell ref="AY683:AZ683"/>
    <mergeCell ref="AY684:AZ684"/>
    <mergeCell ref="AY685:AZ685"/>
    <mergeCell ref="AY686:AZ686"/>
    <mergeCell ref="AY687:AZ687"/>
    <mergeCell ref="AY688:AZ688"/>
    <mergeCell ref="AY689:AZ689"/>
    <mergeCell ref="AY690:AZ690"/>
    <mergeCell ref="AY691:AZ691"/>
    <mergeCell ref="AY692:AZ692"/>
    <mergeCell ref="AY693:AZ693"/>
    <mergeCell ref="AY694:AZ694"/>
    <mergeCell ref="AY695:AZ695"/>
    <mergeCell ref="AY696:AZ696"/>
    <mergeCell ref="AY697:AZ697"/>
    <mergeCell ref="AY698:AZ698"/>
    <mergeCell ref="AY699:AZ699"/>
    <mergeCell ref="AY700:AZ700"/>
    <mergeCell ref="AY701:AZ701"/>
    <mergeCell ref="AY702:AZ702"/>
    <mergeCell ref="AY703:AZ703"/>
    <mergeCell ref="AY704:AZ704"/>
    <mergeCell ref="AY705:AZ705"/>
    <mergeCell ref="AY706:AZ706"/>
    <mergeCell ref="AW756:AX756"/>
    <mergeCell ref="AW757:AX757"/>
    <mergeCell ref="AW758:AX758"/>
    <mergeCell ref="AW759:AX759"/>
    <mergeCell ref="AW760:AX760"/>
    <mergeCell ref="AW761:AX761"/>
    <mergeCell ref="AW762:AX762"/>
    <mergeCell ref="AW763:AX763"/>
    <mergeCell ref="AW764:AX764"/>
    <mergeCell ref="AW765:AX765"/>
    <mergeCell ref="AW766:AX766"/>
    <mergeCell ref="AW767:AX767"/>
    <mergeCell ref="AW768:AX768"/>
    <mergeCell ref="AW769:AX769"/>
    <mergeCell ref="AW770:AX770"/>
    <mergeCell ref="AW771:AX771"/>
    <mergeCell ref="AW772:AX772"/>
    <mergeCell ref="AW739:AX739"/>
    <mergeCell ref="AW740:AX740"/>
    <mergeCell ref="AW741:AX741"/>
    <mergeCell ref="AW742:AX742"/>
    <mergeCell ref="AW743:AX743"/>
    <mergeCell ref="AW744:AX744"/>
    <mergeCell ref="AW745:AX745"/>
    <mergeCell ref="AW746:AX746"/>
    <mergeCell ref="AW747:AX747"/>
    <mergeCell ref="AW748:AX748"/>
    <mergeCell ref="AW749:AX749"/>
    <mergeCell ref="AW750:AX750"/>
    <mergeCell ref="AW751:AX751"/>
    <mergeCell ref="AW752:AX752"/>
    <mergeCell ref="AW753:AX753"/>
    <mergeCell ref="AW754:AX754"/>
    <mergeCell ref="AW755:AX755"/>
    <mergeCell ref="AW722:AX722"/>
    <mergeCell ref="AW723:AX723"/>
    <mergeCell ref="AW724:AX724"/>
    <mergeCell ref="AW725:AX725"/>
    <mergeCell ref="AW726:AX726"/>
    <mergeCell ref="AW727:AX727"/>
    <mergeCell ref="AW728:AX728"/>
    <mergeCell ref="AW729:AX729"/>
    <mergeCell ref="AW730:AX730"/>
    <mergeCell ref="AW731:AX731"/>
    <mergeCell ref="AW732:AX732"/>
    <mergeCell ref="AW733:AX733"/>
    <mergeCell ref="AW734:AX734"/>
    <mergeCell ref="AW735:AX735"/>
    <mergeCell ref="AW736:AX736"/>
    <mergeCell ref="AW737:AX737"/>
    <mergeCell ref="AW738:AX738"/>
    <mergeCell ref="AW705:AX705"/>
    <mergeCell ref="AW706:AX706"/>
    <mergeCell ref="AW707:AX707"/>
    <mergeCell ref="AW708:AX708"/>
    <mergeCell ref="AW709:AX709"/>
    <mergeCell ref="AW710:AX710"/>
    <mergeCell ref="AW711:AX711"/>
    <mergeCell ref="AW712:AX712"/>
    <mergeCell ref="AW713:AX713"/>
    <mergeCell ref="AW714:AX714"/>
    <mergeCell ref="AW715:AX715"/>
    <mergeCell ref="AW716:AX716"/>
    <mergeCell ref="AW717:AX717"/>
    <mergeCell ref="AW718:AX718"/>
    <mergeCell ref="AW719:AX719"/>
    <mergeCell ref="AW720:AX720"/>
    <mergeCell ref="AW721:AX721"/>
    <mergeCell ref="AU771:AV771"/>
    <mergeCell ref="AU772:AV772"/>
    <mergeCell ref="AU773:AV773"/>
    <mergeCell ref="AW676:AX676"/>
    <mergeCell ref="AW677:AX677"/>
    <mergeCell ref="AW678:AX678"/>
    <mergeCell ref="AW679:AX679"/>
    <mergeCell ref="AW680:AX680"/>
    <mergeCell ref="AW681:AX681"/>
    <mergeCell ref="AW682:AX682"/>
    <mergeCell ref="AW683:AX683"/>
    <mergeCell ref="AW684:AX684"/>
    <mergeCell ref="AW685:AX685"/>
    <mergeCell ref="AW686:AX686"/>
    <mergeCell ref="AW687:AX687"/>
    <mergeCell ref="AW688:AX688"/>
    <mergeCell ref="AW689:AX689"/>
    <mergeCell ref="AW690:AX690"/>
    <mergeCell ref="AW691:AX691"/>
    <mergeCell ref="AW692:AX692"/>
    <mergeCell ref="AW693:AX693"/>
    <mergeCell ref="AW694:AX694"/>
    <mergeCell ref="AW695:AX695"/>
    <mergeCell ref="AW696:AX696"/>
    <mergeCell ref="AW697:AX697"/>
    <mergeCell ref="AW698:AX698"/>
    <mergeCell ref="AW699:AX699"/>
    <mergeCell ref="AW700:AX700"/>
    <mergeCell ref="AW701:AX701"/>
    <mergeCell ref="AW702:AX702"/>
    <mergeCell ref="AW703:AX703"/>
    <mergeCell ref="AW704:AX704"/>
    <mergeCell ref="AU754:AV754"/>
    <mergeCell ref="AU755:AV755"/>
    <mergeCell ref="AU756:AV756"/>
    <mergeCell ref="AU757:AV757"/>
    <mergeCell ref="AU758:AV758"/>
    <mergeCell ref="AU759:AV759"/>
    <mergeCell ref="AU760:AV760"/>
    <mergeCell ref="AU761:AV761"/>
    <mergeCell ref="AU762:AV762"/>
    <mergeCell ref="AU763:AV763"/>
    <mergeCell ref="AU764:AV764"/>
    <mergeCell ref="AU765:AV765"/>
    <mergeCell ref="AU766:AV766"/>
    <mergeCell ref="AU767:AV767"/>
    <mergeCell ref="AU768:AV768"/>
    <mergeCell ref="AU769:AV769"/>
    <mergeCell ref="AU770:AV770"/>
    <mergeCell ref="AU737:AV737"/>
    <mergeCell ref="AU738:AV738"/>
    <mergeCell ref="AU739:AV739"/>
    <mergeCell ref="AU740:AV740"/>
    <mergeCell ref="AU741:AV741"/>
    <mergeCell ref="AU742:AV742"/>
    <mergeCell ref="AU743:AV743"/>
    <mergeCell ref="AU744:AV744"/>
    <mergeCell ref="AU745:AV745"/>
    <mergeCell ref="AU746:AV746"/>
    <mergeCell ref="AU747:AV747"/>
    <mergeCell ref="AU748:AV748"/>
    <mergeCell ref="AU749:AV749"/>
    <mergeCell ref="AU750:AV750"/>
    <mergeCell ref="AU751:AV751"/>
    <mergeCell ref="AU752:AV752"/>
    <mergeCell ref="AU753:AV753"/>
    <mergeCell ref="AU720:AV720"/>
    <mergeCell ref="AU721:AV721"/>
    <mergeCell ref="AU722:AV722"/>
    <mergeCell ref="AU723:AV723"/>
    <mergeCell ref="AU724:AV724"/>
    <mergeCell ref="AU725:AV725"/>
    <mergeCell ref="AU726:AV726"/>
    <mergeCell ref="AU727:AV727"/>
    <mergeCell ref="AU728:AV728"/>
    <mergeCell ref="AU729:AV729"/>
    <mergeCell ref="AU730:AV730"/>
    <mergeCell ref="AU731:AV731"/>
    <mergeCell ref="AU732:AV732"/>
    <mergeCell ref="AU733:AV733"/>
    <mergeCell ref="AU734:AV734"/>
    <mergeCell ref="AU735:AV735"/>
    <mergeCell ref="AU736:AV736"/>
    <mergeCell ref="AU703:AV703"/>
    <mergeCell ref="AU704:AV704"/>
    <mergeCell ref="AU705:AV705"/>
    <mergeCell ref="AU706:AV706"/>
    <mergeCell ref="AU707:AV707"/>
    <mergeCell ref="AU708:AV708"/>
    <mergeCell ref="AU709:AV709"/>
    <mergeCell ref="AU710:AV710"/>
    <mergeCell ref="AU711:AV711"/>
    <mergeCell ref="AU712:AV712"/>
    <mergeCell ref="AU713:AV713"/>
    <mergeCell ref="AU714:AV714"/>
    <mergeCell ref="AU715:AV715"/>
    <mergeCell ref="AU716:AV716"/>
    <mergeCell ref="AU717:AV717"/>
    <mergeCell ref="AU718:AV718"/>
    <mergeCell ref="AU719:AV719"/>
    <mergeCell ref="AS769:AT769"/>
    <mergeCell ref="AS770:AT770"/>
    <mergeCell ref="AS771:AT771"/>
    <mergeCell ref="AS772:AT772"/>
    <mergeCell ref="AS773:AT773"/>
    <mergeCell ref="AU676:AV676"/>
    <mergeCell ref="AU677:AV677"/>
    <mergeCell ref="AU678:AV678"/>
    <mergeCell ref="AU679:AV679"/>
    <mergeCell ref="AU680:AV680"/>
    <mergeCell ref="AU681:AV681"/>
    <mergeCell ref="AU682:AV682"/>
    <mergeCell ref="AU683:AV683"/>
    <mergeCell ref="AU684:AV684"/>
    <mergeCell ref="AU685:AV685"/>
    <mergeCell ref="AU686:AV686"/>
    <mergeCell ref="AU687:AV687"/>
    <mergeCell ref="AU688:AV688"/>
    <mergeCell ref="AU689:AV689"/>
    <mergeCell ref="AU690:AV690"/>
    <mergeCell ref="AU691:AV691"/>
    <mergeCell ref="AU692:AV692"/>
    <mergeCell ref="AU693:AV693"/>
    <mergeCell ref="AU694:AV694"/>
    <mergeCell ref="AU695:AV695"/>
    <mergeCell ref="AU696:AV696"/>
    <mergeCell ref="AU697:AV697"/>
    <mergeCell ref="AU698:AV698"/>
    <mergeCell ref="AU699:AV699"/>
    <mergeCell ref="AU700:AV700"/>
    <mergeCell ref="AU701:AV701"/>
    <mergeCell ref="AU702:AV702"/>
    <mergeCell ref="AS752:AT752"/>
    <mergeCell ref="AS753:AT753"/>
    <mergeCell ref="AS754:AT754"/>
    <mergeCell ref="AS755:AT755"/>
    <mergeCell ref="AS756:AT756"/>
    <mergeCell ref="AS757:AT757"/>
    <mergeCell ref="AS758:AT758"/>
    <mergeCell ref="AS759:AT759"/>
    <mergeCell ref="AS760:AT760"/>
    <mergeCell ref="AS761:AT761"/>
    <mergeCell ref="AS762:AT762"/>
    <mergeCell ref="AS763:AT763"/>
    <mergeCell ref="AS764:AT764"/>
    <mergeCell ref="AS765:AT765"/>
    <mergeCell ref="AS766:AT766"/>
    <mergeCell ref="AS767:AT767"/>
    <mergeCell ref="AS768:AT768"/>
    <mergeCell ref="AS735:AT735"/>
    <mergeCell ref="AS736:AT736"/>
    <mergeCell ref="AS737:AT737"/>
    <mergeCell ref="AS738:AT738"/>
    <mergeCell ref="AS739:AT739"/>
    <mergeCell ref="AS740:AT740"/>
    <mergeCell ref="AS741:AT741"/>
    <mergeCell ref="AS742:AT742"/>
    <mergeCell ref="AS743:AT743"/>
    <mergeCell ref="AS744:AT744"/>
    <mergeCell ref="AS745:AT745"/>
    <mergeCell ref="AS746:AT746"/>
    <mergeCell ref="AS747:AT747"/>
    <mergeCell ref="AS748:AT748"/>
    <mergeCell ref="AS749:AT749"/>
    <mergeCell ref="AS750:AT750"/>
    <mergeCell ref="AS751:AT751"/>
    <mergeCell ref="AS718:AT718"/>
    <mergeCell ref="AS719:AT719"/>
    <mergeCell ref="AS720:AT720"/>
    <mergeCell ref="AS721:AT721"/>
    <mergeCell ref="AS722:AT722"/>
    <mergeCell ref="AS723:AT723"/>
    <mergeCell ref="AS724:AT724"/>
    <mergeCell ref="AS725:AT725"/>
    <mergeCell ref="AS726:AT726"/>
    <mergeCell ref="AS727:AT727"/>
    <mergeCell ref="AS728:AT728"/>
    <mergeCell ref="AS729:AT729"/>
    <mergeCell ref="AS730:AT730"/>
    <mergeCell ref="AS731:AT731"/>
    <mergeCell ref="AS732:AT732"/>
    <mergeCell ref="AS733:AT733"/>
    <mergeCell ref="AS734:AT734"/>
    <mergeCell ref="AS701:AT701"/>
    <mergeCell ref="AS702:AT702"/>
    <mergeCell ref="AS703:AT703"/>
    <mergeCell ref="AS704:AT704"/>
    <mergeCell ref="AS705:AT705"/>
    <mergeCell ref="AS706:AT706"/>
    <mergeCell ref="AS707:AT707"/>
    <mergeCell ref="AS708:AT708"/>
    <mergeCell ref="AS709:AT709"/>
    <mergeCell ref="AS710:AT710"/>
    <mergeCell ref="AS711:AT711"/>
    <mergeCell ref="AS712:AT712"/>
    <mergeCell ref="AS713:AT713"/>
    <mergeCell ref="AS714:AT714"/>
    <mergeCell ref="AS715:AT715"/>
    <mergeCell ref="AS716:AT716"/>
    <mergeCell ref="AS717:AT717"/>
    <mergeCell ref="AQ767:AR767"/>
    <mergeCell ref="AQ768:AR768"/>
    <mergeCell ref="AQ769:AR769"/>
    <mergeCell ref="AQ770:AR770"/>
    <mergeCell ref="AQ771:AR771"/>
    <mergeCell ref="AQ772:AR772"/>
    <mergeCell ref="AQ773:AR773"/>
    <mergeCell ref="AS676:AT676"/>
    <mergeCell ref="AS677:AT677"/>
    <mergeCell ref="AS678:AT678"/>
    <mergeCell ref="AS679:AT679"/>
    <mergeCell ref="AS680:AT680"/>
    <mergeCell ref="AS681:AT681"/>
    <mergeCell ref="AS682:AT682"/>
    <mergeCell ref="AS683:AT683"/>
    <mergeCell ref="AS684:AT684"/>
    <mergeCell ref="AS685:AT685"/>
    <mergeCell ref="AS686:AT686"/>
    <mergeCell ref="AS687:AT687"/>
    <mergeCell ref="AS688:AT688"/>
    <mergeCell ref="AS689:AT689"/>
    <mergeCell ref="AS690:AT690"/>
    <mergeCell ref="AS691:AT691"/>
    <mergeCell ref="AS692:AT692"/>
    <mergeCell ref="AS693:AT693"/>
    <mergeCell ref="AS694:AT694"/>
    <mergeCell ref="AS695:AT695"/>
    <mergeCell ref="AS696:AT696"/>
    <mergeCell ref="AS697:AT697"/>
    <mergeCell ref="AS698:AT698"/>
    <mergeCell ref="AS699:AT699"/>
    <mergeCell ref="AS700:AT700"/>
    <mergeCell ref="AQ750:AR750"/>
    <mergeCell ref="AQ751:AR751"/>
    <mergeCell ref="AQ752:AR752"/>
    <mergeCell ref="AQ753:AR753"/>
    <mergeCell ref="AQ754:AR754"/>
    <mergeCell ref="AQ755:AR755"/>
    <mergeCell ref="AQ756:AR756"/>
    <mergeCell ref="AQ757:AR757"/>
    <mergeCell ref="AQ758:AR758"/>
    <mergeCell ref="AQ759:AR759"/>
    <mergeCell ref="AQ760:AR760"/>
    <mergeCell ref="AQ761:AR761"/>
    <mergeCell ref="AQ762:AR762"/>
    <mergeCell ref="AQ763:AR763"/>
    <mergeCell ref="AQ764:AR764"/>
    <mergeCell ref="AQ765:AR765"/>
    <mergeCell ref="AQ766:AR766"/>
    <mergeCell ref="AQ733:AR733"/>
    <mergeCell ref="AQ734:AR734"/>
    <mergeCell ref="AQ735:AR735"/>
    <mergeCell ref="AQ736:AR736"/>
    <mergeCell ref="AQ737:AR737"/>
    <mergeCell ref="AQ738:AR738"/>
    <mergeCell ref="AQ739:AR739"/>
    <mergeCell ref="AQ740:AR740"/>
    <mergeCell ref="AQ741:AR741"/>
    <mergeCell ref="AQ742:AR742"/>
    <mergeCell ref="AQ743:AR743"/>
    <mergeCell ref="AQ744:AR744"/>
    <mergeCell ref="AQ745:AR745"/>
    <mergeCell ref="AQ746:AR746"/>
    <mergeCell ref="AQ747:AR747"/>
    <mergeCell ref="AQ748:AR748"/>
    <mergeCell ref="AQ749:AR749"/>
    <mergeCell ref="AQ716:AR716"/>
    <mergeCell ref="AQ717:AR717"/>
    <mergeCell ref="AQ718:AR718"/>
    <mergeCell ref="AQ719:AR719"/>
    <mergeCell ref="AQ720:AR720"/>
    <mergeCell ref="AQ721:AR721"/>
    <mergeCell ref="AQ722:AR722"/>
    <mergeCell ref="AQ723:AR723"/>
    <mergeCell ref="AQ724:AR724"/>
    <mergeCell ref="AQ725:AR725"/>
    <mergeCell ref="AQ726:AR726"/>
    <mergeCell ref="AQ727:AR727"/>
    <mergeCell ref="AQ728:AR728"/>
    <mergeCell ref="AQ729:AR729"/>
    <mergeCell ref="AQ730:AR730"/>
    <mergeCell ref="AQ731:AR731"/>
    <mergeCell ref="AQ732:AR732"/>
    <mergeCell ref="AQ699:AR699"/>
    <mergeCell ref="AQ700:AR700"/>
    <mergeCell ref="AQ701:AR701"/>
    <mergeCell ref="AQ702:AR702"/>
    <mergeCell ref="AQ703:AR703"/>
    <mergeCell ref="AQ704:AR704"/>
    <mergeCell ref="AQ705:AR705"/>
    <mergeCell ref="AQ706:AR706"/>
    <mergeCell ref="AQ707:AR707"/>
    <mergeCell ref="AQ708:AR708"/>
    <mergeCell ref="AQ709:AR709"/>
    <mergeCell ref="AQ710:AR710"/>
    <mergeCell ref="AQ711:AR711"/>
    <mergeCell ref="AQ712:AR712"/>
    <mergeCell ref="AQ713:AR713"/>
    <mergeCell ref="AQ714:AR714"/>
    <mergeCell ref="AQ715:AR715"/>
    <mergeCell ref="AO765:AP765"/>
    <mergeCell ref="AO766:AP766"/>
    <mergeCell ref="AO767:AP767"/>
    <mergeCell ref="AO768:AP768"/>
    <mergeCell ref="AO769:AP769"/>
    <mergeCell ref="AO770:AP770"/>
    <mergeCell ref="AO771:AP771"/>
    <mergeCell ref="AO772:AP772"/>
    <mergeCell ref="AO773:AP773"/>
    <mergeCell ref="AQ676:AR676"/>
    <mergeCell ref="AQ677:AR677"/>
    <mergeCell ref="AQ678:AR678"/>
    <mergeCell ref="AQ679:AR679"/>
    <mergeCell ref="AQ680:AR680"/>
    <mergeCell ref="AQ681:AR681"/>
    <mergeCell ref="AQ682:AR682"/>
    <mergeCell ref="AQ683:AR683"/>
    <mergeCell ref="AQ684:AR684"/>
    <mergeCell ref="AQ685:AR685"/>
    <mergeCell ref="AQ686:AR686"/>
    <mergeCell ref="AQ687:AR687"/>
    <mergeCell ref="AQ688:AR688"/>
    <mergeCell ref="AQ689:AR689"/>
    <mergeCell ref="AQ690:AR690"/>
    <mergeCell ref="AQ691:AR691"/>
    <mergeCell ref="AQ692:AR692"/>
    <mergeCell ref="AQ693:AR693"/>
    <mergeCell ref="AQ694:AR694"/>
    <mergeCell ref="AQ695:AR695"/>
    <mergeCell ref="AQ696:AR696"/>
    <mergeCell ref="AQ697:AR697"/>
    <mergeCell ref="AQ698:AR698"/>
    <mergeCell ref="AO748:AP748"/>
    <mergeCell ref="AO749:AP749"/>
    <mergeCell ref="AO750:AP750"/>
    <mergeCell ref="AO751:AP751"/>
    <mergeCell ref="AO752:AP752"/>
    <mergeCell ref="AO753:AP753"/>
    <mergeCell ref="AO754:AP754"/>
    <mergeCell ref="AO755:AP755"/>
    <mergeCell ref="AO756:AP756"/>
    <mergeCell ref="AO757:AP757"/>
    <mergeCell ref="AO758:AP758"/>
    <mergeCell ref="AO759:AP759"/>
    <mergeCell ref="AO760:AP760"/>
    <mergeCell ref="AO761:AP761"/>
    <mergeCell ref="AO762:AP762"/>
    <mergeCell ref="AO763:AP763"/>
    <mergeCell ref="AO764:AP764"/>
    <mergeCell ref="AO731:AP731"/>
    <mergeCell ref="AO732:AP732"/>
    <mergeCell ref="AO733:AP733"/>
    <mergeCell ref="AO734:AP734"/>
    <mergeCell ref="AO735:AP735"/>
    <mergeCell ref="AO736:AP736"/>
    <mergeCell ref="AO737:AP737"/>
    <mergeCell ref="AO738:AP738"/>
    <mergeCell ref="AO739:AP739"/>
    <mergeCell ref="AO740:AP740"/>
    <mergeCell ref="AO741:AP741"/>
    <mergeCell ref="AO742:AP742"/>
    <mergeCell ref="AO743:AP743"/>
    <mergeCell ref="AO744:AP744"/>
    <mergeCell ref="AO745:AP745"/>
    <mergeCell ref="AO746:AP746"/>
    <mergeCell ref="AO747:AP747"/>
    <mergeCell ref="AO714:AP714"/>
    <mergeCell ref="AO715:AP715"/>
    <mergeCell ref="AO716:AP716"/>
    <mergeCell ref="AO717:AP717"/>
    <mergeCell ref="AO718:AP718"/>
    <mergeCell ref="AO719:AP719"/>
    <mergeCell ref="AO720:AP720"/>
    <mergeCell ref="AO721:AP721"/>
    <mergeCell ref="AO722:AP722"/>
    <mergeCell ref="AO723:AP723"/>
    <mergeCell ref="AO724:AP724"/>
    <mergeCell ref="AO725:AP725"/>
    <mergeCell ref="AO726:AP726"/>
    <mergeCell ref="AO727:AP727"/>
    <mergeCell ref="AO728:AP728"/>
    <mergeCell ref="AO729:AP729"/>
    <mergeCell ref="AO730:AP730"/>
    <mergeCell ref="AO697:AP697"/>
    <mergeCell ref="AO698:AP698"/>
    <mergeCell ref="AO699:AP699"/>
    <mergeCell ref="AO700:AP700"/>
    <mergeCell ref="AO701:AP701"/>
    <mergeCell ref="AO702:AP702"/>
    <mergeCell ref="AO703:AP703"/>
    <mergeCell ref="AO704:AP704"/>
    <mergeCell ref="AO705:AP705"/>
    <mergeCell ref="AO706:AP706"/>
    <mergeCell ref="AO707:AP707"/>
    <mergeCell ref="AO708:AP708"/>
    <mergeCell ref="AO709:AP709"/>
    <mergeCell ref="AO710:AP710"/>
    <mergeCell ref="AO711:AP711"/>
    <mergeCell ref="AO712:AP712"/>
    <mergeCell ref="AO713:AP713"/>
    <mergeCell ref="AM763:AN763"/>
    <mergeCell ref="AM764:AN764"/>
    <mergeCell ref="AM765:AN765"/>
    <mergeCell ref="AM766:AN766"/>
    <mergeCell ref="AM767:AN767"/>
    <mergeCell ref="AM768:AN768"/>
    <mergeCell ref="AM769:AN769"/>
    <mergeCell ref="AM770:AN770"/>
    <mergeCell ref="AM771:AN771"/>
    <mergeCell ref="AM772:AN772"/>
    <mergeCell ref="AM773:AN773"/>
    <mergeCell ref="AO676:AP676"/>
    <mergeCell ref="AO677:AP677"/>
    <mergeCell ref="AO678:AP678"/>
    <mergeCell ref="AO679:AP679"/>
    <mergeCell ref="AO680:AP680"/>
    <mergeCell ref="AO681:AP681"/>
    <mergeCell ref="AO682:AP682"/>
    <mergeCell ref="AO683:AP683"/>
    <mergeCell ref="AO684:AP684"/>
    <mergeCell ref="AO685:AP685"/>
    <mergeCell ref="AO686:AP686"/>
    <mergeCell ref="AO687:AP687"/>
    <mergeCell ref="AO688:AP688"/>
    <mergeCell ref="AO689:AP689"/>
    <mergeCell ref="AO690:AP690"/>
    <mergeCell ref="AO691:AP691"/>
    <mergeCell ref="AO692:AP692"/>
    <mergeCell ref="AO693:AP693"/>
    <mergeCell ref="AO694:AP694"/>
    <mergeCell ref="AO695:AP695"/>
    <mergeCell ref="AO696:AP696"/>
    <mergeCell ref="AM746:AN746"/>
    <mergeCell ref="AM747:AN747"/>
    <mergeCell ref="AM748:AN748"/>
    <mergeCell ref="AM749:AN749"/>
    <mergeCell ref="AM750:AN750"/>
    <mergeCell ref="AM751:AN751"/>
    <mergeCell ref="AM752:AN752"/>
    <mergeCell ref="AM753:AN753"/>
    <mergeCell ref="AM754:AN754"/>
    <mergeCell ref="AM755:AN755"/>
    <mergeCell ref="AM756:AN756"/>
    <mergeCell ref="AM757:AN757"/>
    <mergeCell ref="AM758:AN758"/>
    <mergeCell ref="AM759:AN759"/>
    <mergeCell ref="AM760:AN760"/>
    <mergeCell ref="AM761:AN761"/>
    <mergeCell ref="AM762:AN762"/>
    <mergeCell ref="AM729:AN729"/>
    <mergeCell ref="AM730:AN730"/>
    <mergeCell ref="AM731:AN731"/>
    <mergeCell ref="AM732:AN732"/>
    <mergeCell ref="AM733:AN733"/>
    <mergeCell ref="AM734:AN734"/>
    <mergeCell ref="AM735:AN735"/>
    <mergeCell ref="AM736:AN736"/>
    <mergeCell ref="AM737:AN737"/>
    <mergeCell ref="AM738:AN738"/>
    <mergeCell ref="AM739:AN739"/>
    <mergeCell ref="AM740:AN740"/>
    <mergeCell ref="AM741:AN741"/>
    <mergeCell ref="AM742:AN742"/>
    <mergeCell ref="AM743:AN743"/>
    <mergeCell ref="AM744:AN744"/>
    <mergeCell ref="AM745:AN745"/>
    <mergeCell ref="AM712:AN712"/>
    <mergeCell ref="AM713:AN713"/>
    <mergeCell ref="AM714:AN714"/>
    <mergeCell ref="AM715:AN715"/>
    <mergeCell ref="AM716:AN716"/>
    <mergeCell ref="AM717:AN717"/>
    <mergeCell ref="AM718:AN718"/>
    <mergeCell ref="AM719:AN719"/>
    <mergeCell ref="AM720:AN720"/>
    <mergeCell ref="AM721:AN721"/>
    <mergeCell ref="AM722:AN722"/>
    <mergeCell ref="AM723:AN723"/>
    <mergeCell ref="AM724:AN724"/>
    <mergeCell ref="AM725:AN725"/>
    <mergeCell ref="AM726:AN726"/>
    <mergeCell ref="AM727:AN727"/>
    <mergeCell ref="AM728:AN728"/>
    <mergeCell ref="AM695:AN695"/>
    <mergeCell ref="AM696:AN696"/>
    <mergeCell ref="AM697:AN697"/>
    <mergeCell ref="AM698:AN698"/>
    <mergeCell ref="AM699:AN699"/>
    <mergeCell ref="AM700:AN700"/>
    <mergeCell ref="AM701:AN701"/>
    <mergeCell ref="AM702:AN702"/>
    <mergeCell ref="AM703:AN703"/>
    <mergeCell ref="AM704:AN704"/>
    <mergeCell ref="AM705:AN705"/>
    <mergeCell ref="AM706:AN706"/>
    <mergeCell ref="AM707:AN707"/>
    <mergeCell ref="AM708:AN708"/>
    <mergeCell ref="AM709:AN709"/>
    <mergeCell ref="AM710:AN710"/>
    <mergeCell ref="AM711:AN711"/>
    <mergeCell ref="AK761:AL761"/>
    <mergeCell ref="AK762:AL762"/>
    <mergeCell ref="AK763:AL763"/>
    <mergeCell ref="AK764:AL764"/>
    <mergeCell ref="AK765:AL765"/>
    <mergeCell ref="AK766:AL766"/>
    <mergeCell ref="AK767:AL767"/>
    <mergeCell ref="AK768:AL768"/>
    <mergeCell ref="AK769:AL769"/>
    <mergeCell ref="AK770:AL770"/>
    <mergeCell ref="AK771:AL771"/>
    <mergeCell ref="AK772:AL772"/>
    <mergeCell ref="AK773:AL773"/>
    <mergeCell ref="AM676:AN676"/>
    <mergeCell ref="AM677:AN677"/>
    <mergeCell ref="AM678:AN678"/>
    <mergeCell ref="AM679:AN679"/>
    <mergeCell ref="AM680:AN680"/>
    <mergeCell ref="AM681:AN681"/>
    <mergeCell ref="AM682:AN682"/>
    <mergeCell ref="AM683:AN683"/>
    <mergeCell ref="AM684:AN684"/>
    <mergeCell ref="AM685:AN685"/>
    <mergeCell ref="AM686:AN686"/>
    <mergeCell ref="AM687:AN687"/>
    <mergeCell ref="AM688:AN688"/>
    <mergeCell ref="AM689:AN689"/>
    <mergeCell ref="AM690:AN690"/>
    <mergeCell ref="AM691:AN691"/>
    <mergeCell ref="AM692:AN692"/>
    <mergeCell ref="AM693:AN693"/>
    <mergeCell ref="AM694:AN694"/>
    <mergeCell ref="AK744:AL744"/>
    <mergeCell ref="AK745:AL745"/>
    <mergeCell ref="AK746:AL746"/>
    <mergeCell ref="AK747:AL747"/>
    <mergeCell ref="AK748:AL748"/>
    <mergeCell ref="AK749:AL749"/>
    <mergeCell ref="AK750:AL750"/>
    <mergeCell ref="AK751:AL751"/>
    <mergeCell ref="AK752:AL752"/>
    <mergeCell ref="AK753:AL753"/>
    <mergeCell ref="AK754:AL754"/>
    <mergeCell ref="AK755:AL755"/>
    <mergeCell ref="AK756:AL756"/>
    <mergeCell ref="AK757:AL757"/>
    <mergeCell ref="AK758:AL758"/>
    <mergeCell ref="AK759:AL759"/>
    <mergeCell ref="AK760:AL760"/>
    <mergeCell ref="AK727:AL727"/>
    <mergeCell ref="AK728:AL728"/>
    <mergeCell ref="AK729:AL729"/>
    <mergeCell ref="AK730:AL730"/>
    <mergeCell ref="AK731:AL731"/>
    <mergeCell ref="AK732:AL732"/>
    <mergeCell ref="AK733:AL733"/>
    <mergeCell ref="AK734:AL734"/>
    <mergeCell ref="AK735:AL735"/>
    <mergeCell ref="AK736:AL736"/>
    <mergeCell ref="AK737:AL737"/>
    <mergeCell ref="AK738:AL738"/>
    <mergeCell ref="AK739:AL739"/>
    <mergeCell ref="AK740:AL740"/>
    <mergeCell ref="AK741:AL741"/>
    <mergeCell ref="AK742:AL742"/>
    <mergeCell ref="AK743:AL743"/>
    <mergeCell ref="AK710:AL710"/>
    <mergeCell ref="AK711:AL711"/>
    <mergeCell ref="AK712:AL712"/>
    <mergeCell ref="AK713:AL713"/>
    <mergeCell ref="AK714:AL714"/>
    <mergeCell ref="AK715:AL715"/>
    <mergeCell ref="AK716:AL716"/>
    <mergeCell ref="AK717:AL717"/>
    <mergeCell ref="AK718:AL718"/>
    <mergeCell ref="AK719:AL719"/>
    <mergeCell ref="AK720:AL720"/>
    <mergeCell ref="AK721:AL721"/>
    <mergeCell ref="AK722:AL722"/>
    <mergeCell ref="AK723:AL723"/>
    <mergeCell ref="AK724:AL724"/>
    <mergeCell ref="AK725:AL725"/>
    <mergeCell ref="AK726:AL726"/>
    <mergeCell ref="AK693:AL693"/>
    <mergeCell ref="AK694:AL694"/>
    <mergeCell ref="AK695:AL695"/>
    <mergeCell ref="AK696:AL696"/>
    <mergeCell ref="AK697:AL697"/>
    <mergeCell ref="AK698:AL698"/>
    <mergeCell ref="AK699:AL699"/>
    <mergeCell ref="AK700:AL700"/>
    <mergeCell ref="AK701:AL701"/>
    <mergeCell ref="AK702:AL702"/>
    <mergeCell ref="AK703:AL703"/>
    <mergeCell ref="AK704:AL704"/>
    <mergeCell ref="AK705:AL705"/>
    <mergeCell ref="AK706:AL706"/>
    <mergeCell ref="AK707:AL707"/>
    <mergeCell ref="AK708:AL708"/>
    <mergeCell ref="AK709:AL709"/>
    <mergeCell ref="F773:G773"/>
    <mergeCell ref="H773:I773"/>
    <mergeCell ref="J773:K773"/>
    <mergeCell ref="L773:M773"/>
    <mergeCell ref="N773:O773"/>
    <mergeCell ref="P773:Q773"/>
    <mergeCell ref="R773:S773"/>
    <mergeCell ref="T773:U773"/>
    <mergeCell ref="V773:W773"/>
    <mergeCell ref="X773:Y773"/>
    <mergeCell ref="Z773:AA773"/>
    <mergeCell ref="AB773:AC773"/>
    <mergeCell ref="AD773:AE773"/>
    <mergeCell ref="AF773:AG773"/>
    <mergeCell ref="AH773:AJ773"/>
    <mergeCell ref="AK676:AL676"/>
    <mergeCell ref="AK677:AL677"/>
    <mergeCell ref="AK678:AL678"/>
    <mergeCell ref="AK679:AL679"/>
    <mergeCell ref="AK680:AL680"/>
    <mergeCell ref="AK681:AL681"/>
    <mergeCell ref="AK682:AL682"/>
    <mergeCell ref="AK683:AL683"/>
    <mergeCell ref="AK684:AL684"/>
    <mergeCell ref="AK685:AL685"/>
    <mergeCell ref="AK686:AL686"/>
    <mergeCell ref="AK687:AL687"/>
    <mergeCell ref="AK688:AL688"/>
    <mergeCell ref="AK689:AL689"/>
    <mergeCell ref="AK690:AL690"/>
    <mergeCell ref="AK691:AL691"/>
    <mergeCell ref="AK692:AL692"/>
    <mergeCell ref="F771:G771"/>
    <mergeCell ref="H771:I771"/>
    <mergeCell ref="J771:K771"/>
    <mergeCell ref="L771:M771"/>
    <mergeCell ref="N771:O771"/>
    <mergeCell ref="P771:Q771"/>
    <mergeCell ref="R771:S771"/>
    <mergeCell ref="T771:U771"/>
    <mergeCell ref="V771:W771"/>
    <mergeCell ref="X771:Y771"/>
    <mergeCell ref="Z771:AA771"/>
    <mergeCell ref="AB771:AC771"/>
    <mergeCell ref="AD771:AE771"/>
    <mergeCell ref="AF771:AG771"/>
    <mergeCell ref="AH771:AJ771"/>
    <mergeCell ref="F772:G772"/>
    <mergeCell ref="H772:I772"/>
    <mergeCell ref="J772:K772"/>
    <mergeCell ref="L772:M772"/>
    <mergeCell ref="N772:O772"/>
    <mergeCell ref="P772:Q772"/>
    <mergeCell ref="R772:S772"/>
    <mergeCell ref="T772:U772"/>
    <mergeCell ref="V772:W772"/>
    <mergeCell ref="X772:Y772"/>
    <mergeCell ref="Z772:AA772"/>
    <mergeCell ref="AB772:AC772"/>
    <mergeCell ref="AD772:AE772"/>
    <mergeCell ref="AF772:AG772"/>
    <mergeCell ref="AH772:AJ772"/>
    <mergeCell ref="F769:G769"/>
    <mergeCell ref="H769:I769"/>
    <mergeCell ref="J769:K769"/>
    <mergeCell ref="L769:M769"/>
    <mergeCell ref="N769:O769"/>
    <mergeCell ref="P769:Q769"/>
    <mergeCell ref="R769:S769"/>
    <mergeCell ref="T769:U769"/>
    <mergeCell ref="V769:W769"/>
    <mergeCell ref="X769:Y769"/>
    <mergeCell ref="Z769:AA769"/>
    <mergeCell ref="AB769:AC769"/>
    <mergeCell ref="AD769:AE769"/>
    <mergeCell ref="AF769:AG769"/>
    <mergeCell ref="AH769:AJ769"/>
    <mergeCell ref="F770:G770"/>
    <mergeCell ref="H770:I770"/>
    <mergeCell ref="J770:K770"/>
    <mergeCell ref="L770:M770"/>
    <mergeCell ref="N770:O770"/>
    <mergeCell ref="P770:Q770"/>
    <mergeCell ref="R770:S770"/>
    <mergeCell ref="T770:U770"/>
    <mergeCell ref="V770:W770"/>
    <mergeCell ref="X770:Y770"/>
    <mergeCell ref="Z770:AA770"/>
    <mergeCell ref="AB770:AC770"/>
    <mergeCell ref="AD770:AE770"/>
    <mergeCell ref="AF770:AG770"/>
    <mergeCell ref="AH770:AJ770"/>
    <mergeCell ref="F767:G767"/>
    <mergeCell ref="H767:I767"/>
    <mergeCell ref="J767:K767"/>
    <mergeCell ref="L767:M767"/>
    <mergeCell ref="N767:O767"/>
    <mergeCell ref="P767:Q767"/>
    <mergeCell ref="R767:S767"/>
    <mergeCell ref="T767:U767"/>
    <mergeCell ref="V767:W767"/>
    <mergeCell ref="X767:Y767"/>
    <mergeCell ref="Z767:AA767"/>
    <mergeCell ref="AB767:AC767"/>
    <mergeCell ref="AD767:AE767"/>
    <mergeCell ref="AF767:AG767"/>
    <mergeCell ref="AH767:AJ767"/>
    <mergeCell ref="F768:G768"/>
    <mergeCell ref="H768:I768"/>
    <mergeCell ref="J768:K768"/>
    <mergeCell ref="L768:M768"/>
    <mergeCell ref="N768:O768"/>
    <mergeCell ref="P768:Q768"/>
    <mergeCell ref="R768:S768"/>
    <mergeCell ref="T768:U768"/>
    <mergeCell ref="V768:W768"/>
    <mergeCell ref="X768:Y768"/>
    <mergeCell ref="Z768:AA768"/>
    <mergeCell ref="AB768:AC768"/>
    <mergeCell ref="AD768:AE768"/>
    <mergeCell ref="AF768:AG768"/>
    <mergeCell ref="AH768:AJ768"/>
    <mergeCell ref="F765:G765"/>
    <mergeCell ref="H765:I765"/>
    <mergeCell ref="J765:K765"/>
    <mergeCell ref="L765:M765"/>
    <mergeCell ref="N765:O765"/>
    <mergeCell ref="P765:Q765"/>
    <mergeCell ref="R765:S765"/>
    <mergeCell ref="T765:U765"/>
    <mergeCell ref="V765:W765"/>
    <mergeCell ref="X765:Y765"/>
    <mergeCell ref="Z765:AA765"/>
    <mergeCell ref="AB765:AC765"/>
    <mergeCell ref="AD765:AE765"/>
    <mergeCell ref="AF765:AG765"/>
    <mergeCell ref="AH765:AJ765"/>
    <mergeCell ref="F766:G766"/>
    <mergeCell ref="H766:I766"/>
    <mergeCell ref="J766:K766"/>
    <mergeCell ref="L766:M766"/>
    <mergeCell ref="N766:O766"/>
    <mergeCell ref="P766:Q766"/>
    <mergeCell ref="R766:S766"/>
    <mergeCell ref="T766:U766"/>
    <mergeCell ref="V766:W766"/>
    <mergeCell ref="X766:Y766"/>
    <mergeCell ref="Z766:AA766"/>
    <mergeCell ref="AB766:AC766"/>
    <mergeCell ref="AD766:AE766"/>
    <mergeCell ref="AF766:AG766"/>
    <mergeCell ref="AH766:AJ766"/>
    <mergeCell ref="F763:G763"/>
    <mergeCell ref="H763:I763"/>
    <mergeCell ref="J763:K763"/>
    <mergeCell ref="L763:M763"/>
    <mergeCell ref="N763:O763"/>
    <mergeCell ref="P763:Q763"/>
    <mergeCell ref="R763:S763"/>
    <mergeCell ref="T763:U763"/>
    <mergeCell ref="V763:W763"/>
    <mergeCell ref="X763:Y763"/>
    <mergeCell ref="Z763:AA763"/>
    <mergeCell ref="AB763:AC763"/>
    <mergeCell ref="AD763:AE763"/>
    <mergeCell ref="AF763:AG763"/>
    <mergeCell ref="AH763:AJ763"/>
    <mergeCell ref="F764:G764"/>
    <mergeCell ref="H764:I764"/>
    <mergeCell ref="J764:K764"/>
    <mergeCell ref="L764:M764"/>
    <mergeCell ref="N764:O764"/>
    <mergeCell ref="P764:Q764"/>
    <mergeCell ref="R764:S764"/>
    <mergeCell ref="T764:U764"/>
    <mergeCell ref="V764:W764"/>
    <mergeCell ref="X764:Y764"/>
    <mergeCell ref="Z764:AA764"/>
    <mergeCell ref="AB764:AC764"/>
    <mergeCell ref="AD764:AE764"/>
    <mergeCell ref="AF764:AG764"/>
    <mergeCell ref="AH764:AJ764"/>
    <mergeCell ref="F761:G761"/>
    <mergeCell ref="H761:I761"/>
    <mergeCell ref="J761:K761"/>
    <mergeCell ref="L761:M761"/>
    <mergeCell ref="N761:O761"/>
    <mergeCell ref="P761:Q761"/>
    <mergeCell ref="R761:S761"/>
    <mergeCell ref="T761:U761"/>
    <mergeCell ref="V761:W761"/>
    <mergeCell ref="X761:Y761"/>
    <mergeCell ref="Z761:AA761"/>
    <mergeCell ref="AB761:AC761"/>
    <mergeCell ref="AD761:AE761"/>
    <mergeCell ref="AF761:AG761"/>
    <mergeCell ref="AH761:AJ761"/>
    <mergeCell ref="F762:G762"/>
    <mergeCell ref="H762:I762"/>
    <mergeCell ref="J762:K762"/>
    <mergeCell ref="L762:M762"/>
    <mergeCell ref="N762:O762"/>
    <mergeCell ref="P762:Q762"/>
    <mergeCell ref="R762:S762"/>
    <mergeCell ref="T762:U762"/>
    <mergeCell ref="V762:W762"/>
    <mergeCell ref="X762:Y762"/>
    <mergeCell ref="Z762:AA762"/>
    <mergeCell ref="AB762:AC762"/>
    <mergeCell ref="AD762:AE762"/>
    <mergeCell ref="AF762:AG762"/>
    <mergeCell ref="AH762:AJ762"/>
    <mergeCell ref="F759:G759"/>
    <mergeCell ref="H759:I759"/>
    <mergeCell ref="J759:K759"/>
    <mergeCell ref="L759:M759"/>
    <mergeCell ref="N759:O759"/>
    <mergeCell ref="P759:Q759"/>
    <mergeCell ref="R759:S759"/>
    <mergeCell ref="T759:U759"/>
    <mergeCell ref="V759:W759"/>
    <mergeCell ref="X759:Y759"/>
    <mergeCell ref="Z759:AA759"/>
    <mergeCell ref="AB759:AC759"/>
    <mergeCell ref="AD759:AE759"/>
    <mergeCell ref="AF759:AG759"/>
    <mergeCell ref="AH759:AJ759"/>
    <mergeCell ref="F760:G760"/>
    <mergeCell ref="H760:I760"/>
    <mergeCell ref="J760:K760"/>
    <mergeCell ref="L760:M760"/>
    <mergeCell ref="N760:O760"/>
    <mergeCell ref="P760:Q760"/>
    <mergeCell ref="R760:S760"/>
    <mergeCell ref="T760:U760"/>
    <mergeCell ref="V760:W760"/>
    <mergeCell ref="X760:Y760"/>
    <mergeCell ref="Z760:AA760"/>
    <mergeCell ref="AB760:AC760"/>
    <mergeCell ref="AD760:AE760"/>
    <mergeCell ref="AF760:AG760"/>
    <mergeCell ref="AH760:AJ760"/>
    <mergeCell ref="F757:G757"/>
    <mergeCell ref="H757:I757"/>
    <mergeCell ref="J757:K757"/>
    <mergeCell ref="L757:M757"/>
    <mergeCell ref="N757:O757"/>
    <mergeCell ref="P757:Q757"/>
    <mergeCell ref="R757:S757"/>
    <mergeCell ref="T757:U757"/>
    <mergeCell ref="V757:W757"/>
    <mergeCell ref="X757:Y757"/>
    <mergeCell ref="Z757:AA757"/>
    <mergeCell ref="AB757:AC757"/>
    <mergeCell ref="AD757:AE757"/>
    <mergeCell ref="AF757:AG757"/>
    <mergeCell ref="AH757:AJ757"/>
    <mergeCell ref="F758:G758"/>
    <mergeCell ref="H758:I758"/>
    <mergeCell ref="J758:K758"/>
    <mergeCell ref="L758:M758"/>
    <mergeCell ref="N758:O758"/>
    <mergeCell ref="P758:Q758"/>
    <mergeCell ref="R758:S758"/>
    <mergeCell ref="T758:U758"/>
    <mergeCell ref="V758:W758"/>
    <mergeCell ref="X758:Y758"/>
    <mergeCell ref="Z758:AA758"/>
    <mergeCell ref="AB758:AC758"/>
    <mergeCell ref="AD758:AE758"/>
    <mergeCell ref="AF758:AG758"/>
    <mergeCell ref="AH758:AJ758"/>
    <mergeCell ref="F755:G755"/>
    <mergeCell ref="H755:I755"/>
    <mergeCell ref="J755:K755"/>
    <mergeCell ref="L755:M755"/>
    <mergeCell ref="N755:O755"/>
    <mergeCell ref="P755:Q755"/>
    <mergeCell ref="R755:S755"/>
    <mergeCell ref="T755:U755"/>
    <mergeCell ref="V755:W755"/>
    <mergeCell ref="X755:Y755"/>
    <mergeCell ref="Z755:AA755"/>
    <mergeCell ref="AB755:AC755"/>
    <mergeCell ref="AD755:AE755"/>
    <mergeCell ref="AF755:AG755"/>
    <mergeCell ref="AH755:AJ755"/>
    <mergeCell ref="F756:G756"/>
    <mergeCell ref="H756:I756"/>
    <mergeCell ref="J756:K756"/>
    <mergeCell ref="L756:M756"/>
    <mergeCell ref="N756:O756"/>
    <mergeCell ref="P756:Q756"/>
    <mergeCell ref="R756:S756"/>
    <mergeCell ref="T756:U756"/>
    <mergeCell ref="V756:W756"/>
    <mergeCell ref="X756:Y756"/>
    <mergeCell ref="Z756:AA756"/>
    <mergeCell ref="AB756:AC756"/>
    <mergeCell ref="AD756:AE756"/>
    <mergeCell ref="AF756:AG756"/>
    <mergeCell ref="AH756:AJ756"/>
    <mergeCell ref="F753:G753"/>
    <mergeCell ref="H753:I753"/>
    <mergeCell ref="J753:K753"/>
    <mergeCell ref="L753:M753"/>
    <mergeCell ref="N753:O753"/>
    <mergeCell ref="P753:Q753"/>
    <mergeCell ref="R753:S753"/>
    <mergeCell ref="T753:U753"/>
    <mergeCell ref="V753:W753"/>
    <mergeCell ref="X753:Y753"/>
    <mergeCell ref="Z753:AA753"/>
    <mergeCell ref="AB753:AC753"/>
    <mergeCell ref="AD753:AE753"/>
    <mergeCell ref="AF753:AG753"/>
    <mergeCell ref="AH753:AJ753"/>
    <mergeCell ref="F754:G754"/>
    <mergeCell ref="H754:I754"/>
    <mergeCell ref="J754:K754"/>
    <mergeCell ref="L754:M754"/>
    <mergeCell ref="N754:O754"/>
    <mergeCell ref="P754:Q754"/>
    <mergeCell ref="R754:S754"/>
    <mergeCell ref="T754:U754"/>
    <mergeCell ref="V754:W754"/>
    <mergeCell ref="X754:Y754"/>
    <mergeCell ref="Z754:AA754"/>
    <mergeCell ref="AB754:AC754"/>
    <mergeCell ref="AD754:AE754"/>
    <mergeCell ref="AF754:AG754"/>
    <mergeCell ref="AH754:AJ754"/>
    <mergeCell ref="F751:G751"/>
    <mergeCell ref="H751:I751"/>
    <mergeCell ref="J751:K751"/>
    <mergeCell ref="L751:M751"/>
    <mergeCell ref="N751:O751"/>
    <mergeCell ref="P751:Q751"/>
    <mergeCell ref="R751:S751"/>
    <mergeCell ref="T751:U751"/>
    <mergeCell ref="V751:W751"/>
    <mergeCell ref="X751:Y751"/>
    <mergeCell ref="Z751:AA751"/>
    <mergeCell ref="AB751:AC751"/>
    <mergeCell ref="AD751:AE751"/>
    <mergeCell ref="AF751:AG751"/>
    <mergeCell ref="AH751:AJ751"/>
    <mergeCell ref="F752:G752"/>
    <mergeCell ref="H752:I752"/>
    <mergeCell ref="J752:K752"/>
    <mergeCell ref="L752:M752"/>
    <mergeCell ref="N752:O752"/>
    <mergeCell ref="P752:Q752"/>
    <mergeCell ref="R752:S752"/>
    <mergeCell ref="T752:U752"/>
    <mergeCell ref="V752:W752"/>
    <mergeCell ref="X752:Y752"/>
    <mergeCell ref="Z752:AA752"/>
    <mergeCell ref="AB752:AC752"/>
    <mergeCell ref="AD752:AE752"/>
    <mergeCell ref="AF752:AG752"/>
    <mergeCell ref="AH752:AJ752"/>
    <mergeCell ref="F749:G749"/>
    <mergeCell ref="H749:I749"/>
    <mergeCell ref="J749:K749"/>
    <mergeCell ref="L749:M749"/>
    <mergeCell ref="N749:O749"/>
    <mergeCell ref="P749:Q749"/>
    <mergeCell ref="R749:S749"/>
    <mergeCell ref="T749:U749"/>
    <mergeCell ref="V749:W749"/>
    <mergeCell ref="X749:Y749"/>
    <mergeCell ref="Z749:AA749"/>
    <mergeCell ref="AB749:AC749"/>
    <mergeCell ref="AD749:AE749"/>
    <mergeCell ref="AF749:AG749"/>
    <mergeCell ref="AH749:AJ749"/>
    <mergeCell ref="F750:G750"/>
    <mergeCell ref="H750:I750"/>
    <mergeCell ref="J750:K750"/>
    <mergeCell ref="L750:M750"/>
    <mergeCell ref="N750:O750"/>
    <mergeCell ref="P750:Q750"/>
    <mergeCell ref="R750:S750"/>
    <mergeCell ref="T750:U750"/>
    <mergeCell ref="V750:W750"/>
    <mergeCell ref="X750:Y750"/>
    <mergeCell ref="Z750:AA750"/>
    <mergeCell ref="AB750:AC750"/>
    <mergeCell ref="AD750:AE750"/>
    <mergeCell ref="AF750:AG750"/>
    <mergeCell ref="AH750:AJ750"/>
    <mergeCell ref="F747:G747"/>
    <mergeCell ref="H747:I747"/>
    <mergeCell ref="J747:K747"/>
    <mergeCell ref="L747:M747"/>
    <mergeCell ref="N747:O747"/>
    <mergeCell ref="P747:Q747"/>
    <mergeCell ref="R747:S747"/>
    <mergeCell ref="T747:U747"/>
    <mergeCell ref="V747:W747"/>
    <mergeCell ref="X747:Y747"/>
    <mergeCell ref="Z747:AA747"/>
    <mergeCell ref="AB747:AC747"/>
    <mergeCell ref="AD747:AE747"/>
    <mergeCell ref="AF747:AG747"/>
    <mergeCell ref="AH747:AJ747"/>
    <mergeCell ref="F748:G748"/>
    <mergeCell ref="H748:I748"/>
    <mergeCell ref="J748:K748"/>
    <mergeCell ref="L748:M748"/>
    <mergeCell ref="N748:O748"/>
    <mergeCell ref="P748:Q748"/>
    <mergeCell ref="R748:S748"/>
    <mergeCell ref="T748:U748"/>
    <mergeCell ref="V748:W748"/>
    <mergeCell ref="X748:Y748"/>
    <mergeCell ref="Z748:AA748"/>
    <mergeCell ref="AB748:AC748"/>
    <mergeCell ref="AD748:AE748"/>
    <mergeCell ref="AF748:AG748"/>
    <mergeCell ref="AH748:AJ748"/>
    <mergeCell ref="F745:G745"/>
    <mergeCell ref="H745:I745"/>
    <mergeCell ref="J745:K745"/>
    <mergeCell ref="L745:M745"/>
    <mergeCell ref="N745:O745"/>
    <mergeCell ref="P745:Q745"/>
    <mergeCell ref="R745:S745"/>
    <mergeCell ref="T745:U745"/>
    <mergeCell ref="V745:W745"/>
    <mergeCell ref="X745:Y745"/>
    <mergeCell ref="Z745:AA745"/>
    <mergeCell ref="AB745:AC745"/>
    <mergeCell ref="AD745:AE745"/>
    <mergeCell ref="AF745:AG745"/>
    <mergeCell ref="AH745:AJ745"/>
    <mergeCell ref="F746:G746"/>
    <mergeCell ref="H746:I746"/>
    <mergeCell ref="J746:K746"/>
    <mergeCell ref="L746:M746"/>
    <mergeCell ref="N746:O746"/>
    <mergeCell ref="P746:Q746"/>
    <mergeCell ref="R746:S746"/>
    <mergeCell ref="T746:U746"/>
    <mergeCell ref="V746:W746"/>
    <mergeCell ref="X746:Y746"/>
    <mergeCell ref="Z746:AA746"/>
    <mergeCell ref="AB746:AC746"/>
    <mergeCell ref="AD746:AE746"/>
    <mergeCell ref="AF746:AG746"/>
    <mergeCell ref="AH746:AJ746"/>
    <mergeCell ref="F743:G743"/>
    <mergeCell ref="H743:I743"/>
    <mergeCell ref="J743:K743"/>
    <mergeCell ref="L743:M743"/>
    <mergeCell ref="N743:O743"/>
    <mergeCell ref="P743:Q743"/>
    <mergeCell ref="R743:S743"/>
    <mergeCell ref="T743:U743"/>
    <mergeCell ref="V743:W743"/>
    <mergeCell ref="X743:Y743"/>
    <mergeCell ref="Z743:AA743"/>
    <mergeCell ref="AB743:AC743"/>
    <mergeCell ref="AD743:AE743"/>
    <mergeCell ref="AF743:AG743"/>
    <mergeCell ref="AH743:AJ743"/>
    <mergeCell ref="F744:G744"/>
    <mergeCell ref="H744:I744"/>
    <mergeCell ref="J744:K744"/>
    <mergeCell ref="L744:M744"/>
    <mergeCell ref="N744:O744"/>
    <mergeCell ref="P744:Q744"/>
    <mergeCell ref="R744:S744"/>
    <mergeCell ref="T744:U744"/>
    <mergeCell ref="V744:W744"/>
    <mergeCell ref="X744:Y744"/>
    <mergeCell ref="Z744:AA744"/>
    <mergeCell ref="AB744:AC744"/>
    <mergeCell ref="AD744:AE744"/>
    <mergeCell ref="AF744:AG744"/>
    <mergeCell ref="AH744:AJ744"/>
    <mergeCell ref="F741:G741"/>
    <mergeCell ref="H741:I741"/>
    <mergeCell ref="J741:K741"/>
    <mergeCell ref="L741:M741"/>
    <mergeCell ref="N741:O741"/>
    <mergeCell ref="P741:Q741"/>
    <mergeCell ref="R741:S741"/>
    <mergeCell ref="T741:U741"/>
    <mergeCell ref="V741:W741"/>
    <mergeCell ref="X741:Y741"/>
    <mergeCell ref="Z741:AA741"/>
    <mergeCell ref="AB741:AC741"/>
    <mergeCell ref="AD741:AE741"/>
    <mergeCell ref="AF741:AG741"/>
    <mergeCell ref="AH741:AJ741"/>
    <mergeCell ref="F742:G742"/>
    <mergeCell ref="H742:I742"/>
    <mergeCell ref="J742:K742"/>
    <mergeCell ref="L742:M742"/>
    <mergeCell ref="N742:O742"/>
    <mergeCell ref="P742:Q742"/>
    <mergeCell ref="R742:S742"/>
    <mergeCell ref="T742:U742"/>
    <mergeCell ref="V742:W742"/>
    <mergeCell ref="X742:Y742"/>
    <mergeCell ref="Z742:AA742"/>
    <mergeCell ref="AB742:AC742"/>
    <mergeCell ref="AD742:AE742"/>
    <mergeCell ref="AF742:AG742"/>
    <mergeCell ref="AH742:AJ742"/>
    <mergeCell ref="F739:G739"/>
    <mergeCell ref="H739:I739"/>
    <mergeCell ref="J739:K739"/>
    <mergeCell ref="L739:M739"/>
    <mergeCell ref="N739:O739"/>
    <mergeCell ref="P739:Q739"/>
    <mergeCell ref="R739:S739"/>
    <mergeCell ref="T739:U739"/>
    <mergeCell ref="V739:W739"/>
    <mergeCell ref="X739:Y739"/>
    <mergeCell ref="Z739:AA739"/>
    <mergeCell ref="AB739:AC739"/>
    <mergeCell ref="AD739:AE739"/>
    <mergeCell ref="AF739:AG739"/>
    <mergeCell ref="AH739:AJ739"/>
    <mergeCell ref="F740:G740"/>
    <mergeCell ref="H740:I740"/>
    <mergeCell ref="J740:K740"/>
    <mergeCell ref="L740:M740"/>
    <mergeCell ref="N740:O740"/>
    <mergeCell ref="P740:Q740"/>
    <mergeCell ref="R740:S740"/>
    <mergeCell ref="T740:U740"/>
    <mergeCell ref="V740:W740"/>
    <mergeCell ref="X740:Y740"/>
    <mergeCell ref="Z740:AA740"/>
    <mergeCell ref="AB740:AC740"/>
    <mergeCell ref="AD740:AE740"/>
    <mergeCell ref="AF740:AG740"/>
    <mergeCell ref="AH740:AJ740"/>
    <mergeCell ref="F737:G737"/>
    <mergeCell ref="H737:I737"/>
    <mergeCell ref="J737:K737"/>
    <mergeCell ref="L737:M737"/>
    <mergeCell ref="N737:O737"/>
    <mergeCell ref="P737:Q737"/>
    <mergeCell ref="R737:S737"/>
    <mergeCell ref="T737:U737"/>
    <mergeCell ref="V737:W737"/>
    <mergeCell ref="X737:Y737"/>
    <mergeCell ref="Z737:AA737"/>
    <mergeCell ref="AB737:AC737"/>
    <mergeCell ref="AD737:AE737"/>
    <mergeCell ref="AF737:AG737"/>
    <mergeCell ref="AH737:AJ737"/>
    <mergeCell ref="F738:G738"/>
    <mergeCell ref="H738:I738"/>
    <mergeCell ref="J738:K738"/>
    <mergeCell ref="L738:M738"/>
    <mergeCell ref="N738:O738"/>
    <mergeCell ref="P738:Q738"/>
    <mergeCell ref="R738:S738"/>
    <mergeCell ref="T738:U738"/>
    <mergeCell ref="V738:W738"/>
    <mergeCell ref="X738:Y738"/>
    <mergeCell ref="Z738:AA738"/>
    <mergeCell ref="AB738:AC738"/>
    <mergeCell ref="AD738:AE738"/>
    <mergeCell ref="AF738:AG738"/>
    <mergeCell ref="AH738:AJ738"/>
    <mergeCell ref="F735:G735"/>
    <mergeCell ref="H735:I735"/>
    <mergeCell ref="J735:K735"/>
    <mergeCell ref="L735:M735"/>
    <mergeCell ref="N735:O735"/>
    <mergeCell ref="P735:Q735"/>
    <mergeCell ref="R735:S735"/>
    <mergeCell ref="T735:U735"/>
    <mergeCell ref="V735:W735"/>
    <mergeCell ref="X735:Y735"/>
    <mergeCell ref="Z735:AA735"/>
    <mergeCell ref="AB735:AC735"/>
    <mergeCell ref="AD735:AE735"/>
    <mergeCell ref="AF735:AG735"/>
    <mergeCell ref="AH735:AJ735"/>
    <mergeCell ref="F736:G736"/>
    <mergeCell ref="H736:I736"/>
    <mergeCell ref="J736:K736"/>
    <mergeCell ref="L736:M736"/>
    <mergeCell ref="N736:O736"/>
    <mergeCell ref="P736:Q736"/>
    <mergeCell ref="R736:S736"/>
    <mergeCell ref="T736:U736"/>
    <mergeCell ref="V736:W736"/>
    <mergeCell ref="X736:Y736"/>
    <mergeCell ref="Z736:AA736"/>
    <mergeCell ref="AB736:AC736"/>
    <mergeCell ref="AD736:AE736"/>
    <mergeCell ref="AF736:AG736"/>
    <mergeCell ref="AH736:AJ736"/>
    <mergeCell ref="F733:G733"/>
    <mergeCell ref="H733:I733"/>
    <mergeCell ref="J733:K733"/>
    <mergeCell ref="L733:M733"/>
    <mergeCell ref="N733:O733"/>
    <mergeCell ref="P733:Q733"/>
    <mergeCell ref="R733:S733"/>
    <mergeCell ref="T733:U733"/>
    <mergeCell ref="V733:W733"/>
    <mergeCell ref="X733:Y733"/>
    <mergeCell ref="Z733:AA733"/>
    <mergeCell ref="AB733:AC733"/>
    <mergeCell ref="AD733:AE733"/>
    <mergeCell ref="AF733:AG733"/>
    <mergeCell ref="AH733:AJ733"/>
    <mergeCell ref="F734:G734"/>
    <mergeCell ref="H734:I734"/>
    <mergeCell ref="J734:K734"/>
    <mergeCell ref="L734:M734"/>
    <mergeCell ref="N734:O734"/>
    <mergeCell ref="P734:Q734"/>
    <mergeCell ref="R734:S734"/>
    <mergeCell ref="T734:U734"/>
    <mergeCell ref="V734:W734"/>
    <mergeCell ref="X734:Y734"/>
    <mergeCell ref="Z734:AA734"/>
    <mergeCell ref="AB734:AC734"/>
    <mergeCell ref="AD734:AE734"/>
    <mergeCell ref="AF734:AG734"/>
    <mergeCell ref="AH734:AJ734"/>
    <mergeCell ref="F731:G731"/>
    <mergeCell ref="H731:I731"/>
    <mergeCell ref="J731:K731"/>
    <mergeCell ref="L731:M731"/>
    <mergeCell ref="N731:O731"/>
    <mergeCell ref="P731:Q731"/>
    <mergeCell ref="R731:S731"/>
    <mergeCell ref="T731:U731"/>
    <mergeCell ref="V731:W731"/>
    <mergeCell ref="X731:Y731"/>
    <mergeCell ref="Z731:AA731"/>
    <mergeCell ref="AB731:AC731"/>
    <mergeCell ref="AD731:AE731"/>
    <mergeCell ref="AF731:AG731"/>
    <mergeCell ref="AH731:AJ731"/>
    <mergeCell ref="F732:G732"/>
    <mergeCell ref="H732:I732"/>
    <mergeCell ref="J732:K732"/>
    <mergeCell ref="L732:M732"/>
    <mergeCell ref="N732:O732"/>
    <mergeCell ref="P732:Q732"/>
    <mergeCell ref="R732:S732"/>
    <mergeCell ref="T732:U732"/>
    <mergeCell ref="V732:W732"/>
    <mergeCell ref="X732:Y732"/>
    <mergeCell ref="Z732:AA732"/>
    <mergeCell ref="AB732:AC732"/>
    <mergeCell ref="AD732:AE732"/>
    <mergeCell ref="AF732:AG732"/>
    <mergeCell ref="AH732:AJ732"/>
    <mergeCell ref="F729:G729"/>
    <mergeCell ref="H729:I729"/>
    <mergeCell ref="J729:K729"/>
    <mergeCell ref="L729:M729"/>
    <mergeCell ref="N729:O729"/>
    <mergeCell ref="P729:Q729"/>
    <mergeCell ref="R729:S729"/>
    <mergeCell ref="T729:U729"/>
    <mergeCell ref="V729:W729"/>
    <mergeCell ref="X729:Y729"/>
    <mergeCell ref="Z729:AA729"/>
    <mergeCell ref="AB729:AC729"/>
    <mergeCell ref="AD729:AE729"/>
    <mergeCell ref="AF729:AG729"/>
    <mergeCell ref="AH729:AJ729"/>
    <mergeCell ref="F730:G730"/>
    <mergeCell ref="H730:I730"/>
    <mergeCell ref="J730:K730"/>
    <mergeCell ref="L730:M730"/>
    <mergeCell ref="N730:O730"/>
    <mergeCell ref="P730:Q730"/>
    <mergeCell ref="R730:S730"/>
    <mergeCell ref="T730:U730"/>
    <mergeCell ref="V730:W730"/>
    <mergeCell ref="X730:Y730"/>
    <mergeCell ref="Z730:AA730"/>
    <mergeCell ref="AB730:AC730"/>
    <mergeCell ref="AD730:AE730"/>
    <mergeCell ref="AF730:AG730"/>
    <mergeCell ref="AH730:AJ730"/>
    <mergeCell ref="F727:G727"/>
    <mergeCell ref="H727:I727"/>
    <mergeCell ref="J727:K727"/>
    <mergeCell ref="L727:M727"/>
    <mergeCell ref="N727:O727"/>
    <mergeCell ref="P727:Q727"/>
    <mergeCell ref="R727:S727"/>
    <mergeCell ref="T727:U727"/>
    <mergeCell ref="V727:W727"/>
    <mergeCell ref="X727:Y727"/>
    <mergeCell ref="Z727:AA727"/>
    <mergeCell ref="AB727:AC727"/>
    <mergeCell ref="AD727:AE727"/>
    <mergeCell ref="AF727:AG727"/>
    <mergeCell ref="AH727:AJ727"/>
    <mergeCell ref="F728:G728"/>
    <mergeCell ref="H728:I728"/>
    <mergeCell ref="J728:K728"/>
    <mergeCell ref="L728:M728"/>
    <mergeCell ref="N728:O728"/>
    <mergeCell ref="P728:Q728"/>
    <mergeCell ref="R728:S728"/>
    <mergeCell ref="T728:U728"/>
    <mergeCell ref="V728:W728"/>
    <mergeCell ref="X728:Y728"/>
    <mergeCell ref="Z728:AA728"/>
    <mergeCell ref="AB728:AC728"/>
    <mergeCell ref="AD728:AE728"/>
    <mergeCell ref="AF728:AG728"/>
    <mergeCell ref="AH728:AJ728"/>
    <mergeCell ref="F725:G725"/>
    <mergeCell ref="H725:I725"/>
    <mergeCell ref="J725:K725"/>
    <mergeCell ref="L725:M725"/>
    <mergeCell ref="N725:O725"/>
    <mergeCell ref="P725:Q725"/>
    <mergeCell ref="R725:S725"/>
    <mergeCell ref="T725:U725"/>
    <mergeCell ref="V725:W725"/>
    <mergeCell ref="X725:Y725"/>
    <mergeCell ref="Z725:AA725"/>
    <mergeCell ref="AB725:AC725"/>
    <mergeCell ref="AD725:AE725"/>
    <mergeCell ref="AF725:AG725"/>
    <mergeCell ref="AH725:AJ725"/>
    <mergeCell ref="F726:G726"/>
    <mergeCell ref="H726:I726"/>
    <mergeCell ref="J726:K726"/>
    <mergeCell ref="L726:M726"/>
    <mergeCell ref="N726:O726"/>
    <mergeCell ref="P726:Q726"/>
    <mergeCell ref="R726:S726"/>
    <mergeCell ref="T726:U726"/>
    <mergeCell ref="V726:W726"/>
    <mergeCell ref="X726:Y726"/>
    <mergeCell ref="Z726:AA726"/>
    <mergeCell ref="AB726:AC726"/>
    <mergeCell ref="AD726:AE726"/>
    <mergeCell ref="AF726:AG726"/>
    <mergeCell ref="AH726:AJ726"/>
    <mergeCell ref="F723:G723"/>
    <mergeCell ref="H723:I723"/>
    <mergeCell ref="J723:K723"/>
    <mergeCell ref="L723:M723"/>
    <mergeCell ref="N723:O723"/>
    <mergeCell ref="P723:Q723"/>
    <mergeCell ref="R723:S723"/>
    <mergeCell ref="T723:U723"/>
    <mergeCell ref="V723:W723"/>
    <mergeCell ref="X723:Y723"/>
    <mergeCell ref="Z723:AA723"/>
    <mergeCell ref="AB723:AC723"/>
    <mergeCell ref="AD723:AE723"/>
    <mergeCell ref="AF723:AG723"/>
    <mergeCell ref="AH723:AJ723"/>
    <mergeCell ref="F724:G724"/>
    <mergeCell ref="H724:I724"/>
    <mergeCell ref="J724:K724"/>
    <mergeCell ref="L724:M724"/>
    <mergeCell ref="N724:O724"/>
    <mergeCell ref="P724:Q724"/>
    <mergeCell ref="R724:S724"/>
    <mergeCell ref="T724:U724"/>
    <mergeCell ref="V724:W724"/>
    <mergeCell ref="X724:Y724"/>
    <mergeCell ref="Z724:AA724"/>
    <mergeCell ref="AB724:AC724"/>
    <mergeCell ref="AD724:AE724"/>
    <mergeCell ref="AF724:AG724"/>
    <mergeCell ref="AH724:AJ724"/>
    <mergeCell ref="F721:G721"/>
    <mergeCell ref="H721:I721"/>
    <mergeCell ref="J721:K721"/>
    <mergeCell ref="L721:M721"/>
    <mergeCell ref="N721:O721"/>
    <mergeCell ref="P721:Q721"/>
    <mergeCell ref="R721:S721"/>
    <mergeCell ref="T721:U721"/>
    <mergeCell ref="V721:W721"/>
    <mergeCell ref="X721:Y721"/>
    <mergeCell ref="Z721:AA721"/>
    <mergeCell ref="AB721:AC721"/>
    <mergeCell ref="AD721:AE721"/>
    <mergeCell ref="AF721:AG721"/>
    <mergeCell ref="AH721:AJ721"/>
    <mergeCell ref="F722:G722"/>
    <mergeCell ref="H722:I722"/>
    <mergeCell ref="J722:K722"/>
    <mergeCell ref="L722:M722"/>
    <mergeCell ref="N722:O722"/>
    <mergeCell ref="P722:Q722"/>
    <mergeCell ref="R722:S722"/>
    <mergeCell ref="T722:U722"/>
    <mergeCell ref="V722:W722"/>
    <mergeCell ref="X722:Y722"/>
    <mergeCell ref="Z722:AA722"/>
    <mergeCell ref="AB722:AC722"/>
    <mergeCell ref="AD722:AE722"/>
    <mergeCell ref="AF722:AG722"/>
    <mergeCell ref="AH722:AJ722"/>
    <mergeCell ref="F719:G719"/>
    <mergeCell ref="H719:I719"/>
    <mergeCell ref="J719:K719"/>
    <mergeCell ref="L719:M719"/>
    <mergeCell ref="N719:O719"/>
    <mergeCell ref="P719:Q719"/>
    <mergeCell ref="R719:S719"/>
    <mergeCell ref="T719:U719"/>
    <mergeCell ref="V719:W719"/>
    <mergeCell ref="X719:Y719"/>
    <mergeCell ref="Z719:AA719"/>
    <mergeCell ref="AB719:AC719"/>
    <mergeCell ref="AD719:AE719"/>
    <mergeCell ref="AF719:AG719"/>
    <mergeCell ref="AH719:AJ719"/>
    <mergeCell ref="F720:G720"/>
    <mergeCell ref="H720:I720"/>
    <mergeCell ref="J720:K720"/>
    <mergeCell ref="L720:M720"/>
    <mergeCell ref="N720:O720"/>
    <mergeCell ref="P720:Q720"/>
    <mergeCell ref="R720:S720"/>
    <mergeCell ref="T720:U720"/>
    <mergeCell ref="V720:W720"/>
    <mergeCell ref="X720:Y720"/>
    <mergeCell ref="Z720:AA720"/>
    <mergeCell ref="AB720:AC720"/>
    <mergeCell ref="AD720:AE720"/>
    <mergeCell ref="AF720:AG720"/>
    <mergeCell ref="AH720:AJ720"/>
    <mergeCell ref="F717:G717"/>
    <mergeCell ref="H717:I717"/>
    <mergeCell ref="J717:K717"/>
    <mergeCell ref="L717:M717"/>
    <mergeCell ref="N717:O717"/>
    <mergeCell ref="P717:Q717"/>
    <mergeCell ref="R717:S717"/>
    <mergeCell ref="T717:U717"/>
    <mergeCell ref="V717:W717"/>
    <mergeCell ref="X717:Y717"/>
    <mergeCell ref="Z717:AA717"/>
    <mergeCell ref="AB717:AC717"/>
    <mergeCell ref="AD717:AE717"/>
    <mergeCell ref="AF717:AG717"/>
    <mergeCell ref="AH717:AJ717"/>
    <mergeCell ref="F718:G718"/>
    <mergeCell ref="H718:I718"/>
    <mergeCell ref="J718:K718"/>
    <mergeCell ref="L718:M718"/>
    <mergeCell ref="N718:O718"/>
    <mergeCell ref="P718:Q718"/>
    <mergeCell ref="R718:S718"/>
    <mergeCell ref="T718:U718"/>
    <mergeCell ref="V718:W718"/>
    <mergeCell ref="X718:Y718"/>
    <mergeCell ref="Z718:AA718"/>
    <mergeCell ref="AB718:AC718"/>
    <mergeCell ref="AD718:AE718"/>
    <mergeCell ref="AF718:AG718"/>
    <mergeCell ref="AH718:AJ718"/>
    <mergeCell ref="F715:G715"/>
    <mergeCell ref="H715:I715"/>
    <mergeCell ref="J715:K715"/>
    <mergeCell ref="L715:M715"/>
    <mergeCell ref="N715:O715"/>
    <mergeCell ref="P715:Q715"/>
    <mergeCell ref="R715:S715"/>
    <mergeCell ref="T715:U715"/>
    <mergeCell ref="V715:W715"/>
    <mergeCell ref="X715:Y715"/>
    <mergeCell ref="Z715:AA715"/>
    <mergeCell ref="AB715:AC715"/>
    <mergeCell ref="AD715:AE715"/>
    <mergeCell ref="AF715:AG715"/>
    <mergeCell ref="AH715:AJ715"/>
    <mergeCell ref="F716:G716"/>
    <mergeCell ref="H716:I716"/>
    <mergeCell ref="J716:K716"/>
    <mergeCell ref="L716:M716"/>
    <mergeCell ref="N716:O716"/>
    <mergeCell ref="P716:Q716"/>
    <mergeCell ref="R716:S716"/>
    <mergeCell ref="T716:U716"/>
    <mergeCell ref="V716:W716"/>
    <mergeCell ref="X716:Y716"/>
    <mergeCell ref="Z716:AA716"/>
    <mergeCell ref="AB716:AC716"/>
    <mergeCell ref="AD716:AE716"/>
    <mergeCell ref="AF716:AG716"/>
    <mergeCell ref="AH716:AJ716"/>
    <mergeCell ref="F713:G713"/>
    <mergeCell ref="H713:I713"/>
    <mergeCell ref="J713:K713"/>
    <mergeCell ref="L713:M713"/>
    <mergeCell ref="N713:O713"/>
    <mergeCell ref="P713:Q713"/>
    <mergeCell ref="R713:S713"/>
    <mergeCell ref="T713:U713"/>
    <mergeCell ref="V713:W713"/>
    <mergeCell ref="X713:Y713"/>
    <mergeCell ref="Z713:AA713"/>
    <mergeCell ref="AB713:AC713"/>
    <mergeCell ref="AD713:AE713"/>
    <mergeCell ref="AF713:AG713"/>
    <mergeCell ref="AH713:AJ713"/>
    <mergeCell ref="F714:G714"/>
    <mergeCell ref="H714:I714"/>
    <mergeCell ref="J714:K714"/>
    <mergeCell ref="L714:M714"/>
    <mergeCell ref="N714:O714"/>
    <mergeCell ref="P714:Q714"/>
    <mergeCell ref="R714:S714"/>
    <mergeCell ref="T714:U714"/>
    <mergeCell ref="V714:W714"/>
    <mergeCell ref="X714:Y714"/>
    <mergeCell ref="Z714:AA714"/>
    <mergeCell ref="AB714:AC714"/>
    <mergeCell ref="AD714:AE714"/>
    <mergeCell ref="AF714:AG714"/>
    <mergeCell ref="AH714:AJ714"/>
    <mergeCell ref="F711:G711"/>
    <mergeCell ref="H711:I711"/>
    <mergeCell ref="J711:K711"/>
    <mergeCell ref="L711:M711"/>
    <mergeCell ref="N711:O711"/>
    <mergeCell ref="P711:Q711"/>
    <mergeCell ref="R711:S711"/>
    <mergeCell ref="T711:U711"/>
    <mergeCell ref="V711:W711"/>
    <mergeCell ref="X711:Y711"/>
    <mergeCell ref="Z711:AA711"/>
    <mergeCell ref="AB711:AC711"/>
    <mergeCell ref="AD711:AE711"/>
    <mergeCell ref="AF711:AG711"/>
    <mergeCell ref="AH711:AJ711"/>
    <mergeCell ref="F712:G712"/>
    <mergeCell ref="H712:I712"/>
    <mergeCell ref="J712:K712"/>
    <mergeCell ref="L712:M712"/>
    <mergeCell ref="N712:O712"/>
    <mergeCell ref="P712:Q712"/>
    <mergeCell ref="R712:S712"/>
    <mergeCell ref="T712:U712"/>
    <mergeCell ref="V712:W712"/>
    <mergeCell ref="X712:Y712"/>
    <mergeCell ref="Z712:AA712"/>
    <mergeCell ref="AB712:AC712"/>
    <mergeCell ref="AD712:AE712"/>
    <mergeCell ref="AF712:AG712"/>
    <mergeCell ref="AH712:AJ712"/>
    <mergeCell ref="F709:G709"/>
    <mergeCell ref="H709:I709"/>
    <mergeCell ref="J709:K709"/>
    <mergeCell ref="L709:M709"/>
    <mergeCell ref="N709:O709"/>
    <mergeCell ref="P709:Q709"/>
    <mergeCell ref="R709:S709"/>
    <mergeCell ref="T709:U709"/>
    <mergeCell ref="V709:W709"/>
    <mergeCell ref="X709:Y709"/>
    <mergeCell ref="Z709:AA709"/>
    <mergeCell ref="AB709:AC709"/>
    <mergeCell ref="AD709:AE709"/>
    <mergeCell ref="AF709:AG709"/>
    <mergeCell ref="AH709:AJ709"/>
    <mergeCell ref="F710:G710"/>
    <mergeCell ref="H710:I710"/>
    <mergeCell ref="J710:K710"/>
    <mergeCell ref="L710:M710"/>
    <mergeCell ref="N710:O710"/>
    <mergeCell ref="P710:Q710"/>
    <mergeCell ref="R710:S710"/>
    <mergeCell ref="T710:U710"/>
    <mergeCell ref="V710:W710"/>
    <mergeCell ref="X710:Y710"/>
    <mergeCell ref="Z710:AA710"/>
    <mergeCell ref="AB710:AC710"/>
    <mergeCell ref="AD710:AE710"/>
    <mergeCell ref="AF710:AG710"/>
    <mergeCell ref="AH710:AJ710"/>
    <mergeCell ref="F707:G707"/>
    <mergeCell ref="H707:I707"/>
    <mergeCell ref="J707:K707"/>
    <mergeCell ref="L707:M707"/>
    <mergeCell ref="N707:O707"/>
    <mergeCell ref="P707:Q707"/>
    <mergeCell ref="R707:S707"/>
    <mergeCell ref="T707:U707"/>
    <mergeCell ref="V707:W707"/>
    <mergeCell ref="X707:Y707"/>
    <mergeCell ref="Z707:AA707"/>
    <mergeCell ref="AB707:AC707"/>
    <mergeCell ref="AD707:AE707"/>
    <mergeCell ref="AF707:AG707"/>
    <mergeCell ref="AH707:AJ707"/>
    <mergeCell ref="F708:G708"/>
    <mergeCell ref="H708:I708"/>
    <mergeCell ref="J708:K708"/>
    <mergeCell ref="L708:M708"/>
    <mergeCell ref="N708:O708"/>
    <mergeCell ref="P708:Q708"/>
    <mergeCell ref="R708:S708"/>
    <mergeCell ref="T708:U708"/>
    <mergeCell ref="V708:W708"/>
    <mergeCell ref="X708:Y708"/>
    <mergeCell ref="Z708:AA708"/>
    <mergeCell ref="AB708:AC708"/>
    <mergeCell ref="AD708:AE708"/>
    <mergeCell ref="AF708:AG708"/>
    <mergeCell ref="AH708:AJ708"/>
    <mergeCell ref="F705:G705"/>
    <mergeCell ref="H705:I705"/>
    <mergeCell ref="J705:K705"/>
    <mergeCell ref="L705:M705"/>
    <mergeCell ref="N705:O705"/>
    <mergeCell ref="P705:Q705"/>
    <mergeCell ref="R705:S705"/>
    <mergeCell ref="T705:U705"/>
    <mergeCell ref="V705:W705"/>
    <mergeCell ref="X705:Y705"/>
    <mergeCell ref="Z705:AA705"/>
    <mergeCell ref="AB705:AC705"/>
    <mergeCell ref="AD705:AE705"/>
    <mergeCell ref="AF705:AG705"/>
    <mergeCell ref="AH705:AJ705"/>
    <mergeCell ref="F706:G706"/>
    <mergeCell ref="H706:I706"/>
    <mergeCell ref="J706:K706"/>
    <mergeCell ref="L706:M706"/>
    <mergeCell ref="N706:O706"/>
    <mergeCell ref="P706:Q706"/>
    <mergeCell ref="R706:S706"/>
    <mergeCell ref="T706:U706"/>
    <mergeCell ref="V706:W706"/>
    <mergeCell ref="X706:Y706"/>
    <mergeCell ref="Z706:AA706"/>
    <mergeCell ref="AB706:AC706"/>
    <mergeCell ref="AD706:AE706"/>
    <mergeCell ref="AF706:AG706"/>
    <mergeCell ref="AH706:AJ706"/>
    <mergeCell ref="F703:G703"/>
    <mergeCell ref="H703:I703"/>
    <mergeCell ref="J703:K703"/>
    <mergeCell ref="L703:M703"/>
    <mergeCell ref="N703:O703"/>
    <mergeCell ref="P703:Q703"/>
    <mergeCell ref="R703:S703"/>
    <mergeCell ref="T703:U703"/>
    <mergeCell ref="V703:W703"/>
    <mergeCell ref="X703:Y703"/>
    <mergeCell ref="Z703:AA703"/>
    <mergeCell ref="AB703:AC703"/>
    <mergeCell ref="AD703:AE703"/>
    <mergeCell ref="AF703:AG703"/>
    <mergeCell ref="AH703:AJ703"/>
    <mergeCell ref="F704:G704"/>
    <mergeCell ref="H704:I704"/>
    <mergeCell ref="J704:K704"/>
    <mergeCell ref="L704:M704"/>
    <mergeCell ref="N704:O704"/>
    <mergeCell ref="P704:Q704"/>
    <mergeCell ref="R704:S704"/>
    <mergeCell ref="T704:U704"/>
    <mergeCell ref="V704:W704"/>
    <mergeCell ref="X704:Y704"/>
    <mergeCell ref="Z704:AA704"/>
    <mergeCell ref="AB704:AC704"/>
    <mergeCell ref="AD704:AE704"/>
    <mergeCell ref="AF704:AG704"/>
    <mergeCell ref="AH704:AJ704"/>
    <mergeCell ref="F701:G701"/>
    <mergeCell ref="H701:I701"/>
    <mergeCell ref="J701:K701"/>
    <mergeCell ref="L701:M701"/>
    <mergeCell ref="N701:O701"/>
    <mergeCell ref="P701:Q701"/>
    <mergeCell ref="R701:S701"/>
    <mergeCell ref="T701:U701"/>
    <mergeCell ref="V701:W701"/>
    <mergeCell ref="X701:Y701"/>
    <mergeCell ref="Z701:AA701"/>
    <mergeCell ref="AB701:AC701"/>
    <mergeCell ref="AD701:AE701"/>
    <mergeCell ref="AF701:AG701"/>
    <mergeCell ref="AH701:AJ701"/>
    <mergeCell ref="F702:G702"/>
    <mergeCell ref="H702:I702"/>
    <mergeCell ref="J702:K702"/>
    <mergeCell ref="L702:M702"/>
    <mergeCell ref="N702:O702"/>
    <mergeCell ref="P702:Q702"/>
    <mergeCell ref="R702:S702"/>
    <mergeCell ref="T702:U702"/>
    <mergeCell ref="V702:W702"/>
    <mergeCell ref="X702:Y702"/>
    <mergeCell ref="Z702:AA702"/>
    <mergeCell ref="AB702:AC702"/>
    <mergeCell ref="AD702:AE702"/>
    <mergeCell ref="AF702:AG702"/>
    <mergeCell ref="AH702:AJ702"/>
    <mergeCell ref="F699:G699"/>
    <mergeCell ref="H699:I699"/>
    <mergeCell ref="J699:K699"/>
    <mergeCell ref="L699:M699"/>
    <mergeCell ref="N699:O699"/>
    <mergeCell ref="P699:Q699"/>
    <mergeCell ref="R699:S699"/>
    <mergeCell ref="T699:U699"/>
    <mergeCell ref="V699:W699"/>
    <mergeCell ref="X699:Y699"/>
    <mergeCell ref="Z699:AA699"/>
    <mergeCell ref="AB699:AC699"/>
    <mergeCell ref="AD699:AE699"/>
    <mergeCell ref="AF699:AG699"/>
    <mergeCell ref="AH699:AJ699"/>
    <mergeCell ref="F700:G700"/>
    <mergeCell ref="H700:I700"/>
    <mergeCell ref="J700:K700"/>
    <mergeCell ref="L700:M700"/>
    <mergeCell ref="N700:O700"/>
    <mergeCell ref="P700:Q700"/>
    <mergeCell ref="R700:S700"/>
    <mergeCell ref="T700:U700"/>
    <mergeCell ref="V700:W700"/>
    <mergeCell ref="X700:Y700"/>
    <mergeCell ref="Z700:AA700"/>
    <mergeCell ref="AB700:AC700"/>
    <mergeCell ref="AD700:AE700"/>
    <mergeCell ref="AF700:AG700"/>
    <mergeCell ref="AH700:AJ700"/>
    <mergeCell ref="F697:G697"/>
    <mergeCell ref="H697:I697"/>
    <mergeCell ref="J697:K697"/>
    <mergeCell ref="L697:M697"/>
    <mergeCell ref="N697:O697"/>
    <mergeCell ref="P697:Q697"/>
    <mergeCell ref="R697:S697"/>
    <mergeCell ref="T697:U697"/>
    <mergeCell ref="V697:W697"/>
    <mergeCell ref="X697:Y697"/>
    <mergeCell ref="Z697:AA697"/>
    <mergeCell ref="AB697:AC697"/>
    <mergeCell ref="AD697:AE697"/>
    <mergeCell ref="AF697:AG697"/>
    <mergeCell ref="AH697:AJ697"/>
    <mergeCell ref="F698:G698"/>
    <mergeCell ref="H698:I698"/>
    <mergeCell ref="J698:K698"/>
    <mergeCell ref="L698:M698"/>
    <mergeCell ref="N698:O698"/>
    <mergeCell ref="P698:Q698"/>
    <mergeCell ref="R698:S698"/>
    <mergeCell ref="T698:U698"/>
    <mergeCell ref="V698:W698"/>
    <mergeCell ref="X698:Y698"/>
    <mergeCell ref="Z698:AA698"/>
    <mergeCell ref="AB698:AC698"/>
    <mergeCell ref="AD698:AE698"/>
    <mergeCell ref="AF698:AG698"/>
    <mergeCell ref="AH698:AJ698"/>
    <mergeCell ref="F695:G695"/>
    <mergeCell ref="H695:I695"/>
    <mergeCell ref="J695:K695"/>
    <mergeCell ref="L695:M695"/>
    <mergeCell ref="N695:O695"/>
    <mergeCell ref="P695:Q695"/>
    <mergeCell ref="R695:S695"/>
    <mergeCell ref="T695:U695"/>
    <mergeCell ref="V695:W695"/>
    <mergeCell ref="X695:Y695"/>
    <mergeCell ref="Z695:AA695"/>
    <mergeCell ref="AB695:AC695"/>
    <mergeCell ref="AD695:AE695"/>
    <mergeCell ref="AF695:AG695"/>
    <mergeCell ref="AH695:AJ695"/>
    <mergeCell ref="F696:G696"/>
    <mergeCell ref="H696:I696"/>
    <mergeCell ref="J696:K696"/>
    <mergeCell ref="L696:M696"/>
    <mergeCell ref="N696:O696"/>
    <mergeCell ref="P696:Q696"/>
    <mergeCell ref="R696:S696"/>
    <mergeCell ref="T696:U696"/>
    <mergeCell ref="V696:W696"/>
    <mergeCell ref="X696:Y696"/>
    <mergeCell ref="Z696:AA696"/>
    <mergeCell ref="AB696:AC696"/>
    <mergeCell ref="AD696:AE696"/>
    <mergeCell ref="AF696:AG696"/>
    <mergeCell ref="AH696:AJ696"/>
    <mergeCell ref="F693:G693"/>
    <mergeCell ref="H693:I693"/>
    <mergeCell ref="J693:K693"/>
    <mergeCell ref="L693:M693"/>
    <mergeCell ref="N693:O693"/>
    <mergeCell ref="P693:Q693"/>
    <mergeCell ref="R693:S693"/>
    <mergeCell ref="T693:U693"/>
    <mergeCell ref="V693:W693"/>
    <mergeCell ref="X693:Y693"/>
    <mergeCell ref="Z693:AA693"/>
    <mergeCell ref="AB693:AC693"/>
    <mergeCell ref="AD693:AE693"/>
    <mergeCell ref="AF693:AG693"/>
    <mergeCell ref="AH693:AJ693"/>
    <mergeCell ref="F694:G694"/>
    <mergeCell ref="H694:I694"/>
    <mergeCell ref="J694:K694"/>
    <mergeCell ref="L694:M694"/>
    <mergeCell ref="N694:O694"/>
    <mergeCell ref="P694:Q694"/>
    <mergeCell ref="R694:S694"/>
    <mergeCell ref="T694:U694"/>
    <mergeCell ref="V694:W694"/>
    <mergeCell ref="X694:Y694"/>
    <mergeCell ref="Z694:AA694"/>
    <mergeCell ref="AB694:AC694"/>
    <mergeCell ref="AD694:AE694"/>
    <mergeCell ref="AF694:AG694"/>
    <mergeCell ref="AH694:AJ694"/>
    <mergeCell ref="F691:G691"/>
    <mergeCell ref="H691:I691"/>
    <mergeCell ref="J691:K691"/>
    <mergeCell ref="L691:M691"/>
    <mergeCell ref="N691:O691"/>
    <mergeCell ref="P691:Q691"/>
    <mergeCell ref="R691:S691"/>
    <mergeCell ref="T691:U691"/>
    <mergeCell ref="V691:W691"/>
    <mergeCell ref="X691:Y691"/>
    <mergeCell ref="Z691:AA691"/>
    <mergeCell ref="AB691:AC691"/>
    <mergeCell ref="AD691:AE691"/>
    <mergeCell ref="AF691:AG691"/>
    <mergeCell ref="AH691:AJ691"/>
    <mergeCell ref="F692:G692"/>
    <mergeCell ref="H692:I692"/>
    <mergeCell ref="J692:K692"/>
    <mergeCell ref="L692:M692"/>
    <mergeCell ref="N692:O692"/>
    <mergeCell ref="P692:Q692"/>
    <mergeCell ref="R692:S692"/>
    <mergeCell ref="T692:U692"/>
    <mergeCell ref="V692:W692"/>
    <mergeCell ref="X692:Y692"/>
    <mergeCell ref="Z692:AA692"/>
    <mergeCell ref="AB692:AC692"/>
    <mergeCell ref="AD692:AE692"/>
    <mergeCell ref="AF692:AG692"/>
    <mergeCell ref="AH692:AJ692"/>
    <mergeCell ref="F689:G689"/>
    <mergeCell ref="H689:I689"/>
    <mergeCell ref="J689:K689"/>
    <mergeCell ref="L689:M689"/>
    <mergeCell ref="N689:O689"/>
    <mergeCell ref="P689:Q689"/>
    <mergeCell ref="R689:S689"/>
    <mergeCell ref="T689:U689"/>
    <mergeCell ref="V689:W689"/>
    <mergeCell ref="X689:Y689"/>
    <mergeCell ref="Z689:AA689"/>
    <mergeCell ref="AB689:AC689"/>
    <mergeCell ref="AD689:AE689"/>
    <mergeCell ref="AF689:AG689"/>
    <mergeCell ref="AH689:AJ689"/>
    <mergeCell ref="F690:G690"/>
    <mergeCell ref="H690:I690"/>
    <mergeCell ref="J690:K690"/>
    <mergeCell ref="L690:M690"/>
    <mergeCell ref="N690:O690"/>
    <mergeCell ref="P690:Q690"/>
    <mergeCell ref="R690:S690"/>
    <mergeCell ref="T690:U690"/>
    <mergeCell ref="V690:W690"/>
    <mergeCell ref="X690:Y690"/>
    <mergeCell ref="Z690:AA690"/>
    <mergeCell ref="AB690:AC690"/>
    <mergeCell ref="AD690:AE690"/>
    <mergeCell ref="AF690:AG690"/>
    <mergeCell ref="AH690:AJ690"/>
    <mergeCell ref="F687:G687"/>
    <mergeCell ref="H687:I687"/>
    <mergeCell ref="J687:K687"/>
    <mergeCell ref="L687:M687"/>
    <mergeCell ref="N687:O687"/>
    <mergeCell ref="P687:Q687"/>
    <mergeCell ref="R687:S687"/>
    <mergeCell ref="T687:U687"/>
    <mergeCell ref="V687:W687"/>
    <mergeCell ref="X687:Y687"/>
    <mergeCell ref="Z687:AA687"/>
    <mergeCell ref="AB687:AC687"/>
    <mergeCell ref="AD687:AE687"/>
    <mergeCell ref="AF687:AG687"/>
    <mergeCell ref="AH687:AJ687"/>
    <mergeCell ref="F688:G688"/>
    <mergeCell ref="H688:I688"/>
    <mergeCell ref="J688:K688"/>
    <mergeCell ref="L688:M688"/>
    <mergeCell ref="N688:O688"/>
    <mergeCell ref="P688:Q688"/>
    <mergeCell ref="R688:S688"/>
    <mergeCell ref="T688:U688"/>
    <mergeCell ref="V688:W688"/>
    <mergeCell ref="X688:Y688"/>
    <mergeCell ref="Z688:AA688"/>
    <mergeCell ref="AB688:AC688"/>
    <mergeCell ref="AD688:AE688"/>
    <mergeCell ref="AF688:AG688"/>
    <mergeCell ref="AH688:AJ688"/>
    <mergeCell ref="F685:G685"/>
    <mergeCell ref="H685:I685"/>
    <mergeCell ref="J685:K685"/>
    <mergeCell ref="L685:M685"/>
    <mergeCell ref="N685:O685"/>
    <mergeCell ref="P685:Q685"/>
    <mergeCell ref="R685:S685"/>
    <mergeCell ref="T685:U685"/>
    <mergeCell ref="V685:W685"/>
    <mergeCell ref="X685:Y685"/>
    <mergeCell ref="Z685:AA685"/>
    <mergeCell ref="AB685:AC685"/>
    <mergeCell ref="AD685:AE685"/>
    <mergeCell ref="AF685:AG685"/>
    <mergeCell ref="AH685:AJ685"/>
    <mergeCell ref="F686:G686"/>
    <mergeCell ref="H686:I686"/>
    <mergeCell ref="J686:K686"/>
    <mergeCell ref="L686:M686"/>
    <mergeCell ref="N686:O686"/>
    <mergeCell ref="P686:Q686"/>
    <mergeCell ref="R686:S686"/>
    <mergeCell ref="T686:U686"/>
    <mergeCell ref="V686:W686"/>
    <mergeCell ref="X686:Y686"/>
    <mergeCell ref="Z686:AA686"/>
    <mergeCell ref="AB686:AC686"/>
    <mergeCell ref="AD686:AE686"/>
    <mergeCell ref="AF686:AG686"/>
    <mergeCell ref="AH686:AJ686"/>
    <mergeCell ref="F683:G683"/>
    <mergeCell ref="H683:I683"/>
    <mergeCell ref="J683:K683"/>
    <mergeCell ref="L683:M683"/>
    <mergeCell ref="N683:O683"/>
    <mergeCell ref="P683:Q683"/>
    <mergeCell ref="R683:S683"/>
    <mergeCell ref="T683:U683"/>
    <mergeCell ref="V683:W683"/>
    <mergeCell ref="X683:Y683"/>
    <mergeCell ref="Z683:AA683"/>
    <mergeCell ref="AB683:AC683"/>
    <mergeCell ref="AD683:AE683"/>
    <mergeCell ref="AF683:AG683"/>
    <mergeCell ref="AH683:AJ683"/>
    <mergeCell ref="F684:G684"/>
    <mergeCell ref="H684:I684"/>
    <mergeCell ref="J684:K684"/>
    <mergeCell ref="L684:M684"/>
    <mergeCell ref="N684:O684"/>
    <mergeCell ref="P684:Q684"/>
    <mergeCell ref="R684:S684"/>
    <mergeCell ref="T684:U684"/>
    <mergeCell ref="V684:W684"/>
    <mergeCell ref="X684:Y684"/>
    <mergeCell ref="Z684:AA684"/>
    <mergeCell ref="AB684:AC684"/>
    <mergeCell ref="AD684:AE684"/>
    <mergeCell ref="AF684:AG684"/>
    <mergeCell ref="AH684:AJ684"/>
    <mergeCell ref="F681:G681"/>
    <mergeCell ref="H681:I681"/>
    <mergeCell ref="J681:K681"/>
    <mergeCell ref="L681:M681"/>
    <mergeCell ref="N681:O681"/>
    <mergeCell ref="P681:Q681"/>
    <mergeCell ref="R681:S681"/>
    <mergeCell ref="T681:U681"/>
    <mergeCell ref="V681:W681"/>
    <mergeCell ref="X681:Y681"/>
    <mergeCell ref="Z681:AA681"/>
    <mergeCell ref="AB681:AC681"/>
    <mergeCell ref="AD681:AE681"/>
    <mergeCell ref="AF681:AG681"/>
    <mergeCell ref="AH681:AJ681"/>
    <mergeCell ref="F682:G682"/>
    <mergeCell ref="H682:I682"/>
    <mergeCell ref="J682:K682"/>
    <mergeCell ref="L682:M682"/>
    <mergeCell ref="N682:O682"/>
    <mergeCell ref="P682:Q682"/>
    <mergeCell ref="R682:S682"/>
    <mergeCell ref="T682:U682"/>
    <mergeCell ref="V682:W682"/>
    <mergeCell ref="X682:Y682"/>
    <mergeCell ref="Z682:AA682"/>
    <mergeCell ref="AB682:AC682"/>
    <mergeCell ref="AD682:AE682"/>
    <mergeCell ref="AF682:AG682"/>
    <mergeCell ref="AH682:AJ682"/>
    <mergeCell ref="F679:G679"/>
    <mergeCell ref="H679:I679"/>
    <mergeCell ref="J679:K679"/>
    <mergeCell ref="L679:M679"/>
    <mergeCell ref="N679:O679"/>
    <mergeCell ref="P679:Q679"/>
    <mergeCell ref="R679:S679"/>
    <mergeCell ref="T679:U679"/>
    <mergeCell ref="V679:W679"/>
    <mergeCell ref="X679:Y679"/>
    <mergeCell ref="Z679:AA679"/>
    <mergeCell ref="AB679:AC679"/>
    <mergeCell ref="AD679:AE679"/>
    <mergeCell ref="AF679:AG679"/>
    <mergeCell ref="AH679:AJ679"/>
    <mergeCell ref="F680:G680"/>
    <mergeCell ref="H680:I680"/>
    <mergeCell ref="J680:K680"/>
    <mergeCell ref="L680:M680"/>
    <mergeCell ref="N680:O680"/>
    <mergeCell ref="P680:Q680"/>
    <mergeCell ref="R680:S680"/>
    <mergeCell ref="T680:U680"/>
    <mergeCell ref="V680:W680"/>
    <mergeCell ref="X680:Y680"/>
    <mergeCell ref="Z680:AA680"/>
    <mergeCell ref="AB680:AC680"/>
    <mergeCell ref="AD680:AE680"/>
    <mergeCell ref="AF680:AG680"/>
    <mergeCell ref="AH680:AJ680"/>
    <mergeCell ref="F677:G677"/>
    <mergeCell ref="H677:I677"/>
    <mergeCell ref="J677:K677"/>
    <mergeCell ref="L677:M677"/>
    <mergeCell ref="N677:O677"/>
    <mergeCell ref="P677:Q677"/>
    <mergeCell ref="R677:S677"/>
    <mergeCell ref="T677:U677"/>
    <mergeCell ref="V677:W677"/>
    <mergeCell ref="X677:Y677"/>
    <mergeCell ref="Z677:AA677"/>
    <mergeCell ref="AB677:AC677"/>
    <mergeCell ref="AD677:AE677"/>
    <mergeCell ref="AF677:AG677"/>
    <mergeCell ref="AH677:AJ677"/>
    <mergeCell ref="F678:G678"/>
    <mergeCell ref="H678:I678"/>
    <mergeCell ref="J678:K678"/>
    <mergeCell ref="L678:M678"/>
    <mergeCell ref="N678:O678"/>
    <mergeCell ref="P678:Q678"/>
    <mergeCell ref="R678:S678"/>
    <mergeCell ref="T678:U678"/>
    <mergeCell ref="V678:W678"/>
    <mergeCell ref="X678:Y678"/>
    <mergeCell ref="Z678:AA678"/>
    <mergeCell ref="AB678:AC678"/>
    <mergeCell ref="AD678:AE678"/>
    <mergeCell ref="AF678:AG678"/>
    <mergeCell ref="AH678:AJ678"/>
    <mergeCell ref="BM641:BN641"/>
    <mergeCell ref="BO641:BP641"/>
    <mergeCell ref="BQ641:BR641"/>
    <mergeCell ref="F676:G676"/>
    <mergeCell ref="H676:I676"/>
    <mergeCell ref="J676:K676"/>
    <mergeCell ref="L676:M676"/>
    <mergeCell ref="N676:O676"/>
    <mergeCell ref="P676:Q676"/>
    <mergeCell ref="R676:S676"/>
    <mergeCell ref="T676:U676"/>
    <mergeCell ref="V676:W676"/>
    <mergeCell ref="X676:Y676"/>
    <mergeCell ref="Z676:AA676"/>
    <mergeCell ref="AB676:AC676"/>
    <mergeCell ref="AD676:AE676"/>
    <mergeCell ref="AF676:AG676"/>
    <mergeCell ref="AH676:AJ676"/>
    <mergeCell ref="F641:G641"/>
    <mergeCell ref="BL675:BN675"/>
    <mergeCell ref="BO675:BQ675"/>
    <mergeCell ref="BA674:BB674"/>
    <mergeCell ref="BC674:BD674"/>
    <mergeCell ref="BE674:BF674"/>
    <mergeCell ref="BG674:BH674"/>
    <mergeCell ref="BI674:BK674"/>
    <mergeCell ref="BL674:BN674"/>
    <mergeCell ref="F675:G675"/>
    <mergeCell ref="H675:I675"/>
    <mergeCell ref="J675:K675"/>
    <mergeCell ref="L675:M675"/>
    <mergeCell ref="N675:O675"/>
    <mergeCell ref="BE640:BF640"/>
    <mergeCell ref="BG640:BH640"/>
    <mergeCell ref="BI640:BJ640"/>
    <mergeCell ref="BK640:BL640"/>
    <mergeCell ref="BM640:BN640"/>
    <mergeCell ref="BO640:BP640"/>
    <mergeCell ref="BQ640:BR640"/>
    <mergeCell ref="H641:I641"/>
    <mergeCell ref="J641:L641"/>
    <mergeCell ref="M641:O641"/>
    <mergeCell ref="P641:R641"/>
    <mergeCell ref="S641:U641"/>
    <mergeCell ref="V641:X641"/>
    <mergeCell ref="Y641:AA641"/>
    <mergeCell ref="AB641:AD641"/>
    <mergeCell ref="AE641:AF641"/>
    <mergeCell ref="AG641:AH641"/>
    <mergeCell ref="AI641:AJ641"/>
    <mergeCell ref="AK641:AL641"/>
    <mergeCell ref="AM641:AN641"/>
    <mergeCell ref="AO641:AP641"/>
    <mergeCell ref="AQ641:AR641"/>
    <mergeCell ref="AS641:AT641"/>
    <mergeCell ref="AU641:AV641"/>
    <mergeCell ref="AW641:AX641"/>
    <mergeCell ref="AY641:AZ641"/>
    <mergeCell ref="BA641:BB641"/>
    <mergeCell ref="BC641:BD641"/>
    <mergeCell ref="BE641:BF641"/>
    <mergeCell ref="BG641:BH641"/>
    <mergeCell ref="BI641:BJ641"/>
    <mergeCell ref="BK641:BL641"/>
    <mergeCell ref="AW639:AX639"/>
    <mergeCell ref="AY639:AZ639"/>
    <mergeCell ref="BA639:BB639"/>
    <mergeCell ref="BC639:BD639"/>
    <mergeCell ref="BE639:BF639"/>
    <mergeCell ref="BG639:BH639"/>
    <mergeCell ref="BI639:BJ639"/>
    <mergeCell ref="BK639:BL639"/>
    <mergeCell ref="BM639:BN639"/>
    <mergeCell ref="BO639:BP639"/>
    <mergeCell ref="BQ639:BR639"/>
    <mergeCell ref="H640:I640"/>
    <mergeCell ref="J640:L640"/>
    <mergeCell ref="M640:O640"/>
    <mergeCell ref="P640:R640"/>
    <mergeCell ref="S640:U640"/>
    <mergeCell ref="V640:X640"/>
    <mergeCell ref="Y640:AA640"/>
    <mergeCell ref="AB640:AD640"/>
    <mergeCell ref="AE640:AF640"/>
    <mergeCell ref="AG640:AH640"/>
    <mergeCell ref="AI640:AJ640"/>
    <mergeCell ref="AK640:AL640"/>
    <mergeCell ref="AM640:AN640"/>
    <mergeCell ref="AO640:AP640"/>
    <mergeCell ref="AQ640:AR640"/>
    <mergeCell ref="AS640:AT640"/>
    <mergeCell ref="AU640:AV640"/>
    <mergeCell ref="AW640:AX640"/>
    <mergeCell ref="AY640:AZ640"/>
    <mergeCell ref="BA640:BB640"/>
    <mergeCell ref="BC640:BD640"/>
    <mergeCell ref="H639:I639"/>
    <mergeCell ref="J639:L639"/>
    <mergeCell ref="M639:O639"/>
    <mergeCell ref="P639:R639"/>
    <mergeCell ref="S639:U639"/>
    <mergeCell ref="V639:X639"/>
    <mergeCell ref="Y639:AA639"/>
    <mergeCell ref="AB639:AD639"/>
    <mergeCell ref="AE639:AF639"/>
    <mergeCell ref="AG639:AH639"/>
    <mergeCell ref="AI639:AJ639"/>
    <mergeCell ref="AK639:AL639"/>
    <mergeCell ref="AM639:AN639"/>
    <mergeCell ref="AO639:AP639"/>
    <mergeCell ref="AQ639:AR639"/>
    <mergeCell ref="AS639:AT639"/>
    <mergeCell ref="AU639:AV639"/>
    <mergeCell ref="BM637:BN637"/>
    <mergeCell ref="BO637:BP637"/>
    <mergeCell ref="BQ637:BR637"/>
    <mergeCell ref="H638:I638"/>
    <mergeCell ref="J638:L638"/>
    <mergeCell ref="M638:O638"/>
    <mergeCell ref="P638:R638"/>
    <mergeCell ref="S638:U638"/>
    <mergeCell ref="V638:X638"/>
    <mergeCell ref="Y638:AA638"/>
    <mergeCell ref="AB638:AD638"/>
    <mergeCell ref="AE638:AF638"/>
    <mergeCell ref="AG638:AH638"/>
    <mergeCell ref="AI638:AJ638"/>
    <mergeCell ref="AK638:AL638"/>
    <mergeCell ref="AM638:AN638"/>
    <mergeCell ref="AO638:AP638"/>
    <mergeCell ref="AQ638:AR638"/>
    <mergeCell ref="AS638:AT638"/>
    <mergeCell ref="AU638:AV638"/>
    <mergeCell ref="AW638:AX638"/>
    <mergeCell ref="AY638:AZ638"/>
    <mergeCell ref="BA638:BB638"/>
    <mergeCell ref="BC638:BD638"/>
    <mergeCell ref="BE638:BF638"/>
    <mergeCell ref="BG638:BH638"/>
    <mergeCell ref="BI638:BJ638"/>
    <mergeCell ref="BK638:BL638"/>
    <mergeCell ref="BM638:BN638"/>
    <mergeCell ref="BO638:BP638"/>
    <mergeCell ref="BQ638:BR638"/>
    <mergeCell ref="BE636:BF636"/>
    <mergeCell ref="BG636:BH636"/>
    <mergeCell ref="BI636:BJ636"/>
    <mergeCell ref="BK636:BL636"/>
    <mergeCell ref="BM636:BN636"/>
    <mergeCell ref="BO636:BP636"/>
    <mergeCell ref="BQ636:BR636"/>
    <mergeCell ref="H637:I637"/>
    <mergeCell ref="J637:L637"/>
    <mergeCell ref="M637:O637"/>
    <mergeCell ref="P637:R637"/>
    <mergeCell ref="S637:U637"/>
    <mergeCell ref="V637:X637"/>
    <mergeCell ref="Y637:AA637"/>
    <mergeCell ref="AB637:AD637"/>
    <mergeCell ref="AE637:AF637"/>
    <mergeCell ref="AG637:AH637"/>
    <mergeCell ref="AI637:AJ637"/>
    <mergeCell ref="AK637:AL637"/>
    <mergeCell ref="AM637:AN637"/>
    <mergeCell ref="AO637:AP637"/>
    <mergeCell ref="AQ637:AR637"/>
    <mergeCell ref="AS637:AT637"/>
    <mergeCell ref="AU637:AV637"/>
    <mergeCell ref="AW637:AX637"/>
    <mergeCell ref="AY637:AZ637"/>
    <mergeCell ref="BA637:BB637"/>
    <mergeCell ref="BC637:BD637"/>
    <mergeCell ref="BE637:BF637"/>
    <mergeCell ref="BG637:BH637"/>
    <mergeCell ref="BI637:BJ637"/>
    <mergeCell ref="BK637:BL637"/>
    <mergeCell ref="AW635:AX635"/>
    <mergeCell ref="AY635:AZ635"/>
    <mergeCell ref="BA635:BB635"/>
    <mergeCell ref="BC635:BD635"/>
    <mergeCell ref="BE635:BF635"/>
    <mergeCell ref="BG635:BH635"/>
    <mergeCell ref="BI635:BJ635"/>
    <mergeCell ref="BK635:BL635"/>
    <mergeCell ref="BM635:BN635"/>
    <mergeCell ref="BO635:BP635"/>
    <mergeCell ref="BQ635:BR635"/>
    <mergeCell ref="H636:I636"/>
    <mergeCell ref="J636:L636"/>
    <mergeCell ref="M636:O636"/>
    <mergeCell ref="P636:R636"/>
    <mergeCell ref="S636:U636"/>
    <mergeCell ref="V636:X636"/>
    <mergeCell ref="Y636:AA636"/>
    <mergeCell ref="AB636:AD636"/>
    <mergeCell ref="AE636:AF636"/>
    <mergeCell ref="AG636:AH636"/>
    <mergeCell ref="AI636:AJ636"/>
    <mergeCell ref="AK636:AL636"/>
    <mergeCell ref="AM636:AN636"/>
    <mergeCell ref="AO636:AP636"/>
    <mergeCell ref="AQ636:AR636"/>
    <mergeCell ref="AS636:AT636"/>
    <mergeCell ref="AU636:AV636"/>
    <mergeCell ref="AW636:AX636"/>
    <mergeCell ref="AY636:AZ636"/>
    <mergeCell ref="BA636:BB636"/>
    <mergeCell ref="BC636:BD636"/>
    <mergeCell ref="H635:I635"/>
    <mergeCell ref="J635:L635"/>
    <mergeCell ref="M635:O635"/>
    <mergeCell ref="P635:R635"/>
    <mergeCell ref="S635:U635"/>
    <mergeCell ref="V635:X635"/>
    <mergeCell ref="Y635:AA635"/>
    <mergeCell ref="AB635:AD635"/>
    <mergeCell ref="AE635:AF635"/>
    <mergeCell ref="AG635:AH635"/>
    <mergeCell ref="AI635:AJ635"/>
    <mergeCell ref="AK635:AL635"/>
    <mergeCell ref="AM635:AN635"/>
    <mergeCell ref="AO635:AP635"/>
    <mergeCell ref="AQ635:AR635"/>
    <mergeCell ref="AS635:AT635"/>
    <mergeCell ref="AU635:AV635"/>
    <mergeCell ref="BO633:BP633"/>
    <mergeCell ref="BQ633:BR633"/>
    <mergeCell ref="H634:I634"/>
    <mergeCell ref="J634:L634"/>
    <mergeCell ref="M634:O634"/>
    <mergeCell ref="P634:R634"/>
    <mergeCell ref="S634:U634"/>
    <mergeCell ref="V634:X634"/>
    <mergeCell ref="Y634:AA634"/>
    <mergeCell ref="AB634:AD634"/>
    <mergeCell ref="AE634:AF634"/>
    <mergeCell ref="AG634:AH634"/>
    <mergeCell ref="AI634:AJ634"/>
    <mergeCell ref="AK634:AL634"/>
    <mergeCell ref="AM634:AN634"/>
    <mergeCell ref="AO634:AP634"/>
    <mergeCell ref="AQ634:AR634"/>
    <mergeCell ref="AS634:AT634"/>
    <mergeCell ref="AU634:AV634"/>
    <mergeCell ref="AW634:AX634"/>
    <mergeCell ref="AY634:AZ634"/>
    <mergeCell ref="BA634:BB634"/>
    <mergeCell ref="BC634:BD634"/>
    <mergeCell ref="BE634:BF634"/>
    <mergeCell ref="BG634:BH634"/>
    <mergeCell ref="BI634:BJ634"/>
    <mergeCell ref="BK634:BL634"/>
    <mergeCell ref="BM634:BN634"/>
    <mergeCell ref="BO634:BP634"/>
    <mergeCell ref="BQ634:BR634"/>
    <mergeCell ref="BG632:BH632"/>
    <mergeCell ref="BI632:BJ632"/>
    <mergeCell ref="BK632:BL632"/>
    <mergeCell ref="BM632:BN632"/>
    <mergeCell ref="BO632:BP632"/>
    <mergeCell ref="BQ632:BR632"/>
    <mergeCell ref="H633:I633"/>
    <mergeCell ref="J633:L633"/>
    <mergeCell ref="M633:O633"/>
    <mergeCell ref="P633:R633"/>
    <mergeCell ref="S633:U633"/>
    <mergeCell ref="V633:X633"/>
    <mergeCell ref="Y633:AA633"/>
    <mergeCell ref="AB633:AD633"/>
    <mergeCell ref="AE633:AF633"/>
    <mergeCell ref="AG633:AH633"/>
    <mergeCell ref="AI633:AJ633"/>
    <mergeCell ref="AK633:AL633"/>
    <mergeCell ref="AM633:AN633"/>
    <mergeCell ref="AO633:AP633"/>
    <mergeCell ref="AQ633:AR633"/>
    <mergeCell ref="AS633:AT633"/>
    <mergeCell ref="AU633:AV633"/>
    <mergeCell ref="AW633:AX633"/>
    <mergeCell ref="AY633:AZ633"/>
    <mergeCell ref="BA633:BB633"/>
    <mergeCell ref="BC633:BD633"/>
    <mergeCell ref="BE633:BF633"/>
    <mergeCell ref="BG633:BH633"/>
    <mergeCell ref="BI633:BJ633"/>
    <mergeCell ref="BK633:BL633"/>
    <mergeCell ref="BM633:BN633"/>
    <mergeCell ref="AY631:AZ631"/>
    <mergeCell ref="BA631:BB631"/>
    <mergeCell ref="BC631:BD631"/>
    <mergeCell ref="BE631:BF631"/>
    <mergeCell ref="BG631:BH631"/>
    <mergeCell ref="BI631:BJ631"/>
    <mergeCell ref="BK631:BL631"/>
    <mergeCell ref="BM631:BN631"/>
    <mergeCell ref="BO631:BP631"/>
    <mergeCell ref="BQ631:BR631"/>
    <mergeCell ref="H632:I632"/>
    <mergeCell ref="J632:L632"/>
    <mergeCell ref="M632:O632"/>
    <mergeCell ref="P632:R632"/>
    <mergeCell ref="S632:U632"/>
    <mergeCell ref="V632:X632"/>
    <mergeCell ref="Y632:AA632"/>
    <mergeCell ref="AB632:AD632"/>
    <mergeCell ref="AE632:AF632"/>
    <mergeCell ref="AG632:AH632"/>
    <mergeCell ref="AI632:AJ632"/>
    <mergeCell ref="AK632:AL632"/>
    <mergeCell ref="AM632:AN632"/>
    <mergeCell ref="AO632:AP632"/>
    <mergeCell ref="AQ632:AR632"/>
    <mergeCell ref="AS632:AT632"/>
    <mergeCell ref="AU632:AV632"/>
    <mergeCell ref="AW632:AX632"/>
    <mergeCell ref="AY632:AZ632"/>
    <mergeCell ref="BA632:BB632"/>
    <mergeCell ref="BC632:BD632"/>
    <mergeCell ref="BE632:BF632"/>
    <mergeCell ref="H630:I630"/>
    <mergeCell ref="J630:L630"/>
    <mergeCell ref="M630:O630"/>
    <mergeCell ref="P630:R630"/>
    <mergeCell ref="S630:U630"/>
    <mergeCell ref="V630:X630"/>
    <mergeCell ref="Y630:AA630"/>
    <mergeCell ref="AB630:AD630"/>
    <mergeCell ref="AE630:AF630"/>
    <mergeCell ref="AG630:AH630"/>
    <mergeCell ref="AI630:AJ630"/>
    <mergeCell ref="AK630:AL630"/>
    <mergeCell ref="AM630:AN630"/>
    <mergeCell ref="AO630:AP630"/>
    <mergeCell ref="AQ630:AR630"/>
    <mergeCell ref="AS630:AT630"/>
    <mergeCell ref="H631:I631"/>
    <mergeCell ref="J631:L631"/>
    <mergeCell ref="M631:O631"/>
    <mergeCell ref="P631:R631"/>
    <mergeCell ref="S631:U631"/>
    <mergeCell ref="V631:X631"/>
    <mergeCell ref="Y631:AA631"/>
    <mergeCell ref="AB631:AD631"/>
    <mergeCell ref="AE631:AF631"/>
    <mergeCell ref="AG631:AH631"/>
    <mergeCell ref="AI631:AJ631"/>
    <mergeCell ref="AK631:AL631"/>
    <mergeCell ref="AM631:AN631"/>
    <mergeCell ref="AO631:AP631"/>
    <mergeCell ref="AQ631:AR631"/>
    <mergeCell ref="BG629:BH629"/>
    <mergeCell ref="BI629:BJ629"/>
    <mergeCell ref="BK629:BL629"/>
    <mergeCell ref="BM629:BN629"/>
    <mergeCell ref="BO629:BP629"/>
    <mergeCell ref="BQ629:BR629"/>
    <mergeCell ref="F630:G630"/>
    <mergeCell ref="F631:G631"/>
    <mergeCell ref="F632:G632"/>
    <mergeCell ref="F633:G633"/>
    <mergeCell ref="F634:G634"/>
    <mergeCell ref="F635:G635"/>
    <mergeCell ref="F636:G636"/>
    <mergeCell ref="F637:G637"/>
    <mergeCell ref="F638:G638"/>
    <mergeCell ref="F639:G639"/>
    <mergeCell ref="F640:G640"/>
    <mergeCell ref="AU630:AV630"/>
    <mergeCell ref="AW630:AX630"/>
    <mergeCell ref="AY630:AZ630"/>
    <mergeCell ref="BA630:BB630"/>
    <mergeCell ref="BC630:BD630"/>
    <mergeCell ref="BE630:BF630"/>
    <mergeCell ref="BG630:BH630"/>
    <mergeCell ref="BI630:BJ630"/>
    <mergeCell ref="BK630:BL630"/>
    <mergeCell ref="BM630:BN630"/>
    <mergeCell ref="BO630:BP630"/>
    <mergeCell ref="BQ630:BR630"/>
    <mergeCell ref="AS631:AT631"/>
    <mergeCell ref="AU631:AV631"/>
    <mergeCell ref="AW631:AX631"/>
    <mergeCell ref="BA628:BB628"/>
    <mergeCell ref="BC628:BD628"/>
    <mergeCell ref="BE628:BF628"/>
    <mergeCell ref="BG628:BH628"/>
    <mergeCell ref="BI628:BJ628"/>
    <mergeCell ref="BK628:BL628"/>
    <mergeCell ref="BM628:BN628"/>
    <mergeCell ref="BO628:BP628"/>
    <mergeCell ref="BQ628:BR628"/>
    <mergeCell ref="F629:G629"/>
    <mergeCell ref="H629:I629"/>
    <mergeCell ref="J629:L629"/>
    <mergeCell ref="M629:O629"/>
    <mergeCell ref="P629:R629"/>
    <mergeCell ref="S629:U629"/>
    <mergeCell ref="V629:X629"/>
    <mergeCell ref="Y629:AA629"/>
    <mergeCell ref="AB629:AD629"/>
    <mergeCell ref="AE629:AF629"/>
    <mergeCell ref="AG629:AH629"/>
    <mergeCell ref="AI629:AJ629"/>
    <mergeCell ref="AK629:AL629"/>
    <mergeCell ref="AM629:AN629"/>
    <mergeCell ref="AO629:AP629"/>
    <mergeCell ref="AQ629:AR629"/>
    <mergeCell ref="AS629:AT629"/>
    <mergeCell ref="AU629:AV629"/>
    <mergeCell ref="AW629:AX629"/>
    <mergeCell ref="AY629:AZ629"/>
    <mergeCell ref="BA629:BB629"/>
    <mergeCell ref="BC629:BD629"/>
    <mergeCell ref="BE629:BF629"/>
    <mergeCell ref="AU627:AV627"/>
    <mergeCell ref="AW627:AX627"/>
    <mergeCell ref="AY627:AZ627"/>
    <mergeCell ref="BA627:BB627"/>
    <mergeCell ref="BC627:BD627"/>
    <mergeCell ref="BE627:BF627"/>
    <mergeCell ref="BG627:BH627"/>
    <mergeCell ref="BI627:BJ627"/>
    <mergeCell ref="BK627:BL627"/>
    <mergeCell ref="BM627:BN627"/>
    <mergeCell ref="BO627:BP627"/>
    <mergeCell ref="BQ627:BR627"/>
    <mergeCell ref="F628:G628"/>
    <mergeCell ref="H628:I628"/>
    <mergeCell ref="J628:L628"/>
    <mergeCell ref="M628:O628"/>
    <mergeCell ref="P628:R628"/>
    <mergeCell ref="S628:U628"/>
    <mergeCell ref="V628:X628"/>
    <mergeCell ref="Y628:AA628"/>
    <mergeCell ref="AB628:AD628"/>
    <mergeCell ref="AE628:AF628"/>
    <mergeCell ref="AG628:AH628"/>
    <mergeCell ref="AI628:AJ628"/>
    <mergeCell ref="AK628:AL628"/>
    <mergeCell ref="AM628:AN628"/>
    <mergeCell ref="AO628:AP628"/>
    <mergeCell ref="AQ628:AR628"/>
    <mergeCell ref="AS628:AT628"/>
    <mergeCell ref="AU628:AV628"/>
    <mergeCell ref="AW628:AX628"/>
    <mergeCell ref="AY628:AZ628"/>
    <mergeCell ref="F627:G627"/>
    <mergeCell ref="H627:I627"/>
    <mergeCell ref="J627:L627"/>
    <mergeCell ref="M627:O627"/>
    <mergeCell ref="P627:R627"/>
    <mergeCell ref="S627:U627"/>
    <mergeCell ref="V627:X627"/>
    <mergeCell ref="Y627:AA627"/>
    <mergeCell ref="AB627:AD627"/>
    <mergeCell ref="AE627:AF627"/>
    <mergeCell ref="AG627:AH627"/>
    <mergeCell ref="AI627:AJ627"/>
    <mergeCell ref="AK627:AL627"/>
    <mergeCell ref="AM627:AN627"/>
    <mergeCell ref="AO627:AP627"/>
    <mergeCell ref="AQ627:AR627"/>
    <mergeCell ref="AS627:AT627"/>
    <mergeCell ref="BM625:BN625"/>
    <mergeCell ref="BO625:BP625"/>
    <mergeCell ref="BQ625:BR625"/>
    <mergeCell ref="F626:G626"/>
    <mergeCell ref="H626:I626"/>
    <mergeCell ref="J626:L626"/>
    <mergeCell ref="M626:O626"/>
    <mergeCell ref="P626:R626"/>
    <mergeCell ref="S626:U626"/>
    <mergeCell ref="V626:X626"/>
    <mergeCell ref="Y626:AA626"/>
    <mergeCell ref="AB626:AD626"/>
    <mergeCell ref="AE626:AF626"/>
    <mergeCell ref="AG626:AH626"/>
    <mergeCell ref="AI626:AJ626"/>
    <mergeCell ref="AK626:AL626"/>
    <mergeCell ref="AM626:AN626"/>
    <mergeCell ref="AO626:AP626"/>
    <mergeCell ref="AQ626:AR626"/>
    <mergeCell ref="AS626:AT626"/>
    <mergeCell ref="AU626:AV626"/>
    <mergeCell ref="AW626:AX626"/>
    <mergeCell ref="AY626:AZ626"/>
    <mergeCell ref="BA626:BB626"/>
    <mergeCell ref="BC626:BD626"/>
    <mergeCell ref="BE626:BF626"/>
    <mergeCell ref="BG626:BH626"/>
    <mergeCell ref="BI626:BJ626"/>
    <mergeCell ref="BK626:BL626"/>
    <mergeCell ref="BM626:BN626"/>
    <mergeCell ref="BO626:BP626"/>
    <mergeCell ref="BQ626:BR626"/>
    <mergeCell ref="BG624:BH624"/>
    <mergeCell ref="BI624:BJ624"/>
    <mergeCell ref="BK624:BL624"/>
    <mergeCell ref="BM624:BN624"/>
    <mergeCell ref="BO624:BP624"/>
    <mergeCell ref="BQ624:BR624"/>
    <mergeCell ref="F625:G625"/>
    <mergeCell ref="H625:I625"/>
    <mergeCell ref="J625:L625"/>
    <mergeCell ref="M625:O625"/>
    <mergeCell ref="P625:R625"/>
    <mergeCell ref="S625:U625"/>
    <mergeCell ref="V625:X625"/>
    <mergeCell ref="Y625:AA625"/>
    <mergeCell ref="AB625:AD625"/>
    <mergeCell ref="AE625:AF625"/>
    <mergeCell ref="AG625:AH625"/>
    <mergeCell ref="AI625:AJ625"/>
    <mergeCell ref="AK625:AL625"/>
    <mergeCell ref="AM625:AN625"/>
    <mergeCell ref="AO625:AP625"/>
    <mergeCell ref="AQ625:AR625"/>
    <mergeCell ref="AS625:AT625"/>
    <mergeCell ref="AU625:AV625"/>
    <mergeCell ref="AW625:AX625"/>
    <mergeCell ref="AY625:AZ625"/>
    <mergeCell ref="BA625:BB625"/>
    <mergeCell ref="BC625:BD625"/>
    <mergeCell ref="BE625:BF625"/>
    <mergeCell ref="BG625:BH625"/>
    <mergeCell ref="BI625:BJ625"/>
    <mergeCell ref="BK625:BL625"/>
    <mergeCell ref="BA623:BB623"/>
    <mergeCell ref="BC623:BD623"/>
    <mergeCell ref="BE623:BF623"/>
    <mergeCell ref="BG623:BH623"/>
    <mergeCell ref="BI623:BJ623"/>
    <mergeCell ref="BK623:BL623"/>
    <mergeCell ref="BM623:BN623"/>
    <mergeCell ref="BO623:BP623"/>
    <mergeCell ref="BQ623:BR623"/>
    <mergeCell ref="F624:G624"/>
    <mergeCell ref="H624:I624"/>
    <mergeCell ref="J624:L624"/>
    <mergeCell ref="M624:O624"/>
    <mergeCell ref="P624:R624"/>
    <mergeCell ref="S624:U624"/>
    <mergeCell ref="V624:X624"/>
    <mergeCell ref="Y624:AA624"/>
    <mergeCell ref="AB624:AD624"/>
    <mergeCell ref="AE624:AF624"/>
    <mergeCell ref="AG624:AH624"/>
    <mergeCell ref="AI624:AJ624"/>
    <mergeCell ref="AK624:AL624"/>
    <mergeCell ref="AM624:AN624"/>
    <mergeCell ref="AO624:AP624"/>
    <mergeCell ref="AQ624:AR624"/>
    <mergeCell ref="AS624:AT624"/>
    <mergeCell ref="AU624:AV624"/>
    <mergeCell ref="AW624:AX624"/>
    <mergeCell ref="AY624:AZ624"/>
    <mergeCell ref="BA624:BB624"/>
    <mergeCell ref="BC624:BD624"/>
    <mergeCell ref="BE624:BF624"/>
    <mergeCell ref="AU622:AV622"/>
    <mergeCell ref="AW622:AX622"/>
    <mergeCell ref="AY622:AZ622"/>
    <mergeCell ref="BA622:BB622"/>
    <mergeCell ref="BC622:BD622"/>
    <mergeCell ref="BE622:BF622"/>
    <mergeCell ref="BG622:BH622"/>
    <mergeCell ref="BI622:BJ622"/>
    <mergeCell ref="BK622:BL622"/>
    <mergeCell ref="BM622:BN622"/>
    <mergeCell ref="BO622:BP622"/>
    <mergeCell ref="BQ622:BR622"/>
    <mergeCell ref="F623:G623"/>
    <mergeCell ref="H623:I623"/>
    <mergeCell ref="J623:L623"/>
    <mergeCell ref="M623:O623"/>
    <mergeCell ref="P623:R623"/>
    <mergeCell ref="S623:U623"/>
    <mergeCell ref="V623:X623"/>
    <mergeCell ref="Y623:AA623"/>
    <mergeCell ref="AB623:AD623"/>
    <mergeCell ref="AE623:AF623"/>
    <mergeCell ref="AG623:AH623"/>
    <mergeCell ref="AI623:AJ623"/>
    <mergeCell ref="AK623:AL623"/>
    <mergeCell ref="AM623:AN623"/>
    <mergeCell ref="AO623:AP623"/>
    <mergeCell ref="AQ623:AR623"/>
    <mergeCell ref="AS623:AT623"/>
    <mergeCell ref="AU623:AV623"/>
    <mergeCell ref="AW623:AX623"/>
    <mergeCell ref="AY623:AZ623"/>
    <mergeCell ref="F622:G622"/>
    <mergeCell ref="H622:I622"/>
    <mergeCell ref="J622:L622"/>
    <mergeCell ref="M622:O622"/>
    <mergeCell ref="P622:R622"/>
    <mergeCell ref="S622:U622"/>
    <mergeCell ref="V622:X622"/>
    <mergeCell ref="Y622:AA622"/>
    <mergeCell ref="AB622:AD622"/>
    <mergeCell ref="AE622:AF622"/>
    <mergeCell ref="AG622:AH622"/>
    <mergeCell ref="AI622:AJ622"/>
    <mergeCell ref="AK622:AL622"/>
    <mergeCell ref="AM622:AN622"/>
    <mergeCell ref="AO622:AP622"/>
    <mergeCell ref="AQ622:AR622"/>
    <mergeCell ref="AS622:AT622"/>
    <mergeCell ref="BM620:BN620"/>
    <mergeCell ref="BO620:BP620"/>
    <mergeCell ref="BQ620:BR620"/>
    <mergeCell ref="F621:G621"/>
    <mergeCell ref="H621:I621"/>
    <mergeCell ref="J621:L621"/>
    <mergeCell ref="M621:O621"/>
    <mergeCell ref="P621:R621"/>
    <mergeCell ref="S621:U621"/>
    <mergeCell ref="V621:X621"/>
    <mergeCell ref="Y621:AA621"/>
    <mergeCell ref="AB621:AD621"/>
    <mergeCell ref="AE621:AF621"/>
    <mergeCell ref="AG621:AH621"/>
    <mergeCell ref="AI621:AJ621"/>
    <mergeCell ref="AK621:AL621"/>
    <mergeCell ref="AM621:AN621"/>
    <mergeCell ref="AO621:AP621"/>
    <mergeCell ref="AQ621:AR621"/>
    <mergeCell ref="AS621:AT621"/>
    <mergeCell ref="AU621:AV621"/>
    <mergeCell ref="AW621:AX621"/>
    <mergeCell ref="AY621:AZ621"/>
    <mergeCell ref="BA621:BB621"/>
    <mergeCell ref="BC621:BD621"/>
    <mergeCell ref="BE621:BF621"/>
    <mergeCell ref="BG621:BH621"/>
    <mergeCell ref="BI621:BJ621"/>
    <mergeCell ref="BK621:BL621"/>
    <mergeCell ref="BM621:BN621"/>
    <mergeCell ref="BO621:BP621"/>
    <mergeCell ref="BQ621:BR621"/>
    <mergeCell ref="BG619:BH619"/>
    <mergeCell ref="BI619:BJ619"/>
    <mergeCell ref="BK619:BL619"/>
    <mergeCell ref="BM619:BN619"/>
    <mergeCell ref="BO619:BP619"/>
    <mergeCell ref="BQ619:BR619"/>
    <mergeCell ref="F620:G620"/>
    <mergeCell ref="H620:I620"/>
    <mergeCell ref="J620:L620"/>
    <mergeCell ref="M620:O620"/>
    <mergeCell ref="P620:R620"/>
    <mergeCell ref="S620:U620"/>
    <mergeCell ref="V620:X620"/>
    <mergeCell ref="Y620:AA620"/>
    <mergeCell ref="AB620:AD620"/>
    <mergeCell ref="AE620:AF620"/>
    <mergeCell ref="AG620:AH620"/>
    <mergeCell ref="AI620:AJ620"/>
    <mergeCell ref="AK620:AL620"/>
    <mergeCell ref="AM620:AN620"/>
    <mergeCell ref="AO620:AP620"/>
    <mergeCell ref="AQ620:AR620"/>
    <mergeCell ref="AS620:AT620"/>
    <mergeCell ref="AU620:AV620"/>
    <mergeCell ref="AW620:AX620"/>
    <mergeCell ref="AY620:AZ620"/>
    <mergeCell ref="BA620:BB620"/>
    <mergeCell ref="BC620:BD620"/>
    <mergeCell ref="BE620:BF620"/>
    <mergeCell ref="BG620:BH620"/>
    <mergeCell ref="BI620:BJ620"/>
    <mergeCell ref="BK620:BL620"/>
    <mergeCell ref="BA618:BB618"/>
    <mergeCell ref="BC618:BD618"/>
    <mergeCell ref="BE618:BF618"/>
    <mergeCell ref="BG618:BH618"/>
    <mergeCell ref="BI618:BJ618"/>
    <mergeCell ref="BK618:BL618"/>
    <mergeCell ref="BM618:BN618"/>
    <mergeCell ref="BO618:BP618"/>
    <mergeCell ref="BQ618:BR618"/>
    <mergeCell ref="F619:G619"/>
    <mergeCell ref="H619:I619"/>
    <mergeCell ref="J619:L619"/>
    <mergeCell ref="M619:O619"/>
    <mergeCell ref="P619:R619"/>
    <mergeCell ref="S619:U619"/>
    <mergeCell ref="V619:X619"/>
    <mergeCell ref="Y619:AA619"/>
    <mergeCell ref="AB619:AD619"/>
    <mergeCell ref="AE619:AF619"/>
    <mergeCell ref="AG619:AH619"/>
    <mergeCell ref="AI619:AJ619"/>
    <mergeCell ref="AK619:AL619"/>
    <mergeCell ref="AM619:AN619"/>
    <mergeCell ref="AO619:AP619"/>
    <mergeCell ref="AQ619:AR619"/>
    <mergeCell ref="AS619:AT619"/>
    <mergeCell ref="AU619:AV619"/>
    <mergeCell ref="AW619:AX619"/>
    <mergeCell ref="AY619:AZ619"/>
    <mergeCell ref="BA619:BB619"/>
    <mergeCell ref="BC619:BD619"/>
    <mergeCell ref="BE619:BF619"/>
    <mergeCell ref="AU617:AV617"/>
    <mergeCell ref="AW617:AX617"/>
    <mergeCell ref="AY617:AZ617"/>
    <mergeCell ref="BA617:BB617"/>
    <mergeCell ref="BC617:BD617"/>
    <mergeCell ref="BE617:BF617"/>
    <mergeCell ref="BG617:BH617"/>
    <mergeCell ref="BI617:BJ617"/>
    <mergeCell ref="BK617:BL617"/>
    <mergeCell ref="BM617:BN617"/>
    <mergeCell ref="BO617:BP617"/>
    <mergeCell ref="BQ617:BR617"/>
    <mergeCell ref="F618:G618"/>
    <mergeCell ref="H618:I618"/>
    <mergeCell ref="J618:L618"/>
    <mergeCell ref="M618:O618"/>
    <mergeCell ref="P618:R618"/>
    <mergeCell ref="S618:U618"/>
    <mergeCell ref="V618:X618"/>
    <mergeCell ref="Y618:AA618"/>
    <mergeCell ref="AB618:AD618"/>
    <mergeCell ref="AE618:AF618"/>
    <mergeCell ref="AG618:AH618"/>
    <mergeCell ref="AI618:AJ618"/>
    <mergeCell ref="AK618:AL618"/>
    <mergeCell ref="AM618:AN618"/>
    <mergeCell ref="AO618:AP618"/>
    <mergeCell ref="AQ618:AR618"/>
    <mergeCell ref="AS618:AT618"/>
    <mergeCell ref="AU618:AV618"/>
    <mergeCell ref="AW618:AX618"/>
    <mergeCell ref="AY618:AZ618"/>
    <mergeCell ref="F617:G617"/>
    <mergeCell ref="H617:I617"/>
    <mergeCell ref="J617:L617"/>
    <mergeCell ref="M617:O617"/>
    <mergeCell ref="P617:R617"/>
    <mergeCell ref="S617:U617"/>
    <mergeCell ref="V617:X617"/>
    <mergeCell ref="Y617:AA617"/>
    <mergeCell ref="AB617:AD617"/>
    <mergeCell ref="AE617:AF617"/>
    <mergeCell ref="AG617:AH617"/>
    <mergeCell ref="AI617:AJ617"/>
    <mergeCell ref="AK617:AL617"/>
    <mergeCell ref="AM617:AN617"/>
    <mergeCell ref="AO617:AP617"/>
    <mergeCell ref="AQ617:AR617"/>
    <mergeCell ref="AS617:AT617"/>
    <mergeCell ref="BM615:BN615"/>
    <mergeCell ref="BO615:BP615"/>
    <mergeCell ref="BQ615:BR615"/>
    <mergeCell ref="F616:G616"/>
    <mergeCell ref="H616:I616"/>
    <mergeCell ref="J616:L616"/>
    <mergeCell ref="M616:O616"/>
    <mergeCell ref="P616:R616"/>
    <mergeCell ref="S616:U616"/>
    <mergeCell ref="V616:X616"/>
    <mergeCell ref="Y616:AA616"/>
    <mergeCell ref="AB616:AD616"/>
    <mergeCell ref="AE616:AF616"/>
    <mergeCell ref="AG616:AH616"/>
    <mergeCell ref="AI616:AJ616"/>
    <mergeCell ref="AK616:AL616"/>
    <mergeCell ref="AM616:AN616"/>
    <mergeCell ref="AO616:AP616"/>
    <mergeCell ref="AQ616:AR616"/>
    <mergeCell ref="AS616:AT616"/>
    <mergeCell ref="AU616:AV616"/>
    <mergeCell ref="AW616:AX616"/>
    <mergeCell ref="AY616:AZ616"/>
    <mergeCell ref="BA616:BB616"/>
    <mergeCell ref="BC616:BD616"/>
    <mergeCell ref="BE616:BF616"/>
    <mergeCell ref="BG616:BH616"/>
    <mergeCell ref="BI616:BJ616"/>
    <mergeCell ref="BK616:BL616"/>
    <mergeCell ref="BM616:BN616"/>
    <mergeCell ref="BO616:BP616"/>
    <mergeCell ref="BQ616:BR616"/>
    <mergeCell ref="BG614:BH614"/>
    <mergeCell ref="BI614:BJ614"/>
    <mergeCell ref="BK614:BL614"/>
    <mergeCell ref="BM614:BN614"/>
    <mergeCell ref="BO614:BP614"/>
    <mergeCell ref="BQ614:BR614"/>
    <mergeCell ref="F615:G615"/>
    <mergeCell ref="H615:I615"/>
    <mergeCell ref="J615:L615"/>
    <mergeCell ref="M615:O615"/>
    <mergeCell ref="P615:R615"/>
    <mergeCell ref="S615:U615"/>
    <mergeCell ref="V615:X615"/>
    <mergeCell ref="Y615:AA615"/>
    <mergeCell ref="AB615:AD615"/>
    <mergeCell ref="AE615:AF615"/>
    <mergeCell ref="AG615:AH615"/>
    <mergeCell ref="AI615:AJ615"/>
    <mergeCell ref="AK615:AL615"/>
    <mergeCell ref="AM615:AN615"/>
    <mergeCell ref="AO615:AP615"/>
    <mergeCell ref="AQ615:AR615"/>
    <mergeCell ref="AS615:AT615"/>
    <mergeCell ref="AU615:AV615"/>
    <mergeCell ref="AW615:AX615"/>
    <mergeCell ref="AY615:AZ615"/>
    <mergeCell ref="BA615:BB615"/>
    <mergeCell ref="BC615:BD615"/>
    <mergeCell ref="BE615:BF615"/>
    <mergeCell ref="BG615:BH615"/>
    <mergeCell ref="BI615:BJ615"/>
    <mergeCell ref="BK615:BL615"/>
    <mergeCell ref="BA613:BB613"/>
    <mergeCell ref="BC613:BD613"/>
    <mergeCell ref="BE613:BF613"/>
    <mergeCell ref="BG613:BH613"/>
    <mergeCell ref="BI613:BJ613"/>
    <mergeCell ref="BK613:BL613"/>
    <mergeCell ref="BM613:BN613"/>
    <mergeCell ref="BO613:BP613"/>
    <mergeCell ref="BQ613:BR613"/>
    <mergeCell ref="F614:G614"/>
    <mergeCell ref="H614:I614"/>
    <mergeCell ref="J614:L614"/>
    <mergeCell ref="M614:O614"/>
    <mergeCell ref="P614:R614"/>
    <mergeCell ref="S614:U614"/>
    <mergeCell ref="V614:X614"/>
    <mergeCell ref="Y614:AA614"/>
    <mergeCell ref="AB614:AD614"/>
    <mergeCell ref="AE614:AF614"/>
    <mergeCell ref="AG614:AH614"/>
    <mergeCell ref="AI614:AJ614"/>
    <mergeCell ref="AK614:AL614"/>
    <mergeCell ref="AM614:AN614"/>
    <mergeCell ref="AO614:AP614"/>
    <mergeCell ref="AQ614:AR614"/>
    <mergeCell ref="AS614:AT614"/>
    <mergeCell ref="AU614:AV614"/>
    <mergeCell ref="AW614:AX614"/>
    <mergeCell ref="AY614:AZ614"/>
    <mergeCell ref="BA614:BB614"/>
    <mergeCell ref="BC614:BD614"/>
    <mergeCell ref="BE614:BF614"/>
    <mergeCell ref="AU612:AV612"/>
    <mergeCell ref="AW612:AX612"/>
    <mergeCell ref="AY612:AZ612"/>
    <mergeCell ref="BA612:BB612"/>
    <mergeCell ref="BC612:BD612"/>
    <mergeCell ref="BE612:BF612"/>
    <mergeCell ref="BG612:BH612"/>
    <mergeCell ref="BI612:BJ612"/>
    <mergeCell ref="BK612:BL612"/>
    <mergeCell ref="BM612:BN612"/>
    <mergeCell ref="BO612:BP612"/>
    <mergeCell ref="BQ612:BR612"/>
    <mergeCell ref="F613:G613"/>
    <mergeCell ref="H613:I613"/>
    <mergeCell ref="J613:L613"/>
    <mergeCell ref="M613:O613"/>
    <mergeCell ref="P613:R613"/>
    <mergeCell ref="S613:U613"/>
    <mergeCell ref="V613:X613"/>
    <mergeCell ref="Y613:AA613"/>
    <mergeCell ref="AB613:AD613"/>
    <mergeCell ref="AE613:AF613"/>
    <mergeCell ref="AG613:AH613"/>
    <mergeCell ref="AI613:AJ613"/>
    <mergeCell ref="AK613:AL613"/>
    <mergeCell ref="AM613:AN613"/>
    <mergeCell ref="AO613:AP613"/>
    <mergeCell ref="AQ613:AR613"/>
    <mergeCell ref="AS613:AT613"/>
    <mergeCell ref="AU613:AV613"/>
    <mergeCell ref="AW613:AX613"/>
    <mergeCell ref="AY613:AZ613"/>
    <mergeCell ref="F612:G612"/>
    <mergeCell ref="H612:I612"/>
    <mergeCell ref="J612:L612"/>
    <mergeCell ref="M612:O612"/>
    <mergeCell ref="P612:R612"/>
    <mergeCell ref="S612:U612"/>
    <mergeCell ref="V612:X612"/>
    <mergeCell ref="Y612:AA612"/>
    <mergeCell ref="AB612:AD612"/>
    <mergeCell ref="AE612:AF612"/>
    <mergeCell ref="AG612:AH612"/>
    <mergeCell ref="AI612:AJ612"/>
    <mergeCell ref="AK612:AL612"/>
    <mergeCell ref="AM612:AN612"/>
    <mergeCell ref="AO612:AP612"/>
    <mergeCell ref="AQ612:AR612"/>
    <mergeCell ref="AS612:AT612"/>
    <mergeCell ref="BM610:BN610"/>
    <mergeCell ref="BO610:BP610"/>
    <mergeCell ref="BQ610:BR610"/>
    <mergeCell ref="F611:G611"/>
    <mergeCell ref="H611:I611"/>
    <mergeCell ref="J611:L611"/>
    <mergeCell ref="M611:O611"/>
    <mergeCell ref="P611:R611"/>
    <mergeCell ref="S611:U611"/>
    <mergeCell ref="V611:X611"/>
    <mergeCell ref="Y611:AA611"/>
    <mergeCell ref="AB611:AD611"/>
    <mergeCell ref="AE611:AF611"/>
    <mergeCell ref="AG611:AH611"/>
    <mergeCell ref="AI611:AJ611"/>
    <mergeCell ref="AK611:AL611"/>
    <mergeCell ref="AM611:AN611"/>
    <mergeCell ref="AO611:AP611"/>
    <mergeCell ref="AQ611:AR611"/>
    <mergeCell ref="AS611:AT611"/>
    <mergeCell ref="AU611:AV611"/>
    <mergeCell ref="AW611:AX611"/>
    <mergeCell ref="AY611:AZ611"/>
    <mergeCell ref="BA611:BB611"/>
    <mergeCell ref="BC611:BD611"/>
    <mergeCell ref="BE611:BF611"/>
    <mergeCell ref="BG611:BH611"/>
    <mergeCell ref="BI611:BJ611"/>
    <mergeCell ref="BK611:BL611"/>
    <mergeCell ref="BM611:BN611"/>
    <mergeCell ref="BO611:BP611"/>
    <mergeCell ref="BQ611:BR611"/>
    <mergeCell ref="BG609:BH609"/>
    <mergeCell ref="BI609:BJ609"/>
    <mergeCell ref="BK609:BL609"/>
    <mergeCell ref="BM609:BN609"/>
    <mergeCell ref="BO609:BP609"/>
    <mergeCell ref="BQ609:BR609"/>
    <mergeCell ref="F610:G610"/>
    <mergeCell ref="H610:I610"/>
    <mergeCell ref="J610:L610"/>
    <mergeCell ref="M610:O610"/>
    <mergeCell ref="P610:R610"/>
    <mergeCell ref="S610:U610"/>
    <mergeCell ref="V610:X610"/>
    <mergeCell ref="Y610:AA610"/>
    <mergeCell ref="AB610:AD610"/>
    <mergeCell ref="AE610:AF610"/>
    <mergeCell ref="AG610:AH610"/>
    <mergeCell ref="AI610:AJ610"/>
    <mergeCell ref="AK610:AL610"/>
    <mergeCell ref="AM610:AN610"/>
    <mergeCell ref="AO610:AP610"/>
    <mergeCell ref="AQ610:AR610"/>
    <mergeCell ref="AS610:AT610"/>
    <mergeCell ref="AU610:AV610"/>
    <mergeCell ref="AW610:AX610"/>
    <mergeCell ref="AY610:AZ610"/>
    <mergeCell ref="BA610:BB610"/>
    <mergeCell ref="BC610:BD610"/>
    <mergeCell ref="BE610:BF610"/>
    <mergeCell ref="BG610:BH610"/>
    <mergeCell ref="BI610:BJ610"/>
    <mergeCell ref="BK610:BL610"/>
    <mergeCell ref="BA608:BB608"/>
    <mergeCell ref="BC608:BD608"/>
    <mergeCell ref="BE608:BF608"/>
    <mergeCell ref="BG608:BH608"/>
    <mergeCell ref="BI608:BJ608"/>
    <mergeCell ref="BK608:BL608"/>
    <mergeCell ref="BM608:BN608"/>
    <mergeCell ref="BO608:BP608"/>
    <mergeCell ref="BQ608:BR608"/>
    <mergeCell ref="F609:G609"/>
    <mergeCell ref="H609:I609"/>
    <mergeCell ref="J609:L609"/>
    <mergeCell ref="M609:O609"/>
    <mergeCell ref="P609:R609"/>
    <mergeCell ref="S609:U609"/>
    <mergeCell ref="V609:X609"/>
    <mergeCell ref="Y609:AA609"/>
    <mergeCell ref="AB609:AD609"/>
    <mergeCell ref="AE609:AF609"/>
    <mergeCell ref="AG609:AH609"/>
    <mergeCell ref="AI609:AJ609"/>
    <mergeCell ref="AK609:AL609"/>
    <mergeCell ref="AM609:AN609"/>
    <mergeCell ref="AO609:AP609"/>
    <mergeCell ref="AQ609:AR609"/>
    <mergeCell ref="AS609:AT609"/>
    <mergeCell ref="AU609:AV609"/>
    <mergeCell ref="AW609:AX609"/>
    <mergeCell ref="AY609:AZ609"/>
    <mergeCell ref="BA609:BB609"/>
    <mergeCell ref="BC609:BD609"/>
    <mergeCell ref="BE609:BF609"/>
    <mergeCell ref="AU607:AV607"/>
    <mergeCell ref="AW607:AX607"/>
    <mergeCell ref="AY607:AZ607"/>
    <mergeCell ref="BA607:BB607"/>
    <mergeCell ref="BC607:BD607"/>
    <mergeCell ref="BE607:BF607"/>
    <mergeCell ref="BG607:BH607"/>
    <mergeCell ref="BI607:BJ607"/>
    <mergeCell ref="BK607:BL607"/>
    <mergeCell ref="BM607:BN607"/>
    <mergeCell ref="BO607:BP607"/>
    <mergeCell ref="BQ607:BR607"/>
    <mergeCell ref="F608:G608"/>
    <mergeCell ref="H608:I608"/>
    <mergeCell ref="J608:L608"/>
    <mergeCell ref="M608:O608"/>
    <mergeCell ref="P608:R608"/>
    <mergeCell ref="S608:U608"/>
    <mergeCell ref="V608:X608"/>
    <mergeCell ref="Y608:AA608"/>
    <mergeCell ref="AB608:AD608"/>
    <mergeCell ref="AE608:AF608"/>
    <mergeCell ref="AG608:AH608"/>
    <mergeCell ref="AI608:AJ608"/>
    <mergeCell ref="AK608:AL608"/>
    <mergeCell ref="AM608:AN608"/>
    <mergeCell ref="AO608:AP608"/>
    <mergeCell ref="AQ608:AR608"/>
    <mergeCell ref="AS608:AT608"/>
    <mergeCell ref="AU608:AV608"/>
    <mergeCell ref="AW608:AX608"/>
    <mergeCell ref="AY608:AZ608"/>
    <mergeCell ref="F607:G607"/>
    <mergeCell ref="H607:I607"/>
    <mergeCell ref="J607:L607"/>
    <mergeCell ref="M607:O607"/>
    <mergeCell ref="P607:R607"/>
    <mergeCell ref="S607:U607"/>
    <mergeCell ref="V607:X607"/>
    <mergeCell ref="Y607:AA607"/>
    <mergeCell ref="AB607:AD607"/>
    <mergeCell ref="AE607:AF607"/>
    <mergeCell ref="AG607:AH607"/>
    <mergeCell ref="AI607:AJ607"/>
    <mergeCell ref="AK607:AL607"/>
    <mergeCell ref="AM607:AN607"/>
    <mergeCell ref="AO607:AP607"/>
    <mergeCell ref="AQ607:AR607"/>
    <mergeCell ref="AS607:AT607"/>
    <mergeCell ref="BO605:BP605"/>
    <mergeCell ref="BQ605:BR605"/>
    <mergeCell ref="F606:G606"/>
    <mergeCell ref="H606:I606"/>
    <mergeCell ref="J606:L606"/>
    <mergeCell ref="M606:O606"/>
    <mergeCell ref="P606:R606"/>
    <mergeCell ref="S606:U606"/>
    <mergeCell ref="V606:X606"/>
    <mergeCell ref="Y606:AA606"/>
    <mergeCell ref="AB606:AD606"/>
    <mergeCell ref="AE606:AF606"/>
    <mergeCell ref="AG606:AH606"/>
    <mergeCell ref="AI606:AJ606"/>
    <mergeCell ref="AK606:AL606"/>
    <mergeCell ref="AM606:AN606"/>
    <mergeCell ref="AO606:AP606"/>
    <mergeCell ref="AQ606:AR606"/>
    <mergeCell ref="AS606:AT606"/>
    <mergeCell ref="AU606:AV606"/>
    <mergeCell ref="AW606:AX606"/>
    <mergeCell ref="AY606:AZ606"/>
    <mergeCell ref="BA606:BB606"/>
    <mergeCell ref="BC606:BD606"/>
    <mergeCell ref="BE606:BF606"/>
    <mergeCell ref="BG606:BH606"/>
    <mergeCell ref="BI606:BJ606"/>
    <mergeCell ref="BK606:BL606"/>
    <mergeCell ref="BM606:BN606"/>
    <mergeCell ref="BO606:BP606"/>
    <mergeCell ref="BQ606:BR606"/>
    <mergeCell ref="BI604:BJ604"/>
    <mergeCell ref="BK604:BL604"/>
    <mergeCell ref="BM604:BN604"/>
    <mergeCell ref="BO604:BP604"/>
    <mergeCell ref="BQ604:BR604"/>
    <mergeCell ref="F605:G605"/>
    <mergeCell ref="H605:I605"/>
    <mergeCell ref="J605:L605"/>
    <mergeCell ref="M605:O605"/>
    <mergeCell ref="P605:R605"/>
    <mergeCell ref="S605:U605"/>
    <mergeCell ref="V605:X605"/>
    <mergeCell ref="Y605:AA605"/>
    <mergeCell ref="AB605:AD605"/>
    <mergeCell ref="AE605:AF605"/>
    <mergeCell ref="AG605:AH605"/>
    <mergeCell ref="AI605:AJ605"/>
    <mergeCell ref="AK605:AL605"/>
    <mergeCell ref="AM605:AN605"/>
    <mergeCell ref="AO605:AP605"/>
    <mergeCell ref="AQ605:AR605"/>
    <mergeCell ref="AS605:AT605"/>
    <mergeCell ref="AU605:AV605"/>
    <mergeCell ref="AW605:AX605"/>
    <mergeCell ref="AY605:AZ605"/>
    <mergeCell ref="BA605:BB605"/>
    <mergeCell ref="BC605:BD605"/>
    <mergeCell ref="BE605:BF605"/>
    <mergeCell ref="BG605:BH605"/>
    <mergeCell ref="BI605:BJ605"/>
    <mergeCell ref="BK605:BL605"/>
    <mergeCell ref="BM605:BN605"/>
    <mergeCell ref="BC603:BD603"/>
    <mergeCell ref="BE603:BF603"/>
    <mergeCell ref="BG603:BH603"/>
    <mergeCell ref="BI603:BJ603"/>
    <mergeCell ref="BK603:BL603"/>
    <mergeCell ref="BM603:BN603"/>
    <mergeCell ref="BO603:BP603"/>
    <mergeCell ref="BQ603:BR603"/>
    <mergeCell ref="F604:G604"/>
    <mergeCell ref="H604:I604"/>
    <mergeCell ref="J604:L604"/>
    <mergeCell ref="M604:O604"/>
    <mergeCell ref="P604:R604"/>
    <mergeCell ref="S604:U604"/>
    <mergeCell ref="V604:X604"/>
    <mergeCell ref="Y604:AA604"/>
    <mergeCell ref="AB604:AD604"/>
    <mergeCell ref="AE604:AF604"/>
    <mergeCell ref="AG604:AH604"/>
    <mergeCell ref="AI604:AJ604"/>
    <mergeCell ref="AK604:AL604"/>
    <mergeCell ref="AM604:AN604"/>
    <mergeCell ref="AO604:AP604"/>
    <mergeCell ref="AQ604:AR604"/>
    <mergeCell ref="AS604:AT604"/>
    <mergeCell ref="AU604:AV604"/>
    <mergeCell ref="AW604:AX604"/>
    <mergeCell ref="AY604:AZ604"/>
    <mergeCell ref="BA604:BB604"/>
    <mergeCell ref="BC604:BD604"/>
    <mergeCell ref="BE604:BF604"/>
    <mergeCell ref="BG604:BH604"/>
    <mergeCell ref="AW602:AX602"/>
    <mergeCell ref="AY602:AZ602"/>
    <mergeCell ref="BA602:BB602"/>
    <mergeCell ref="BC602:BD602"/>
    <mergeCell ref="BE602:BF602"/>
    <mergeCell ref="BG602:BH602"/>
    <mergeCell ref="BI602:BJ602"/>
    <mergeCell ref="BK602:BL602"/>
    <mergeCell ref="BM602:BN602"/>
    <mergeCell ref="BO602:BP602"/>
    <mergeCell ref="BQ602:BR602"/>
    <mergeCell ref="F603:G603"/>
    <mergeCell ref="H603:I603"/>
    <mergeCell ref="J603:L603"/>
    <mergeCell ref="M603:O603"/>
    <mergeCell ref="P603:R603"/>
    <mergeCell ref="S603:U603"/>
    <mergeCell ref="V603:X603"/>
    <mergeCell ref="Y603:AA603"/>
    <mergeCell ref="AB603:AD603"/>
    <mergeCell ref="AE603:AF603"/>
    <mergeCell ref="AG603:AH603"/>
    <mergeCell ref="AI603:AJ603"/>
    <mergeCell ref="AK603:AL603"/>
    <mergeCell ref="AM603:AN603"/>
    <mergeCell ref="AO603:AP603"/>
    <mergeCell ref="AQ603:AR603"/>
    <mergeCell ref="AS603:AT603"/>
    <mergeCell ref="AU603:AV603"/>
    <mergeCell ref="AW603:AX603"/>
    <mergeCell ref="AY603:AZ603"/>
    <mergeCell ref="BA603:BB603"/>
    <mergeCell ref="F602:G602"/>
    <mergeCell ref="H602:I602"/>
    <mergeCell ref="J602:L602"/>
    <mergeCell ref="M602:O602"/>
    <mergeCell ref="P602:R602"/>
    <mergeCell ref="S602:U602"/>
    <mergeCell ref="V602:X602"/>
    <mergeCell ref="Y602:AA602"/>
    <mergeCell ref="AB602:AD602"/>
    <mergeCell ref="AE602:AF602"/>
    <mergeCell ref="AG602:AH602"/>
    <mergeCell ref="AI602:AJ602"/>
    <mergeCell ref="AK602:AL602"/>
    <mergeCell ref="AM602:AN602"/>
    <mergeCell ref="AO602:AP602"/>
    <mergeCell ref="AQ602:AR602"/>
    <mergeCell ref="AS602:AT602"/>
    <mergeCell ref="BO600:BP600"/>
    <mergeCell ref="BQ600:BR600"/>
    <mergeCell ref="F601:G601"/>
    <mergeCell ref="H601:I601"/>
    <mergeCell ref="J601:L601"/>
    <mergeCell ref="M601:O601"/>
    <mergeCell ref="P601:R601"/>
    <mergeCell ref="S601:U601"/>
    <mergeCell ref="V601:X601"/>
    <mergeCell ref="Y601:AA601"/>
    <mergeCell ref="AB601:AD601"/>
    <mergeCell ref="AE601:AF601"/>
    <mergeCell ref="AG601:AH601"/>
    <mergeCell ref="AI601:AJ601"/>
    <mergeCell ref="AK601:AL601"/>
    <mergeCell ref="AM601:AN601"/>
    <mergeCell ref="AO601:AP601"/>
    <mergeCell ref="AQ601:AR601"/>
    <mergeCell ref="AS601:AT601"/>
    <mergeCell ref="AU601:AV601"/>
    <mergeCell ref="AW601:AX601"/>
    <mergeCell ref="AY601:AZ601"/>
    <mergeCell ref="BA601:BB601"/>
    <mergeCell ref="BC601:BD601"/>
    <mergeCell ref="BE601:BF601"/>
    <mergeCell ref="BG601:BH601"/>
    <mergeCell ref="BI601:BJ601"/>
    <mergeCell ref="BK601:BL601"/>
    <mergeCell ref="BM601:BN601"/>
    <mergeCell ref="BO601:BP601"/>
    <mergeCell ref="BQ601:BR601"/>
    <mergeCell ref="BI599:BJ599"/>
    <mergeCell ref="BK599:BL599"/>
    <mergeCell ref="BM599:BN599"/>
    <mergeCell ref="BO599:BP599"/>
    <mergeCell ref="BQ599:BR599"/>
    <mergeCell ref="F600:G600"/>
    <mergeCell ref="H600:I600"/>
    <mergeCell ref="J600:L600"/>
    <mergeCell ref="M600:O600"/>
    <mergeCell ref="P600:R600"/>
    <mergeCell ref="S600:U600"/>
    <mergeCell ref="V600:X600"/>
    <mergeCell ref="Y600:AA600"/>
    <mergeCell ref="AB600:AD600"/>
    <mergeCell ref="AE600:AF600"/>
    <mergeCell ref="AG600:AH600"/>
    <mergeCell ref="AI600:AJ600"/>
    <mergeCell ref="AK600:AL600"/>
    <mergeCell ref="AM600:AN600"/>
    <mergeCell ref="AO600:AP600"/>
    <mergeCell ref="AQ600:AR600"/>
    <mergeCell ref="AS600:AT600"/>
    <mergeCell ref="AU600:AV600"/>
    <mergeCell ref="AW600:AX600"/>
    <mergeCell ref="AY600:AZ600"/>
    <mergeCell ref="BA600:BB600"/>
    <mergeCell ref="BC600:BD600"/>
    <mergeCell ref="BE600:BF600"/>
    <mergeCell ref="BG600:BH600"/>
    <mergeCell ref="BI600:BJ600"/>
    <mergeCell ref="BK600:BL600"/>
    <mergeCell ref="BM600:BN600"/>
    <mergeCell ref="BC598:BD598"/>
    <mergeCell ref="BE598:BF598"/>
    <mergeCell ref="BG598:BH598"/>
    <mergeCell ref="BI598:BJ598"/>
    <mergeCell ref="BK598:BL598"/>
    <mergeCell ref="BM598:BN598"/>
    <mergeCell ref="BO598:BP598"/>
    <mergeCell ref="BQ598:BR598"/>
    <mergeCell ref="F599:G599"/>
    <mergeCell ref="H599:I599"/>
    <mergeCell ref="J599:L599"/>
    <mergeCell ref="M599:O599"/>
    <mergeCell ref="P599:R599"/>
    <mergeCell ref="S599:U599"/>
    <mergeCell ref="V599:X599"/>
    <mergeCell ref="Y599:AA599"/>
    <mergeCell ref="AB599:AD599"/>
    <mergeCell ref="AE599:AF599"/>
    <mergeCell ref="AG599:AH599"/>
    <mergeCell ref="AI599:AJ599"/>
    <mergeCell ref="AK599:AL599"/>
    <mergeCell ref="AM599:AN599"/>
    <mergeCell ref="AO599:AP599"/>
    <mergeCell ref="AQ599:AR599"/>
    <mergeCell ref="AS599:AT599"/>
    <mergeCell ref="AU599:AV599"/>
    <mergeCell ref="AW599:AX599"/>
    <mergeCell ref="AY599:AZ599"/>
    <mergeCell ref="BA599:BB599"/>
    <mergeCell ref="BC599:BD599"/>
    <mergeCell ref="BE599:BF599"/>
    <mergeCell ref="BG599:BH599"/>
    <mergeCell ref="AW597:AX597"/>
    <mergeCell ref="AY597:AZ597"/>
    <mergeCell ref="BA597:BB597"/>
    <mergeCell ref="BC597:BD597"/>
    <mergeCell ref="BE597:BF597"/>
    <mergeCell ref="BG597:BH597"/>
    <mergeCell ref="BI597:BJ597"/>
    <mergeCell ref="BK597:BL597"/>
    <mergeCell ref="BM597:BN597"/>
    <mergeCell ref="BO597:BP597"/>
    <mergeCell ref="BQ597:BR597"/>
    <mergeCell ref="F598:G598"/>
    <mergeCell ref="H598:I598"/>
    <mergeCell ref="J598:L598"/>
    <mergeCell ref="M598:O598"/>
    <mergeCell ref="P598:R598"/>
    <mergeCell ref="S598:U598"/>
    <mergeCell ref="V598:X598"/>
    <mergeCell ref="Y598:AA598"/>
    <mergeCell ref="AB598:AD598"/>
    <mergeCell ref="AE598:AF598"/>
    <mergeCell ref="AG598:AH598"/>
    <mergeCell ref="AI598:AJ598"/>
    <mergeCell ref="AK598:AL598"/>
    <mergeCell ref="AM598:AN598"/>
    <mergeCell ref="AO598:AP598"/>
    <mergeCell ref="AQ598:AR598"/>
    <mergeCell ref="AS598:AT598"/>
    <mergeCell ref="AU598:AV598"/>
    <mergeCell ref="AW598:AX598"/>
    <mergeCell ref="AY598:AZ598"/>
    <mergeCell ref="BA598:BB598"/>
    <mergeCell ref="F597:G597"/>
    <mergeCell ref="H597:I597"/>
    <mergeCell ref="J597:L597"/>
    <mergeCell ref="M597:O597"/>
    <mergeCell ref="P597:R597"/>
    <mergeCell ref="S597:U597"/>
    <mergeCell ref="V597:X597"/>
    <mergeCell ref="Y597:AA597"/>
    <mergeCell ref="AB597:AD597"/>
    <mergeCell ref="AE597:AF597"/>
    <mergeCell ref="AG597:AH597"/>
    <mergeCell ref="AI597:AJ597"/>
    <mergeCell ref="AK597:AL597"/>
    <mergeCell ref="AM597:AN597"/>
    <mergeCell ref="AO597:AP597"/>
    <mergeCell ref="AQ597:AR597"/>
    <mergeCell ref="AS597:AT597"/>
    <mergeCell ref="BO595:BP595"/>
    <mergeCell ref="BQ595:BR595"/>
    <mergeCell ref="F596:G596"/>
    <mergeCell ref="H596:I596"/>
    <mergeCell ref="J596:L596"/>
    <mergeCell ref="M596:O596"/>
    <mergeCell ref="P596:R596"/>
    <mergeCell ref="S596:U596"/>
    <mergeCell ref="V596:X596"/>
    <mergeCell ref="Y596:AA596"/>
    <mergeCell ref="AB596:AD596"/>
    <mergeCell ref="AE596:AF596"/>
    <mergeCell ref="AG596:AH596"/>
    <mergeCell ref="AI596:AJ596"/>
    <mergeCell ref="AK596:AL596"/>
    <mergeCell ref="AM596:AN596"/>
    <mergeCell ref="AO596:AP596"/>
    <mergeCell ref="AQ596:AR596"/>
    <mergeCell ref="AS596:AT596"/>
    <mergeCell ref="AU596:AV596"/>
    <mergeCell ref="AW596:AX596"/>
    <mergeCell ref="AY596:AZ596"/>
    <mergeCell ref="BA596:BB596"/>
    <mergeCell ref="BC596:BD596"/>
    <mergeCell ref="BE596:BF596"/>
    <mergeCell ref="BG596:BH596"/>
    <mergeCell ref="BI596:BJ596"/>
    <mergeCell ref="BK596:BL596"/>
    <mergeCell ref="BM596:BN596"/>
    <mergeCell ref="BO596:BP596"/>
    <mergeCell ref="BQ596:BR596"/>
    <mergeCell ref="BI594:BJ594"/>
    <mergeCell ref="BK594:BL594"/>
    <mergeCell ref="BM594:BN594"/>
    <mergeCell ref="BO594:BP594"/>
    <mergeCell ref="BQ594:BR594"/>
    <mergeCell ref="F595:G595"/>
    <mergeCell ref="H595:I595"/>
    <mergeCell ref="J595:L595"/>
    <mergeCell ref="M595:O595"/>
    <mergeCell ref="P595:R595"/>
    <mergeCell ref="S595:U595"/>
    <mergeCell ref="V595:X595"/>
    <mergeCell ref="Y595:AA595"/>
    <mergeCell ref="AB595:AD595"/>
    <mergeCell ref="AE595:AF595"/>
    <mergeCell ref="AG595:AH595"/>
    <mergeCell ref="AI595:AJ595"/>
    <mergeCell ref="AK595:AL595"/>
    <mergeCell ref="AM595:AN595"/>
    <mergeCell ref="AO595:AP595"/>
    <mergeCell ref="AQ595:AR595"/>
    <mergeCell ref="AS595:AT595"/>
    <mergeCell ref="AU595:AV595"/>
    <mergeCell ref="AW595:AX595"/>
    <mergeCell ref="AY595:AZ595"/>
    <mergeCell ref="BA595:BB595"/>
    <mergeCell ref="BC595:BD595"/>
    <mergeCell ref="BE595:BF595"/>
    <mergeCell ref="BG595:BH595"/>
    <mergeCell ref="BI595:BJ595"/>
    <mergeCell ref="BK595:BL595"/>
    <mergeCell ref="BM595:BN595"/>
    <mergeCell ref="BC593:BD593"/>
    <mergeCell ref="BE593:BF593"/>
    <mergeCell ref="BG593:BH593"/>
    <mergeCell ref="BI593:BJ593"/>
    <mergeCell ref="BK593:BL593"/>
    <mergeCell ref="BM593:BN593"/>
    <mergeCell ref="BO593:BP593"/>
    <mergeCell ref="BQ593:BR593"/>
    <mergeCell ref="F594:G594"/>
    <mergeCell ref="H594:I594"/>
    <mergeCell ref="J594:L594"/>
    <mergeCell ref="M594:O594"/>
    <mergeCell ref="P594:R594"/>
    <mergeCell ref="S594:U594"/>
    <mergeCell ref="V594:X594"/>
    <mergeCell ref="Y594:AA594"/>
    <mergeCell ref="AB594:AD594"/>
    <mergeCell ref="AE594:AF594"/>
    <mergeCell ref="AG594:AH594"/>
    <mergeCell ref="AI594:AJ594"/>
    <mergeCell ref="AK594:AL594"/>
    <mergeCell ref="AM594:AN594"/>
    <mergeCell ref="AO594:AP594"/>
    <mergeCell ref="AQ594:AR594"/>
    <mergeCell ref="AS594:AT594"/>
    <mergeCell ref="AU594:AV594"/>
    <mergeCell ref="AW594:AX594"/>
    <mergeCell ref="AY594:AZ594"/>
    <mergeCell ref="BA594:BB594"/>
    <mergeCell ref="BC594:BD594"/>
    <mergeCell ref="BE594:BF594"/>
    <mergeCell ref="BG594:BH594"/>
    <mergeCell ref="AW592:AX592"/>
    <mergeCell ref="AY592:AZ592"/>
    <mergeCell ref="BA592:BB592"/>
    <mergeCell ref="BC592:BD592"/>
    <mergeCell ref="BE592:BF592"/>
    <mergeCell ref="BG592:BH592"/>
    <mergeCell ref="BI592:BJ592"/>
    <mergeCell ref="BK592:BL592"/>
    <mergeCell ref="BM592:BN592"/>
    <mergeCell ref="BO592:BP592"/>
    <mergeCell ref="BQ592:BR592"/>
    <mergeCell ref="F593:G593"/>
    <mergeCell ref="H593:I593"/>
    <mergeCell ref="J593:L593"/>
    <mergeCell ref="M593:O593"/>
    <mergeCell ref="P593:R593"/>
    <mergeCell ref="S593:U593"/>
    <mergeCell ref="V593:X593"/>
    <mergeCell ref="Y593:AA593"/>
    <mergeCell ref="AB593:AD593"/>
    <mergeCell ref="AE593:AF593"/>
    <mergeCell ref="AG593:AH593"/>
    <mergeCell ref="AI593:AJ593"/>
    <mergeCell ref="AK593:AL593"/>
    <mergeCell ref="AM593:AN593"/>
    <mergeCell ref="AO593:AP593"/>
    <mergeCell ref="AQ593:AR593"/>
    <mergeCell ref="AS593:AT593"/>
    <mergeCell ref="AU593:AV593"/>
    <mergeCell ref="AW593:AX593"/>
    <mergeCell ref="AY593:AZ593"/>
    <mergeCell ref="BA593:BB593"/>
    <mergeCell ref="F592:G592"/>
    <mergeCell ref="H592:I592"/>
    <mergeCell ref="J592:L592"/>
    <mergeCell ref="M592:O592"/>
    <mergeCell ref="P592:R592"/>
    <mergeCell ref="S592:U592"/>
    <mergeCell ref="V592:X592"/>
    <mergeCell ref="Y592:AA592"/>
    <mergeCell ref="AB592:AD592"/>
    <mergeCell ref="AE592:AF592"/>
    <mergeCell ref="AG592:AH592"/>
    <mergeCell ref="AI592:AJ592"/>
    <mergeCell ref="AK592:AL592"/>
    <mergeCell ref="AM592:AN592"/>
    <mergeCell ref="AO592:AP592"/>
    <mergeCell ref="AQ592:AR592"/>
    <mergeCell ref="AS592:AT592"/>
    <mergeCell ref="BO590:BP590"/>
    <mergeCell ref="BQ590:BR590"/>
    <mergeCell ref="F591:G591"/>
    <mergeCell ref="H591:I591"/>
    <mergeCell ref="J591:L591"/>
    <mergeCell ref="M591:O591"/>
    <mergeCell ref="P591:R591"/>
    <mergeCell ref="S591:U591"/>
    <mergeCell ref="V591:X591"/>
    <mergeCell ref="Y591:AA591"/>
    <mergeCell ref="AB591:AD591"/>
    <mergeCell ref="AE591:AF591"/>
    <mergeCell ref="AG591:AH591"/>
    <mergeCell ref="AI591:AJ591"/>
    <mergeCell ref="AK591:AL591"/>
    <mergeCell ref="AM591:AN591"/>
    <mergeCell ref="AO591:AP591"/>
    <mergeCell ref="AQ591:AR591"/>
    <mergeCell ref="AS591:AT591"/>
    <mergeCell ref="AU591:AV591"/>
    <mergeCell ref="AW591:AX591"/>
    <mergeCell ref="AY591:AZ591"/>
    <mergeCell ref="BA591:BB591"/>
    <mergeCell ref="BC591:BD591"/>
    <mergeCell ref="BE591:BF591"/>
    <mergeCell ref="BG591:BH591"/>
    <mergeCell ref="BI591:BJ591"/>
    <mergeCell ref="BK591:BL591"/>
    <mergeCell ref="BM591:BN591"/>
    <mergeCell ref="BO591:BP591"/>
    <mergeCell ref="BQ591:BR591"/>
    <mergeCell ref="BI589:BJ589"/>
    <mergeCell ref="BK589:BL589"/>
    <mergeCell ref="BM589:BN589"/>
    <mergeCell ref="BO589:BP589"/>
    <mergeCell ref="BQ589:BR589"/>
    <mergeCell ref="F590:G590"/>
    <mergeCell ref="H590:I590"/>
    <mergeCell ref="J590:L590"/>
    <mergeCell ref="M590:O590"/>
    <mergeCell ref="P590:R590"/>
    <mergeCell ref="S590:U590"/>
    <mergeCell ref="V590:X590"/>
    <mergeCell ref="Y590:AA590"/>
    <mergeCell ref="AB590:AD590"/>
    <mergeCell ref="AE590:AF590"/>
    <mergeCell ref="AG590:AH590"/>
    <mergeCell ref="AI590:AJ590"/>
    <mergeCell ref="AK590:AL590"/>
    <mergeCell ref="AM590:AN590"/>
    <mergeCell ref="AO590:AP590"/>
    <mergeCell ref="AQ590:AR590"/>
    <mergeCell ref="AS590:AT590"/>
    <mergeCell ref="AU590:AV590"/>
    <mergeCell ref="AW590:AX590"/>
    <mergeCell ref="AY590:AZ590"/>
    <mergeCell ref="BA590:BB590"/>
    <mergeCell ref="BC590:BD590"/>
    <mergeCell ref="BE590:BF590"/>
    <mergeCell ref="BG590:BH590"/>
    <mergeCell ref="BI590:BJ590"/>
    <mergeCell ref="BK590:BL590"/>
    <mergeCell ref="BM590:BN590"/>
    <mergeCell ref="BC588:BD588"/>
    <mergeCell ref="BE588:BF588"/>
    <mergeCell ref="BG588:BH588"/>
    <mergeCell ref="BI588:BJ588"/>
    <mergeCell ref="BK588:BL588"/>
    <mergeCell ref="BM588:BN588"/>
    <mergeCell ref="BO588:BP588"/>
    <mergeCell ref="BQ588:BR588"/>
    <mergeCell ref="F589:G589"/>
    <mergeCell ref="H589:I589"/>
    <mergeCell ref="J589:L589"/>
    <mergeCell ref="M589:O589"/>
    <mergeCell ref="P589:R589"/>
    <mergeCell ref="S589:U589"/>
    <mergeCell ref="V589:X589"/>
    <mergeCell ref="Y589:AA589"/>
    <mergeCell ref="AB589:AD589"/>
    <mergeCell ref="AE589:AF589"/>
    <mergeCell ref="AG589:AH589"/>
    <mergeCell ref="AI589:AJ589"/>
    <mergeCell ref="AK589:AL589"/>
    <mergeCell ref="AM589:AN589"/>
    <mergeCell ref="AO589:AP589"/>
    <mergeCell ref="AQ589:AR589"/>
    <mergeCell ref="AS589:AT589"/>
    <mergeCell ref="AU589:AV589"/>
    <mergeCell ref="AW589:AX589"/>
    <mergeCell ref="AY589:AZ589"/>
    <mergeCell ref="BA589:BB589"/>
    <mergeCell ref="BC589:BD589"/>
    <mergeCell ref="BE589:BF589"/>
    <mergeCell ref="BG589:BH589"/>
    <mergeCell ref="AW587:AX587"/>
    <mergeCell ref="AY587:AZ587"/>
    <mergeCell ref="BA587:BB587"/>
    <mergeCell ref="BC587:BD587"/>
    <mergeCell ref="BE587:BF587"/>
    <mergeCell ref="BG587:BH587"/>
    <mergeCell ref="BI587:BJ587"/>
    <mergeCell ref="BK587:BL587"/>
    <mergeCell ref="BM587:BN587"/>
    <mergeCell ref="BO587:BP587"/>
    <mergeCell ref="BQ587:BR587"/>
    <mergeCell ref="F588:G588"/>
    <mergeCell ref="H588:I588"/>
    <mergeCell ref="J588:L588"/>
    <mergeCell ref="M588:O588"/>
    <mergeCell ref="P588:R588"/>
    <mergeCell ref="S588:U588"/>
    <mergeCell ref="V588:X588"/>
    <mergeCell ref="Y588:AA588"/>
    <mergeCell ref="AB588:AD588"/>
    <mergeCell ref="AE588:AF588"/>
    <mergeCell ref="AG588:AH588"/>
    <mergeCell ref="AI588:AJ588"/>
    <mergeCell ref="AK588:AL588"/>
    <mergeCell ref="AM588:AN588"/>
    <mergeCell ref="AO588:AP588"/>
    <mergeCell ref="AQ588:AR588"/>
    <mergeCell ref="AS588:AT588"/>
    <mergeCell ref="AU588:AV588"/>
    <mergeCell ref="AW588:AX588"/>
    <mergeCell ref="AY588:AZ588"/>
    <mergeCell ref="BA588:BB588"/>
    <mergeCell ref="F587:G587"/>
    <mergeCell ref="H587:I587"/>
    <mergeCell ref="J587:L587"/>
    <mergeCell ref="M587:O587"/>
    <mergeCell ref="P587:R587"/>
    <mergeCell ref="S587:U587"/>
    <mergeCell ref="V587:X587"/>
    <mergeCell ref="Y587:AA587"/>
    <mergeCell ref="AB587:AD587"/>
    <mergeCell ref="AE587:AF587"/>
    <mergeCell ref="AG587:AH587"/>
    <mergeCell ref="AI587:AJ587"/>
    <mergeCell ref="AK587:AL587"/>
    <mergeCell ref="AM587:AN587"/>
    <mergeCell ref="AO587:AP587"/>
    <mergeCell ref="AQ587:AR587"/>
    <mergeCell ref="AS587:AT587"/>
    <mergeCell ref="BO585:BP585"/>
    <mergeCell ref="BQ585:BR585"/>
    <mergeCell ref="F586:G586"/>
    <mergeCell ref="H586:I586"/>
    <mergeCell ref="J586:L586"/>
    <mergeCell ref="M586:O586"/>
    <mergeCell ref="P586:R586"/>
    <mergeCell ref="S586:U586"/>
    <mergeCell ref="V586:X586"/>
    <mergeCell ref="Y586:AA586"/>
    <mergeCell ref="AB586:AD586"/>
    <mergeCell ref="AE586:AF586"/>
    <mergeCell ref="AG586:AH586"/>
    <mergeCell ref="AI586:AJ586"/>
    <mergeCell ref="AK586:AL586"/>
    <mergeCell ref="AM586:AN586"/>
    <mergeCell ref="AO586:AP586"/>
    <mergeCell ref="AQ586:AR586"/>
    <mergeCell ref="AS586:AT586"/>
    <mergeCell ref="AU586:AV586"/>
    <mergeCell ref="AW586:AX586"/>
    <mergeCell ref="AY586:AZ586"/>
    <mergeCell ref="BA586:BB586"/>
    <mergeCell ref="BC586:BD586"/>
    <mergeCell ref="BE586:BF586"/>
    <mergeCell ref="BG586:BH586"/>
    <mergeCell ref="BI586:BJ586"/>
    <mergeCell ref="BK586:BL586"/>
    <mergeCell ref="BM586:BN586"/>
    <mergeCell ref="BO586:BP586"/>
    <mergeCell ref="BQ586:BR586"/>
    <mergeCell ref="BI584:BJ584"/>
    <mergeCell ref="BK584:BL584"/>
    <mergeCell ref="BM584:BN584"/>
    <mergeCell ref="BO584:BP584"/>
    <mergeCell ref="BQ584:BR584"/>
    <mergeCell ref="F585:G585"/>
    <mergeCell ref="H585:I585"/>
    <mergeCell ref="J585:L585"/>
    <mergeCell ref="M585:O585"/>
    <mergeCell ref="P585:R585"/>
    <mergeCell ref="S585:U585"/>
    <mergeCell ref="V585:X585"/>
    <mergeCell ref="Y585:AA585"/>
    <mergeCell ref="AB585:AD585"/>
    <mergeCell ref="AE585:AF585"/>
    <mergeCell ref="AG585:AH585"/>
    <mergeCell ref="AI585:AJ585"/>
    <mergeCell ref="AK585:AL585"/>
    <mergeCell ref="AM585:AN585"/>
    <mergeCell ref="AO585:AP585"/>
    <mergeCell ref="AQ585:AR585"/>
    <mergeCell ref="AS585:AT585"/>
    <mergeCell ref="AU585:AV585"/>
    <mergeCell ref="AW585:AX585"/>
    <mergeCell ref="AY585:AZ585"/>
    <mergeCell ref="BA585:BB585"/>
    <mergeCell ref="BC585:BD585"/>
    <mergeCell ref="BE585:BF585"/>
    <mergeCell ref="BG585:BH585"/>
    <mergeCell ref="BI585:BJ585"/>
    <mergeCell ref="BK585:BL585"/>
    <mergeCell ref="BM585:BN585"/>
    <mergeCell ref="BC583:BD583"/>
    <mergeCell ref="BE583:BF583"/>
    <mergeCell ref="BG583:BH583"/>
    <mergeCell ref="BI583:BJ583"/>
    <mergeCell ref="BK583:BL583"/>
    <mergeCell ref="BM583:BN583"/>
    <mergeCell ref="BO583:BP583"/>
    <mergeCell ref="BQ583:BR583"/>
    <mergeCell ref="F584:G584"/>
    <mergeCell ref="H584:I584"/>
    <mergeCell ref="J584:L584"/>
    <mergeCell ref="M584:O584"/>
    <mergeCell ref="P584:R584"/>
    <mergeCell ref="S584:U584"/>
    <mergeCell ref="V584:X584"/>
    <mergeCell ref="Y584:AA584"/>
    <mergeCell ref="AB584:AD584"/>
    <mergeCell ref="AE584:AF584"/>
    <mergeCell ref="AG584:AH584"/>
    <mergeCell ref="AI584:AJ584"/>
    <mergeCell ref="AK584:AL584"/>
    <mergeCell ref="AM584:AN584"/>
    <mergeCell ref="AO584:AP584"/>
    <mergeCell ref="AQ584:AR584"/>
    <mergeCell ref="AS584:AT584"/>
    <mergeCell ref="AU584:AV584"/>
    <mergeCell ref="AW584:AX584"/>
    <mergeCell ref="AY584:AZ584"/>
    <mergeCell ref="BA584:BB584"/>
    <mergeCell ref="BC584:BD584"/>
    <mergeCell ref="BE584:BF584"/>
    <mergeCell ref="BG584:BH584"/>
    <mergeCell ref="AW582:AX582"/>
    <mergeCell ref="AY582:AZ582"/>
    <mergeCell ref="BA582:BB582"/>
    <mergeCell ref="BC582:BD582"/>
    <mergeCell ref="BE582:BF582"/>
    <mergeCell ref="BG582:BH582"/>
    <mergeCell ref="BI582:BJ582"/>
    <mergeCell ref="BK582:BL582"/>
    <mergeCell ref="BM582:BN582"/>
    <mergeCell ref="BO582:BP582"/>
    <mergeCell ref="BQ582:BR582"/>
    <mergeCell ref="F583:G583"/>
    <mergeCell ref="H583:I583"/>
    <mergeCell ref="J583:L583"/>
    <mergeCell ref="M583:O583"/>
    <mergeCell ref="P583:R583"/>
    <mergeCell ref="S583:U583"/>
    <mergeCell ref="V583:X583"/>
    <mergeCell ref="Y583:AA583"/>
    <mergeCell ref="AB583:AD583"/>
    <mergeCell ref="AE583:AF583"/>
    <mergeCell ref="AG583:AH583"/>
    <mergeCell ref="AI583:AJ583"/>
    <mergeCell ref="AK583:AL583"/>
    <mergeCell ref="AM583:AN583"/>
    <mergeCell ref="AO583:AP583"/>
    <mergeCell ref="AQ583:AR583"/>
    <mergeCell ref="AS583:AT583"/>
    <mergeCell ref="AU583:AV583"/>
    <mergeCell ref="AW583:AX583"/>
    <mergeCell ref="AY583:AZ583"/>
    <mergeCell ref="BA583:BB583"/>
    <mergeCell ref="F582:G582"/>
    <mergeCell ref="H582:I582"/>
    <mergeCell ref="J582:L582"/>
    <mergeCell ref="M582:O582"/>
    <mergeCell ref="P582:R582"/>
    <mergeCell ref="S582:U582"/>
    <mergeCell ref="V582:X582"/>
    <mergeCell ref="Y582:AA582"/>
    <mergeCell ref="AB582:AD582"/>
    <mergeCell ref="AE582:AF582"/>
    <mergeCell ref="AG582:AH582"/>
    <mergeCell ref="AI582:AJ582"/>
    <mergeCell ref="AK582:AL582"/>
    <mergeCell ref="AM582:AN582"/>
    <mergeCell ref="AO582:AP582"/>
    <mergeCell ref="AQ582:AR582"/>
    <mergeCell ref="AS582:AT582"/>
    <mergeCell ref="BO580:BP580"/>
    <mergeCell ref="BQ580:BR580"/>
    <mergeCell ref="F581:G581"/>
    <mergeCell ref="H581:I581"/>
    <mergeCell ref="J581:L581"/>
    <mergeCell ref="M581:O581"/>
    <mergeCell ref="P581:R581"/>
    <mergeCell ref="S581:U581"/>
    <mergeCell ref="V581:X581"/>
    <mergeCell ref="Y581:AA581"/>
    <mergeCell ref="AB581:AD581"/>
    <mergeCell ref="AE581:AF581"/>
    <mergeCell ref="AG581:AH581"/>
    <mergeCell ref="AI581:AJ581"/>
    <mergeCell ref="AK581:AL581"/>
    <mergeCell ref="AM581:AN581"/>
    <mergeCell ref="AO581:AP581"/>
    <mergeCell ref="AQ581:AR581"/>
    <mergeCell ref="AS581:AT581"/>
    <mergeCell ref="AU581:AV581"/>
    <mergeCell ref="AW581:AX581"/>
    <mergeCell ref="AY581:AZ581"/>
    <mergeCell ref="BA581:BB581"/>
    <mergeCell ref="BC581:BD581"/>
    <mergeCell ref="BE581:BF581"/>
    <mergeCell ref="BG581:BH581"/>
    <mergeCell ref="BI581:BJ581"/>
    <mergeCell ref="BK581:BL581"/>
    <mergeCell ref="BM581:BN581"/>
    <mergeCell ref="BO581:BP581"/>
    <mergeCell ref="BQ581:BR581"/>
    <mergeCell ref="BI579:BJ579"/>
    <mergeCell ref="BK579:BL579"/>
    <mergeCell ref="BM579:BN579"/>
    <mergeCell ref="BO579:BP579"/>
    <mergeCell ref="BQ579:BR579"/>
    <mergeCell ref="F580:G580"/>
    <mergeCell ref="H580:I580"/>
    <mergeCell ref="J580:L580"/>
    <mergeCell ref="M580:O580"/>
    <mergeCell ref="P580:R580"/>
    <mergeCell ref="S580:U580"/>
    <mergeCell ref="V580:X580"/>
    <mergeCell ref="Y580:AA580"/>
    <mergeCell ref="AB580:AD580"/>
    <mergeCell ref="AE580:AF580"/>
    <mergeCell ref="AG580:AH580"/>
    <mergeCell ref="AI580:AJ580"/>
    <mergeCell ref="AK580:AL580"/>
    <mergeCell ref="AM580:AN580"/>
    <mergeCell ref="AO580:AP580"/>
    <mergeCell ref="AQ580:AR580"/>
    <mergeCell ref="AS580:AT580"/>
    <mergeCell ref="AU580:AV580"/>
    <mergeCell ref="AW580:AX580"/>
    <mergeCell ref="AY580:AZ580"/>
    <mergeCell ref="BA580:BB580"/>
    <mergeCell ref="BC580:BD580"/>
    <mergeCell ref="BE580:BF580"/>
    <mergeCell ref="BG580:BH580"/>
    <mergeCell ref="BI580:BJ580"/>
    <mergeCell ref="BK580:BL580"/>
    <mergeCell ref="BM580:BN580"/>
    <mergeCell ref="BC578:BD578"/>
    <mergeCell ref="BE578:BF578"/>
    <mergeCell ref="BG578:BH578"/>
    <mergeCell ref="BI578:BJ578"/>
    <mergeCell ref="BK578:BL578"/>
    <mergeCell ref="BM578:BN578"/>
    <mergeCell ref="BO578:BP578"/>
    <mergeCell ref="BQ578:BR578"/>
    <mergeCell ref="F579:G579"/>
    <mergeCell ref="H579:I579"/>
    <mergeCell ref="J579:L579"/>
    <mergeCell ref="M579:O579"/>
    <mergeCell ref="P579:R579"/>
    <mergeCell ref="S579:U579"/>
    <mergeCell ref="V579:X579"/>
    <mergeCell ref="Y579:AA579"/>
    <mergeCell ref="AB579:AD579"/>
    <mergeCell ref="AE579:AF579"/>
    <mergeCell ref="AG579:AH579"/>
    <mergeCell ref="AI579:AJ579"/>
    <mergeCell ref="AK579:AL579"/>
    <mergeCell ref="AM579:AN579"/>
    <mergeCell ref="AO579:AP579"/>
    <mergeCell ref="AQ579:AR579"/>
    <mergeCell ref="AS579:AT579"/>
    <mergeCell ref="AU579:AV579"/>
    <mergeCell ref="AW579:AX579"/>
    <mergeCell ref="AY579:AZ579"/>
    <mergeCell ref="BA579:BB579"/>
    <mergeCell ref="BC579:BD579"/>
    <mergeCell ref="BE579:BF579"/>
    <mergeCell ref="BG579:BH579"/>
    <mergeCell ref="AW577:AX577"/>
    <mergeCell ref="AY577:AZ577"/>
    <mergeCell ref="BA577:BB577"/>
    <mergeCell ref="BC577:BD577"/>
    <mergeCell ref="BE577:BF577"/>
    <mergeCell ref="BG577:BH577"/>
    <mergeCell ref="BI577:BJ577"/>
    <mergeCell ref="BK577:BL577"/>
    <mergeCell ref="BM577:BN577"/>
    <mergeCell ref="BO577:BP577"/>
    <mergeCell ref="BQ577:BR577"/>
    <mergeCell ref="F578:G578"/>
    <mergeCell ref="H578:I578"/>
    <mergeCell ref="J578:L578"/>
    <mergeCell ref="M578:O578"/>
    <mergeCell ref="P578:R578"/>
    <mergeCell ref="S578:U578"/>
    <mergeCell ref="V578:X578"/>
    <mergeCell ref="Y578:AA578"/>
    <mergeCell ref="AB578:AD578"/>
    <mergeCell ref="AE578:AF578"/>
    <mergeCell ref="AG578:AH578"/>
    <mergeCell ref="AI578:AJ578"/>
    <mergeCell ref="AK578:AL578"/>
    <mergeCell ref="AM578:AN578"/>
    <mergeCell ref="AO578:AP578"/>
    <mergeCell ref="AQ578:AR578"/>
    <mergeCell ref="AS578:AT578"/>
    <mergeCell ref="AU578:AV578"/>
    <mergeCell ref="AW578:AX578"/>
    <mergeCell ref="AY578:AZ578"/>
    <mergeCell ref="BA578:BB578"/>
    <mergeCell ref="F577:G577"/>
    <mergeCell ref="H577:I577"/>
    <mergeCell ref="J577:L577"/>
    <mergeCell ref="M577:O577"/>
    <mergeCell ref="P577:R577"/>
    <mergeCell ref="S577:U577"/>
    <mergeCell ref="V577:X577"/>
    <mergeCell ref="Y577:AA577"/>
    <mergeCell ref="AB577:AD577"/>
    <mergeCell ref="AE577:AF577"/>
    <mergeCell ref="AG577:AH577"/>
    <mergeCell ref="AI577:AJ577"/>
    <mergeCell ref="AK577:AL577"/>
    <mergeCell ref="AM577:AN577"/>
    <mergeCell ref="AO577:AP577"/>
    <mergeCell ref="AQ577:AR577"/>
    <mergeCell ref="AS577:AT577"/>
    <mergeCell ref="BO575:BP575"/>
    <mergeCell ref="BQ575:BR575"/>
    <mergeCell ref="F576:G576"/>
    <mergeCell ref="H576:I576"/>
    <mergeCell ref="J576:L576"/>
    <mergeCell ref="M576:O576"/>
    <mergeCell ref="P576:R576"/>
    <mergeCell ref="S576:U576"/>
    <mergeCell ref="V576:X576"/>
    <mergeCell ref="Y576:AA576"/>
    <mergeCell ref="AB576:AD576"/>
    <mergeCell ref="AE576:AF576"/>
    <mergeCell ref="AG576:AH576"/>
    <mergeCell ref="AI576:AJ576"/>
    <mergeCell ref="AK576:AL576"/>
    <mergeCell ref="AM576:AN576"/>
    <mergeCell ref="AO576:AP576"/>
    <mergeCell ref="AQ576:AR576"/>
    <mergeCell ref="AS576:AT576"/>
    <mergeCell ref="AU576:AV576"/>
    <mergeCell ref="AW576:AX576"/>
    <mergeCell ref="AY576:AZ576"/>
    <mergeCell ref="BA576:BB576"/>
    <mergeCell ref="BC576:BD576"/>
    <mergeCell ref="BE576:BF576"/>
    <mergeCell ref="BG576:BH576"/>
    <mergeCell ref="BI576:BJ576"/>
    <mergeCell ref="BK576:BL576"/>
    <mergeCell ref="BM576:BN576"/>
    <mergeCell ref="BO576:BP576"/>
    <mergeCell ref="BQ576:BR576"/>
    <mergeCell ref="BI574:BJ574"/>
    <mergeCell ref="BK574:BL574"/>
    <mergeCell ref="BM574:BN574"/>
    <mergeCell ref="BO574:BP574"/>
    <mergeCell ref="BQ574:BR574"/>
    <mergeCell ref="F575:G575"/>
    <mergeCell ref="H575:I575"/>
    <mergeCell ref="J575:L575"/>
    <mergeCell ref="M575:O575"/>
    <mergeCell ref="P575:R575"/>
    <mergeCell ref="S575:U575"/>
    <mergeCell ref="V575:X575"/>
    <mergeCell ref="Y575:AA575"/>
    <mergeCell ref="AB575:AD575"/>
    <mergeCell ref="AE575:AF575"/>
    <mergeCell ref="AG575:AH575"/>
    <mergeCell ref="AI575:AJ575"/>
    <mergeCell ref="AK575:AL575"/>
    <mergeCell ref="AM575:AN575"/>
    <mergeCell ref="AO575:AP575"/>
    <mergeCell ref="AQ575:AR575"/>
    <mergeCell ref="AS575:AT575"/>
    <mergeCell ref="AU575:AV575"/>
    <mergeCell ref="AW575:AX575"/>
    <mergeCell ref="AY575:AZ575"/>
    <mergeCell ref="BA575:BB575"/>
    <mergeCell ref="BC575:BD575"/>
    <mergeCell ref="BE575:BF575"/>
    <mergeCell ref="BG575:BH575"/>
    <mergeCell ref="BI575:BJ575"/>
    <mergeCell ref="BK575:BL575"/>
    <mergeCell ref="BM575:BN575"/>
    <mergeCell ref="BC573:BD573"/>
    <mergeCell ref="BE573:BF573"/>
    <mergeCell ref="BG573:BH573"/>
    <mergeCell ref="BI573:BJ573"/>
    <mergeCell ref="BK573:BL573"/>
    <mergeCell ref="BM573:BN573"/>
    <mergeCell ref="BO573:BP573"/>
    <mergeCell ref="BQ573:BR573"/>
    <mergeCell ref="F574:G574"/>
    <mergeCell ref="H574:I574"/>
    <mergeCell ref="J574:L574"/>
    <mergeCell ref="M574:O574"/>
    <mergeCell ref="P574:R574"/>
    <mergeCell ref="S574:U574"/>
    <mergeCell ref="V574:X574"/>
    <mergeCell ref="Y574:AA574"/>
    <mergeCell ref="AB574:AD574"/>
    <mergeCell ref="AE574:AF574"/>
    <mergeCell ref="AG574:AH574"/>
    <mergeCell ref="AI574:AJ574"/>
    <mergeCell ref="AK574:AL574"/>
    <mergeCell ref="AM574:AN574"/>
    <mergeCell ref="AO574:AP574"/>
    <mergeCell ref="AQ574:AR574"/>
    <mergeCell ref="AS574:AT574"/>
    <mergeCell ref="AU574:AV574"/>
    <mergeCell ref="AW574:AX574"/>
    <mergeCell ref="AY574:AZ574"/>
    <mergeCell ref="BA574:BB574"/>
    <mergeCell ref="BC574:BD574"/>
    <mergeCell ref="BE574:BF574"/>
    <mergeCell ref="BG574:BH574"/>
    <mergeCell ref="AW572:AX572"/>
    <mergeCell ref="AY572:AZ572"/>
    <mergeCell ref="BA572:BB572"/>
    <mergeCell ref="BC572:BD572"/>
    <mergeCell ref="BE572:BF572"/>
    <mergeCell ref="BG572:BH572"/>
    <mergeCell ref="BI572:BJ572"/>
    <mergeCell ref="BK572:BL572"/>
    <mergeCell ref="BM572:BN572"/>
    <mergeCell ref="BO572:BP572"/>
    <mergeCell ref="BQ572:BR572"/>
    <mergeCell ref="F573:G573"/>
    <mergeCell ref="H573:I573"/>
    <mergeCell ref="J573:L573"/>
    <mergeCell ref="M573:O573"/>
    <mergeCell ref="P573:R573"/>
    <mergeCell ref="S573:U573"/>
    <mergeCell ref="V573:X573"/>
    <mergeCell ref="Y573:AA573"/>
    <mergeCell ref="AB573:AD573"/>
    <mergeCell ref="AE573:AF573"/>
    <mergeCell ref="AG573:AH573"/>
    <mergeCell ref="AI573:AJ573"/>
    <mergeCell ref="AK573:AL573"/>
    <mergeCell ref="AM573:AN573"/>
    <mergeCell ref="AO573:AP573"/>
    <mergeCell ref="AQ573:AR573"/>
    <mergeCell ref="AS573:AT573"/>
    <mergeCell ref="AU573:AV573"/>
    <mergeCell ref="AW573:AX573"/>
    <mergeCell ref="AY573:AZ573"/>
    <mergeCell ref="BA573:BB573"/>
    <mergeCell ref="F572:G572"/>
    <mergeCell ref="H572:I572"/>
    <mergeCell ref="J572:L572"/>
    <mergeCell ref="M572:O572"/>
    <mergeCell ref="P572:R572"/>
    <mergeCell ref="S572:U572"/>
    <mergeCell ref="V572:X572"/>
    <mergeCell ref="Y572:AA572"/>
    <mergeCell ref="AB572:AD572"/>
    <mergeCell ref="AE572:AF572"/>
    <mergeCell ref="AG572:AH572"/>
    <mergeCell ref="AI572:AJ572"/>
    <mergeCell ref="AK572:AL572"/>
    <mergeCell ref="AM572:AN572"/>
    <mergeCell ref="AO572:AP572"/>
    <mergeCell ref="AQ572:AR572"/>
    <mergeCell ref="AS572:AT572"/>
    <mergeCell ref="BO570:BP570"/>
    <mergeCell ref="BQ570:BR570"/>
    <mergeCell ref="F571:G571"/>
    <mergeCell ref="H571:I571"/>
    <mergeCell ref="J571:L571"/>
    <mergeCell ref="M571:O571"/>
    <mergeCell ref="P571:R571"/>
    <mergeCell ref="S571:U571"/>
    <mergeCell ref="V571:X571"/>
    <mergeCell ref="Y571:AA571"/>
    <mergeCell ref="AB571:AD571"/>
    <mergeCell ref="AE571:AF571"/>
    <mergeCell ref="AG571:AH571"/>
    <mergeCell ref="AI571:AJ571"/>
    <mergeCell ref="AK571:AL571"/>
    <mergeCell ref="AM571:AN571"/>
    <mergeCell ref="AO571:AP571"/>
    <mergeCell ref="AQ571:AR571"/>
    <mergeCell ref="AS571:AT571"/>
    <mergeCell ref="AU571:AV571"/>
    <mergeCell ref="AW571:AX571"/>
    <mergeCell ref="AY571:AZ571"/>
    <mergeCell ref="BA571:BB571"/>
    <mergeCell ref="BC571:BD571"/>
    <mergeCell ref="BE571:BF571"/>
    <mergeCell ref="BG571:BH571"/>
    <mergeCell ref="BI571:BJ571"/>
    <mergeCell ref="BK571:BL571"/>
    <mergeCell ref="BM571:BN571"/>
    <mergeCell ref="BO571:BP571"/>
    <mergeCell ref="BQ571:BR571"/>
    <mergeCell ref="BI569:BJ569"/>
    <mergeCell ref="BK569:BL569"/>
    <mergeCell ref="BM569:BN569"/>
    <mergeCell ref="BO569:BP569"/>
    <mergeCell ref="BQ569:BR569"/>
    <mergeCell ref="F570:G570"/>
    <mergeCell ref="H570:I570"/>
    <mergeCell ref="J570:L570"/>
    <mergeCell ref="M570:O570"/>
    <mergeCell ref="P570:R570"/>
    <mergeCell ref="S570:U570"/>
    <mergeCell ref="V570:X570"/>
    <mergeCell ref="Y570:AA570"/>
    <mergeCell ref="AB570:AD570"/>
    <mergeCell ref="AE570:AF570"/>
    <mergeCell ref="AG570:AH570"/>
    <mergeCell ref="AI570:AJ570"/>
    <mergeCell ref="AK570:AL570"/>
    <mergeCell ref="AM570:AN570"/>
    <mergeCell ref="AO570:AP570"/>
    <mergeCell ref="AQ570:AR570"/>
    <mergeCell ref="AS570:AT570"/>
    <mergeCell ref="AU570:AV570"/>
    <mergeCell ref="AW570:AX570"/>
    <mergeCell ref="AY570:AZ570"/>
    <mergeCell ref="BA570:BB570"/>
    <mergeCell ref="BC570:BD570"/>
    <mergeCell ref="BE570:BF570"/>
    <mergeCell ref="BG570:BH570"/>
    <mergeCell ref="BI570:BJ570"/>
    <mergeCell ref="BK570:BL570"/>
    <mergeCell ref="BM570:BN570"/>
    <mergeCell ref="BC568:BD568"/>
    <mergeCell ref="BE568:BF568"/>
    <mergeCell ref="BG568:BH568"/>
    <mergeCell ref="BI568:BJ568"/>
    <mergeCell ref="BK568:BL568"/>
    <mergeCell ref="BM568:BN568"/>
    <mergeCell ref="BO568:BP568"/>
    <mergeCell ref="BQ568:BR568"/>
    <mergeCell ref="F569:G569"/>
    <mergeCell ref="H569:I569"/>
    <mergeCell ref="J569:L569"/>
    <mergeCell ref="M569:O569"/>
    <mergeCell ref="P569:R569"/>
    <mergeCell ref="S569:U569"/>
    <mergeCell ref="V569:X569"/>
    <mergeCell ref="Y569:AA569"/>
    <mergeCell ref="AB569:AD569"/>
    <mergeCell ref="AE569:AF569"/>
    <mergeCell ref="AG569:AH569"/>
    <mergeCell ref="AI569:AJ569"/>
    <mergeCell ref="AK569:AL569"/>
    <mergeCell ref="AM569:AN569"/>
    <mergeCell ref="AO569:AP569"/>
    <mergeCell ref="AQ569:AR569"/>
    <mergeCell ref="AS569:AT569"/>
    <mergeCell ref="AU569:AV569"/>
    <mergeCell ref="AW569:AX569"/>
    <mergeCell ref="AY569:AZ569"/>
    <mergeCell ref="BA569:BB569"/>
    <mergeCell ref="BC569:BD569"/>
    <mergeCell ref="BE569:BF569"/>
    <mergeCell ref="BG569:BH569"/>
    <mergeCell ref="AW567:AX567"/>
    <mergeCell ref="AY567:AZ567"/>
    <mergeCell ref="BA567:BB567"/>
    <mergeCell ref="BC567:BD567"/>
    <mergeCell ref="BE567:BF567"/>
    <mergeCell ref="BG567:BH567"/>
    <mergeCell ref="BI567:BJ567"/>
    <mergeCell ref="BK567:BL567"/>
    <mergeCell ref="BM567:BN567"/>
    <mergeCell ref="BO567:BP567"/>
    <mergeCell ref="BQ567:BR567"/>
    <mergeCell ref="F568:G568"/>
    <mergeCell ref="H568:I568"/>
    <mergeCell ref="J568:L568"/>
    <mergeCell ref="M568:O568"/>
    <mergeCell ref="P568:R568"/>
    <mergeCell ref="S568:U568"/>
    <mergeCell ref="V568:X568"/>
    <mergeCell ref="Y568:AA568"/>
    <mergeCell ref="AB568:AD568"/>
    <mergeCell ref="AE568:AF568"/>
    <mergeCell ref="AG568:AH568"/>
    <mergeCell ref="AI568:AJ568"/>
    <mergeCell ref="AK568:AL568"/>
    <mergeCell ref="AM568:AN568"/>
    <mergeCell ref="AO568:AP568"/>
    <mergeCell ref="AQ568:AR568"/>
    <mergeCell ref="AS568:AT568"/>
    <mergeCell ref="AU568:AV568"/>
    <mergeCell ref="AW568:AX568"/>
    <mergeCell ref="AY568:AZ568"/>
    <mergeCell ref="BA568:BB568"/>
    <mergeCell ref="F567:G567"/>
    <mergeCell ref="H567:I567"/>
    <mergeCell ref="J567:L567"/>
    <mergeCell ref="M567:O567"/>
    <mergeCell ref="P567:R567"/>
    <mergeCell ref="S567:U567"/>
    <mergeCell ref="V567:X567"/>
    <mergeCell ref="Y567:AA567"/>
    <mergeCell ref="AB567:AD567"/>
    <mergeCell ref="AE567:AF567"/>
    <mergeCell ref="AG567:AH567"/>
    <mergeCell ref="AI567:AJ567"/>
    <mergeCell ref="AK567:AL567"/>
    <mergeCell ref="AM567:AN567"/>
    <mergeCell ref="AO567:AP567"/>
    <mergeCell ref="AQ567:AR567"/>
    <mergeCell ref="AS567:AT567"/>
    <mergeCell ref="BO565:BP565"/>
    <mergeCell ref="BQ565:BR565"/>
    <mergeCell ref="F566:G566"/>
    <mergeCell ref="H566:I566"/>
    <mergeCell ref="J566:L566"/>
    <mergeCell ref="M566:O566"/>
    <mergeCell ref="P566:R566"/>
    <mergeCell ref="S566:U566"/>
    <mergeCell ref="V566:X566"/>
    <mergeCell ref="Y566:AA566"/>
    <mergeCell ref="AB566:AD566"/>
    <mergeCell ref="AE566:AF566"/>
    <mergeCell ref="AG566:AH566"/>
    <mergeCell ref="AI566:AJ566"/>
    <mergeCell ref="AK566:AL566"/>
    <mergeCell ref="AM566:AN566"/>
    <mergeCell ref="AO566:AP566"/>
    <mergeCell ref="AQ566:AR566"/>
    <mergeCell ref="AS566:AT566"/>
    <mergeCell ref="AU566:AV566"/>
    <mergeCell ref="AW566:AX566"/>
    <mergeCell ref="AY566:AZ566"/>
    <mergeCell ref="BA566:BB566"/>
    <mergeCell ref="BC566:BD566"/>
    <mergeCell ref="BE566:BF566"/>
    <mergeCell ref="BG566:BH566"/>
    <mergeCell ref="BI566:BJ566"/>
    <mergeCell ref="BK566:BL566"/>
    <mergeCell ref="BM566:BN566"/>
    <mergeCell ref="BO566:BP566"/>
    <mergeCell ref="BQ566:BR566"/>
    <mergeCell ref="BI564:BJ564"/>
    <mergeCell ref="BK564:BL564"/>
    <mergeCell ref="BM564:BN564"/>
    <mergeCell ref="BO564:BP564"/>
    <mergeCell ref="BQ564:BR564"/>
    <mergeCell ref="F565:G565"/>
    <mergeCell ref="H565:I565"/>
    <mergeCell ref="J565:L565"/>
    <mergeCell ref="M565:O565"/>
    <mergeCell ref="P565:R565"/>
    <mergeCell ref="S565:U565"/>
    <mergeCell ref="V565:X565"/>
    <mergeCell ref="Y565:AA565"/>
    <mergeCell ref="AB565:AD565"/>
    <mergeCell ref="AE565:AF565"/>
    <mergeCell ref="AG565:AH565"/>
    <mergeCell ref="AI565:AJ565"/>
    <mergeCell ref="AK565:AL565"/>
    <mergeCell ref="AM565:AN565"/>
    <mergeCell ref="AO565:AP565"/>
    <mergeCell ref="AQ565:AR565"/>
    <mergeCell ref="AS565:AT565"/>
    <mergeCell ref="AU565:AV565"/>
    <mergeCell ref="AW565:AX565"/>
    <mergeCell ref="AY565:AZ565"/>
    <mergeCell ref="BA565:BB565"/>
    <mergeCell ref="BC565:BD565"/>
    <mergeCell ref="BE565:BF565"/>
    <mergeCell ref="BG565:BH565"/>
    <mergeCell ref="BI565:BJ565"/>
    <mergeCell ref="BK565:BL565"/>
    <mergeCell ref="BM565:BN565"/>
    <mergeCell ref="BC563:BD563"/>
    <mergeCell ref="BE563:BF563"/>
    <mergeCell ref="BG563:BH563"/>
    <mergeCell ref="BI563:BJ563"/>
    <mergeCell ref="BK563:BL563"/>
    <mergeCell ref="BM563:BN563"/>
    <mergeCell ref="BO563:BP563"/>
    <mergeCell ref="BQ563:BR563"/>
    <mergeCell ref="F564:G564"/>
    <mergeCell ref="H564:I564"/>
    <mergeCell ref="J564:L564"/>
    <mergeCell ref="M564:O564"/>
    <mergeCell ref="P564:R564"/>
    <mergeCell ref="S564:U564"/>
    <mergeCell ref="V564:X564"/>
    <mergeCell ref="Y564:AA564"/>
    <mergeCell ref="AB564:AD564"/>
    <mergeCell ref="AE564:AF564"/>
    <mergeCell ref="AG564:AH564"/>
    <mergeCell ref="AI564:AJ564"/>
    <mergeCell ref="AK564:AL564"/>
    <mergeCell ref="AM564:AN564"/>
    <mergeCell ref="AO564:AP564"/>
    <mergeCell ref="AQ564:AR564"/>
    <mergeCell ref="AS564:AT564"/>
    <mergeCell ref="AU564:AV564"/>
    <mergeCell ref="AW564:AX564"/>
    <mergeCell ref="AY564:AZ564"/>
    <mergeCell ref="BA564:BB564"/>
    <mergeCell ref="BC564:BD564"/>
    <mergeCell ref="BE564:BF564"/>
    <mergeCell ref="BG564:BH564"/>
    <mergeCell ref="AW562:AX562"/>
    <mergeCell ref="AY562:AZ562"/>
    <mergeCell ref="BA562:BB562"/>
    <mergeCell ref="BC562:BD562"/>
    <mergeCell ref="BE562:BF562"/>
    <mergeCell ref="BG562:BH562"/>
    <mergeCell ref="BI562:BJ562"/>
    <mergeCell ref="BK562:BL562"/>
    <mergeCell ref="BM562:BN562"/>
    <mergeCell ref="BO562:BP562"/>
    <mergeCell ref="BQ562:BR562"/>
    <mergeCell ref="F563:G563"/>
    <mergeCell ref="H563:I563"/>
    <mergeCell ref="J563:L563"/>
    <mergeCell ref="M563:O563"/>
    <mergeCell ref="P563:R563"/>
    <mergeCell ref="S563:U563"/>
    <mergeCell ref="V563:X563"/>
    <mergeCell ref="Y563:AA563"/>
    <mergeCell ref="AB563:AD563"/>
    <mergeCell ref="AE563:AF563"/>
    <mergeCell ref="AG563:AH563"/>
    <mergeCell ref="AI563:AJ563"/>
    <mergeCell ref="AK563:AL563"/>
    <mergeCell ref="AM563:AN563"/>
    <mergeCell ref="AO563:AP563"/>
    <mergeCell ref="AQ563:AR563"/>
    <mergeCell ref="AS563:AT563"/>
    <mergeCell ref="AU563:AV563"/>
    <mergeCell ref="AW563:AX563"/>
    <mergeCell ref="AY563:AZ563"/>
    <mergeCell ref="BA563:BB563"/>
    <mergeCell ref="F562:G562"/>
    <mergeCell ref="H562:I562"/>
    <mergeCell ref="J562:L562"/>
    <mergeCell ref="M562:O562"/>
    <mergeCell ref="P562:R562"/>
    <mergeCell ref="S562:U562"/>
    <mergeCell ref="V562:X562"/>
    <mergeCell ref="Y562:AA562"/>
    <mergeCell ref="AB562:AD562"/>
    <mergeCell ref="AE562:AF562"/>
    <mergeCell ref="AG562:AH562"/>
    <mergeCell ref="AI562:AJ562"/>
    <mergeCell ref="AK562:AL562"/>
    <mergeCell ref="AM562:AN562"/>
    <mergeCell ref="AO562:AP562"/>
    <mergeCell ref="AQ562:AR562"/>
    <mergeCell ref="AS562:AT562"/>
    <mergeCell ref="BO560:BP560"/>
    <mergeCell ref="BQ560:BR560"/>
    <mergeCell ref="F561:G561"/>
    <mergeCell ref="H561:I561"/>
    <mergeCell ref="J561:L561"/>
    <mergeCell ref="M561:O561"/>
    <mergeCell ref="P561:R561"/>
    <mergeCell ref="S561:U561"/>
    <mergeCell ref="V561:X561"/>
    <mergeCell ref="Y561:AA561"/>
    <mergeCell ref="AB561:AD561"/>
    <mergeCell ref="AE561:AF561"/>
    <mergeCell ref="AG561:AH561"/>
    <mergeCell ref="AI561:AJ561"/>
    <mergeCell ref="AK561:AL561"/>
    <mergeCell ref="AM561:AN561"/>
    <mergeCell ref="AO561:AP561"/>
    <mergeCell ref="AQ561:AR561"/>
    <mergeCell ref="AS561:AT561"/>
    <mergeCell ref="AU561:AV561"/>
    <mergeCell ref="AW561:AX561"/>
    <mergeCell ref="AY561:AZ561"/>
    <mergeCell ref="BA561:BB561"/>
    <mergeCell ref="BC561:BD561"/>
    <mergeCell ref="BE561:BF561"/>
    <mergeCell ref="BG561:BH561"/>
    <mergeCell ref="BI561:BJ561"/>
    <mergeCell ref="BK561:BL561"/>
    <mergeCell ref="BM561:BN561"/>
    <mergeCell ref="BO561:BP561"/>
    <mergeCell ref="BQ561:BR561"/>
    <mergeCell ref="BI559:BJ559"/>
    <mergeCell ref="BK559:BL559"/>
    <mergeCell ref="BM559:BN559"/>
    <mergeCell ref="BO559:BP559"/>
    <mergeCell ref="BQ559:BR559"/>
    <mergeCell ref="F560:G560"/>
    <mergeCell ref="H560:I560"/>
    <mergeCell ref="J560:L560"/>
    <mergeCell ref="M560:O560"/>
    <mergeCell ref="P560:R560"/>
    <mergeCell ref="S560:U560"/>
    <mergeCell ref="V560:X560"/>
    <mergeCell ref="Y560:AA560"/>
    <mergeCell ref="AB560:AD560"/>
    <mergeCell ref="AE560:AF560"/>
    <mergeCell ref="AG560:AH560"/>
    <mergeCell ref="AI560:AJ560"/>
    <mergeCell ref="AK560:AL560"/>
    <mergeCell ref="AM560:AN560"/>
    <mergeCell ref="AO560:AP560"/>
    <mergeCell ref="AQ560:AR560"/>
    <mergeCell ref="AS560:AT560"/>
    <mergeCell ref="AU560:AV560"/>
    <mergeCell ref="AW560:AX560"/>
    <mergeCell ref="AY560:AZ560"/>
    <mergeCell ref="BA560:BB560"/>
    <mergeCell ref="BC560:BD560"/>
    <mergeCell ref="BE560:BF560"/>
    <mergeCell ref="BG560:BH560"/>
    <mergeCell ref="BI560:BJ560"/>
    <mergeCell ref="BK560:BL560"/>
    <mergeCell ref="BM560:BN560"/>
    <mergeCell ref="BC558:BD558"/>
    <mergeCell ref="BE558:BF558"/>
    <mergeCell ref="BG558:BH558"/>
    <mergeCell ref="BI558:BJ558"/>
    <mergeCell ref="BK558:BL558"/>
    <mergeCell ref="BM558:BN558"/>
    <mergeCell ref="BO558:BP558"/>
    <mergeCell ref="BQ558:BR558"/>
    <mergeCell ref="F559:G559"/>
    <mergeCell ref="H559:I559"/>
    <mergeCell ref="J559:L559"/>
    <mergeCell ref="M559:O559"/>
    <mergeCell ref="P559:R559"/>
    <mergeCell ref="S559:U559"/>
    <mergeCell ref="V559:X559"/>
    <mergeCell ref="Y559:AA559"/>
    <mergeCell ref="AB559:AD559"/>
    <mergeCell ref="AE559:AF559"/>
    <mergeCell ref="AG559:AH559"/>
    <mergeCell ref="AI559:AJ559"/>
    <mergeCell ref="AK559:AL559"/>
    <mergeCell ref="AM559:AN559"/>
    <mergeCell ref="AO559:AP559"/>
    <mergeCell ref="AQ559:AR559"/>
    <mergeCell ref="AS559:AT559"/>
    <mergeCell ref="AU559:AV559"/>
    <mergeCell ref="AW559:AX559"/>
    <mergeCell ref="AY559:AZ559"/>
    <mergeCell ref="BA559:BB559"/>
    <mergeCell ref="BC559:BD559"/>
    <mergeCell ref="BE559:BF559"/>
    <mergeCell ref="BG559:BH559"/>
    <mergeCell ref="AW557:AX557"/>
    <mergeCell ref="AY557:AZ557"/>
    <mergeCell ref="BA557:BB557"/>
    <mergeCell ref="BC557:BD557"/>
    <mergeCell ref="BE557:BF557"/>
    <mergeCell ref="BG557:BH557"/>
    <mergeCell ref="BI557:BJ557"/>
    <mergeCell ref="BK557:BL557"/>
    <mergeCell ref="BM557:BN557"/>
    <mergeCell ref="BO557:BP557"/>
    <mergeCell ref="BQ557:BR557"/>
    <mergeCell ref="F558:G558"/>
    <mergeCell ref="H558:I558"/>
    <mergeCell ref="J558:L558"/>
    <mergeCell ref="M558:O558"/>
    <mergeCell ref="P558:R558"/>
    <mergeCell ref="S558:U558"/>
    <mergeCell ref="V558:X558"/>
    <mergeCell ref="Y558:AA558"/>
    <mergeCell ref="AB558:AD558"/>
    <mergeCell ref="AE558:AF558"/>
    <mergeCell ref="AG558:AH558"/>
    <mergeCell ref="AI558:AJ558"/>
    <mergeCell ref="AK558:AL558"/>
    <mergeCell ref="AM558:AN558"/>
    <mergeCell ref="AO558:AP558"/>
    <mergeCell ref="AQ558:AR558"/>
    <mergeCell ref="AS558:AT558"/>
    <mergeCell ref="AU558:AV558"/>
    <mergeCell ref="AW558:AX558"/>
    <mergeCell ref="AY558:AZ558"/>
    <mergeCell ref="BA558:BB558"/>
    <mergeCell ref="F557:G557"/>
    <mergeCell ref="H557:I557"/>
    <mergeCell ref="J557:L557"/>
    <mergeCell ref="M557:O557"/>
    <mergeCell ref="P557:R557"/>
    <mergeCell ref="S557:U557"/>
    <mergeCell ref="V557:X557"/>
    <mergeCell ref="Y557:AA557"/>
    <mergeCell ref="AB557:AD557"/>
    <mergeCell ref="AE557:AF557"/>
    <mergeCell ref="AG557:AH557"/>
    <mergeCell ref="AI557:AJ557"/>
    <mergeCell ref="AK557:AL557"/>
    <mergeCell ref="AM557:AN557"/>
    <mergeCell ref="AO557:AP557"/>
    <mergeCell ref="AQ557:AR557"/>
    <mergeCell ref="AS557:AT557"/>
    <mergeCell ref="BO555:BP555"/>
    <mergeCell ref="BQ555:BR555"/>
    <mergeCell ref="F556:G556"/>
    <mergeCell ref="H556:I556"/>
    <mergeCell ref="J556:L556"/>
    <mergeCell ref="M556:O556"/>
    <mergeCell ref="P556:R556"/>
    <mergeCell ref="S556:U556"/>
    <mergeCell ref="V556:X556"/>
    <mergeCell ref="Y556:AA556"/>
    <mergeCell ref="AB556:AD556"/>
    <mergeCell ref="AE556:AF556"/>
    <mergeCell ref="AG556:AH556"/>
    <mergeCell ref="AI556:AJ556"/>
    <mergeCell ref="AK556:AL556"/>
    <mergeCell ref="AM556:AN556"/>
    <mergeCell ref="AO556:AP556"/>
    <mergeCell ref="AQ556:AR556"/>
    <mergeCell ref="AS556:AT556"/>
    <mergeCell ref="AU556:AV556"/>
    <mergeCell ref="AW556:AX556"/>
    <mergeCell ref="AY556:AZ556"/>
    <mergeCell ref="BA556:BB556"/>
    <mergeCell ref="BC556:BD556"/>
    <mergeCell ref="BE556:BF556"/>
    <mergeCell ref="BG556:BH556"/>
    <mergeCell ref="BI556:BJ556"/>
    <mergeCell ref="BK556:BL556"/>
    <mergeCell ref="BM556:BN556"/>
    <mergeCell ref="BO556:BP556"/>
    <mergeCell ref="BQ556:BR556"/>
    <mergeCell ref="BI554:BJ554"/>
    <mergeCell ref="BK554:BL554"/>
    <mergeCell ref="BM554:BN554"/>
    <mergeCell ref="BO554:BP554"/>
    <mergeCell ref="BQ554:BR554"/>
    <mergeCell ref="F555:G555"/>
    <mergeCell ref="H555:I555"/>
    <mergeCell ref="J555:L555"/>
    <mergeCell ref="M555:O555"/>
    <mergeCell ref="P555:R555"/>
    <mergeCell ref="S555:U555"/>
    <mergeCell ref="V555:X555"/>
    <mergeCell ref="Y555:AA555"/>
    <mergeCell ref="AB555:AD555"/>
    <mergeCell ref="AE555:AF555"/>
    <mergeCell ref="AG555:AH555"/>
    <mergeCell ref="AI555:AJ555"/>
    <mergeCell ref="AK555:AL555"/>
    <mergeCell ref="AM555:AN555"/>
    <mergeCell ref="AO555:AP555"/>
    <mergeCell ref="AQ555:AR555"/>
    <mergeCell ref="AS555:AT555"/>
    <mergeCell ref="AU555:AV555"/>
    <mergeCell ref="AW555:AX555"/>
    <mergeCell ref="AY555:AZ555"/>
    <mergeCell ref="BA555:BB555"/>
    <mergeCell ref="BC555:BD555"/>
    <mergeCell ref="BE555:BF555"/>
    <mergeCell ref="BG555:BH555"/>
    <mergeCell ref="BI555:BJ555"/>
    <mergeCell ref="BK555:BL555"/>
    <mergeCell ref="BM555:BN555"/>
    <mergeCell ref="BC553:BD553"/>
    <mergeCell ref="BE553:BF553"/>
    <mergeCell ref="BG553:BH553"/>
    <mergeCell ref="BI553:BJ553"/>
    <mergeCell ref="BK553:BL553"/>
    <mergeCell ref="BM553:BN553"/>
    <mergeCell ref="BO553:BP553"/>
    <mergeCell ref="BQ553:BR553"/>
    <mergeCell ref="F554:G554"/>
    <mergeCell ref="H554:I554"/>
    <mergeCell ref="J554:L554"/>
    <mergeCell ref="M554:O554"/>
    <mergeCell ref="P554:R554"/>
    <mergeCell ref="S554:U554"/>
    <mergeCell ref="V554:X554"/>
    <mergeCell ref="Y554:AA554"/>
    <mergeCell ref="AB554:AD554"/>
    <mergeCell ref="AE554:AF554"/>
    <mergeCell ref="AG554:AH554"/>
    <mergeCell ref="AI554:AJ554"/>
    <mergeCell ref="AK554:AL554"/>
    <mergeCell ref="AM554:AN554"/>
    <mergeCell ref="AO554:AP554"/>
    <mergeCell ref="AQ554:AR554"/>
    <mergeCell ref="AS554:AT554"/>
    <mergeCell ref="AU554:AV554"/>
    <mergeCell ref="AW554:AX554"/>
    <mergeCell ref="AY554:AZ554"/>
    <mergeCell ref="BA554:BB554"/>
    <mergeCell ref="BC554:BD554"/>
    <mergeCell ref="BE554:BF554"/>
    <mergeCell ref="BG554:BH554"/>
    <mergeCell ref="AW552:AX552"/>
    <mergeCell ref="AY552:AZ552"/>
    <mergeCell ref="BA552:BB552"/>
    <mergeCell ref="BC552:BD552"/>
    <mergeCell ref="BE552:BF552"/>
    <mergeCell ref="BG552:BH552"/>
    <mergeCell ref="BI552:BJ552"/>
    <mergeCell ref="BK552:BL552"/>
    <mergeCell ref="BM552:BN552"/>
    <mergeCell ref="BO552:BP552"/>
    <mergeCell ref="BQ552:BR552"/>
    <mergeCell ref="F553:G553"/>
    <mergeCell ref="H553:I553"/>
    <mergeCell ref="J553:L553"/>
    <mergeCell ref="M553:O553"/>
    <mergeCell ref="P553:R553"/>
    <mergeCell ref="S553:U553"/>
    <mergeCell ref="V553:X553"/>
    <mergeCell ref="Y553:AA553"/>
    <mergeCell ref="AB553:AD553"/>
    <mergeCell ref="AE553:AF553"/>
    <mergeCell ref="AG553:AH553"/>
    <mergeCell ref="AI553:AJ553"/>
    <mergeCell ref="AK553:AL553"/>
    <mergeCell ref="AM553:AN553"/>
    <mergeCell ref="AO553:AP553"/>
    <mergeCell ref="AQ553:AR553"/>
    <mergeCell ref="AS553:AT553"/>
    <mergeCell ref="AU553:AV553"/>
    <mergeCell ref="AW553:AX553"/>
    <mergeCell ref="AY553:AZ553"/>
    <mergeCell ref="BA553:BB553"/>
    <mergeCell ref="F552:G552"/>
    <mergeCell ref="H552:I552"/>
    <mergeCell ref="J552:L552"/>
    <mergeCell ref="M552:O552"/>
    <mergeCell ref="P552:R552"/>
    <mergeCell ref="S552:U552"/>
    <mergeCell ref="V552:X552"/>
    <mergeCell ref="Y552:AA552"/>
    <mergeCell ref="AB552:AD552"/>
    <mergeCell ref="AE552:AF552"/>
    <mergeCell ref="AG552:AH552"/>
    <mergeCell ref="AI552:AJ552"/>
    <mergeCell ref="AK552:AL552"/>
    <mergeCell ref="AM552:AN552"/>
    <mergeCell ref="AO552:AP552"/>
    <mergeCell ref="AQ552:AR552"/>
    <mergeCell ref="AS552:AT552"/>
    <mergeCell ref="BO550:BP550"/>
    <mergeCell ref="BQ550:BR550"/>
    <mergeCell ref="F551:G551"/>
    <mergeCell ref="H551:I551"/>
    <mergeCell ref="J551:L551"/>
    <mergeCell ref="M551:O551"/>
    <mergeCell ref="P551:R551"/>
    <mergeCell ref="S551:U551"/>
    <mergeCell ref="V551:X551"/>
    <mergeCell ref="Y551:AA551"/>
    <mergeCell ref="AB551:AD551"/>
    <mergeCell ref="AE551:AF551"/>
    <mergeCell ref="AG551:AH551"/>
    <mergeCell ref="AI551:AJ551"/>
    <mergeCell ref="AK551:AL551"/>
    <mergeCell ref="AM551:AN551"/>
    <mergeCell ref="AO551:AP551"/>
    <mergeCell ref="AQ551:AR551"/>
    <mergeCell ref="AS551:AT551"/>
    <mergeCell ref="AU551:AV551"/>
    <mergeCell ref="AW551:AX551"/>
    <mergeCell ref="AY551:AZ551"/>
    <mergeCell ref="BA551:BB551"/>
    <mergeCell ref="BC551:BD551"/>
    <mergeCell ref="BE551:BF551"/>
    <mergeCell ref="BG551:BH551"/>
    <mergeCell ref="BI551:BJ551"/>
    <mergeCell ref="BK551:BL551"/>
    <mergeCell ref="BM551:BN551"/>
    <mergeCell ref="BO551:BP551"/>
    <mergeCell ref="BQ551:BR551"/>
    <mergeCell ref="BI549:BJ549"/>
    <mergeCell ref="BK549:BL549"/>
    <mergeCell ref="BM549:BN549"/>
    <mergeCell ref="BO549:BP549"/>
    <mergeCell ref="BQ549:BR549"/>
    <mergeCell ref="F550:G550"/>
    <mergeCell ref="H550:I550"/>
    <mergeCell ref="J550:L550"/>
    <mergeCell ref="M550:O550"/>
    <mergeCell ref="P550:R550"/>
    <mergeCell ref="S550:U550"/>
    <mergeCell ref="V550:X550"/>
    <mergeCell ref="Y550:AA550"/>
    <mergeCell ref="AB550:AD550"/>
    <mergeCell ref="AE550:AF550"/>
    <mergeCell ref="AG550:AH550"/>
    <mergeCell ref="AI550:AJ550"/>
    <mergeCell ref="AK550:AL550"/>
    <mergeCell ref="AM550:AN550"/>
    <mergeCell ref="AO550:AP550"/>
    <mergeCell ref="AQ550:AR550"/>
    <mergeCell ref="AS550:AT550"/>
    <mergeCell ref="AU550:AV550"/>
    <mergeCell ref="AW550:AX550"/>
    <mergeCell ref="AY550:AZ550"/>
    <mergeCell ref="BA550:BB550"/>
    <mergeCell ref="BC550:BD550"/>
    <mergeCell ref="BE550:BF550"/>
    <mergeCell ref="BG550:BH550"/>
    <mergeCell ref="BI550:BJ550"/>
    <mergeCell ref="BK550:BL550"/>
    <mergeCell ref="BM550:BN550"/>
    <mergeCell ref="BC548:BD548"/>
    <mergeCell ref="BE548:BF548"/>
    <mergeCell ref="BG548:BH548"/>
    <mergeCell ref="BI548:BJ548"/>
    <mergeCell ref="BK548:BL548"/>
    <mergeCell ref="BM548:BN548"/>
    <mergeCell ref="BO548:BP548"/>
    <mergeCell ref="BQ548:BR548"/>
    <mergeCell ref="F549:G549"/>
    <mergeCell ref="H549:I549"/>
    <mergeCell ref="J549:L549"/>
    <mergeCell ref="M549:O549"/>
    <mergeCell ref="P549:R549"/>
    <mergeCell ref="S549:U549"/>
    <mergeCell ref="V549:X549"/>
    <mergeCell ref="Y549:AA549"/>
    <mergeCell ref="AB549:AD549"/>
    <mergeCell ref="AE549:AF549"/>
    <mergeCell ref="AG549:AH549"/>
    <mergeCell ref="AI549:AJ549"/>
    <mergeCell ref="AK549:AL549"/>
    <mergeCell ref="AM549:AN549"/>
    <mergeCell ref="AO549:AP549"/>
    <mergeCell ref="AQ549:AR549"/>
    <mergeCell ref="AS549:AT549"/>
    <mergeCell ref="AU549:AV549"/>
    <mergeCell ref="AW549:AX549"/>
    <mergeCell ref="AY549:AZ549"/>
    <mergeCell ref="BA549:BB549"/>
    <mergeCell ref="BC549:BD549"/>
    <mergeCell ref="BE549:BF549"/>
    <mergeCell ref="BG549:BH549"/>
    <mergeCell ref="AW547:AX547"/>
    <mergeCell ref="AY547:AZ547"/>
    <mergeCell ref="BA547:BB547"/>
    <mergeCell ref="BC547:BD547"/>
    <mergeCell ref="BE547:BF547"/>
    <mergeCell ref="BG547:BH547"/>
    <mergeCell ref="BI547:BJ547"/>
    <mergeCell ref="BK547:BL547"/>
    <mergeCell ref="BM547:BN547"/>
    <mergeCell ref="BO547:BP547"/>
    <mergeCell ref="BQ547:BR547"/>
    <mergeCell ref="F548:G548"/>
    <mergeCell ref="H548:I548"/>
    <mergeCell ref="J548:L548"/>
    <mergeCell ref="M548:O548"/>
    <mergeCell ref="P548:R548"/>
    <mergeCell ref="S548:U548"/>
    <mergeCell ref="V548:X548"/>
    <mergeCell ref="Y548:AA548"/>
    <mergeCell ref="AB548:AD548"/>
    <mergeCell ref="AE548:AF548"/>
    <mergeCell ref="AG548:AH548"/>
    <mergeCell ref="AI548:AJ548"/>
    <mergeCell ref="AK548:AL548"/>
    <mergeCell ref="AM548:AN548"/>
    <mergeCell ref="AO548:AP548"/>
    <mergeCell ref="AQ548:AR548"/>
    <mergeCell ref="AS548:AT548"/>
    <mergeCell ref="AU548:AV548"/>
    <mergeCell ref="AW548:AX548"/>
    <mergeCell ref="AY548:AZ548"/>
    <mergeCell ref="BA548:BB548"/>
    <mergeCell ref="F547:G547"/>
    <mergeCell ref="H547:I547"/>
    <mergeCell ref="J547:L547"/>
    <mergeCell ref="M547:O547"/>
    <mergeCell ref="P547:R547"/>
    <mergeCell ref="S547:U547"/>
    <mergeCell ref="V547:X547"/>
    <mergeCell ref="Y547:AA547"/>
    <mergeCell ref="AB547:AD547"/>
    <mergeCell ref="AE547:AF547"/>
    <mergeCell ref="AG547:AH547"/>
    <mergeCell ref="AI547:AJ547"/>
    <mergeCell ref="AK547:AL547"/>
    <mergeCell ref="AM547:AN547"/>
    <mergeCell ref="AO547:AP547"/>
    <mergeCell ref="AQ547:AR547"/>
    <mergeCell ref="AS547:AT547"/>
    <mergeCell ref="BM545:BN545"/>
    <mergeCell ref="BO545:BP545"/>
    <mergeCell ref="BQ545:BR545"/>
    <mergeCell ref="F546:G546"/>
    <mergeCell ref="H546:I546"/>
    <mergeCell ref="J546:L546"/>
    <mergeCell ref="M546:O546"/>
    <mergeCell ref="P546:R546"/>
    <mergeCell ref="S546:U546"/>
    <mergeCell ref="V546:X546"/>
    <mergeCell ref="Y546:AA546"/>
    <mergeCell ref="AB546:AD546"/>
    <mergeCell ref="AE546:AF546"/>
    <mergeCell ref="AG546:AH546"/>
    <mergeCell ref="AI546:AJ546"/>
    <mergeCell ref="AK546:AL546"/>
    <mergeCell ref="AM546:AN546"/>
    <mergeCell ref="AO546:AP546"/>
    <mergeCell ref="AQ546:AR546"/>
    <mergeCell ref="AS546:AT546"/>
    <mergeCell ref="AU546:AV546"/>
    <mergeCell ref="AW546:AX546"/>
    <mergeCell ref="AY546:AZ546"/>
    <mergeCell ref="BA546:BB546"/>
    <mergeCell ref="BC546:BD546"/>
    <mergeCell ref="BE546:BF546"/>
    <mergeCell ref="BG546:BH546"/>
    <mergeCell ref="BI546:BJ546"/>
    <mergeCell ref="BK546:BL546"/>
    <mergeCell ref="BM546:BN546"/>
    <mergeCell ref="BO546:BP546"/>
    <mergeCell ref="BQ546:BR546"/>
    <mergeCell ref="F545:G545"/>
    <mergeCell ref="H545:I545"/>
    <mergeCell ref="J545:L545"/>
    <mergeCell ref="M545:O545"/>
    <mergeCell ref="P545:R545"/>
    <mergeCell ref="S545:U545"/>
    <mergeCell ref="V545:X545"/>
    <mergeCell ref="Y545:AA545"/>
    <mergeCell ref="AB545:AD545"/>
    <mergeCell ref="AE545:AF545"/>
    <mergeCell ref="AG545:AH545"/>
    <mergeCell ref="AI545:AJ545"/>
    <mergeCell ref="AK545:AL545"/>
    <mergeCell ref="AM545:AN545"/>
    <mergeCell ref="AO545:AP545"/>
    <mergeCell ref="AQ545:AR545"/>
    <mergeCell ref="AS545:AT545"/>
    <mergeCell ref="BO514:BP514"/>
    <mergeCell ref="BQ514:BR514"/>
    <mergeCell ref="BO515:BP515"/>
    <mergeCell ref="BQ515:BR515"/>
    <mergeCell ref="BO516:BP516"/>
    <mergeCell ref="BQ516:BR516"/>
    <mergeCell ref="F544:G544"/>
    <mergeCell ref="H544:I544"/>
    <mergeCell ref="J544:L544"/>
    <mergeCell ref="M544:O544"/>
    <mergeCell ref="P544:R544"/>
    <mergeCell ref="S544:U544"/>
    <mergeCell ref="V544:X544"/>
    <mergeCell ref="Y544:AA544"/>
    <mergeCell ref="AB544:AD544"/>
    <mergeCell ref="AE544:AF544"/>
    <mergeCell ref="AG544:AH544"/>
    <mergeCell ref="AI544:AJ544"/>
    <mergeCell ref="AK544:AL544"/>
    <mergeCell ref="AM544:AN544"/>
    <mergeCell ref="AO544:AP544"/>
    <mergeCell ref="AQ544:AR544"/>
    <mergeCell ref="AS544:AT544"/>
    <mergeCell ref="AU544:AV544"/>
    <mergeCell ref="AW544:AX544"/>
    <mergeCell ref="AY544:AZ544"/>
    <mergeCell ref="BA544:BB544"/>
    <mergeCell ref="BC544:BD544"/>
    <mergeCell ref="BE544:BF544"/>
    <mergeCell ref="BG544:BH544"/>
    <mergeCell ref="BI544:BJ544"/>
    <mergeCell ref="BK544:BL544"/>
    <mergeCell ref="BO505:BP505"/>
    <mergeCell ref="BQ505:BR505"/>
    <mergeCell ref="BO506:BP506"/>
    <mergeCell ref="BQ506:BR506"/>
    <mergeCell ref="BO507:BP507"/>
    <mergeCell ref="BQ507:BR507"/>
    <mergeCell ref="BO508:BP508"/>
    <mergeCell ref="BQ508:BR508"/>
    <mergeCell ref="BO509:BP509"/>
    <mergeCell ref="BQ509:BR509"/>
    <mergeCell ref="BO510:BP510"/>
    <mergeCell ref="BQ510:BR510"/>
    <mergeCell ref="BO511:BP511"/>
    <mergeCell ref="BQ511:BR511"/>
    <mergeCell ref="BO512:BP512"/>
    <mergeCell ref="BQ512:BR512"/>
    <mergeCell ref="BO513:BP513"/>
    <mergeCell ref="BQ513:BR513"/>
    <mergeCell ref="BO496:BP496"/>
    <mergeCell ref="BQ496:BR496"/>
    <mergeCell ref="BO497:BP497"/>
    <mergeCell ref="BQ497:BR497"/>
    <mergeCell ref="BO498:BP498"/>
    <mergeCell ref="BQ498:BR498"/>
    <mergeCell ref="BO499:BP499"/>
    <mergeCell ref="BQ499:BR499"/>
    <mergeCell ref="BO500:BP500"/>
    <mergeCell ref="BQ500:BR500"/>
    <mergeCell ref="BO501:BP501"/>
    <mergeCell ref="BQ501:BR501"/>
    <mergeCell ref="BO502:BP502"/>
    <mergeCell ref="BQ502:BR502"/>
    <mergeCell ref="BO503:BP503"/>
    <mergeCell ref="BQ503:BR503"/>
    <mergeCell ref="BO504:BP504"/>
    <mergeCell ref="BQ504:BR504"/>
    <mergeCell ref="BO487:BP487"/>
    <mergeCell ref="BQ487:BR487"/>
    <mergeCell ref="BO488:BP488"/>
    <mergeCell ref="BQ488:BR488"/>
    <mergeCell ref="BO489:BP489"/>
    <mergeCell ref="BQ489:BR489"/>
    <mergeCell ref="BO490:BP490"/>
    <mergeCell ref="BQ490:BR490"/>
    <mergeCell ref="BO491:BP491"/>
    <mergeCell ref="BQ491:BR491"/>
    <mergeCell ref="BO492:BP492"/>
    <mergeCell ref="BQ492:BR492"/>
    <mergeCell ref="BO493:BP493"/>
    <mergeCell ref="BQ493:BR493"/>
    <mergeCell ref="BO494:BP494"/>
    <mergeCell ref="BQ494:BR494"/>
    <mergeCell ref="BO495:BP495"/>
    <mergeCell ref="BQ495:BR495"/>
    <mergeCell ref="BO478:BP478"/>
    <mergeCell ref="BQ478:BR478"/>
    <mergeCell ref="BO479:BP479"/>
    <mergeCell ref="BQ479:BR479"/>
    <mergeCell ref="BO480:BP480"/>
    <mergeCell ref="BQ480:BR480"/>
    <mergeCell ref="BO481:BP481"/>
    <mergeCell ref="BQ481:BR481"/>
    <mergeCell ref="BO482:BP482"/>
    <mergeCell ref="BQ482:BR482"/>
    <mergeCell ref="BO483:BP483"/>
    <mergeCell ref="BQ483:BR483"/>
    <mergeCell ref="BO484:BP484"/>
    <mergeCell ref="BQ484:BR484"/>
    <mergeCell ref="BO485:BP485"/>
    <mergeCell ref="BQ485:BR485"/>
    <mergeCell ref="BO486:BP486"/>
    <mergeCell ref="BQ486:BR486"/>
    <mergeCell ref="BO469:BP469"/>
    <mergeCell ref="BQ469:BR469"/>
    <mergeCell ref="BO470:BP470"/>
    <mergeCell ref="BQ470:BR470"/>
    <mergeCell ref="BO471:BP471"/>
    <mergeCell ref="BQ471:BR471"/>
    <mergeCell ref="BO472:BP472"/>
    <mergeCell ref="BQ472:BR472"/>
    <mergeCell ref="BO473:BP473"/>
    <mergeCell ref="BQ473:BR473"/>
    <mergeCell ref="BO474:BP474"/>
    <mergeCell ref="BQ474:BR474"/>
    <mergeCell ref="BO475:BP475"/>
    <mergeCell ref="BQ475:BR475"/>
    <mergeCell ref="BO476:BP476"/>
    <mergeCell ref="BQ476:BR476"/>
    <mergeCell ref="BO477:BP477"/>
    <mergeCell ref="BQ477:BR477"/>
    <mergeCell ref="BO460:BP460"/>
    <mergeCell ref="BQ460:BR460"/>
    <mergeCell ref="BO461:BP461"/>
    <mergeCell ref="BQ461:BR461"/>
    <mergeCell ref="BO462:BP462"/>
    <mergeCell ref="BQ462:BR462"/>
    <mergeCell ref="BO463:BP463"/>
    <mergeCell ref="BQ463:BR463"/>
    <mergeCell ref="BO464:BP464"/>
    <mergeCell ref="BQ464:BR464"/>
    <mergeCell ref="BO465:BP465"/>
    <mergeCell ref="BQ465:BR465"/>
    <mergeCell ref="BO466:BP466"/>
    <mergeCell ref="BQ466:BR466"/>
    <mergeCell ref="BO467:BP467"/>
    <mergeCell ref="BQ467:BR467"/>
    <mergeCell ref="BO468:BP468"/>
    <mergeCell ref="BQ468:BR468"/>
    <mergeCell ref="BO451:BP451"/>
    <mergeCell ref="BQ451:BR451"/>
    <mergeCell ref="BO452:BP452"/>
    <mergeCell ref="BQ452:BR452"/>
    <mergeCell ref="BO453:BP453"/>
    <mergeCell ref="BQ453:BR453"/>
    <mergeCell ref="BO454:BP454"/>
    <mergeCell ref="BQ454:BR454"/>
    <mergeCell ref="BO455:BP455"/>
    <mergeCell ref="BQ455:BR455"/>
    <mergeCell ref="BO456:BP456"/>
    <mergeCell ref="BQ456:BR456"/>
    <mergeCell ref="BO457:BP457"/>
    <mergeCell ref="BQ457:BR457"/>
    <mergeCell ref="BO458:BP458"/>
    <mergeCell ref="BQ458:BR458"/>
    <mergeCell ref="BO459:BP459"/>
    <mergeCell ref="BQ459:BR459"/>
    <mergeCell ref="BO442:BP442"/>
    <mergeCell ref="BQ442:BR442"/>
    <mergeCell ref="BO443:BP443"/>
    <mergeCell ref="BQ443:BR443"/>
    <mergeCell ref="BO444:BP444"/>
    <mergeCell ref="BQ444:BR444"/>
    <mergeCell ref="BO445:BP445"/>
    <mergeCell ref="BQ445:BR445"/>
    <mergeCell ref="BO446:BP446"/>
    <mergeCell ref="BQ446:BR446"/>
    <mergeCell ref="BO447:BP447"/>
    <mergeCell ref="BQ447:BR447"/>
    <mergeCell ref="BO448:BP448"/>
    <mergeCell ref="BQ448:BR448"/>
    <mergeCell ref="BO449:BP449"/>
    <mergeCell ref="BQ449:BR449"/>
    <mergeCell ref="BO450:BP450"/>
    <mergeCell ref="BQ450:BR450"/>
    <mergeCell ref="BO433:BP433"/>
    <mergeCell ref="BQ433:BR433"/>
    <mergeCell ref="BO434:BP434"/>
    <mergeCell ref="BQ434:BR434"/>
    <mergeCell ref="BO435:BP435"/>
    <mergeCell ref="BQ435:BR435"/>
    <mergeCell ref="BO436:BP436"/>
    <mergeCell ref="BQ436:BR436"/>
    <mergeCell ref="BO437:BP437"/>
    <mergeCell ref="BQ437:BR437"/>
    <mergeCell ref="BO438:BP438"/>
    <mergeCell ref="BQ438:BR438"/>
    <mergeCell ref="BO439:BP439"/>
    <mergeCell ref="BQ439:BR439"/>
    <mergeCell ref="BO440:BP440"/>
    <mergeCell ref="BQ440:BR440"/>
    <mergeCell ref="BO441:BP441"/>
    <mergeCell ref="BQ441:BR441"/>
    <mergeCell ref="BG514:BH514"/>
    <mergeCell ref="BI514:BJ514"/>
    <mergeCell ref="BK514:BL514"/>
    <mergeCell ref="BM514:BN514"/>
    <mergeCell ref="BG515:BH515"/>
    <mergeCell ref="BI515:BJ515"/>
    <mergeCell ref="BK515:BL515"/>
    <mergeCell ref="BM515:BN515"/>
    <mergeCell ref="BG516:BH516"/>
    <mergeCell ref="BI516:BJ516"/>
    <mergeCell ref="BK516:BL516"/>
    <mergeCell ref="BM516:BN516"/>
    <mergeCell ref="BO423:BP423"/>
    <mergeCell ref="BQ423:BR423"/>
    <mergeCell ref="BO424:BP424"/>
    <mergeCell ref="BQ424:BR424"/>
    <mergeCell ref="BO425:BP425"/>
    <mergeCell ref="BQ425:BR425"/>
    <mergeCell ref="BO426:BP426"/>
    <mergeCell ref="BQ426:BR426"/>
    <mergeCell ref="BO427:BP427"/>
    <mergeCell ref="BQ427:BR427"/>
    <mergeCell ref="BO428:BP428"/>
    <mergeCell ref="BQ428:BR428"/>
    <mergeCell ref="BO429:BP429"/>
    <mergeCell ref="BQ429:BR429"/>
    <mergeCell ref="BO430:BP430"/>
    <mergeCell ref="BQ430:BR430"/>
    <mergeCell ref="BO431:BP431"/>
    <mergeCell ref="BQ431:BR431"/>
    <mergeCell ref="BO432:BP432"/>
    <mergeCell ref="BQ432:BR432"/>
    <mergeCell ref="BG509:BH509"/>
    <mergeCell ref="BI509:BJ509"/>
    <mergeCell ref="BK509:BL509"/>
    <mergeCell ref="BM509:BN509"/>
    <mergeCell ref="BG510:BH510"/>
    <mergeCell ref="BI510:BJ510"/>
    <mergeCell ref="BK510:BL510"/>
    <mergeCell ref="BM510:BN510"/>
    <mergeCell ref="BG511:BH511"/>
    <mergeCell ref="BI511:BJ511"/>
    <mergeCell ref="BK511:BL511"/>
    <mergeCell ref="BM511:BN511"/>
    <mergeCell ref="BG512:BH512"/>
    <mergeCell ref="BI512:BJ512"/>
    <mergeCell ref="BK512:BL512"/>
    <mergeCell ref="BM512:BN512"/>
    <mergeCell ref="BG513:BH513"/>
    <mergeCell ref="BI513:BJ513"/>
    <mergeCell ref="BK513:BL513"/>
    <mergeCell ref="BM513:BN513"/>
    <mergeCell ref="BG504:BH504"/>
    <mergeCell ref="BI504:BJ504"/>
    <mergeCell ref="BK504:BL504"/>
    <mergeCell ref="BM504:BN504"/>
    <mergeCell ref="BG505:BH505"/>
    <mergeCell ref="BI505:BJ505"/>
    <mergeCell ref="BK505:BL505"/>
    <mergeCell ref="BM505:BN505"/>
    <mergeCell ref="BG506:BH506"/>
    <mergeCell ref="BI506:BJ506"/>
    <mergeCell ref="BK506:BL506"/>
    <mergeCell ref="BM506:BN506"/>
    <mergeCell ref="BG507:BH507"/>
    <mergeCell ref="BI507:BJ507"/>
    <mergeCell ref="BK507:BL507"/>
    <mergeCell ref="BM507:BN507"/>
    <mergeCell ref="BG508:BH508"/>
    <mergeCell ref="BI508:BJ508"/>
    <mergeCell ref="BK508:BL508"/>
    <mergeCell ref="BM508:BN508"/>
    <mergeCell ref="BG499:BH499"/>
    <mergeCell ref="BI499:BJ499"/>
    <mergeCell ref="BK499:BL499"/>
    <mergeCell ref="BM499:BN499"/>
    <mergeCell ref="BG500:BH500"/>
    <mergeCell ref="BI500:BJ500"/>
    <mergeCell ref="BK500:BL500"/>
    <mergeCell ref="BM500:BN500"/>
    <mergeCell ref="BG501:BH501"/>
    <mergeCell ref="BI501:BJ501"/>
    <mergeCell ref="BK501:BL501"/>
    <mergeCell ref="BM501:BN501"/>
    <mergeCell ref="BG502:BH502"/>
    <mergeCell ref="BI502:BJ502"/>
    <mergeCell ref="BK502:BL502"/>
    <mergeCell ref="BM502:BN502"/>
    <mergeCell ref="BG503:BH503"/>
    <mergeCell ref="BI503:BJ503"/>
    <mergeCell ref="BK503:BL503"/>
    <mergeCell ref="BM503:BN503"/>
    <mergeCell ref="BG494:BH494"/>
    <mergeCell ref="BI494:BJ494"/>
    <mergeCell ref="BK494:BL494"/>
    <mergeCell ref="BM494:BN494"/>
    <mergeCell ref="BG495:BH495"/>
    <mergeCell ref="BI495:BJ495"/>
    <mergeCell ref="BK495:BL495"/>
    <mergeCell ref="BM495:BN495"/>
    <mergeCell ref="BG496:BH496"/>
    <mergeCell ref="BI496:BJ496"/>
    <mergeCell ref="BK496:BL496"/>
    <mergeCell ref="BM496:BN496"/>
    <mergeCell ref="BG497:BH497"/>
    <mergeCell ref="BI497:BJ497"/>
    <mergeCell ref="BK497:BL497"/>
    <mergeCell ref="BM497:BN497"/>
    <mergeCell ref="BG498:BH498"/>
    <mergeCell ref="BI498:BJ498"/>
    <mergeCell ref="BK498:BL498"/>
    <mergeCell ref="BM498:BN498"/>
    <mergeCell ref="BG489:BH489"/>
    <mergeCell ref="BI489:BJ489"/>
    <mergeCell ref="BK489:BL489"/>
    <mergeCell ref="BM489:BN489"/>
    <mergeCell ref="BG490:BH490"/>
    <mergeCell ref="BI490:BJ490"/>
    <mergeCell ref="BK490:BL490"/>
    <mergeCell ref="BM490:BN490"/>
    <mergeCell ref="BG491:BH491"/>
    <mergeCell ref="BI491:BJ491"/>
    <mergeCell ref="BK491:BL491"/>
    <mergeCell ref="BM491:BN491"/>
    <mergeCell ref="BG492:BH492"/>
    <mergeCell ref="BI492:BJ492"/>
    <mergeCell ref="BK492:BL492"/>
    <mergeCell ref="BM492:BN492"/>
    <mergeCell ref="BG493:BH493"/>
    <mergeCell ref="BI493:BJ493"/>
    <mergeCell ref="BK493:BL493"/>
    <mergeCell ref="BM493:BN493"/>
    <mergeCell ref="BG484:BH484"/>
    <mergeCell ref="BI484:BJ484"/>
    <mergeCell ref="BK484:BL484"/>
    <mergeCell ref="BM484:BN484"/>
    <mergeCell ref="BG485:BH485"/>
    <mergeCell ref="BI485:BJ485"/>
    <mergeCell ref="BK485:BL485"/>
    <mergeCell ref="BM485:BN485"/>
    <mergeCell ref="BG486:BH486"/>
    <mergeCell ref="BI486:BJ486"/>
    <mergeCell ref="BK486:BL486"/>
    <mergeCell ref="BM486:BN486"/>
    <mergeCell ref="BG487:BH487"/>
    <mergeCell ref="BI487:BJ487"/>
    <mergeCell ref="BK487:BL487"/>
    <mergeCell ref="BM487:BN487"/>
    <mergeCell ref="BG488:BH488"/>
    <mergeCell ref="BI488:BJ488"/>
    <mergeCell ref="BK488:BL488"/>
    <mergeCell ref="BM488:BN488"/>
    <mergeCell ref="BG479:BH479"/>
    <mergeCell ref="BI479:BJ479"/>
    <mergeCell ref="BK479:BL479"/>
    <mergeCell ref="BM479:BN479"/>
    <mergeCell ref="BG480:BH480"/>
    <mergeCell ref="BI480:BJ480"/>
    <mergeCell ref="BK480:BL480"/>
    <mergeCell ref="BM480:BN480"/>
    <mergeCell ref="BG481:BH481"/>
    <mergeCell ref="BI481:BJ481"/>
    <mergeCell ref="BK481:BL481"/>
    <mergeCell ref="BM481:BN481"/>
    <mergeCell ref="BG482:BH482"/>
    <mergeCell ref="BI482:BJ482"/>
    <mergeCell ref="BK482:BL482"/>
    <mergeCell ref="BM482:BN482"/>
    <mergeCell ref="BG483:BH483"/>
    <mergeCell ref="BI483:BJ483"/>
    <mergeCell ref="BK483:BL483"/>
    <mergeCell ref="BM483:BN483"/>
    <mergeCell ref="BG474:BH474"/>
    <mergeCell ref="BI474:BJ474"/>
    <mergeCell ref="BK474:BL474"/>
    <mergeCell ref="BM474:BN474"/>
    <mergeCell ref="BG475:BH475"/>
    <mergeCell ref="BI475:BJ475"/>
    <mergeCell ref="BK475:BL475"/>
    <mergeCell ref="BM475:BN475"/>
    <mergeCell ref="BG476:BH476"/>
    <mergeCell ref="BI476:BJ476"/>
    <mergeCell ref="BK476:BL476"/>
    <mergeCell ref="BM476:BN476"/>
    <mergeCell ref="BG477:BH477"/>
    <mergeCell ref="BI477:BJ477"/>
    <mergeCell ref="BK477:BL477"/>
    <mergeCell ref="BM477:BN477"/>
    <mergeCell ref="BG478:BH478"/>
    <mergeCell ref="BI478:BJ478"/>
    <mergeCell ref="BK478:BL478"/>
    <mergeCell ref="BM478:BN478"/>
    <mergeCell ref="BG469:BH469"/>
    <mergeCell ref="BI469:BJ469"/>
    <mergeCell ref="BK469:BL469"/>
    <mergeCell ref="BM469:BN469"/>
    <mergeCell ref="BG470:BH470"/>
    <mergeCell ref="BI470:BJ470"/>
    <mergeCell ref="BK470:BL470"/>
    <mergeCell ref="BM470:BN470"/>
    <mergeCell ref="BG471:BH471"/>
    <mergeCell ref="BI471:BJ471"/>
    <mergeCell ref="BK471:BL471"/>
    <mergeCell ref="BM471:BN471"/>
    <mergeCell ref="BG472:BH472"/>
    <mergeCell ref="BI472:BJ472"/>
    <mergeCell ref="BK472:BL472"/>
    <mergeCell ref="BM472:BN472"/>
    <mergeCell ref="BG473:BH473"/>
    <mergeCell ref="BI473:BJ473"/>
    <mergeCell ref="BK473:BL473"/>
    <mergeCell ref="BM473:BN473"/>
    <mergeCell ref="BG464:BH464"/>
    <mergeCell ref="BI464:BJ464"/>
    <mergeCell ref="BK464:BL464"/>
    <mergeCell ref="BM464:BN464"/>
    <mergeCell ref="BG465:BH465"/>
    <mergeCell ref="BI465:BJ465"/>
    <mergeCell ref="BK465:BL465"/>
    <mergeCell ref="BM465:BN465"/>
    <mergeCell ref="BG466:BH466"/>
    <mergeCell ref="BI466:BJ466"/>
    <mergeCell ref="BK466:BL466"/>
    <mergeCell ref="BM466:BN466"/>
    <mergeCell ref="BG467:BH467"/>
    <mergeCell ref="BI467:BJ467"/>
    <mergeCell ref="BK467:BL467"/>
    <mergeCell ref="BM467:BN467"/>
    <mergeCell ref="BG468:BH468"/>
    <mergeCell ref="BI468:BJ468"/>
    <mergeCell ref="BK468:BL468"/>
    <mergeCell ref="BM468:BN468"/>
    <mergeCell ref="BG459:BH459"/>
    <mergeCell ref="BI459:BJ459"/>
    <mergeCell ref="BK459:BL459"/>
    <mergeCell ref="BM459:BN459"/>
    <mergeCell ref="BG460:BH460"/>
    <mergeCell ref="BI460:BJ460"/>
    <mergeCell ref="BK460:BL460"/>
    <mergeCell ref="BM460:BN460"/>
    <mergeCell ref="BG461:BH461"/>
    <mergeCell ref="BI461:BJ461"/>
    <mergeCell ref="BK461:BL461"/>
    <mergeCell ref="BM461:BN461"/>
    <mergeCell ref="BG462:BH462"/>
    <mergeCell ref="BI462:BJ462"/>
    <mergeCell ref="BK462:BL462"/>
    <mergeCell ref="BM462:BN462"/>
    <mergeCell ref="BG463:BH463"/>
    <mergeCell ref="BI463:BJ463"/>
    <mergeCell ref="BK463:BL463"/>
    <mergeCell ref="BM463:BN463"/>
    <mergeCell ref="BG454:BH454"/>
    <mergeCell ref="BI454:BJ454"/>
    <mergeCell ref="BK454:BL454"/>
    <mergeCell ref="BM454:BN454"/>
    <mergeCell ref="BG455:BH455"/>
    <mergeCell ref="BI455:BJ455"/>
    <mergeCell ref="BK455:BL455"/>
    <mergeCell ref="BM455:BN455"/>
    <mergeCell ref="BG456:BH456"/>
    <mergeCell ref="BI456:BJ456"/>
    <mergeCell ref="BK456:BL456"/>
    <mergeCell ref="BM456:BN456"/>
    <mergeCell ref="BG457:BH457"/>
    <mergeCell ref="BI457:BJ457"/>
    <mergeCell ref="BK457:BL457"/>
    <mergeCell ref="BM457:BN457"/>
    <mergeCell ref="BG458:BH458"/>
    <mergeCell ref="BI458:BJ458"/>
    <mergeCell ref="BK458:BL458"/>
    <mergeCell ref="BM458:BN458"/>
    <mergeCell ref="BG449:BH449"/>
    <mergeCell ref="BI449:BJ449"/>
    <mergeCell ref="BK449:BL449"/>
    <mergeCell ref="BM449:BN449"/>
    <mergeCell ref="BG450:BH450"/>
    <mergeCell ref="BI450:BJ450"/>
    <mergeCell ref="BK450:BL450"/>
    <mergeCell ref="BM450:BN450"/>
    <mergeCell ref="BG451:BH451"/>
    <mergeCell ref="BI451:BJ451"/>
    <mergeCell ref="BK451:BL451"/>
    <mergeCell ref="BM451:BN451"/>
    <mergeCell ref="BG452:BH452"/>
    <mergeCell ref="BI452:BJ452"/>
    <mergeCell ref="BK452:BL452"/>
    <mergeCell ref="BM452:BN452"/>
    <mergeCell ref="BG453:BH453"/>
    <mergeCell ref="BI453:BJ453"/>
    <mergeCell ref="BK453:BL453"/>
    <mergeCell ref="BM453:BN453"/>
    <mergeCell ref="BG444:BH444"/>
    <mergeCell ref="BI444:BJ444"/>
    <mergeCell ref="BK444:BL444"/>
    <mergeCell ref="BM444:BN444"/>
    <mergeCell ref="BG445:BH445"/>
    <mergeCell ref="BI445:BJ445"/>
    <mergeCell ref="BK445:BL445"/>
    <mergeCell ref="BM445:BN445"/>
    <mergeCell ref="BG446:BH446"/>
    <mergeCell ref="BI446:BJ446"/>
    <mergeCell ref="BK446:BL446"/>
    <mergeCell ref="BM446:BN446"/>
    <mergeCell ref="BG447:BH447"/>
    <mergeCell ref="BI447:BJ447"/>
    <mergeCell ref="BK447:BL447"/>
    <mergeCell ref="BM447:BN447"/>
    <mergeCell ref="BG448:BH448"/>
    <mergeCell ref="BI448:BJ448"/>
    <mergeCell ref="BK448:BL448"/>
    <mergeCell ref="BM448:BN448"/>
    <mergeCell ref="BG439:BH439"/>
    <mergeCell ref="BI439:BJ439"/>
    <mergeCell ref="BK439:BL439"/>
    <mergeCell ref="BM439:BN439"/>
    <mergeCell ref="BG440:BH440"/>
    <mergeCell ref="BI440:BJ440"/>
    <mergeCell ref="BK440:BL440"/>
    <mergeCell ref="BM440:BN440"/>
    <mergeCell ref="BG441:BH441"/>
    <mergeCell ref="BI441:BJ441"/>
    <mergeCell ref="BK441:BL441"/>
    <mergeCell ref="BM441:BN441"/>
    <mergeCell ref="BG442:BH442"/>
    <mergeCell ref="BI442:BJ442"/>
    <mergeCell ref="BK442:BL442"/>
    <mergeCell ref="BM442:BN442"/>
    <mergeCell ref="BG443:BH443"/>
    <mergeCell ref="BI443:BJ443"/>
    <mergeCell ref="BK443:BL443"/>
    <mergeCell ref="BM443:BN443"/>
    <mergeCell ref="BG434:BH434"/>
    <mergeCell ref="BI434:BJ434"/>
    <mergeCell ref="BK434:BL434"/>
    <mergeCell ref="BM434:BN434"/>
    <mergeCell ref="BG435:BH435"/>
    <mergeCell ref="BI435:BJ435"/>
    <mergeCell ref="BK435:BL435"/>
    <mergeCell ref="BM435:BN435"/>
    <mergeCell ref="BG436:BH436"/>
    <mergeCell ref="BI436:BJ436"/>
    <mergeCell ref="BK436:BL436"/>
    <mergeCell ref="BM436:BN436"/>
    <mergeCell ref="BG437:BH437"/>
    <mergeCell ref="BI437:BJ437"/>
    <mergeCell ref="BK437:BL437"/>
    <mergeCell ref="BM437:BN437"/>
    <mergeCell ref="BG438:BH438"/>
    <mergeCell ref="BI438:BJ438"/>
    <mergeCell ref="BK438:BL438"/>
    <mergeCell ref="BM438:BN438"/>
    <mergeCell ref="BG429:BH429"/>
    <mergeCell ref="BI429:BJ429"/>
    <mergeCell ref="BK429:BL429"/>
    <mergeCell ref="BM429:BN429"/>
    <mergeCell ref="BG430:BH430"/>
    <mergeCell ref="BI430:BJ430"/>
    <mergeCell ref="BK430:BL430"/>
    <mergeCell ref="BM430:BN430"/>
    <mergeCell ref="BG431:BH431"/>
    <mergeCell ref="BI431:BJ431"/>
    <mergeCell ref="BK431:BL431"/>
    <mergeCell ref="BM431:BN431"/>
    <mergeCell ref="BG432:BH432"/>
    <mergeCell ref="BI432:BJ432"/>
    <mergeCell ref="BK432:BL432"/>
    <mergeCell ref="BM432:BN432"/>
    <mergeCell ref="BG433:BH433"/>
    <mergeCell ref="BI433:BJ433"/>
    <mergeCell ref="BK433:BL433"/>
    <mergeCell ref="BM433:BN433"/>
    <mergeCell ref="BC513:BD513"/>
    <mergeCell ref="BE513:BF513"/>
    <mergeCell ref="BC514:BD514"/>
    <mergeCell ref="BE514:BF514"/>
    <mergeCell ref="BC515:BD515"/>
    <mergeCell ref="BE515:BF515"/>
    <mergeCell ref="BC516:BD516"/>
    <mergeCell ref="BE516:BF516"/>
    <mergeCell ref="BG423:BH423"/>
    <mergeCell ref="BI423:BJ423"/>
    <mergeCell ref="BK423:BL423"/>
    <mergeCell ref="BM423:BN423"/>
    <mergeCell ref="BG424:BH424"/>
    <mergeCell ref="BI424:BJ424"/>
    <mergeCell ref="BK424:BL424"/>
    <mergeCell ref="BM424:BN424"/>
    <mergeCell ref="BG425:BH425"/>
    <mergeCell ref="BI425:BJ425"/>
    <mergeCell ref="BK425:BL425"/>
    <mergeCell ref="BM425:BN425"/>
    <mergeCell ref="BG426:BH426"/>
    <mergeCell ref="BI426:BJ426"/>
    <mergeCell ref="BK426:BL426"/>
    <mergeCell ref="BM426:BN426"/>
    <mergeCell ref="BG427:BH427"/>
    <mergeCell ref="BI427:BJ427"/>
    <mergeCell ref="BK427:BL427"/>
    <mergeCell ref="BM427:BN427"/>
    <mergeCell ref="BG428:BH428"/>
    <mergeCell ref="BI428:BJ428"/>
    <mergeCell ref="BK428:BL428"/>
    <mergeCell ref="BM428:BN428"/>
    <mergeCell ref="BC504:BD504"/>
    <mergeCell ref="BE504:BF504"/>
    <mergeCell ref="BC505:BD505"/>
    <mergeCell ref="BE505:BF505"/>
    <mergeCell ref="BC506:BD506"/>
    <mergeCell ref="BE506:BF506"/>
    <mergeCell ref="BC507:BD507"/>
    <mergeCell ref="BE507:BF507"/>
    <mergeCell ref="BC508:BD508"/>
    <mergeCell ref="BE508:BF508"/>
    <mergeCell ref="BC509:BD509"/>
    <mergeCell ref="BE509:BF509"/>
    <mergeCell ref="BC510:BD510"/>
    <mergeCell ref="BE510:BF510"/>
    <mergeCell ref="BC511:BD511"/>
    <mergeCell ref="BE511:BF511"/>
    <mergeCell ref="BC512:BD512"/>
    <mergeCell ref="BE512:BF512"/>
    <mergeCell ref="BC495:BD495"/>
    <mergeCell ref="BE495:BF495"/>
    <mergeCell ref="BC496:BD496"/>
    <mergeCell ref="BE496:BF496"/>
    <mergeCell ref="BC497:BD497"/>
    <mergeCell ref="BE497:BF497"/>
    <mergeCell ref="BC498:BD498"/>
    <mergeCell ref="BE498:BF498"/>
    <mergeCell ref="BC499:BD499"/>
    <mergeCell ref="BE499:BF499"/>
    <mergeCell ref="BC500:BD500"/>
    <mergeCell ref="BE500:BF500"/>
    <mergeCell ref="BC501:BD501"/>
    <mergeCell ref="BE501:BF501"/>
    <mergeCell ref="BC502:BD502"/>
    <mergeCell ref="BE502:BF502"/>
    <mergeCell ref="BC503:BD503"/>
    <mergeCell ref="BE503:BF503"/>
    <mergeCell ref="BC486:BD486"/>
    <mergeCell ref="BE486:BF486"/>
    <mergeCell ref="BC487:BD487"/>
    <mergeCell ref="BE487:BF487"/>
    <mergeCell ref="BC488:BD488"/>
    <mergeCell ref="BE488:BF488"/>
    <mergeCell ref="BC489:BD489"/>
    <mergeCell ref="BE489:BF489"/>
    <mergeCell ref="BC490:BD490"/>
    <mergeCell ref="BE490:BF490"/>
    <mergeCell ref="BC491:BD491"/>
    <mergeCell ref="BE491:BF491"/>
    <mergeCell ref="BC492:BD492"/>
    <mergeCell ref="BE492:BF492"/>
    <mergeCell ref="BC493:BD493"/>
    <mergeCell ref="BE493:BF493"/>
    <mergeCell ref="BC494:BD494"/>
    <mergeCell ref="BE494:BF494"/>
    <mergeCell ref="BC477:BD477"/>
    <mergeCell ref="BE477:BF477"/>
    <mergeCell ref="BC478:BD478"/>
    <mergeCell ref="BE478:BF478"/>
    <mergeCell ref="BC479:BD479"/>
    <mergeCell ref="BE479:BF479"/>
    <mergeCell ref="BC480:BD480"/>
    <mergeCell ref="BE480:BF480"/>
    <mergeCell ref="BC481:BD481"/>
    <mergeCell ref="BE481:BF481"/>
    <mergeCell ref="BC482:BD482"/>
    <mergeCell ref="BE482:BF482"/>
    <mergeCell ref="BC483:BD483"/>
    <mergeCell ref="BE483:BF483"/>
    <mergeCell ref="BC484:BD484"/>
    <mergeCell ref="BE484:BF484"/>
    <mergeCell ref="BC485:BD485"/>
    <mergeCell ref="BE485:BF485"/>
    <mergeCell ref="BC468:BD468"/>
    <mergeCell ref="BE468:BF468"/>
    <mergeCell ref="BC469:BD469"/>
    <mergeCell ref="BE469:BF469"/>
    <mergeCell ref="BC470:BD470"/>
    <mergeCell ref="BE470:BF470"/>
    <mergeCell ref="BC471:BD471"/>
    <mergeCell ref="BE471:BF471"/>
    <mergeCell ref="BC472:BD472"/>
    <mergeCell ref="BE472:BF472"/>
    <mergeCell ref="BC473:BD473"/>
    <mergeCell ref="BE473:BF473"/>
    <mergeCell ref="BC474:BD474"/>
    <mergeCell ref="BE474:BF474"/>
    <mergeCell ref="BC475:BD475"/>
    <mergeCell ref="BE475:BF475"/>
    <mergeCell ref="BC476:BD476"/>
    <mergeCell ref="BE476:BF476"/>
    <mergeCell ref="BC459:BD459"/>
    <mergeCell ref="BE459:BF459"/>
    <mergeCell ref="BC460:BD460"/>
    <mergeCell ref="BE460:BF460"/>
    <mergeCell ref="BC461:BD461"/>
    <mergeCell ref="BE461:BF461"/>
    <mergeCell ref="BC462:BD462"/>
    <mergeCell ref="BE462:BF462"/>
    <mergeCell ref="BC463:BD463"/>
    <mergeCell ref="BE463:BF463"/>
    <mergeCell ref="BC464:BD464"/>
    <mergeCell ref="BE464:BF464"/>
    <mergeCell ref="BC465:BD465"/>
    <mergeCell ref="BE465:BF465"/>
    <mergeCell ref="BC466:BD466"/>
    <mergeCell ref="BE466:BF466"/>
    <mergeCell ref="BC467:BD467"/>
    <mergeCell ref="BE467:BF467"/>
    <mergeCell ref="BC450:BD450"/>
    <mergeCell ref="BE450:BF450"/>
    <mergeCell ref="BC451:BD451"/>
    <mergeCell ref="BE451:BF451"/>
    <mergeCell ref="BC452:BD452"/>
    <mergeCell ref="BE452:BF452"/>
    <mergeCell ref="BC453:BD453"/>
    <mergeCell ref="BE453:BF453"/>
    <mergeCell ref="BC454:BD454"/>
    <mergeCell ref="BE454:BF454"/>
    <mergeCell ref="BC455:BD455"/>
    <mergeCell ref="BE455:BF455"/>
    <mergeCell ref="BC456:BD456"/>
    <mergeCell ref="BE456:BF456"/>
    <mergeCell ref="BC457:BD457"/>
    <mergeCell ref="BE457:BF457"/>
    <mergeCell ref="BC458:BD458"/>
    <mergeCell ref="BE458:BF458"/>
    <mergeCell ref="BC441:BD441"/>
    <mergeCell ref="BE441:BF441"/>
    <mergeCell ref="BC442:BD442"/>
    <mergeCell ref="BE442:BF442"/>
    <mergeCell ref="BC443:BD443"/>
    <mergeCell ref="BE443:BF443"/>
    <mergeCell ref="BC444:BD444"/>
    <mergeCell ref="BE444:BF444"/>
    <mergeCell ref="BC445:BD445"/>
    <mergeCell ref="BE445:BF445"/>
    <mergeCell ref="BC446:BD446"/>
    <mergeCell ref="BE446:BF446"/>
    <mergeCell ref="BC447:BD447"/>
    <mergeCell ref="BE447:BF447"/>
    <mergeCell ref="BC448:BD448"/>
    <mergeCell ref="BE448:BF448"/>
    <mergeCell ref="BC449:BD449"/>
    <mergeCell ref="BE449:BF449"/>
    <mergeCell ref="BC432:BD432"/>
    <mergeCell ref="BE432:BF432"/>
    <mergeCell ref="BC433:BD433"/>
    <mergeCell ref="BE433:BF433"/>
    <mergeCell ref="BC434:BD434"/>
    <mergeCell ref="BE434:BF434"/>
    <mergeCell ref="BC435:BD435"/>
    <mergeCell ref="BE435:BF435"/>
    <mergeCell ref="BC436:BD436"/>
    <mergeCell ref="BE436:BF436"/>
    <mergeCell ref="BC437:BD437"/>
    <mergeCell ref="BE437:BF437"/>
    <mergeCell ref="BC438:BD438"/>
    <mergeCell ref="BE438:BF438"/>
    <mergeCell ref="BC439:BD439"/>
    <mergeCell ref="BE439:BF439"/>
    <mergeCell ref="BC440:BD440"/>
    <mergeCell ref="BE440:BF440"/>
    <mergeCell ref="BC423:BD423"/>
    <mergeCell ref="BE423:BF423"/>
    <mergeCell ref="BC424:BD424"/>
    <mergeCell ref="BE424:BF424"/>
    <mergeCell ref="BC425:BD425"/>
    <mergeCell ref="BE425:BF425"/>
    <mergeCell ref="BC426:BD426"/>
    <mergeCell ref="BE426:BF426"/>
    <mergeCell ref="BC427:BD427"/>
    <mergeCell ref="BE427:BF427"/>
    <mergeCell ref="BC428:BD428"/>
    <mergeCell ref="BE428:BF428"/>
    <mergeCell ref="BC429:BD429"/>
    <mergeCell ref="BE429:BF429"/>
    <mergeCell ref="BC430:BD430"/>
    <mergeCell ref="BE430:BF430"/>
    <mergeCell ref="BC431:BD431"/>
    <mergeCell ref="BE431:BF431"/>
    <mergeCell ref="BA500:BB500"/>
    <mergeCell ref="BA501:BB501"/>
    <mergeCell ref="BA502:BB502"/>
    <mergeCell ref="BA503:BB503"/>
    <mergeCell ref="BA504:BB504"/>
    <mergeCell ref="BA505:BB505"/>
    <mergeCell ref="BA506:BB506"/>
    <mergeCell ref="BA507:BB507"/>
    <mergeCell ref="BA508:BB508"/>
    <mergeCell ref="BA509:BB509"/>
    <mergeCell ref="BA510:BB510"/>
    <mergeCell ref="BA511:BB511"/>
    <mergeCell ref="BA512:BB512"/>
    <mergeCell ref="BA513:BB513"/>
    <mergeCell ref="BA514:BB514"/>
    <mergeCell ref="BA515:BB515"/>
    <mergeCell ref="BA516:BB516"/>
    <mergeCell ref="BA483:BB483"/>
    <mergeCell ref="BA484:BB484"/>
    <mergeCell ref="BA485:BB485"/>
    <mergeCell ref="BA486:BB486"/>
    <mergeCell ref="BA487:BB487"/>
    <mergeCell ref="BA488:BB488"/>
    <mergeCell ref="BA489:BB489"/>
    <mergeCell ref="BA490:BB490"/>
    <mergeCell ref="BA491:BB491"/>
    <mergeCell ref="BA492:BB492"/>
    <mergeCell ref="BA493:BB493"/>
    <mergeCell ref="BA494:BB494"/>
    <mergeCell ref="BA495:BB495"/>
    <mergeCell ref="BA496:BB496"/>
    <mergeCell ref="BA497:BB497"/>
    <mergeCell ref="BA498:BB498"/>
    <mergeCell ref="BA499:BB499"/>
    <mergeCell ref="BA466:BB466"/>
    <mergeCell ref="BA467:BB467"/>
    <mergeCell ref="BA468:BB468"/>
    <mergeCell ref="BA469:BB469"/>
    <mergeCell ref="BA470:BB470"/>
    <mergeCell ref="BA471:BB471"/>
    <mergeCell ref="BA472:BB472"/>
    <mergeCell ref="BA473:BB473"/>
    <mergeCell ref="BA474:BB474"/>
    <mergeCell ref="BA475:BB475"/>
    <mergeCell ref="BA476:BB476"/>
    <mergeCell ref="BA477:BB477"/>
    <mergeCell ref="BA478:BB478"/>
    <mergeCell ref="BA479:BB479"/>
    <mergeCell ref="BA480:BB480"/>
    <mergeCell ref="BA481:BB481"/>
    <mergeCell ref="BA482:BB482"/>
    <mergeCell ref="BA449:BB449"/>
    <mergeCell ref="BA450:BB450"/>
    <mergeCell ref="BA451:BB451"/>
    <mergeCell ref="BA452:BB452"/>
    <mergeCell ref="BA453:BB453"/>
    <mergeCell ref="BA454:BB454"/>
    <mergeCell ref="BA455:BB455"/>
    <mergeCell ref="BA456:BB456"/>
    <mergeCell ref="BA457:BB457"/>
    <mergeCell ref="BA458:BB458"/>
    <mergeCell ref="BA459:BB459"/>
    <mergeCell ref="BA460:BB460"/>
    <mergeCell ref="BA461:BB461"/>
    <mergeCell ref="BA462:BB462"/>
    <mergeCell ref="BA463:BB463"/>
    <mergeCell ref="BA464:BB464"/>
    <mergeCell ref="BA465:BB465"/>
    <mergeCell ref="AY511:AZ511"/>
    <mergeCell ref="AY512:AZ512"/>
    <mergeCell ref="AY513:AZ513"/>
    <mergeCell ref="AY514:AZ514"/>
    <mergeCell ref="AY515:AZ515"/>
    <mergeCell ref="AY516:AZ516"/>
    <mergeCell ref="BA423:BB423"/>
    <mergeCell ref="BA424:BB424"/>
    <mergeCell ref="BA425:BB425"/>
    <mergeCell ref="BA426:BB426"/>
    <mergeCell ref="BA427:BB427"/>
    <mergeCell ref="BA428:BB428"/>
    <mergeCell ref="BA429:BB429"/>
    <mergeCell ref="BA430:BB430"/>
    <mergeCell ref="BA431:BB431"/>
    <mergeCell ref="BA432:BB432"/>
    <mergeCell ref="BA433:BB433"/>
    <mergeCell ref="BA434:BB434"/>
    <mergeCell ref="BA435:BB435"/>
    <mergeCell ref="BA436:BB436"/>
    <mergeCell ref="BA437:BB437"/>
    <mergeCell ref="BA438:BB438"/>
    <mergeCell ref="BA439:BB439"/>
    <mergeCell ref="BA440:BB440"/>
    <mergeCell ref="BA441:BB441"/>
    <mergeCell ref="BA442:BB442"/>
    <mergeCell ref="BA443:BB443"/>
    <mergeCell ref="BA444:BB444"/>
    <mergeCell ref="BA445:BB445"/>
    <mergeCell ref="BA446:BB446"/>
    <mergeCell ref="BA447:BB447"/>
    <mergeCell ref="BA448:BB448"/>
    <mergeCell ref="AY494:AZ494"/>
    <mergeCell ref="AY495:AZ495"/>
    <mergeCell ref="AY496:AZ496"/>
    <mergeCell ref="AY497:AZ497"/>
    <mergeCell ref="AY498:AZ498"/>
    <mergeCell ref="AY499:AZ499"/>
    <mergeCell ref="AY500:AZ500"/>
    <mergeCell ref="AY501:AZ501"/>
    <mergeCell ref="AY502:AZ502"/>
    <mergeCell ref="AY503:AZ503"/>
    <mergeCell ref="AY504:AZ504"/>
    <mergeCell ref="AY505:AZ505"/>
    <mergeCell ref="AY506:AZ506"/>
    <mergeCell ref="AY507:AZ507"/>
    <mergeCell ref="AY508:AZ508"/>
    <mergeCell ref="AY509:AZ509"/>
    <mergeCell ref="AY510:AZ510"/>
    <mergeCell ref="AY477:AZ477"/>
    <mergeCell ref="AY478:AZ478"/>
    <mergeCell ref="AY479:AZ479"/>
    <mergeCell ref="AY480:AZ480"/>
    <mergeCell ref="AY481:AZ481"/>
    <mergeCell ref="AY482:AZ482"/>
    <mergeCell ref="AY483:AZ483"/>
    <mergeCell ref="AY484:AZ484"/>
    <mergeCell ref="AY485:AZ485"/>
    <mergeCell ref="AY486:AZ486"/>
    <mergeCell ref="AY487:AZ487"/>
    <mergeCell ref="AY488:AZ488"/>
    <mergeCell ref="AY489:AZ489"/>
    <mergeCell ref="AY490:AZ490"/>
    <mergeCell ref="AY491:AZ491"/>
    <mergeCell ref="AY492:AZ492"/>
    <mergeCell ref="AY493:AZ493"/>
    <mergeCell ref="AY460:AZ460"/>
    <mergeCell ref="AY461:AZ461"/>
    <mergeCell ref="AY462:AZ462"/>
    <mergeCell ref="AY463:AZ463"/>
    <mergeCell ref="AY464:AZ464"/>
    <mergeCell ref="AY465:AZ465"/>
    <mergeCell ref="AY466:AZ466"/>
    <mergeCell ref="AY467:AZ467"/>
    <mergeCell ref="AY468:AZ468"/>
    <mergeCell ref="AY469:AZ469"/>
    <mergeCell ref="AY470:AZ470"/>
    <mergeCell ref="AY471:AZ471"/>
    <mergeCell ref="AY472:AZ472"/>
    <mergeCell ref="AY473:AZ473"/>
    <mergeCell ref="AY474:AZ474"/>
    <mergeCell ref="AY475:AZ475"/>
    <mergeCell ref="AY476:AZ476"/>
    <mergeCell ref="AY443:AZ443"/>
    <mergeCell ref="AY444:AZ444"/>
    <mergeCell ref="AY445:AZ445"/>
    <mergeCell ref="AY446:AZ446"/>
    <mergeCell ref="AY447:AZ447"/>
    <mergeCell ref="AY448:AZ448"/>
    <mergeCell ref="AY449:AZ449"/>
    <mergeCell ref="AY450:AZ450"/>
    <mergeCell ref="AY451:AZ451"/>
    <mergeCell ref="AY452:AZ452"/>
    <mergeCell ref="AY453:AZ453"/>
    <mergeCell ref="AY454:AZ454"/>
    <mergeCell ref="AY455:AZ455"/>
    <mergeCell ref="AY456:AZ456"/>
    <mergeCell ref="AY457:AZ457"/>
    <mergeCell ref="AY458:AZ458"/>
    <mergeCell ref="AY459:AZ459"/>
    <mergeCell ref="AW505:AX505"/>
    <mergeCell ref="AW506:AX506"/>
    <mergeCell ref="AW507:AX507"/>
    <mergeCell ref="AW508:AX508"/>
    <mergeCell ref="AW509:AX509"/>
    <mergeCell ref="AW510:AX510"/>
    <mergeCell ref="AW511:AX511"/>
    <mergeCell ref="AW512:AX512"/>
    <mergeCell ref="AW513:AX513"/>
    <mergeCell ref="AW514:AX514"/>
    <mergeCell ref="AW515:AX515"/>
    <mergeCell ref="AW516:AX516"/>
    <mergeCell ref="AY423:AZ423"/>
    <mergeCell ref="AY424:AZ424"/>
    <mergeCell ref="AY425:AZ425"/>
    <mergeCell ref="AY426:AZ426"/>
    <mergeCell ref="AY427:AZ427"/>
    <mergeCell ref="AY428:AZ428"/>
    <mergeCell ref="AY429:AZ429"/>
    <mergeCell ref="AY430:AZ430"/>
    <mergeCell ref="AY431:AZ431"/>
    <mergeCell ref="AY432:AZ432"/>
    <mergeCell ref="AY433:AZ433"/>
    <mergeCell ref="AY434:AZ434"/>
    <mergeCell ref="AY435:AZ435"/>
    <mergeCell ref="AY436:AZ436"/>
    <mergeCell ref="AY437:AZ437"/>
    <mergeCell ref="AY438:AZ438"/>
    <mergeCell ref="AY439:AZ439"/>
    <mergeCell ref="AY440:AZ440"/>
    <mergeCell ref="AY441:AZ441"/>
    <mergeCell ref="AY442:AZ442"/>
    <mergeCell ref="AW488:AX488"/>
    <mergeCell ref="AW489:AX489"/>
    <mergeCell ref="AW490:AX490"/>
    <mergeCell ref="AW491:AX491"/>
    <mergeCell ref="AW492:AX492"/>
    <mergeCell ref="AW493:AX493"/>
    <mergeCell ref="AW494:AX494"/>
    <mergeCell ref="AW495:AX495"/>
    <mergeCell ref="AW496:AX496"/>
    <mergeCell ref="AW497:AX497"/>
    <mergeCell ref="AW498:AX498"/>
    <mergeCell ref="AW499:AX499"/>
    <mergeCell ref="AW500:AX500"/>
    <mergeCell ref="AW501:AX501"/>
    <mergeCell ref="AW502:AX502"/>
    <mergeCell ref="AW503:AX503"/>
    <mergeCell ref="AW504:AX504"/>
    <mergeCell ref="AW471:AX471"/>
    <mergeCell ref="AW472:AX472"/>
    <mergeCell ref="AW473:AX473"/>
    <mergeCell ref="AW474:AX474"/>
    <mergeCell ref="AW475:AX475"/>
    <mergeCell ref="AW476:AX476"/>
    <mergeCell ref="AW477:AX477"/>
    <mergeCell ref="AW478:AX478"/>
    <mergeCell ref="AW479:AX479"/>
    <mergeCell ref="AW480:AX480"/>
    <mergeCell ref="AW481:AX481"/>
    <mergeCell ref="AW482:AX482"/>
    <mergeCell ref="AW483:AX483"/>
    <mergeCell ref="AW484:AX484"/>
    <mergeCell ref="AW485:AX485"/>
    <mergeCell ref="AW486:AX486"/>
    <mergeCell ref="AW487:AX487"/>
    <mergeCell ref="AW454:AX454"/>
    <mergeCell ref="AW455:AX455"/>
    <mergeCell ref="AW456:AX456"/>
    <mergeCell ref="AW457:AX457"/>
    <mergeCell ref="AW458:AX458"/>
    <mergeCell ref="AW459:AX459"/>
    <mergeCell ref="AW460:AX460"/>
    <mergeCell ref="AW461:AX461"/>
    <mergeCell ref="AW462:AX462"/>
    <mergeCell ref="AW463:AX463"/>
    <mergeCell ref="AW464:AX464"/>
    <mergeCell ref="AW465:AX465"/>
    <mergeCell ref="AW466:AX466"/>
    <mergeCell ref="AW467:AX467"/>
    <mergeCell ref="AW468:AX468"/>
    <mergeCell ref="AW469:AX469"/>
    <mergeCell ref="AW470:AX470"/>
    <mergeCell ref="AU516:AV516"/>
    <mergeCell ref="AW423:AX423"/>
    <mergeCell ref="AW424:AX424"/>
    <mergeCell ref="AW425:AX425"/>
    <mergeCell ref="AW426:AX426"/>
    <mergeCell ref="AW427:AX427"/>
    <mergeCell ref="AW428:AX428"/>
    <mergeCell ref="AW429:AX429"/>
    <mergeCell ref="AW430:AX430"/>
    <mergeCell ref="AW431:AX431"/>
    <mergeCell ref="AW432:AX432"/>
    <mergeCell ref="AW433:AX433"/>
    <mergeCell ref="AW434:AX434"/>
    <mergeCell ref="AW435:AX435"/>
    <mergeCell ref="AW436:AX436"/>
    <mergeCell ref="AW437:AX437"/>
    <mergeCell ref="AW438:AX438"/>
    <mergeCell ref="AW439:AX439"/>
    <mergeCell ref="AW440:AX440"/>
    <mergeCell ref="AW441:AX441"/>
    <mergeCell ref="AW442:AX442"/>
    <mergeCell ref="AW443:AX443"/>
    <mergeCell ref="AW444:AX444"/>
    <mergeCell ref="AW445:AX445"/>
    <mergeCell ref="AW446:AX446"/>
    <mergeCell ref="AW447:AX447"/>
    <mergeCell ref="AW448:AX448"/>
    <mergeCell ref="AW449:AX449"/>
    <mergeCell ref="AW450:AX450"/>
    <mergeCell ref="AW451:AX451"/>
    <mergeCell ref="AW452:AX452"/>
    <mergeCell ref="AW453:AX453"/>
    <mergeCell ref="AU499:AV499"/>
    <mergeCell ref="AU500:AV500"/>
    <mergeCell ref="AU501:AV501"/>
    <mergeCell ref="AU502:AV502"/>
    <mergeCell ref="AU503:AV503"/>
    <mergeCell ref="AU504:AV504"/>
    <mergeCell ref="AU505:AV505"/>
    <mergeCell ref="AU506:AV506"/>
    <mergeCell ref="AU507:AV507"/>
    <mergeCell ref="AU508:AV508"/>
    <mergeCell ref="AU509:AV509"/>
    <mergeCell ref="AU510:AV510"/>
    <mergeCell ref="AU511:AV511"/>
    <mergeCell ref="AU512:AV512"/>
    <mergeCell ref="AU513:AV513"/>
    <mergeCell ref="AU514:AV514"/>
    <mergeCell ref="AU515:AV515"/>
    <mergeCell ref="AU482:AV482"/>
    <mergeCell ref="AU483:AV483"/>
    <mergeCell ref="AU484:AV484"/>
    <mergeCell ref="AU485:AV485"/>
    <mergeCell ref="AU486:AV486"/>
    <mergeCell ref="AU487:AV487"/>
    <mergeCell ref="AU488:AV488"/>
    <mergeCell ref="AU489:AV489"/>
    <mergeCell ref="AU490:AV490"/>
    <mergeCell ref="AU491:AV491"/>
    <mergeCell ref="AU492:AV492"/>
    <mergeCell ref="AU493:AV493"/>
    <mergeCell ref="AU494:AV494"/>
    <mergeCell ref="AU495:AV495"/>
    <mergeCell ref="AU496:AV496"/>
    <mergeCell ref="AU497:AV497"/>
    <mergeCell ref="AU498:AV498"/>
    <mergeCell ref="AU465:AV465"/>
    <mergeCell ref="AU466:AV466"/>
    <mergeCell ref="AU467:AV467"/>
    <mergeCell ref="AU468:AV468"/>
    <mergeCell ref="AU469:AV469"/>
    <mergeCell ref="AU470:AV470"/>
    <mergeCell ref="AU471:AV471"/>
    <mergeCell ref="AU472:AV472"/>
    <mergeCell ref="AU473:AV473"/>
    <mergeCell ref="AU474:AV474"/>
    <mergeCell ref="AU475:AV475"/>
    <mergeCell ref="AU476:AV476"/>
    <mergeCell ref="AU477:AV477"/>
    <mergeCell ref="AU478:AV478"/>
    <mergeCell ref="AU479:AV479"/>
    <mergeCell ref="AU480:AV480"/>
    <mergeCell ref="AU481:AV481"/>
    <mergeCell ref="AU448:AV448"/>
    <mergeCell ref="AU449:AV449"/>
    <mergeCell ref="AU450:AV450"/>
    <mergeCell ref="AU451:AV451"/>
    <mergeCell ref="AU452:AV452"/>
    <mergeCell ref="AU453:AV453"/>
    <mergeCell ref="AU454:AV454"/>
    <mergeCell ref="AU455:AV455"/>
    <mergeCell ref="AU456:AV456"/>
    <mergeCell ref="AU457:AV457"/>
    <mergeCell ref="AU458:AV458"/>
    <mergeCell ref="AU459:AV459"/>
    <mergeCell ref="AU460:AV460"/>
    <mergeCell ref="AU461:AV461"/>
    <mergeCell ref="AU462:AV462"/>
    <mergeCell ref="AU463:AV463"/>
    <mergeCell ref="AU464:AV464"/>
    <mergeCell ref="AQ510:AR510"/>
    <mergeCell ref="AQ511:AR511"/>
    <mergeCell ref="AQ512:AR512"/>
    <mergeCell ref="AQ513:AR513"/>
    <mergeCell ref="AQ514:AR514"/>
    <mergeCell ref="AQ515:AR515"/>
    <mergeCell ref="AQ516:AR516"/>
    <mergeCell ref="AU423:AV423"/>
    <mergeCell ref="AU424:AV424"/>
    <mergeCell ref="AU425:AV425"/>
    <mergeCell ref="AU426:AV426"/>
    <mergeCell ref="AU427:AV427"/>
    <mergeCell ref="AU428:AV428"/>
    <mergeCell ref="AU429:AV429"/>
    <mergeCell ref="AU430:AV430"/>
    <mergeCell ref="AU431:AV431"/>
    <mergeCell ref="AU432:AV432"/>
    <mergeCell ref="AU433:AV433"/>
    <mergeCell ref="AU434:AV434"/>
    <mergeCell ref="AU435:AV435"/>
    <mergeCell ref="AU436:AV436"/>
    <mergeCell ref="AU437:AV437"/>
    <mergeCell ref="AU438:AV438"/>
    <mergeCell ref="AU439:AV439"/>
    <mergeCell ref="AU440:AV440"/>
    <mergeCell ref="AU441:AV441"/>
    <mergeCell ref="AU442:AV442"/>
    <mergeCell ref="AU443:AV443"/>
    <mergeCell ref="AU444:AV444"/>
    <mergeCell ref="AU445:AV445"/>
    <mergeCell ref="AU446:AV446"/>
    <mergeCell ref="AU447:AV447"/>
    <mergeCell ref="AQ493:AR493"/>
    <mergeCell ref="AQ494:AR494"/>
    <mergeCell ref="AQ495:AR495"/>
    <mergeCell ref="AQ496:AR496"/>
    <mergeCell ref="AQ497:AR497"/>
    <mergeCell ref="AQ498:AR498"/>
    <mergeCell ref="AQ499:AR499"/>
    <mergeCell ref="AQ500:AR500"/>
    <mergeCell ref="AQ501:AR501"/>
    <mergeCell ref="AQ502:AR502"/>
    <mergeCell ref="AQ503:AR503"/>
    <mergeCell ref="AQ504:AR504"/>
    <mergeCell ref="AQ505:AR505"/>
    <mergeCell ref="AQ506:AR506"/>
    <mergeCell ref="AQ507:AR507"/>
    <mergeCell ref="AQ508:AR508"/>
    <mergeCell ref="AQ509:AR509"/>
    <mergeCell ref="AQ476:AR476"/>
    <mergeCell ref="AQ477:AR477"/>
    <mergeCell ref="AQ478:AR478"/>
    <mergeCell ref="AQ479:AR479"/>
    <mergeCell ref="AQ480:AR480"/>
    <mergeCell ref="AQ481:AR481"/>
    <mergeCell ref="AQ482:AR482"/>
    <mergeCell ref="AQ483:AR483"/>
    <mergeCell ref="AQ484:AR484"/>
    <mergeCell ref="AQ485:AR485"/>
    <mergeCell ref="AQ486:AR486"/>
    <mergeCell ref="AQ487:AR487"/>
    <mergeCell ref="AQ488:AR488"/>
    <mergeCell ref="AQ489:AR489"/>
    <mergeCell ref="AQ490:AR490"/>
    <mergeCell ref="AQ491:AR491"/>
    <mergeCell ref="AQ492:AR492"/>
    <mergeCell ref="AQ459:AR459"/>
    <mergeCell ref="AQ460:AR460"/>
    <mergeCell ref="AQ461:AR461"/>
    <mergeCell ref="AQ462:AR462"/>
    <mergeCell ref="AQ463:AR463"/>
    <mergeCell ref="AQ464:AR464"/>
    <mergeCell ref="AQ465:AR465"/>
    <mergeCell ref="AQ466:AR466"/>
    <mergeCell ref="AQ467:AR467"/>
    <mergeCell ref="AQ468:AR468"/>
    <mergeCell ref="AQ469:AR469"/>
    <mergeCell ref="AQ470:AR470"/>
    <mergeCell ref="AQ471:AR471"/>
    <mergeCell ref="AQ472:AR472"/>
    <mergeCell ref="AQ473:AR473"/>
    <mergeCell ref="AQ474:AR474"/>
    <mergeCell ref="AQ475:AR475"/>
    <mergeCell ref="AQ442:AR442"/>
    <mergeCell ref="AQ443:AR443"/>
    <mergeCell ref="AQ444:AR444"/>
    <mergeCell ref="AQ445:AR445"/>
    <mergeCell ref="AQ446:AR446"/>
    <mergeCell ref="AQ447:AR447"/>
    <mergeCell ref="AQ448:AR448"/>
    <mergeCell ref="AQ449:AR449"/>
    <mergeCell ref="AQ450:AR450"/>
    <mergeCell ref="AQ451:AR451"/>
    <mergeCell ref="AQ452:AR452"/>
    <mergeCell ref="AQ453:AR453"/>
    <mergeCell ref="AQ454:AR454"/>
    <mergeCell ref="AQ455:AR455"/>
    <mergeCell ref="AQ456:AR456"/>
    <mergeCell ref="AQ457:AR457"/>
    <mergeCell ref="AQ458:AR458"/>
    <mergeCell ref="AS503:AT503"/>
    <mergeCell ref="AS504:AT504"/>
    <mergeCell ref="AS505:AT505"/>
    <mergeCell ref="AS506:AT506"/>
    <mergeCell ref="AS507:AT507"/>
    <mergeCell ref="AS508:AT508"/>
    <mergeCell ref="AS509:AT509"/>
    <mergeCell ref="AS510:AT510"/>
    <mergeCell ref="AS511:AT511"/>
    <mergeCell ref="AS512:AT512"/>
    <mergeCell ref="AS513:AT513"/>
    <mergeCell ref="AS514:AT514"/>
    <mergeCell ref="AS515:AT515"/>
    <mergeCell ref="AS516:AT516"/>
    <mergeCell ref="AQ423:AR423"/>
    <mergeCell ref="AQ424:AR424"/>
    <mergeCell ref="AQ426:AR426"/>
    <mergeCell ref="AQ427:AR427"/>
    <mergeCell ref="AQ428:AR428"/>
    <mergeCell ref="AQ429:AR429"/>
    <mergeCell ref="AQ430:AR430"/>
    <mergeCell ref="AQ431:AR431"/>
    <mergeCell ref="AQ432:AR432"/>
    <mergeCell ref="AQ433:AR433"/>
    <mergeCell ref="AQ434:AR434"/>
    <mergeCell ref="AQ435:AR435"/>
    <mergeCell ref="AQ436:AR436"/>
    <mergeCell ref="AQ437:AR437"/>
    <mergeCell ref="AQ438:AR438"/>
    <mergeCell ref="AQ439:AR439"/>
    <mergeCell ref="AQ440:AR440"/>
    <mergeCell ref="AQ441:AR441"/>
    <mergeCell ref="AS486:AT486"/>
    <mergeCell ref="AS487:AT487"/>
    <mergeCell ref="AS488:AT488"/>
    <mergeCell ref="AS489:AT489"/>
    <mergeCell ref="AS490:AT490"/>
    <mergeCell ref="AS491:AT491"/>
    <mergeCell ref="AS492:AT492"/>
    <mergeCell ref="AS493:AT493"/>
    <mergeCell ref="AS494:AT494"/>
    <mergeCell ref="AS495:AT495"/>
    <mergeCell ref="AS496:AT496"/>
    <mergeCell ref="AS497:AT497"/>
    <mergeCell ref="AS498:AT498"/>
    <mergeCell ref="AS499:AT499"/>
    <mergeCell ref="AS500:AT500"/>
    <mergeCell ref="AS501:AT501"/>
    <mergeCell ref="AS502:AT502"/>
    <mergeCell ref="AS469:AT469"/>
    <mergeCell ref="AS470:AT470"/>
    <mergeCell ref="AS471:AT471"/>
    <mergeCell ref="AS472:AT472"/>
    <mergeCell ref="AS473:AT473"/>
    <mergeCell ref="AS474:AT474"/>
    <mergeCell ref="AS475:AT475"/>
    <mergeCell ref="AS476:AT476"/>
    <mergeCell ref="AS477:AT477"/>
    <mergeCell ref="AS478:AT478"/>
    <mergeCell ref="AS479:AT479"/>
    <mergeCell ref="AS480:AT480"/>
    <mergeCell ref="AS481:AT481"/>
    <mergeCell ref="AS482:AT482"/>
    <mergeCell ref="AS483:AT483"/>
    <mergeCell ref="AS484:AT484"/>
    <mergeCell ref="AS485:AT485"/>
    <mergeCell ref="AS452:AT452"/>
    <mergeCell ref="AS453:AT453"/>
    <mergeCell ref="AS454:AT454"/>
    <mergeCell ref="AS455:AT455"/>
    <mergeCell ref="AS456:AT456"/>
    <mergeCell ref="AS457:AT457"/>
    <mergeCell ref="AS458:AT458"/>
    <mergeCell ref="AS459:AT459"/>
    <mergeCell ref="AS460:AT460"/>
    <mergeCell ref="AS461:AT461"/>
    <mergeCell ref="AS462:AT462"/>
    <mergeCell ref="AS463:AT463"/>
    <mergeCell ref="AS464:AT464"/>
    <mergeCell ref="AS465:AT465"/>
    <mergeCell ref="AS466:AT466"/>
    <mergeCell ref="AS467:AT467"/>
    <mergeCell ref="AS468:AT468"/>
    <mergeCell ref="AO514:AP514"/>
    <mergeCell ref="AO515:AP515"/>
    <mergeCell ref="AO516:AP516"/>
    <mergeCell ref="AS423:AT423"/>
    <mergeCell ref="AS424:AT424"/>
    <mergeCell ref="AS425:AT425"/>
    <mergeCell ref="AS426:AT426"/>
    <mergeCell ref="AS427:AT427"/>
    <mergeCell ref="AS428:AT428"/>
    <mergeCell ref="AS429:AT429"/>
    <mergeCell ref="AS430:AT430"/>
    <mergeCell ref="AS431:AT431"/>
    <mergeCell ref="AS432:AT432"/>
    <mergeCell ref="AS433:AT433"/>
    <mergeCell ref="AS434:AT434"/>
    <mergeCell ref="AS435:AT435"/>
    <mergeCell ref="AS436:AT436"/>
    <mergeCell ref="AS437:AT437"/>
    <mergeCell ref="AS438:AT438"/>
    <mergeCell ref="AS439:AT439"/>
    <mergeCell ref="AS440:AT440"/>
    <mergeCell ref="AS441:AT441"/>
    <mergeCell ref="AS442:AT442"/>
    <mergeCell ref="AS443:AT443"/>
    <mergeCell ref="AS444:AT444"/>
    <mergeCell ref="AS445:AT445"/>
    <mergeCell ref="AS446:AT446"/>
    <mergeCell ref="AS447:AT447"/>
    <mergeCell ref="AS448:AT448"/>
    <mergeCell ref="AS449:AT449"/>
    <mergeCell ref="AS450:AT450"/>
    <mergeCell ref="AS451:AT451"/>
    <mergeCell ref="AO497:AP497"/>
    <mergeCell ref="AO498:AP498"/>
    <mergeCell ref="AO499:AP499"/>
    <mergeCell ref="AO500:AP500"/>
    <mergeCell ref="AO501:AP501"/>
    <mergeCell ref="AO502:AP502"/>
    <mergeCell ref="AO503:AP503"/>
    <mergeCell ref="AO504:AP504"/>
    <mergeCell ref="AO505:AP505"/>
    <mergeCell ref="AO506:AP506"/>
    <mergeCell ref="AO507:AP507"/>
    <mergeCell ref="AO508:AP508"/>
    <mergeCell ref="AO509:AP509"/>
    <mergeCell ref="AO510:AP510"/>
    <mergeCell ref="AO511:AP511"/>
    <mergeCell ref="AO512:AP512"/>
    <mergeCell ref="AO513:AP513"/>
    <mergeCell ref="AO480:AP480"/>
    <mergeCell ref="AO481:AP481"/>
    <mergeCell ref="AO482:AP482"/>
    <mergeCell ref="AO483:AP483"/>
    <mergeCell ref="AO484:AP484"/>
    <mergeCell ref="AO485:AP485"/>
    <mergeCell ref="AO486:AP486"/>
    <mergeCell ref="AO487:AP487"/>
    <mergeCell ref="AO488:AP488"/>
    <mergeCell ref="AO489:AP489"/>
    <mergeCell ref="AO490:AP490"/>
    <mergeCell ref="AO491:AP491"/>
    <mergeCell ref="AO492:AP492"/>
    <mergeCell ref="AO493:AP493"/>
    <mergeCell ref="AO494:AP494"/>
    <mergeCell ref="AO495:AP495"/>
    <mergeCell ref="AO496:AP496"/>
    <mergeCell ref="AO463:AP463"/>
    <mergeCell ref="AO464:AP464"/>
    <mergeCell ref="AO465:AP465"/>
    <mergeCell ref="AO466:AP466"/>
    <mergeCell ref="AO467:AP467"/>
    <mergeCell ref="AO468:AP468"/>
    <mergeCell ref="AO469:AP469"/>
    <mergeCell ref="AO470:AP470"/>
    <mergeCell ref="AO471:AP471"/>
    <mergeCell ref="AO472:AP472"/>
    <mergeCell ref="AO473:AP473"/>
    <mergeCell ref="AO474:AP474"/>
    <mergeCell ref="AO475:AP475"/>
    <mergeCell ref="AO476:AP476"/>
    <mergeCell ref="AO477:AP477"/>
    <mergeCell ref="AO478:AP478"/>
    <mergeCell ref="AO479:AP479"/>
    <mergeCell ref="AO446:AP446"/>
    <mergeCell ref="AO447:AP447"/>
    <mergeCell ref="AO448:AP448"/>
    <mergeCell ref="AO449:AP449"/>
    <mergeCell ref="AO450:AP450"/>
    <mergeCell ref="AO451:AP451"/>
    <mergeCell ref="AO452:AP452"/>
    <mergeCell ref="AO453:AP453"/>
    <mergeCell ref="AO454:AP454"/>
    <mergeCell ref="AO455:AP455"/>
    <mergeCell ref="AO456:AP456"/>
    <mergeCell ref="AO457:AP457"/>
    <mergeCell ref="AO458:AP458"/>
    <mergeCell ref="AO459:AP459"/>
    <mergeCell ref="AO460:AP460"/>
    <mergeCell ref="AO461:AP461"/>
    <mergeCell ref="AO462:AP462"/>
    <mergeCell ref="AM509:AN509"/>
    <mergeCell ref="AM510:AN510"/>
    <mergeCell ref="AM511:AN511"/>
    <mergeCell ref="AM512:AN512"/>
    <mergeCell ref="AM513:AN513"/>
    <mergeCell ref="AM514:AN514"/>
    <mergeCell ref="AM515:AN515"/>
    <mergeCell ref="AM516:AN516"/>
    <mergeCell ref="AQ425:AR425"/>
    <mergeCell ref="AO423:AP423"/>
    <mergeCell ref="AO424:AP424"/>
    <mergeCell ref="AO425:AP425"/>
    <mergeCell ref="AO426:AP426"/>
    <mergeCell ref="AO427:AP427"/>
    <mergeCell ref="AO428:AP428"/>
    <mergeCell ref="AO429:AP429"/>
    <mergeCell ref="AO430:AP430"/>
    <mergeCell ref="AO431:AP431"/>
    <mergeCell ref="AO432:AP432"/>
    <mergeCell ref="AO433:AP433"/>
    <mergeCell ref="AO434:AP434"/>
    <mergeCell ref="AO435:AP435"/>
    <mergeCell ref="AO436:AP436"/>
    <mergeCell ref="AO437:AP437"/>
    <mergeCell ref="AO438:AP438"/>
    <mergeCell ref="AO439:AP439"/>
    <mergeCell ref="AO440:AP440"/>
    <mergeCell ref="AO441:AP441"/>
    <mergeCell ref="AO442:AP442"/>
    <mergeCell ref="AO443:AP443"/>
    <mergeCell ref="AO444:AP444"/>
    <mergeCell ref="AO445:AP445"/>
    <mergeCell ref="AM492:AN492"/>
    <mergeCell ref="AM493:AN493"/>
    <mergeCell ref="AM494:AN494"/>
    <mergeCell ref="AM495:AN495"/>
    <mergeCell ref="AM496:AN496"/>
    <mergeCell ref="AM497:AN497"/>
    <mergeCell ref="AM498:AN498"/>
    <mergeCell ref="AM499:AN499"/>
    <mergeCell ref="AM500:AN500"/>
    <mergeCell ref="AM501:AN501"/>
    <mergeCell ref="AM502:AN502"/>
    <mergeCell ref="AM503:AN503"/>
    <mergeCell ref="AM504:AN504"/>
    <mergeCell ref="AM505:AN505"/>
    <mergeCell ref="AM506:AN506"/>
    <mergeCell ref="AM507:AN507"/>
    <mergeCell ref="AM508:AN508"/>
    <mergeCell ref="AM475:AN475"/>
    <mergeCell ref="AM476:AN476"/>
    <mergeCell ref="AM477:AN477"/>
    <mergeCell ref="AM478:AN478"/>
    <mergeCell ref="AM479:AN479"/>
    <mergeCell ref="AM480:AN480"/>
    <mergeCell ref="AM481:AN481"/>
    <mergeCell ref="AM482:AN482"/>
    <mergeCell ref="AM483:AN483"/>
    <mergeCell ref="AM484:AN484"/>
    <mergeCell ref="AM485:AN485"/>
    <mergeCell ref="AM486:AN486"/>
    <mergeCell ref="AM487:AN487"/>
    <mergeCell ref="AM488:AN488"/>
    <mergeCell ref="AM489:AN489"/>
    <mergeCell ref="AM490:AN490"/>
    <mergeCell ref="AM491:AN491"/>
    <mergeCell ref="AM458:AN458"/>
    <mergeCell ref="AM459:AN459"/>
    <mergeCell ref="AM460:AN460"/>
    <mergeCell ref="AM461:AN461"/>
    <mergeCell ref="AM462:AN462"/>
    <mergeCell ref="AM463:AN463"/>
    <mergeCell ref="AM464:AN464"/>
    <mergeCell ref="AM465:AN465"/>
    <mergeCell ref="AM466:AN466"/>
    <mergeCell ref="AM467:AN467"/>
    <mergeCell ref="AM468:AN468"/>
    <mergeCell ref="AM469:AN469"/>
    <mergeCell ref="AM470:AN470"/>
    <mergeCell ref="AM471:AN471"/>
    <mergeCell ref="AM472:AN472"/>
    <mergeCell ref="AM473:AN473"/>
    <mergeCell ref="AM474:AN474"/>
    <mergeCell ref="AM441:AN441"/>
    <mergeCell ref="AM442:AN442"/>
    <mergeCell ref="AM443:AN443"/>
    <mergeCell ref="AM444:AN444"/>
    <mergeCell ref="AM445:AN445"/>
    <mergeCell ref="AM446:AN446"/>
    <mergeCell ref="AM447:AN447"/>
    <mergeCell ref="AM448:AN448"/>
    <mergeCell ref="AM449:AN449"/>
    <mergeCell ref="AM450:AN450"/>
    <mergeCell ref="AM451:AN451"/>
    <mergeCell ref="AM452:AN452"/>
    <mergeCell ref="AM453:AN453"/>
    <mergeCell ref="AM454:AN454"/>
    <mergeCell ref="AM455:AN455"/>
    <mergeCell ref="AM456:AN456"/>
    <mergeCell ref="AM457:AN457"/>
    <mergeCell ref="AK503:AL503"/>
    <mergeCell ref="AK504:AL504"/>
    <mergeCell ref="AK505:AL505"/>
    <mergeCell ref="AK506:AL506"/>
    <mergeCell ref="AK507:AL507"/>
    <mergeCell ref="AK508:AL508"/>
    <mergeCell ref="AK509:AL509"/>
    <mergeCell ref="AK510:AL510"/>
    <mergeCell ref="AK511:AL511"/>
    <mergeCell ref="AK512:AL512"/>
    <mergeCell ref="AK513:AL513"/>
    <mergeCell ref="AK514:AL514"/>
    <mergeCell ref="AK515:AL515"/>
    <mergeCell ref="AK516:AL516"/>
    <mergeCell ref="AM423:AN423"/>
    <mergeCell ref="AM424:AN424"/>
    <mergeCell ref="AM425:AN425"/>
    <mergeCell ref="AM426:AN426"/>
    <mergeCell ref="AM427:AN427"/>
    <mergeCell ref="AM428:AN428"/>
    <mergeCell ref="AM429:AN429"/>
    <mergeCell ref="AM430:AN430"/>
    <mergeCell ref="AM431:AN431"/>
    <mergeCell ref="AM432:AN432"/>
    <mergeCell ref="AM433:AN433"/>
    <mergeCell ref="AM434:AN434"/>
    <mergeCell ref="AM435:AN435"/>
    <mergeCell ref="AM436:AN436"/>
    <mergeCell ref="AM437:AN437"/>
    <mergeCell ref="AM438:AN438"/>
    <mergeCell ref="AM439:AN439"/>
    <mergeCell ref="AM440:AN440"/>
    <mergeCell ref="AK486:AL486"/>
    <mergeCell ref="AK487:AL487"/>
    <mergeCell ref="AK488:AL488"/>
    <mergeCell ref="AK489:AL489"/>
    <mergeCell ref="AK490:AL490"/>
    <mergeCell ref="AK491:AL491"/>
    <mergeCell ref="AK492:AL492"/>
    <mergeCell ref="AK493:AL493"/>
    <mergeCell ref="AK494:AL494"/>
    <mergeCell ref="AK495:AL495"/>
    <mergeCell ref="AK496:AL496"/>
    <mergeCell ref="AK497:AL497"/>
    <mergeCell ref="AK498:AL498"/>
    <mergeCell ref="AK499:AL499"/>
    <mergeCell ref="AK500:AL500"/>
    <mergeCell ref="AK501:AL501"/>
    <mergeCell ref="AK502:AL502"/>
    <mergeCell ref="AK469:AL469"/>
    <mergeCell ref="AK470:AL470"/>
    <mergeCell ref="AK471:AL471"/>
    <mergeCell ref="AK472:AL472"/>
    <mergeCell ref="AK473:AL473"/>
    <mergeCell ref="AK474:AL474"/>
    <mergeCell ref="AK475:AL475"/>
    <mergeCell ref="AK476:AL476"/>
    <mergeCell ref="AK477:AL477"/>
    <mergeCell ref="AK478:AL478"/>
    <mergeCell ref="AK479:AL479"/>
    <mergeCell ref="AK480:AL480"/>
    <mergeCell ref="AK481:AL481"/>
    <mergeCell ref="AK482:AL482"/>
    <mergeCell ref="AK483:AL483"/>
    <mergeCell ref="AK484:AL484"/>
    <mergeCell ref="AK485:AL485"/>
    <mergeCell ref="AK452:AL452"/>
    <mergeCell ref="AK453:AL453"/>
    <mergeCell ref="AK454:AL454"/>
    <mergeCell ref="AK455:AL455"/>
    <mergeCell ref="AK456:AL456"/>
    <mergeCell ref="AK457:AL457"/>
    <mergeCell ref="AK458:AL458"/>
    <mergeCell ref="AK459:AL459"/>
    <mergeCell ref="AK460:AL460"/>
    <mergeCell ref="AK461:AL461"/>
    <mergeCell ref="AK462:AL462"/>
    <mergeCell ref="AK463:AL463"/>
    <mergeCell ref="AK464:AL464"/>
    <mergeCell ref="AK465:AL465"/>
    <mergeCell ref="AK466:AL466"/>
    <mergeCell ref="AK467:AL467"/>
    <mergeCell ref="AK468:AL468"/>
    <mergeCell ref="AI514:AJ514"/>
    <mergeCell ref="AI515:AJ515"/>
    <mergeCell ref="AI516:AJ516"/>
    <mergeCell ref="AK423:AL423"/>
    <mergeCell ref="AK424:AL424"/>
    <mergeCell ref="AK425:AL425"/>
    <mergeCell ref="AK426:AL426"/>
    <mergeCell ref="AK427:AL427"/>
    <mergeCell ref="AK428:AL428"/>
    <mergeCell ref="AK429:AL429"/>
    <mergeCell ref="AK430:AL430"/>
    <mergeCell ref="AK431:AL431"/>
    <mergeCell ref="AK432:AL432"/>
    <mergeCell ref="AK433:AL433"/>
    <mergeCell ref="AK434:AL434"/>
    <mergeCell ref="AK435:AL435"/>
    <mergeCell ref="AK436:AL436"/>
    <mergeCell ref="AK437:AL437"/>
    <mergeCell ref="AK438:AL438"/>
    <mergeCell ref="AK439:AL439"/>
    <mergeCell ref="AK440:AL440"/>
    <mergeCell ref="AK441:AL441"/>
    <mergeCell ref="AK442:AL442"/>
    <mergeCell ref="AK443:AL443"/>
    <mergeCell ref="AK444:AL444"/>
    <mergeCell ref="AK445:AL445"/>
    <mergeCell ref="AK446:AL446"/>
    <mergeCell ref="AK447:AL447"/>
    <mergeCell ref="AK448:AL448"/>
    <mergeCell ref="AK449:AL449"/>
    <mergeCell ref="AK450:AL450"/>
    <mergeCell ref="AK451:AL451"/>
    <mergeCell ref="AI497:AJ497"/>
    <mergeCell ref="AI498:AJ498"/>
    <mergeCell ref="AI499:AJ499"/>
    <mergeCell ref="AI500:AJ500"/>
    <mergeCell ref="AI501:AJ501"/>
    <mergeCell ref="AI502:AJ502"/>
    <mergeCell ref="AI503:AJ503"/>
    <mergeCell ref="AI504:AJ504"/>
    <mergeCell ref="AI505:AJ505"/>
    <mergeCell ref="AI506:AJ506"/>
    <mergeCell ref="AI507:AJ507"/>
    <mergeCell ref="AI508:AJ508"/>
    <mergeCell ref="AI509:AJ509"/>
    <mergeCell ref="AI510:AJ510"/>
    <mergeCell ref="AI511:AJ511"/>
    <mergeCell ref="AI512:AJ512"/>
    <mergeCell ref="AI513:AJ513"/>
    <mergeCell ref="AI480:AJ480"/>
    <mergeCell ref="AI481:AJ481"/>
    <mergeCell ref="AI482:AJ482"/>
    <mergeCell ref="AI483:AJ483"/>
    <mergeCell ref="AI484:AJ484"/>
    <mergeCell ref="AI485:AJ485"/>
    <mergeCell ref="AI486:AJ486"/>
    <mergeCell ref="AI487:AJ487"/>
    <mergeCell ref="AI488:AJ488"/>
    <mergeCell ref="AI489:AJ489"/>
    <mergeCell ref="AI490:AJ490"/>
    <mergeCell ref="AI491:AJ491"/>
    <mergeCell ref="AI492:AJ492"/>
    <mergeCell ref="AI493:AJ493"/>
    <mergeCell ref="AI494:AJ494"/>
    <mergeCell ref="AI495:AJ495"/>
    <mergeCell ref="AI496:AJ496"/>
    <mergeCell ref="AI463:AJ463"/>
    <mergeCell ref="AI464:AJ464"/>
    <mergeCell ref="AI465:AJ465"/>
    <mergeCell ref="AI466:AJ466"/>
    <mergeCell ref="AI467:AJ467"/>
    <mergeCell ref="AI468:AJ468"/>
    <mergeCell ref="AI469:AJ469"/>
    <mergeCell ref="AI470:AJ470"/>
    <mergeCell ref="AI471:AJ471"/>
    <mergeCell ref="AI472:AJ472"/>
    <mergeCell ref="AI473:AJ473"/>
    <mergeCell ref="AI474:AJ474"/>
    <mergeCell ref="AI475:AJ475"/>
    <mergeCell ref="AI476:AJ476"/>
    <mergeCell ref="AI477:AJ477"/>
    <mergeCell ref="AI478:AJ478"/>
    <mergeCell ref="AI479:AJ479"/>
    <mergeCell ref="AI446:AJ446"/>
    <mergeCell ref="AI447:AJ447"/>
    <mergeCell ref="AI448:AJ448"/>
    <mergeCell ref="AI449:AJ449"/>
    <mergeCell ref="AI450:AJ450"/>
    <mergeCell ref="AI451:AJ451"/>
    <mergeCell ref="AI452:AJ452"/>
    <mergeCell ref="AI453:AJ453"/>
    <mergeCell ref="AI454:AJ454"/>
    <mergeCell ref="AI455:AJ455"/>
    <mergeCell ref="AI456:AJ456"/>
    <mergeCell ref="AI457:AJ457"/>
    <mergeCell ref="AI458:AJ458"/>
    <mergeCell ref="AI459:AJ459"/>
    <mergeCell ref="AI460:AJ460"/>
    <mergeCell ref="AI461:AJ461"/>
    <mergeCell ref="AI462:AJ462"/>
    <mergeCell ref="AG508:AH508"/>
    <mergeCell ref="AG509:AH509"/>
    <mergeCell ref="AG510:AH510"/>
    <mergeCell ref="AG511:AH511"/>
    <mergeCell ref="AG512:AH512"/>
    <mergeCell ref="AG513:AH513"/>
    <mergeCell ref="AG514:AH514"/>
    <mergeCell ref="AG515:AH515"/>
    <mergeCell ref="AG516:AH516"/>
    <mergeCell ref="AI423:AJ423"/>
    <mergeCell ref="AI424:AJ424"/>
    <mergeCell ref="AI425:AJ425"/>
    <mergeCell ref="AI426:AJ426"/>
    <mergeCell ref="AI427:AJ427"/>
    <mergeCell ref="AI428:AJ428"/>
    <mergeCell ref="AI429:AJ429"/>
    <mergeCell ref="AI430:AJ430"/>
    <mergeCell ref="AI431:AJ431"/>
    <mergeCell ref="AI432:AJ432"/>
    <mergeCell ref="AI433:AJ433"/>
    <mergeCell ref="AI434:AJ434"/>
    <mergeCell ref="AI435:AJ435"/>
    <mergeCell ref="AI436:AJ436"/>
    <mergeCell ref="AI437:AJ437"/>
    <mergeCell ref="AI438:AJ438"/>
    <mergeCell ref="AI439:AJ439"/>
    <mergeCell ref="AI440:AJ440"/>
    <mergeCell ref="AI441:AJ441"/>
    <mergeCell ref="AI442:AJ442"/>
    <mergeCell ref="AI443:AJ443"/>
    <mergeCell ref="AI444:AJ444"/>
    <mergeCell ref="AI445:AJ445"/>
    <mergeCell ref="AG491:AH491"/>
    <mergeCell ref="AG492:AH492"/>
    <mergeCell ref="AG493:AH493"/>
    <mergeCell ref="AG494:AH494"/>
    <mergeCell ref="AG495:AH495"/>
    <mergeCell ref="AG496:AH496"/>
    <mergeCell ref="AG497:AH497"/>
    <mergeCell ref="AG498:AH498"/>
    <mergeCell ref="AG499:AH499"/>
    <mergeCell ref="AG500:AH500"/>
    <mergeCell ref="AG501:AH501"/>
    <mergeCell ref="AG502:AH502"/>
    <mergeCell ref="AG503:AH503"/>
    <mergeCell ref="AG504:AH504"/>
    <mergeCell ref="AG505:AH505"/>
    <mergeCell ref="AG506:AH506"/>
    <mergeCell ref="AG507:AH507"/>
    <mergeCell ref="AG474:AH474"/>
    <mergeCell ref="AG475:AH475"/>
    <mergeCell ref="AG476:AH476"/>
    <mergeCell ref="AG477:AH477"/>
    <mergeCell ref="AG478:AH478"/>
    <mergeCell ref="AG479:AH479"/>
    <mergeCell ref="AG480:AH480"/>
    <mergeCell ref="AG481:AH481"/>
    <mergeCell ref="AG482:AH482"/>
    <mergeCell ref="AG483:AH483"/>
    <mergeCell ref="AG484:AH484"/>
    <mergeCell ref="AG485:AH485"/>
    <mergeCell ref="AG486:AH486"/>
    <mergeCell ref="AG487:AH487"/>
    <mergeCell ref="AG488:AH488"/>
    <mergeCell ref="AG489:AH489"/>
    <mergeCell ref="AG490:AH490"/>
    <mergeCell ref="AG457:AH457"/>
    <mergeCell ref="AG458:AH458"/>
    <mergeCell ref="AG459:AH459"/>
    <mergeCell ref="AG460:AH460"/>
    <mergeCell ref="AG461:AH461"/>
    <mergeCell ref="AG462:AH462"/>
    <mergeCell ref="AG463:AH463"/>
    <mergeCell ref="AG464:AH464"/>
    <mergeCell ref="AG465:AH465"/>
    <mergeCell ref="AG466:AH466"/>
    <mergeCell ref="AG467:AH467"/>
    <mergeCell ref="AG468:AH468"/>
    <mergeCell ref="AG469:AH469"/>
    <mergeCell ref="AG470:AH470"/>
    <mergeCell ref="AG471:AH471"/>
    <mergeCell ref="AG472:AH472"/>
    <mergeCell ref="AG473:AH473"/>
    <mergeCell ref="AG440:AH440"/>
    <mergeCell ref="AG441:AH441"/>
    <mergeCell ref="AG442:AH442"/>
    <mergeCell ref="AG443:AH443"/>
    <mergeCell ref="AG444:AH444"/>
    <mergeCell ref="AG445:AH445"/>
    <mergeCell ref="AG446:AH446"/>
    <mergeCell ref="AG447:AH447"/>
    <mergeCell ref="AG448:AH448"/>
    <mergeCell ref="AG449:AH449"/>
    <mergeCell ref="AG450:AH450"/>
    <mergeCell ref="AG451:AH451"/>
    <mergeCell ref="AG452:AH452"/>
    <mergeCell ref="AG453:AH453"/>
    <mergeCell ref="AG454:AH454"/>
    <mergeCell ref="AG455:AH455"/>
    <mergeCell ref="AG456:AH456"/>
    <mergeCell ref="AG423:AH423"/>
    <mergeCell ref="AG424:AH424"/>
    <mergeCell ref="AG425:AH425"/>
    <mergeCell ref="AG426:AH426"/>
    <mergeCell ref="AG427:AH427"/>
    <mergeCell ref="AG428:AH428"/>
    <mergeCell ref="AG429:AH429"/>
    <mergeCell ref="AG430:AH430"/>
    <mergeCell ref="AG431:AH431"/>
    <mergeCell ref="AG432:AH432"/>
    <mergeCell ref="AG433:AH433"/>
    <mergeCell ref="AG434:AH434"/>
    <mergeCell ref="AG435:AH435"/>
    <mergeCell ref="AG436:AH436"/>
    <mergeCell ref="AG437:AH437"/>
    <mergeCell ref="AG438:AH438"/>
    <mergeCell ref="AG439:AH439"/>
    <mergeCell ref="AW543:AX543"/>
    <mergeCell ref="AY543:AZ543"/>
    <mergeCell ref="BA543:BB543"/>
    <mergeCell ref="BC543:BD543"/>
    <mergeCell ref="BE543:BF543"/>
    <mergeCell ref="BG543:BH543"/>
    <mergeCell ref="BI543:BJ543"/>
    <mergeCell ref="BK543:BL543"/>
    <mergeCell ref="BM543:BN543"/>
    <mergeCell ref="BO543:BP543"/>
    <mergeCell ref="BQ543:BR543"/>
    <mergeCell ref="BO674:BQ674"/>
    <mergeCell ref="AW670:AX673"/>
    <mergeCell ref="AY670:AZ673"/>
    <mergeCell ref="BA670:BB673"/>
    <mergeCell ref="BC670:BD673"/>
    <mergeCell ref="BE670:BF673"/>
    <mergeCell ref="BG670:BH673"/>
    <mergeCell ref="BI670:BK673"/>
    <mergeCell ref="BM544:BN544"/>
    <mergeCell ref="BO544:BP544"/>
    <mergeCell ref="BQ544:BR544"/>
    <mergeCell ref="AW545:AX545"/>
    <mergeCell ref="AY545:AZ545"/>
    <mergeCell ref="BA545:BB545"/>
    <mergeCell ref="BC545:BD545"/>
    <mergeCell ref="BE545:BF545"/>
    <mergeCell ref="BG545:BH545"/>
    <mergeCell ref="BI545:BJ545"/>
    <mergeCell ref="BK545:BL545"/>
    <mergeCell ref="AW674:AX674"/>
    <mergeCell ref="AY674:AZ674"/>
    <mergeCell ref="P675:Q675"/>
    <mergeCell ref="R675:S675"/>
    <mergeCell ref="T675:U675"/>
    <mergeCell ref="V675:W675"/>
    <mergeCell ref="X675:Y675"/>
    <mergeCell ref="Z675:AA675"/>
    <mergeCell ref="AB675:AC675"/>
    <mergeCell ref="AD675:AE675"/>
    <mergeCell ref="AF675:AG675"/>
    <mergeCell ref="AH675:AJ675"/>
    <mergeCell ref="AK675:AL675"/>
    <mergeCell ref="AM675:AN675"/>
    <mergeCell ref="AW675:AX675"/>
    <mergeCell ref="AY675:AZ675"/>
    <mergeCell ref="BA675:BB675"/>
    <mergeCell ref="BC675:BD675"/>
    <mergeCell ref="BE675:BF675"/>
    <mergeCell ref="BG675:BH675"/>
    <mergeCell ref="BI675:BK675"/>
    <mergeCell ref="Y543:AA543"/>
    <mergeCell ref="AB543:AD543"/>
    <mergeCell ref="AE543:AF543"/>
    <mergeCell ref="AG543:AH543"/>
    <mergeCell ref="AI543:AJ543"/>
    <mergeCell ref="AK543:AL543"/>
    <mergeCell ref="AM543:AN543"/>
    <mergeCell ref="AO543:AP543"/>
    <mergeCell ref="AQ543:AR543"/>
    <mergeCell ref="AS543:AT543"/>
    <mergeCell ref="AO675:AP675"/>
    <mergeCell ref="AQ675:AR675"/>
    <mergeCell ref="AS675:AT675"/>
    <mergeCell ref="AU675:AV675"/>
    <mergeCell ref="AM674:AN674"/>
    <mergeCell ref="AO674:AP674"/>
    <mergeCell ref="AQ674:AR674"/>
    <mergeCell ref="AS674:AT674"/>
    <mergeCell ref="AU674:AV674"/>
    <mergeCell ref="AU545:AV545"/>
    <mergeCell ref="AU547:AV547"/>
    <mergeCell ref="AU552:AV552"/>
    <mergeCell ref="AU557:AV557"/>
    <mergeCell ref="AU562:AV562"/>
    <mergeCell ref="AU567:AV567"/>
    <mergeCell ref="AU572:AV572"/>
    <mergeCell ref="AU577:AV577"/>
    <mergeCell ref="AU582:AV582"/>
    <mergeCell ref="AU587:AV587"/>
    <mergeCell ref="AU592:AV592"/>
    <mergeCell ref="AU597:AV597"/>
    <mergeCell ref="AU602:AV602"/>
    <mergeCell ref="AU543:AV543"/>
    <mergeCell ref="F674:G674"/>
    <mergeCell ref="H674:I674"/>
    <mergeCell ref="J674:K674"/>
    <mergeCell ref="L674:M674"/>
    <mergeCell ref="N674:O674"/>
    <mergeCell ref="P674:Q674"/>
    <mergeCell ref="R674:S674"/>
    <mergeCell ref="T674:U674"/>
    <mergeCell ref="V674:W674"/>
    <mergeCell ref="X674:Y674"/>
    <mergeCell ref="Z674:AA674"/>
    <mergeCell ref="AB674:AC674"/>
    <mergeCell ref="AD674:AE674"/>
    <mergeCell ref="AF674:AG674"/>
    <mergeCell ref="AH674:AJ674"/>
    <mergeCell ref="AK674:AL674"/>
    <mergeCell ref="AQ670:AR673"/>
    <mergeCell ref="AS670:AT673"/>
    <mergeCell ref="AU670:AV673"/>
    <mergeCell ref="J669:AJ669"/>
    <mergeCell ref="AK669:BK669"/>
    <mergeCell ref="F668:BQ668"/>
    <mergeCell ref="BL669:BN673"/>
    <mergeCell ref="BO669:BQ673"/>
    <mergeCell ref="F543:G543"/>
    <mergeCell ref="H543:I543"/>
    <mergeCell ref="J543:L543"/>
    <mergeCell ref="M543:O543"/>
    <mergeCell ref="P543:R543"/>
    <mergeCell ref="S543:U543"/>
    <mergeCell ref="V543:X543"/>
    <mergeCell ref="BA542:BB542"/>
    <mergeCell ref="BC542:BD542"/>
    <mergeCell ref="BE542:BF542"/>
    <mergeCell ref="BG542:BH542"/>
    <mergeCell ref="BI542:BJ542"/>
    <mergeCell ref="BK542:BL542"/>
    <mergeCell ref="BM542:BN542"/>
    <mergeCell ref="BO542:BP542"/>
    <mergeCell ref="BQ542:BR542"/>
    <mergeCell ref="F669:I669"/>
    <mergeCell ref="F670:G673"/>
    <mergeCell ref="H670:I673"/>
    <mergeCell ref="J670:K673"/>
    <mergeCell ref="L670:M673"/>
    <mergeCell ref="N670:O673"/>
    <mergeCell ref="P670:Q673"/>
    <mergeCell ref="R670:S673"/>
    <mergeCell ref="T670:U673"/>
    <mergeCell ref="V670:W673"/>
    <mergeCell ref="AF670:AG673"/>
    <mergeCell ref="X670:Y673"/>
    <mergeCell ref="Z670:AA673"/>
    <mergeCell ref="AB670:AC673"/>
    <mergeCell ref="AD670:AE673"/>
    <mergeCell ref="AH670:AJ673"/>
    <mergeCell ref="AK670:AL673"/>
    <mergeCell ref="AM670:AN673"/>
    <mergeCell ref="AO670:AP673"/>
    <mergeCell ref="M542:O542"/>
    <mergeCell ref="P542:R542"/>
    <mergeCell ref="S542:U542"/>
    <mergeCell ref="V542:X542"/>
    <mergeCell ref="Y542:AA542"/>
    <mergeCell ref="AB542:AD542"/>
    <mergeCell ref="AE542:AF542"/>
    <mergeCell ref="AG542:AH542"/>
    <mergeCell ref="AI542:AJ542"/>
    <mergeCell ref="AK542:AL542"/>
    <mergeCell ref="AM542:AN542"/>
    <mergeCell ref="AO542:AP542"/>
    <mergeCell ref="AQ542:AR542"/>
    <mergeCell ref="AS542:AT542"/>
    <mergeCell ref="AU542:AV542"/>
    <mergeCell ref="AW542:AX542"/>
    <mergeCell ref="AY542:AZ542"/>
    <mergeCell ref="AE538:AF541"/>
    <mergeCell ref="AG538:AH541"/>
    <mergeCell ref="AI538:AJ541"/>
    <mergeCell ref="AK538:AL541"/>
    <mergeCell ref="AM538:AN541"/>
    <mergeCell ref="AO538:AP541"/>
    <mergeCell ref="AQ538:AR541"/>
    <mergeCell ref="AS538:AT541"/>
    <mergeCell ref="AU538:AV541"/>
    <mergeCell ref="AW538:AX541"/>
    <mergeCell ref="AY538:AZ541"/>
    <mergeCell ref="BA538:BB541"/>
    <mergeCell ref="BC538:BD541"/>
    <mergeCell ref="BE538:BF541"/>
    <mergeCell ref="BG538:BH541"/>
    <mergeCell ref="BI538:BJ541"/>
    <mergeCell ref="BK538:BL541"/>
    <mergeCell ref="BM538:BN541"/>
    <mergeCell ref="BO538:BP541"/>
    <mergeCell ref="BQ538:BR541"/>
    <mergeCell ref="F411:BR411"/>
    <mergeCell ref="J412:AD412"/>
    <mergeCell ref="J413:L416"/>
    <mergeCell ref="M413:O416"/>
    <mergeCell ref="P413:R416"/>
    <mergeCell ref="S413:U416"/>
    <mergeCell ref="V413:X416"/>
    <mergeCell ref="Y413:AA416"/>
    <mergeCell ref="AB413:AD416"/>
    <mergeCell ref="F536:BR536"/>
    <mergeCell ref="F537:I537"/>
    <mergeCell ref="J537:AD537"/>
    <mergeCell ref="AE537:AH537"/>
    <mergeCell ref="AI537:AL537"/>
    <mergeCell ref="AM537:AP537"/>
    <mergeCell ref="AQ537:AT537"/>
    <mergeCell ref="AU537:AX537"/>
    <mergeCell ref="AY537:BB537"/>
    <mergeCell ref="BC537:BF537"/>
    <mergeCell ref="BG537:BJ537"/>
    <mergeCell ref="BK537:BN537"/>
    <mergeCell ref="BO537:BR537"/>
    <mergeCell ref="F538:G541"/>
    <mergeCell ref="J538:L541"/>
    <mergeCell ref="M538:O541"/>
    <mergeCell ref="P538:R541"/>
    <mergeCell ref="S538:U541"/>
    <mergeCell ref="V538:X541"/>
    <mergeCell ref="Y538:AA541"/>
    <mergeCell ref="AB538:AD541"/>
    <mergeCell ref="Y417:AA417"/>
    <mergeCell ref="Y418:AA418"/>
    <mergeCell ref="Y419:AA419"/>
    <mergeCell ref="Y420:AA420"/>
    <mergeCell ref="Y421:AA421"/>
    <mergeCell ref="Y422:AA422"/>
    <mergeCell ref="AB417:AD417"/>
    <mergeCell ref="AB418:AD418"/>
    <mergeCell ref="AB419:AD419"/>
    <mergeCell ref="AB420:AD420"/>
    <mergeCell ref="AB421:AD421"/>
    <mergeCell ref="AB422:AD422"/>
    <mergeCell ref="S417:U417"/>
    <mergeCell ref="S418:U418"/>
    <mergeCell ref="S419:U419"/>
    <mergeCell ref="S420:U420"/>
    <mergeCell ref="S421:U421"/>
    <mergeCell ref="S422:U422"/>
    <mergeCell ref="V417:X417"/>
    <mergeCell ref="V418:X418"/>
    <mergeCell ref="V419:X419"/>
    <mergeCell ref="V420:X420"/>
    <mergeCell ref="V421:X421"/>
    <mergeCell ref="V422:X422"/>
    <mergeCell ref="J440:L440"/>
    <mergeCell ref="AE412:AH412"/>
    <mergeCell ref="AI412:AL412"/>
    <mergeCell ref="AM412:AP412"/>
    <mergeCell ref="AQ412:AT412"/>
    <mergeCell ref="AU412:AX412"/>
    <mergeCell ref="AO418:AP418"/>
    <mergeCell ref="AO419:AP419"/>
    <mergeCell ref="AO420:AP420"/>
    <mergeCell ref="AO421:AP421"/>
    <mergeCell ref="AO422:AP422"/>
    <mergeCell ref="AM418:AN418"/>
    <mergeCell ref="AM419:AN419"/>
    <mergeCell ref="AM420:AN420"/>
    <mergeCell ref="AM421:AN421"/>
    <mergeCell ref="AM422:AN422"/>
    <mergeCell ref="AS418:AT418"/>
    <mergeCell ref="AS419:AT419"/>
    <mergeCell ref="AS420:AT420"/>
    <mergeCell ref="AS421:AT421"/>
    <mergeCell ref="AS422:AT422"/>
    <mergeCell ref="AQ418:AR418"/>
    <mergeCell ref="AQ419:AR419"/>
    <mergeCell ref="AQ420:AR420"/>
    <mergeCell ref="AQ421:AR421"/>
    <mergeCell ref="AQ422:AR422"/>
    <mergeCell ref="AW417:AX417"/>
    <mergeCell ref="AW418:AX418"/>
    <mergeCell ref="AW419:AX419"/>
    <mergeCell ref="AW420:AX420"/>
    <mergeCell ref="AW421:AX421"/>
    <mergeCell ref="AW422:AX422"/>
    <mergeCell ref="AU417:AV417"/>
    <mergeCell ref="AY412:BB412"/>
    <mergeCell ref="BC412:BF412"/>
    <mergeCell ref="BG412:BJ412"/>
    <mergeCell ref="BK412:BN412"/>
    <mergeCell ref="BO412:BR412"/>
    <mergeCell ref="F412:I412"/>
    <mergeCell ref="J417:L417"/>
    <mergeCell ref="AE413:AF416"/>
    <mergeCell ref="AG413:AH416"/>
    <mergeCell ref="AI413:AJ416"/>
    <mergeCell ref="AK413:AL416"/>
    <mergeCell ref="AM413:AN416"/>
    <mergeCell ref="AO413:AP416"/>
    <mergeCell ref="AQ413:AR416"/>
    <mergeCell ref="AS413:AT416"/>
    <mergeCell ref="AU413:AV416"/>
    <mergeCell ref="AW413:AX416"/>
    <mergeCell ref="AY413:AZ416"/>
    <mergeCell ref="BA413:BB416"/>
    <mergeCell ref="BC413:BD416"/>
    <mergeCell ref="BE413:BF416"/>
    <mergeCell ref="BG413:BH416"/>
    <mergeCell ref="AO417:AP417"/>
    <mergeCell ref="AM417:AN417"/>
    <mergeCell ref="AS417:AT417"/>
    <mergeCell ref="AQ417:AR417"/>
    <mergeCell ref="BA417:BB417"/>
    <mergeCell ref="BI417:BJ417"/>
    <mergeCell ref="BQ417:BR417"/>
    <mergeCell ref="AE417:AF417"/>
    <mergeCell ref="F417:G417"/>
    <mergeCell ref="M417:O417"/>
    <mergeCell ref="BA419:BB419"/>
    <mergeCell ref="BA420:BB420"/>
    <mergeCell ref="BA421:BB421"/>
    <mergeCell ref="BA422:BB422"/>
    <mergeCell ref="AY417:AZ417"/>
    <mergeCell ref="AY418:AZ418"/>
    <mergeCell ref="AY419:AZ419"/>
    <mergeCell ref="AY420:AZ420"/>
    <mergeCell ref="AY421:AZ421"/>
    <mergeCell ref="AY422:AZ422"/>
    <mergeCell ref="BE417:BF417"/>
    <mergeCell ref="BE418:BF418"/>
    <mergeCell ref="BE419:BF419"/>
    <mergeCell ref="BE420:BF420"/>
    <mergeCell ref="BE421:BF421"/>
    <mergeCell ref="BE422:BF422"/>
    <mergeCell ref="BC417:BD417"/>
    <mergeCell ref="BC418:BD418"/>
    <mergeCell ref="BC419:BD419"/>
    <mergeCell ref="BC420:BD420"/>
    <mergeCell ref="BC421:BD421"/>
    <mergeCell ref="BC422:BD422"/>
    <mergeCell ref="BQ418:BR418"/>
    <mergeCell ref="BQ419:BR419"/>
    <mergeCell ref="BQ420:BR420"/>
    <mergeCell ref="BQ421:BR421"/>
    <mergeCell ref="BQ422:BR422"/>
    <mergeCell ref="BO417:BP417"/>
    <mergeCell ref="BO418:BP418"/>
    <mergeCell ref="BO419:BP419"/>
    <mergeCell ref="BO420:BP420"/>
    <mergeCell ref="BO421:BP421"/>
    <mergeCell ref="BO422:BP422"/>
    <mergeCell ref="BO413:BP416"/>
    <mergeCell ref="BQ413:BR416"/>
    <mergeCell ref="AG417:AH417"/>
    <mergeCell ref="AG418:AH418"/>
    <mergeCell ref="AG419:AH419"/>
    <mergeCell ref="AG420:AH420"/>
    <mergeCell ref="AG421:AH421"/>
    <mergeCell ref="AG422:AH422"/>
    <mergeCell ref="BI418:BJ418"/>
    <mergeCell ref="BI419:BJ419"/>
    <mergeCell ref="BI420:BJ420"/>
    <mergeCell ref="BI421:BJ421"/>
    <mergeCell ref="BI422:BJ422"/>
    <mergeCell ref="BG417:BH417"/>
    <mergeCell ref="BG418:BH418"/>
    <mergeCell ref="BG419:BH419"/>
    <mergeCell ref="BG420:BH420"/>
    <mergeCell ref="BG421:BH421"/>
    <mergeCell ref="BG422:BH422"/>
    <mergeCell ref="BI413:BJ416"/>
    <mergeCell ref="BM417:BN417"/>
    <mergeCell ref="F542:G542"/>
    <mergeCell ref="H542:I542"/>
    <mergeCell ref="J542:L542"/>
    <mergeCell ref="AE418:AF418"/>
    <mergeCell ref="AE419:AF419"/>
    <mergeCell ref="AE420:AF420"/>
    <mergeCell ref="AE421:AF421"/>
    <mergeCell ref="AE422:AF422"/>
    <mergeCell ref="AK417:AL417"/>
    <mergeCell ref="AK418:AL418"/>
    <mergeCell ref="AK419:AL419"/>
    <mergeCell ref="AK420:AL420"/>
    <mergeCell ref="AK421:AL421"/>
    <mergeCell ref="AK422:AL422"/>
    <mergeCell ref="AI417:AJ417"/>
    <mergeCell ref="AI418:AJ418"/>
    <mergeCell ref="AI419:AJ419"/>
    <mergeCell ref="AI420:AJ420"/>
    <mergeCell ref="AI421:AJ421"/>
    <mergeCell ref="AI422:AJ422"/>
    <mergeCell ref="M418:O418"/>
    <mergeCell ref="M419:O419"/>
    <mergeCell ref="M420:O420"/>
    <mergeCell ref="M421:O421"/>
    <mergeCell ref="M422:O422"/>
    <mergeCell ref="P417:R417"/>
    <mergeCell ref="P418:R418"/>
    <mergeCell ref="P419:R419"/>
    <mergeCell ref="P420:R420"/>
    <mergeCell ref="P421:R421"/>
    <mergeCell ref="P422:R422"/>
    <mergeCell ref="H538:I541"/>
    <mergeCell ref="F418:G418"/>
    <mergeCell ref="F419:G419"/>
    <mergeCell ref="F420:G420"/>
    <mergeCell ref="F421:G421"/>
    <mergeCell ref="F422:G422"/>
    <mergeCell ref="F413:G416"/>
    <mergeCell ref="H417:I417"/>
    <mergeCell ref="H418:I418"/>
    <mergeCell ref="H419:I419"/>
    <mergeCell ref="H420:I420"/>
    <mergeCell ref="H421:I421"/>
    <mergeCell ref="H422:I422"/>
    <mergeCell ref="H413:I416"/>
    <mergeCell ref="BM418:BN418"/>
    <mergeCell ref="BM419:BN419"/>
    <mergeCell ref="BM420:BN420"/>
    <mergeCell ref="BM421:BN421"/>
    <mergeCell ref="BM422:BN422"/>
    <mergeCell ref="BK417:BL417"/>
    <mergeCell ref="BK418:BL418"/>
    <mergeCell ref="BK419:BL419"/>
    <mergeCell ref="BK420:BL420"/>
    <mergeCell ref="AU418:AV418"/>
    <mergeCell ref="AU419:AV419"/>
    <mergeCell ref="AU420:AV420"/>
    <mergeCell ref="AU421:AV421"/>
    <mergeCell ref="AU422:AV422"/>
    <mergeCell ref="BK421:BL421"/>
    <mergeCell ref="BK422:BL422"/>
    <mergeCell ref="BK413:BL416"/>
    <mergeCell ref="BM413:BN416"/>
    <mergeCell ref="BA418:BB418"/>
    <mergeCell ref="G371:I371"/>
    <mergeCell ref="J371:L371"/>
    <mergeCell ref="M371:P371"/>
    <mergeCell ref="Q371:T371"/>
    <mergeCell ref="U371:X371"/>
    <mergeCell ref="Y371:AB371"/>
    <mergeCell ref="AC371:AF371"/>
    <mergeCell ref="AG371:AJ371"/>
    <mergeCell ref="G360:BQ360"/>
    <mergeCell ref="G361:I363"/>
    <mergeCell ref="J361:L363"/>
    <mergeCell ref="M361:X361"/>
    <mergeCell ref="Y361:AR361"/>
    <mergeCell ref="AS361:BA361"/>
    <mergeCell ref="BB361:BM361"/>
    <mergeCell ref="BN361:BQ363"/>
    <mergeCell ref="G373:I373"/>
    <mergeCell ref="J373:L373"/>
    <mergeCell ref="M373:P373"/>
    <mergeCell ref="Q373:T373"/>
    <mergeCell ref="U373:X373"/>
    <mergeCell ref="Y373:AB373"/>
    <mergeCell ref="AC373:AF373"/>
    <mergeCell ref="AG373:AJ373"/>
    <mergeCell ref="BF365:BI365"/>
    <mergeCell ref="BJ365:BM365"/>
    <mergeCell ref="BN365:BQ365"/>
    <mergeCell ref="M362:P363"/>
    <mergeCell ref="Q362:T363"/>
    <mergeCell ref="U362:X363"/>
    <mergeCell ref="Y362:AB363"/>
    <mergeCell ref="AC362:AF363"/>
    <mergeCell ref="W308:Z308"/>
    <mergeCell ref="W291:Z291"/>
    <mergeCell ref="W309:AB309"/>
    <mergeCell ref="G311:BQ311"/>
    <mergeCell ref="AM308:AV309"/>
    <mergeCell ref="AV285:AX285"/>
    <mergeCell ref="AS285:AU285"/>
    <mergeCell ref="G284:I284"/>
    <mergeCell ref="G285:I285"/>
    <mergeCell ref="AK285:AN285"/>
    <mergeCell ref="U285:X285"/>
    <mergeCell ref="AO285:AR285"/>
    <mergeCell ref="W307:Z307"/>
    <mergeCell ref="W312:AB312"/>
    <mergeCell ref="W313:AB313"/>
    <mergeCell ref="G366:I366"/>
    <mergeCell ref="J366:L366"/>
    <mergeCell ref="M366:P366"/>
    <mergeCell ref="Q366:T366"/>
    <mergeCell ref="U366:X366"/>
    <mergeCell ref="Y366:AB366"/>
    <mergeCell ref="W302:AB302"/>
    <mergeCell ref="G315:BP316"/>
    <mergeCell ref="W328:AB328"/>
    <mergeCell ref="M284:P284"/>
    <mergeCell ref="Q284:T284"/>
    <mergeCell ref="AK284:AN284"/>
    <mergeCell ref="U284:X284"/>
    <mergeCell ref="AO284:AR284"/>
    <mergeCell ref="BF284:BI284"/>
    <mergeCell ref="BN285:BQ285"/>
    <mergeCell ref="BB365:BE365"/>
    <mergeCell ref="AG283:AJ283"/>
    <mergeCell ref="AG284:AJ284"/>
    <mergeCell ref="Q282:T282"/>
    <mergeCell ref="AG282:AJ282"/>
    <mergeCell ref="AV284:AX284"/>
    <mergeCell ref="AS283:AU283"/>
    <mergeCell ref="AS284:AU284"/>
    <mergeCell ref="AV282:AX282"/>
    <mergeCell ref="AV283:AX283"/>
    <mergeCell ref="BF285:BI285"/>
    <mergeCell ref="J285:L285"/>
    <mergeCell ref="AY284:BA284"/>
    <mergeCell ref="AY285:BA285"/>
    <mergeCell ref="Y284:AB284"/>
    <mergeCell ref="AC284:AF284"/>
    <mergeCell ref="Y285:AB285"/>
    <mergeCell ref="AC285:AF285"/>
    <mergeCell ref="BB285:BE285"/>
    <mergeCell ref="AG285:AJ285"/>
    <mergeCell ref="M285:P285"/>
    <mergeCell ref="Q285:T285"/>
    <mergeCell ref="J284:L284"/>
    <mergeCell ref="M283:P283"/>
    <mergeCell ref="Q283:T283"/>
    <mergeCell ref="J282:L282"/>
    <mergeCell ref="J283:L283"/>
    <mergeCell ref="AY279:BA279"/>
    <mergeCell ref="AY280:BA280"/>
    <mergeCell ref="AY281:BA281"/>
    <mergeCell ref="AY282:BA282"/>
    <mergeCell ref="M279:P279"/>
    <mergeCell ref="Q279:T279"/>
    <mergeCell ref="AK279:AN279"/>
    <mergeCell ref="U279:X279"/>
    <mergeCell ref="AO279:AR279"/>
    <mergeCell ref="BF279:BI279"/>
    <mergeCell ref="BB279:BE279"/>
    <mergeCell ref="AC276:AF276"/>
    <mergeCell ref="M277:P277"/>
    <mergeCell ref="Q277:T277"/>
    <mergeCell ref="AK277:AN277"/>
    <mergeCell ref="M280:P280"/>
    <mergeCell ref="Q280:T280"/>
    <mergeCell ref="AK280:AN280"/>
    <mergeCell ref="U280:X280"/>
    <mergeCell ref="AO280:AR280"/>
    <mergeCell ref="BF280:BI280"/>
    <mergeCell ref="M281:P281"/>
    <mergeCell ref="Q281:T281"/>
    <mergeCell ref="AK281:AN281"/>
    <mergeCell ref="U281:X281"/>
    <mergeCell ref="BF282:BI282"/>
    <mergeCell ref="BJ280:BM280"/>
    <mergeCell ref="BJ281:BM281"/>
    <mergeCell ref="BJ282:BM282"/>
    <mergeCell ref="BJ283:BM283"/>
    <mergeCell ref="BJ284:BM284"/>
    <mergeCell ref="BJ285:BM285"/>
    <mergeCell ref="W247:AB247"/>
    <mergeCell ref="W253:AB253"/>
    <mergeCell ref="W249:AB249"/>
    <mergeCell ref="AG281:AJ281"/>
    <mergeCell ref="W255:AB255"/>
    <mergeCell ref="W256:AB256"/>
    <mergeCell ref="W257:AB257"/>
    <mergeCell ref="AK283:AN283"/>
    <mergeCell ref="U283:X283"/>
    <mergeCell ref="AO283:AR283"/>
    <mergeCell ref="BF283:BI283"/>
    <mergeCell ref="AY283:BA283"/>
    <mergeCell ref="Y282:AB282"/>
    <mergeCell ref="AC282:AF282"/>
    <mergeCell ref="Y283:AB283"/>
    <mergeCell ref="AC283:AF283"/>
    <mergeCell ref="BF276:BI276"/>
    <mergeCell ref="BF278:BI278"/>
    <mergeCell ref="BB276:BE276"/>
    <mergeCell ref="BB277:BE277"/>
    <mergeCell ref="BB278:BE278"/>
    <mergeCell ref="BF274:BI275"/>
    <mergeCell ref="AG274:AJ275"/>
    <mergeCell ref="AY276:BA276"/>
    <mergeCell ref="AY277:BA277"/>
    <mergeCell ref="AY278:BA278"/>
    <mergeCell ref="C59:F60"/>
    <mergeCell ref="G185:BQ187"/>
    <mergeCell ref="E227:BQ228"/>
    <mergeCell ref="C233:F234"/>
    <mergeCell ref="G235:BR235"/>
    <mergeCell ref="W323:AB323"/>
    <mergeCell ref="W250:AB250"/>
    <mergeCell ref="W254:AB254"/>
    <mergeCell ref="W246:AB246"/>
    <mergeCell ref="W248:AB248"/>
    <mergeCell ref="BJ274:BM275"/>
    <mergeCell ref="BB274:BE275"/>
    <mergeCell ref="AM313:AV314"/>
    <mergeCell ref="W300:AB300"/>
    <mergeCell ref="C315:F316"/>
    <mergeCell ref="C820:BR820"/>
    <mergeCell ref="W251:AB251"/>
    <mergeCell ref="W252:AB252"/>
    <mergeCell ref="BB280:BE280"/>
    <mergeCell ref="BB281:BE281"/>
    <mergeCell ref="BB282:BE282"/>
    <mergeCell ref="BB283:BE283"/>
    <mergeCell ref="BB284:BE284"/>
    <mergeCell ref="AO281:AR281"/>
    <mergeCell ref="BF281:BI281"/>
    <mergeCell ref="Y281:AB281"/>
    <mergeCell ref="AC281:AF281"/>
    <mergeCell ref="M282:P282"/>
    <mergeCell ref="W237:AB237"/>
    <mergeCell ref="W242:AB242"/>
    <mergeCell ref="W244:AB244"/>
    <mergeCell ref="BN284:BQ284"/>
    <mergeCell ref="G74:BQ76"/>
    <mergeCell ref="E95:BQ96"/>
    <mergeCell ref="E97:BQ99"/>
    <mergeCell ref="G100:BQ101"/>
    <mergeCell ref="G183:BQ184"/>
    <mergeCell ref="C68:F69"/>
    <mergeCell ref="G68:BQ69"/>
    <mergeCell ref="G70:BQ71"/>
    <mergeCell ref="AQ196:BD197"/>
    <mergeCell ref="C33:F34"/>
    <mergeCell ref="G33:BQ34"/>
    <mergeCell ref="G20:BQ24"/>
    <mergeCell ref="I25:BQ25"/>
    <mergeCell ref="I26:BQ26"/>
    <mergeCell ref="I27:BQ27"/>
    <mergeCell ref="I28:BQ28"/>
    <mergeCell ref="C842:BR842"/>
    <mergeCell ref="C403:D404"/>
    <mergeCell ref="C408:F409"/>
    <mergeCell ref="C799:F800"/>
    <mergeCell ref="E403:BQ404"/>
    <mergeCell ref="E405:BQ407"/>
    <mergeCell ref="G408:BQ409"/>
    <mergeCell ref="G799:BQ800"/>
    <mergeCell ref="G25:H25"/>
    <mergeCell ref="G26:H26"/>
    <mergeCell ref="G27:H27"/>
    <mergeCell ref="G28:H28"/>
    <mergeCell ref="C95:D96"/>
    <mergeCell ref="C100:F101"/>
    <mergeCell ref="C184:F184"/>
    <mergeCell ref="C227:D228"/>
    <mergeCell ref="A6:D6"/>
    <mergeCell ref="E6:BQ6"/>
    <mergeCell ref="BR6:BU6"/>
    <mergeCell ref="BV6:BY6"/>
    <mergeCell ref="A4:D4"/>
    <mergeCell ref="E4:BQ4"/>
    <mergeCell ref="BR4:BU4"/>
    <mergeCell ref="BV4:BY4"/>
    <mergeCell ref="A5:D5"/>
    <mergeCell ref="A8:BR9"/>
    <mergeCell ref="BR5:BU5"/>
    <mergeCell ref="BV5:BY5"/>
    <mergeCell ref="E5:BQ5"/>
    <mergeCell ref="AK278:AN278"/>
    <mergeCell ref="U278:X278"/>
    <mergeCell ref="AO278:AR278"/>
    <mergeCell ref="AO274:AR275"/>
    <mergeCell ref="U274:X275"/>
    <mergeCell ref="AK274:AN275"/>
    <mergeCell ref="E12:BQ17"/>
    <mergeCell ref="BS195:BY196"/>
    <mergeCell ref="E10:BQ11"/>
    <mergeCell ref="C10:D11"/>
    <mergeCell ref="I42:BQ42"/>
    <mergeCell ref="I43:BQ43"/>
    <mergeCell ref="I44:BQ44"/>
    <mergeCell ref="G46:BQ51"/>
    <mergeCell ref="I52:BQ52"/>
    <mergeCell ref="I53:BQ53"/>
    <mergeCell ref="C18:F19"/>
    <mergeCell ref="G18:BR19"/>
    <mergeCell ref="G273:I275"/>
    <mergeCell ref="BF1:BQ2"/>
    <mergeCell ref="BR1:BU1"/>
    <mergeCell ref="BV1:BY1"/>
    <mergeCell ref="BR2:BU2"/>
    <mergeCell ref="BV2:BY2"/>
    <mergeCell ref="BS9:BY9"/>
    <mergeCell ref="BR3:BU3"/>
    <mergeCell ref="BV3:BY3"/>
    <mergeCell ref="I54:BQ54"/>
    <mergeCell ref="W245:AB245"/>
    <mergeCell ref="G59:BQ60"/>
    <mergeCell ref="W243:AB243"/>
    <mergeCell ref="W239:AB239"/>
    <mergeCell ref="W241:AB241"/>
    <mergeCell ref="M276:P276"/>
    <mergeCell ref="AG276:AJ276"/>
    <mergeCell ref="Q276:T276"/>
    <mergeCell ref="W236:AB236"/>
    <mergeCell ref="W240:AB240"/>
    <mergeCell ref="E229:BQ232"/>
    <mergeCell ref="G233:BQ234"/>
    <mergeCell ref="AM253:BM254"/>
    <mergeCell ref="AM256:BM257"/>
    <mergeCell ref="W238:AB238"/>
    <mergeCell ref="AM237:AV238"/>
    <mergeCell ref="BJ276:BM276"/>
    <mergeCell ref="Y276:AB276"/>
    <mergeCell ref="Y274:AB275"/>
    <mergeCell ref="M273:X273"/>
    <mergeCell ref="C72:F73"/>
    <mergeCell ref="G61:BQ67"/>
    <mergeCell ref="G72:BQ73"/>
    <mergeCell ref="J276:L276"/>
    <mergeCell ref="J277:L277"/>
    <mergeCell ref="J278:L278"/>
    <mergeCell ref="J279:L279"/>
    <mergeCell ref="J280:L280"/>
    <mergeCell ref="J281:L281"/>
    <mergeCell ref="G276:I276"/>
    <mergeCell ref="G277:I277"/>
    <mergeCell ref="G278:I278"/>
    <mergeCell ref="G279:I279"/>
    <mergeCell ref="G280:I280"/>
    <mergeCell ref="G281:I281"/>
    <mergeCell ref="AV279:AX279"/>
    <mergeCell ref="AV280:AX280"/>
    <mergeCell ref="AV281:AX281"/>
    <mergeCell ref="BB273:BM273"/>
    <mergeCell ref="AS274:AU275"/>
    <mergeCell ref="Y273:AR273"/>
    <mergeCell ref="Y277:AB277"/>
    <mergeCell ref="AC277:AF277"/>
    <mergeCell ref="AG277:AJ277"/>
    <mergeCell ref="Y278:AB278"/>
    <mergeCell ref="AC278:AF278"/>
    <mergeCell ref="AG278:AJ278"/>
    <mergeCell ref="Y279:AB279"/>
    <mergeCell ref="AC279:AF279"/>
    <mergeCell ref="AG279:AJ279"/>
    <mergeCell ref="Y280:AB280"/>
    <mergeCell ref="AO276:AR276"/>
    <mergeCell ref="BJ277:BM277"/>
    <mergeCell ref="BJ278:BM278"/>
    <mergeCell ref="BJ279:BM279"/>
    <mergeCell ref="BN273:BQ275"/>
    <mergeCell ref="BN276:BQ276"/>
    <mergeCell ref="BN277:BQ277"/>
    <mergeCell ref="BN278:BQ278"/>
    <mergeCell ref="BN279:BQ279"/>
    <mergeCell ref="BN280:BQ280"/>
    <mergeCell ref="BN281:BQ281"/>
    <mergeCell ref="BN282:BQ282"/>
    <mergeCell ref="BN283:BQ283"/>
    <mergeCell ref="AC274:AF275"/>
    <mergeCell ref="Q274:T275"/>
    <mergeCell ref="M274:P275"/>
    <mergeCell ref="U277:X277"/>
    <mergeCell ref="AO277:AR277"/>
    <mergeCell ref="BF277:BI277"/>
    <mergeCell ref="M278:P278"/>
    <mergeCell ref="Q278:T278"/>
    <mergeCell ref="AV276:AX276"/>
    <mergeCell ref="AV277:AX277"/>
    <mergeCell ref="AV278:AX278"/>
    <mergeCell ref="AK282:AN282"/>
    <mergeCell ref="U282:X282"/>
    <mergeCell ref="AS276:AU276"/>
    <mergeCell ref="AS277:AU277"/>
    <mergeCell ref="AS278:AU278"/>
    <mergeCell ref="AS279:AU279"/>
    <mergeCell ref="AS280:AU280"/>
    <mergeCell ref="AS281:AU281"/>
    <mergeCell ref="AS282:AU282"/>
    <mergeCell ref="AK276:AN276"/>
    <mergeCell ref="U276:X276"/>
    <mergeCell ref="AO282:AR282"/>
    <mergeCell ref="G272:BQ272"/>
    <mergeCell ref="AC280:AF280"/>
    <mergeCell ref="AG280:AJ280"/>
    <mergeCell ref="J421:L421"/>
    <mergeCell ref="J422:L422"/>
    <mergeCell ref="J418:L418"/>
    <mergeCell ref="J419:L419"/>
    <mergeCell ref="J420:L420"/>
    <mergeCell ref="G56:BQ58"/>
    <mergeCell ref="G30:BQ32"/>
    <mergeCell ref="AM250:BI251"/>
    <mergeCell ref="W290:Z290"/>
    <mergeCell ref="W295:Z295"/>
    <mergeCell ref="W296:Z296"/>
    <mergeCell ref="W293:Z293"/>
    <mergeCell ref="W294:Z294"/>
    <mergeCell ref="W289:Z289"/>
    <mergeCell ref="W299:AB299"/>
    <mergeCell ref="W301:AB301"/>
    <mergeCell ref="W292:Z292"/>
    <mergeCell ref="G298:BQ298"/>
    <mergeCell ref="G288:BQ288"/>
    <mergeCell ref="G304:BQ304"/>
    <mergeCell ref="W305:Z305"/>
    <mergeCell ref="W306:Z306"/>
    <mergeCell ref="J273:L275"/>
    <mergeCell ref="AS273:BA273"/>
    <mergeCell ref="AY274:BA275"/>
    <mergeCell ref="AV274:AX275"/>
    <mergeCell ref="G282:I282"/>
    <mergeCell ref="G283:I283"/>
    <mergeCell ref="AY365:BA365"/>
    <mergeCell ref="AY362:BA363"/>
    <mergeCell ref="BB362:BE363"/>
    <mergeCell ref="BF362:BI363"/>
    <mergeCell ref="BJ362:BM363"/>
    <mergeCell ref="BF364:BI364"/>
    <mergeCell ref="BJ364:BM364"/>
    <mergeCell ref="BN364:BQ364"/>
    <mergeCell ref="AY364:BA364"/>
    <mergeCell ref="BB364:BE364"/>
    <mergeCell ref="G364:I364"/>
    <mergeCell ref="J364:L364"/>
    <mergeCell ref="M364:P364"/>
    <mergeCell ref="Q364:T364"/>
    <mergeCell ref="U364:X364"/>
    <mergeCell ref="Y364:AB364"/>
    <mergeCell ref="AC364:AF364"/>
    <mergeCell ref="AG364:AJ364"/>
    <mergeCell ref="AK364:AN364"/>
    <mergeCell ref="AO364:AR364"/>
    <mergeCell ref="AS364:AU364"/>
    <mergeCell ref="AV364:AX364"/>
    <mergeCell ref="G365:I365"/>
    <mergeCell ref="J365:L365"/>
    <mergeCell ref="M365:P365"/>
    <mergeCell ref="Q365:T365"/>
    <mergeCell ref="U365:X365"/>
    <mergeCell ref="Y365:AB365"/>
    <mergeCell ref="AC365:AF365"/>
    <mergeCell ref="AG365:AJ365"/>
    <mergeCell ref="AK365:AN365"/>
    <mergeCell ref="AO365:AR365"/>
    <mergeCell ref="AS365:AU365"/>
    <mergeCell ref="AV365:AX365"/>
    <mergeCell ref="AG362:AJ363"/>
    <mergeCell ref="AK362:AN363"/>
    <mergeCell ref="AO362:AR363"/>
    <mergeCell ref="AS362:AU363"/>
    <mergeCell ref="AV362:AX363"/>
    <mergeCell ref="AY366:BA366"/>
    <mergeCell ref="BB366:BE366"/>
    <mergeCell ref="BF366:BI366"/>
    <mergeCell ref="BJ366:BM366"/>
    <mergeCell ref="BN366:BQ366"/>
    <mergeCell ref="G367:I367"/>
    <mergeCell ref="J367:L367"/>
    <mergeCell ref="M367:P367"/>
    <mergeCell ref="Q367:T367"/>
    <mergeCell ref="U367:X367"/>
    <mergeCell ref="Y367:AB367"/>
    <mergeCell ref="AC367:AF367"/>
    <mergeCell ref="AG367:AJ367"/>
    <mergeCell ref="AK367:AN367"/>
    <mergeCell ref="AO367:AR367"/>
    <mergeCell ref="AS367:AU367"/>
    <mergeCell ref="AV367:AX367"/>
    <mergeCell ref="AY367:BA367"/>
    <mergeCell ref="BB367:BE367"/>
    <mergeCell ref="BF367:BI367"/>
    <mergeCell ref="BJ367:BM367"/>
    <mergeCell ref="BN367:BQ367"/>
    <mergeCell ref="AC366:AF366"/>
    <mergeCell ref="AG366:AJ366"/>
    <mergeCell ref="AK366:AN366"/>
    <mergeCell ref="AO366:AR366"/>
    <mergeCell ref="AS366:AU366"/>
    <mergeCell ref="AV366:AX366"/>
    <mergeCell ref="G368:I368"/>
    <mergeCell ref="J368:L368"/>
    <mergeCell ref="M368:P368"/>
    <mergeCell ref="Q368:T368"/>
    <mergeCell ref="U368:X368"/>
    <mergeCell ref="Y368:AB368"/>
    <mergeCell ref="AC368:AF368"/>
    <mergeCell ref="AG368:AJ368"/>
    <mergeCell ref="AK368:AN368"/>
    <mergeCell ref="AO368:AR368"/>
    <mergeCell ref="AS368:AU368"/>
    <mergeCell ref="AV368:AX368"/>
    <mergeCell ref="AY368:BA368"/>
    <mergeCell ref="BB368:BE368"/>
    <mergeCell ref="BF368:BI368"/>
    <mergeCell ref="BJ368:BM368"/>
    <mergeCell ref="BN368:BQ368"/>
    <mergeCell ref="BJ369:BM369"/>
    <mergeCell ref="BN369:BQ369"/>
    <mergeCell ref="G370:I370"/>
    <mergeCell ref="J370:L370"/>
    <mergeCell ref="M370:P370"/>
    <mergeCell ref="Q370:T370"/>
    <mergeCell ref="U370:X370"/>
    <mergeCell ref="Y370:AB370"/>
    <mergeCell ref="AC370:AF370"/>
    <mergeCell ref="AG370:AJ370"/>
    <mergeCell ref="AK370:AN370"/>
    <mergeCell ref="AO370:AR370"/>
    <mergeCell ref="AS370:AU370"/>
    <mergeCell ref="AV370:AX370"/>
    <mergeCell ref="AY370:BA370"/>
    <mergeCell ref="BB370:BE370"/>
    <mergeCell ref="BF370:BI370"/>
    <mergeCell ref="BJ370:BM370"/>
    <mergeCell ref="BN370:BQ370"/>
    <mergeCell ref="G369:I369"/>
    <mergeCell ref="J369:L369"/>
    <mergeCell ref="M369:P369"/>
    <mergeCell ref="Q369:T369"/>
    <mergeCell ref="U369:X369"/>
    <mergeCell ref="Y369:AB369"/>
    <mergeCell ref="AC369:AF369"/>
    <mergeCell ref="AG369:AJ369"/>
    <mergeCell ref="W339:AB339"/>
    <mergeCell ref="W340:AB340"/>
    <mergeCell ref="AM336:BM337"/>
    <mergeCell ref="AM339:BM340"/>
    <mergeCell ref="AK373:AN373"/>
    <mergeCell ref="AO373:AR373"/>
    <mergeCell ref="AS373:AU373"/>
    <mergeCell ref="AV373:AX373"/>
    <mergeCell ref="AY373:BA373"/>
    <mergeCell ref="BB373:BE373"/>
    <mergeCell ref="BF373:BI373"/>
    <mergeCell ref="BJ373:BM373"/>
    <mergeCell ref="BN373:BQ373"/>
    <mergeCell ref="AK371:AN371"/>
    <mergeCell ref="AO371:AR371"/>
    <mergeCell ref="AS371:AU371"/>
    <mergeCell ref="AV371:AX371"/>
    <mergeCell ref="AY371:BA371"/>
    <mergeCell ref="BB371:BE371"/>
    <mergeCell ref="BF371:BI371"/>
    <mergeCell ref="BJ371:BM371"/>
    <mergeCell ref="BN371:BQ371"/>
    <mergeCell ref="U372:X372"/>
    <mergeCell ref="Y372:AB372"/>
    <mergeCell ref="AC372:AF372"/>
    <mergeCell ref="AG372:AJ372"/>
    <mergeCell ref="AK372:AN372"/>
    <mergeCell ref="AO372:AR372"/>
    <mergeCell ref="AS372:AU372"/>
    <mergeCell ref="AV372:AX372"/>
    <mergeCell ref="BB369:BE369"/>
    <mergeCell ref="BF369:BI369"/>
    <mergeCell ref="W318:AB318"/>
    <mergeCell ref="W319:AB319"/>
    <mergeCell ref="W320:AB320"/>
    <mergeCell ref="W321:AB321"/>
    <mergeCell ref="W322:AB322"/>
    <mergeCell ref="W324:AB324"/>
    <mergeCell ref="W325:AB325"/>
    <mergeCell ref="W326:AB326"/>
    <mergeCell ref="W327:AB327"/>
    <mergeCell ref="W331:AB331"/>
    <mergeCell ref="W332:AB332"/>
    <mergeCell ref="W333:AB333"/>
    <mergeCell ref="W334:AB334"/>
    <mergeCell ref="W335:AB335"/>
    <mergeCell ref="W336:AB336"/>
    <mergeCell ref="W337:AB337"/>
    <mergeCell ref="AM319:AV320"/>
    <mergeCell ref="W330:AB330"/>
    <mergeCell ref="G376:BQ376"/>
    <mergeCell ref="W377:Z377"/>
    <mergeCell ref="W378:Z378"/>
    <mergeCell ref="W379:Z379"/>
    <mergeCell ref="W380:Z380"/>
    <mergeCell ref="W381:Z381"/>
    <mergeCell ref="W382:Z382"/>
    <mergeCell ref="W383:Z383"/>
    <mergeCell ref="W384:Z384"/>
    <mergeCell ref="G386:BQ386"/>
    <mergeCell ref="W387:AB387"/>
    <mergeCell ref="W388:AB388"/>
    <mergeCell ref="W389:AB389"/>
    <mergeCell ref="W390:AB390"/>
    <mergeCell ref="G392:BQ392"/>
    <mergeCell ref="W393:Z393"/>
    <mergeCell ref="W329:AB329"/>
    <mergeCell ref="W338:AB338"/>
    <mergeCell ref="G372:I372"/>
    <mergeCell ref="J372:L372"/>
    <mergeCell ref="M372:P372"/>
    <mergeCell ref="Q372:T372"/>
    <mergeCell ref="AY372:BA372"/>
    <mergeCell ref="BB372:BE372"/>
    <mergeCell ref="BF372:BI372"/>
    <mergeCell ref="BJ372:BM372"/>
    <mergeCell ref="BN372:BQ372"/>
    <mergeCell ref="AK369:AN369"/>
    <mergeCell ref="AO369:AR369"/>
    <mergeCell ref="AS369:AU369"/>
    <mergeCell ref="AV369:AX369"/>
    <mergeCell ref="AY369:BA369"/>
    <mergeCell ref="W394:Z394"/>
    <mergeCell ref="W395:Z395"/>
    <mergeCell ref="W396:Z396"/>
    <mergeCell ref="AM396:AV397"/>
    <mergeCell ref="W397:AB397"/>
    <mergeCell ref="G399:BQ399"/>
    <mergeCell ref="W400:AB400"/>
    <mergeCell ref="W401:AB401"/>
    <mergeCell ref="AM401:AV402"/>
    <mergeCell ref="F423:G423"/>
    <mergeCell ref="F424:G424"/>
    <mergeCell ref="F425:G425"/>
    <mergeCell ref="F426:G426"/>
    <mergeCell ref="F427:G427"/>
    <mergeCell ref="F428:G428"/>
    <mergeCell ref="F429:G429"/>
    <mergeCell ref="F430:G430"/>
    <mergeCell ref="AB426:AD426"/>
    <mergeCell ref="M427:O427"/>
    <mergeCell ref="P427:R427"/>
    <mergeCell ref="S427:U427"/>
    <mergeCell ref="V427:X427"/>
    <mergeCell ref="Y427:AA427"/>
    <mergeCell ref="AB427:AD427"/>
    <mergeCell ref="M428:O428"/>
    <mergeCell ref="P428:R428"/>
    <mergeCell ref="S428:U428"/>
    <mergeCell ref="V428:X428"/>
    <mergeCell ref="Y428:AA428"/>
    <mergeCell ref="AB428:AD428"/>
    <mergeCell ref="M429:O429"/>
    <mergeCell ref="P429:R429"/>
    <mergeCell ref="F431:G431"/>
    <mergeCell ref="F432:G432"/>
    <mergeCell ref="F433:G433"/>
    <mergeCell ref="F434:G434"/>
    <mergeCell ref="F435:G435"/>
    <mergeCell ref="F436:G436"/>
    <mergeCell ref="F437:G437"/>
    <mergeCell ref="F438:G438"/>
    <mergeCell ref="F439:G439"/>
    <mergeCell ref="F440:G440"/>
    <mergeCell ref="F441:G441"/>
    <mergeCell ref="F442:G442"/>
    <mergeCell ref="F443:G443"/>
    <mergeCell ref="F444:G444"/>
    <mergeCell ref="F445:G445"/>
    <mergeCell ref="F446:G446"/>
    <mergeCell ref="F447:G447"/>
    <mergeCell ref="F448:G448"/>
    <mergeCell ref="F449:G449"/>
    <mergeCell ref="F450:G450"/>
    <mergeCell ref="F451:G451"/>
    <mergeCell ref="F452:G452"/>
    <mergeCell ref="F453:G453"/>
    <mergeCell ref="F454:G454"/>
    <mergeCell ref="F455:G455"/>
    <mergeCell ref="F456:G456"/>
    <mergeCell ref="F457:G457"/>
    <mergeCell ref="F458:G458"/>
    <mergeCell ref="F459:G459"/>
    <mergeCell ref="F460:G460"/>
    <mergeCell ref="F461:G461"/>
    <mergeCell ref="F462:G462"/>
    <mergeCell ref="F463:G463"/>
    <mergeCell ref="F464:G464"/>
    <mergeCell ref="F465:G465"/>
    <mergeCell ref="F466:G466"/>
    <mergeCell ref="F467:G467"/>
    <mergeCell ref="F468:G468"/>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502:G502"/>
    <mergeCell ref="F503:G503"/>
    <mergeCell ref="F504:G504"/>
    <mergeCell ref="F505:G505"/>
    <mergeCell ref="F506:G506"/>
    <mergeCell ref="F507:G507"/>
    <mergeCell ref="F508:G508"/>
    <mergeCell ref="F509:G509"/>
    <mergeCell ref="F510:G510"/>
    <mergeCell ref="F511:G511"/>
    <mergeCell ref="F512:G512"/>
    <mergeCell ref="F513:G513"/>
    <mergeCell ref="F514:G514"/>
    <mergeCell ref="F515:G515"/>
    <mergeCell ref="F482:G482"/>
    <mergeCell ref="F483:G483"/>
    <mergeCell ref="F484:G484"/>
    <mergeCell ref="F485:G485"/>
    <mergeCell ref="F486:G486"/>
    <mergeCell ref="F487:G487"/>
    <mergeCell ref="F488:G488"/>
    <mergeCell ref="F489:G489"/>
    <mergeCell ref="F490:G490"/>
    <mergeCell ref="F491:G491"/>
    <mergeCell ref="F492:G492"/>
    <mergeCell ref="F493:G493"/>
    <mergeCell ref="F494:G494"/>
    <mergeCell ref="F495:G495"/>
    <mergeCell ref="F496:G496"/>
    <mergeCell ref="F497:G497"/>
    <mergeCell ref="F498:G498"/>
    <mergeCell ref="F516:G516"/>
    <mergeCell ref="H423:I423"/>
    <mergeCell ref="H424:I424"/>
    <mergeCell ref="H425:I425"/>
    <mergeCell ref="H426:I426"/>
    <mergeCell ref="H427:I427"/>
    <mergeCell ref="H428:I428"/>
    <mergeCell ref="H429:I429"/>
    <mergeCell ref="H430:I430"/>
    <mergeCell ref="H431:I431"/>
    <mergeCell ref="H432:I432"/>
    <mergeCell ref="H433:I433"/>
    <mergeCell ref="H434:I434"/>
    <mergeCell ref="H435:I435"/>
    <mergeCell ref="H436:I436"/>
    <mergeCell ref="H437:I437"/>
    <mergeCell ref="H438:I438"/>
    <mergeCell ref="H439:I439"/>
    <mergeCell ref="H440:I440"/>
    <mergeCell ref="H441:I441"/>
    <mergeCell ref="H442:I442"/>
    <mergeCell ref="H443:I443"/>
    <mergeCell ref="H444:I444"/>
    <mergeCell ref="H445:I445"/>
    <mergeCell ref="H446:I446"/>
    <mergeCell ref="H447:I447"/>
    <mergeCell ref="H448:I448"/>
    <mergeCell ref="H449:I449"/>
    <mergeCell ref="H450:I450"/>
    <mergeCell ref="F499:G499"/>
    <mergeCell ref="F500:G500"/>
    <mergeCell ref="F501:G501"/>
    <mergeCell ref="H451:I451"/>
    <mergeCell ref="H452:I452"/>
    <mergeCell ref="H453:I453"/>
    <mergeCell ref="H454:I454"/>
    <mergeCell ref="H455:I455"/>
    <mergeCell ref="H456:I456"/>
    <mergeCell ref="H457:I457"/>
    <mergeCell ref="H458:I458"/>
    <mergeCell ref="H459:I459"/>
    <mergeCell ref="H460:I460"/>
    <mergeCell ref="H461:I461"/>
    <mergeCell ref="H462:I462"/>
    <mergeCell ref="H463:I463"/>
    <mergeCell ref="H464:I464"/>
    <mergeCell ref="H465:I465"/>
    <mergeCell ref="H466:I466"/>
    <mergeCell ref="H467:I467"/>
    <mergeCell ref="H468:I468"/>
    <mergeCell ref="H469:I469"/>
    <mergeCell ref="H470:I470"/>
    <mergeCell ref="H471:I471"/>
    <mergeCell ref="H472:I472"/>
    <mergeCell ref="H473:I473"/>
    <mergeCell ref="H474:I474"/>
    <mergeCell ref="H475:I475"/>
    <mergeCell ref="H476:I476"/>
    <mergeCell ref="H477:I477"/>
    <mergeCell ref="H478:I478"/>
    <mergeCell ref="H479:I479"/>
    <mergeCell ref="H480:I480"/>
    <mergeCell ref="H481:I481"/>
    <mergeCell ref="H482:I482"/>
    <mergeCell ref="H483:I483"/>
    <mergeCell ref="H484:I484"/>
    <mergeCell ref="H485:I485"/>
    <mergeCell ref="H486:I486"/>
    <mergeCell ref="H487:I487"/>
    <mergeCell ref="H488:I488"/>
    <mergeCell ref="H489:I489"/>
    <mergeCell ref="H490:I490"/>
    <mergeCell ref="H491:I491"/>
    <mergeCell ref="H492:I492"/>
    <mergeCell ref="H493:I493"/>
    <mergeCell ref="H494:I494"/>
    <mergeCell ref="H495:I495"/>
    <mergeCell ref="H496:I496"/>
    <mergeCell ref="H497:I497"/>
    <mergeCell ref="H498:I498"/>
    <mergeCell ref="H499:I499"/>
    <mergeCell ref="H500:I500"/>
    <mergeCell ref="H501:I501"/>
    <mergeCell ref="H502:I502"/>
    <mergeCell ref="H503:I503"/>
    <mergeCell ref="H504:I504"/>
    <mergeCell ref="H505:I505"/>
    <mergeCell ref="H506:I506"/>
    <mergeCell ref="H507:I507"/>
    <mergeCell ref="H508:I508"/>
    <mergeCell ref="H509:I509"/>
    <mergeCell ref="H510:I510"/>
    <mergeCell ref="H511:I511"/>
    <mergeCell ref="H512:I512"/>
    <mergeCell ref="H513:I513"/>
    <mergeCell ref="H514:I514"/>
    <mergeCell ref="H515:I515"/>
    <mergeCell ref="H516:I516"/>
    <mergeCell ref="J423:L423"/>
    <mergeCell ref="J424:L424"/>
    <mergeCell ref="J425:L425"/>
    <mergeCell ref="J426:L426"/>
    <mergeCell ref="J427:L427"/>
    <mergeCell ref="J428:L428"/>
    <mergeCell ref="J429:L429"/>
    <mergeCell ref="J430:L430"/>
    <mergeCell ref="J431:L431"/>
    <mergeCell ref="J432:L432"/>
    <mergeCell ref="J433:L433"/>
    <mergeCell ref="J434:L434"/>
    <mergeCell ref="J435:L435"/>
    <mergeCell ref="J436:L436"/>
    <mergeCell ref="J437:L437"/>
    <mergeCell ref="J438:L438"/>
    <mergeCell ref="J439:L439"/>
    <mergeCell ref="J441:L441"/>
    <mergeCell ref="J442:L442"/>
    <mergeCell ref="J443:L443"/>
    <mergeCell ref="J444:L444"/>
    <mergeCell ref="J445:L445"/>
    <mergeCell ref="J446:L446"/>
    <mergeCell ref="J447:L447"/>
    <mergeCell ref="J448:L448"/>
    <mergeCell ref="J449:L449"/>
    <mergeCell ref="J450:L450"/>
    <mergeCell ref="J451:L451"/>
    <mergeCell ref="J452:L452"/>
    <mergeCell ref="J453:L453"/>
    <mergeCell ref="J454:L454"/>
    <mergeCell ref="J455:L455"/>
    <mergeCell ref="J456:L456"/>
    <mergeCell ref="J457:L457"/>
    <mergeCell ref="J458:L458"/>
    <mergeCell ref="J459:L459"/>
    <mergeCell ref="J460:L460"/>
    <mergeCell ref="J461:L461"/>
    <mergeCell ref="J462:L462"/>
    <mergeCell ref="J463:L463"/>
    <mergeCell ref="J464:L464"/>
    <mergeCell ref="J465:L465"/>
    <mergeCell ref="J466:L466"/>
    <mergeCell ref="J467:L467"/>
    <mergeCell ref="J468:L468"/>
    <mergeCell ref="J469:L469"/>
    <mergeCell ref="J470:L470"/>
    <mergeCell ref="J471:L471"/>
    <mergeCell ref="J472:L472"/>
    <mergeCell ref="J473:L473"/>
    <mergeCell ref="J474:L474"/>
    <mergeCell ref="J475:L475"/>
    <mergeCell ref="J476:L476"/>
    <mergeCell ref="J477:L477"/>
    <mergeCell ref="J478:L478"/>
    <mergeCell ref="J479:L479"/>
    <mergeCell ref="J480:L480"/>
    <mergeCell ref="J481:L481"/>
    <mergeCell ref="J482:L482"/>
    <mergeCell ref="J483:L483"/>
    <mergeCell ref="J484:L484"/>
    <mergeCell ref="J485:L485"/>
    <mergeCell ref="J486:L486"/>
    <mergeCell ref="J487:L487"/>
    <mergeCell ref="J488:L488"/>
    <mergeCell ref="J489:L489"/>
    <mergeCell ref="J490:L490"/>
    <mergeCell ref="J491:L491"/>
    <mergeCell ref="J492:L492"/>
    <mergeCell ref="J493:L493"/>
    <mergeCell ref="J494:L494"/>
    <mergeCell ref="J495:L495"/>
    <mergeCell ref="J496:L496"/>
    <mergeCell ref="J497:L497"/>
    <mergeCell ref="J498:L498"/>
    <mergeCell ref="J499:L499"/>
    <mergeCell ref="J500:L500"/>
    <mergeCell ref="J501:L501"/>
    <mergeCell ref="J502:L502"/>
    <mergeCell ref="J503:L503"/>
    <mergeCell ref="J504:L504"/>
    <mergeCell ref="J505:L505"/>
    <mergeCell ref="J506:L506"/>
    <mergeCell ref="J507:L507"/>
    <mergeCell ref="J508:L508"/>
    <mergeCell ref="J509:L509"/>
    <mergeCell ref="J510:L510"/>
    <mergeCell ref="J511:L511"/>
    <mergeCell ref="J512:L512"/>
    <mergeCell ref="J513:L513"/>
    <mergeCell ref="J514:L514"/>
    <mergeCell ref="J515:L515"/>
    <mergeCell ref="J516:L516"/>
    <mergeCell ref="M423:O423"/>
    <mergeCell ref="P423:R423"/>
    <mergeCell ref="S423:U423"/>
    <mergeCell ref="V423:X423"/>
    <mergeCell ref="Y423:AA423"/>
    <mergeCell ref="AB423:AD423"/>
    <mergeCell ref="M424:O424"/>
    <mergeCell ref="P424:R424"/>
    <mergeCell ref="S424:U424"/>
    <mergeCell ref="V424:X424"/>
    <mergeCell ref="Y424:AA424"/>
    <mergeCell ref="AB424:AD424"/>
    <mergeCell ref="M425:O425"/>
    <mergeCell ref="P425:R425"/>
    <mergeCell ref="S425:U425"/>
    <mergeCell ref="V425:X425"/>
    <mergeCell ref="Y425:AA425"/>
    <mergeCell ref="AB425:AD425"/>
    <mergeCell ref="M426:O426"/>
    <mergeCell ref="P426:R426"/>
    <mergeCell ref="S426:U426"/>
    <mergeCell ref="V426:X426"/>
    <mergeCell ref="Y426:AA426"/>
    <mergeCell ref="S429:U429"/>
    <mergeCell ref="V429:X429"/>
    <mergeCell ref="Y429:AA429"/>
    <mergeCell ref="AB429:AD429"/>
    <mergeCell ref="M430:O430"/>
    <mergeCell ref="P430:R430"/>
    <mergeCell ref="S430:U430"/>
    <mergeCell ref="V430:X430"/>
    <mergeCell ref="Y430:AA430"/>
    <mergeCell ref="AB430:AD430"/>
    <mergeCell ref="M431:O431"/>
    <mergeCell ref="P431:R431"/>
    <mergeCell ref="S431:U431"/>
    <mergeCell ref="V431:X431"/>
    <mergeCell ref="Y431:AA431"/>
    <mergeCell ref="AB431:AD431"/>
    <mergeCell ref="M432:O432"/>
    <mergeCell ref="P432:R432"/>
    <mergeCell ref="S432:U432"/>
    <mergeCell ref="V432:X432"/>
    <mergeCell ref="Y432:AA432"/>
    <mergeCell ref="AB432:AD432"/>
    <mergeCell ref="M433:O433"/>
    <mergeCell ref="P433:R433"/>
    <mergeCell ref="S433:U433"/>
    <mergeCell ref="V433:X433"/>
    <mergeCell ref="Y433:AA433"/>
    <mergeCell ref="AB433:AD433"/>
    <mergeCell ref="M434:O434"/>
    <mergeCell ref="P434:R434"/>
    <mergeCell ref="S434:U434"/>
    <mergeCell ref="V434:X434"/>
    <mergeCell ref="Y434:AA434"/>
    <mergeCell ref="AB434:AD434"/>
    <mergeCell ref="M435:O435"/>
    <mergeCell ref="P435:R435"/>
    <mergeCell ref="S435:U435"/>
    <mergeCell ref="V435:X435"/>
    <mergeCell ref="Y435:AA435"/>
    <mergeCell ref="AB435:AD435"/>
    <mergeCell ref="M436:O436"/>
    <mergeCell ref="P436:R436"/>
    <mergeCell ref="S436:U436"/>
    <mergeCell ref="V436:X436"/>
    <mergeCell ref="Y436:AA436"/>
    <mergeCell ref="AB436:AD436"/>
    <mergeCell ref="M437:O437"/>
    <mergeCell ref="P437:R437"/>
    <mergeCell ref="S437:U437"/>
    <mergeCell ref="V437:X437"/>
    <mergeCell ref="Y437:AA437"/>
    <mergeCell ref="AB437:AD437"/>
    <mergeCell ref="M438:O438"/>
    <mergeCell ref="P438:R438"/>
    <mergeCell ref="S438:U438"/>
    <mergeCell ref="V438:X438"/>
    <mergeCell ref="Y438:AA438"/>
    <mergeCell ref="AB438:AD438"/>
    <mergeCell ref="M439:O439"/>
    <mergeCell ref="P439:R439"/>
    <mergeCell ref="S439:U439"/>
    <mergeCell ref="V439:X439"/>
    <mergeCell ref="Y439:AA439"/>
    <mergeCell ref="AB439:AD439"/>
    <mergeCell ref="M440:O440"/>
    <mergeCell ref="P440:R440"/>
    <mergeCell ref="S440:U440"/>
    <mergeCell ref="V440:X440"/>
    <mergeCell ref="Y440:AA440"/>
    <mergeCell ref="AB440:AD440"/>
    <mergeCell ref="M441:O441"/>
    <mergeCell ref="P441:R441"/>
    <mergeCell ref="S441:U441"/>
    <mergeCell ref="V441:X441"/>
    <mergeCell ref="Y441:AA441"/>
    <mergeCell ref="AB441:AD441"/>
    <mergeCell ref="M442:O442"/>
    <mergeCell ref="P442:R442"/>
    <mergeCell ref="S442:U442"/>
    <mergeCell ref="V442:X442"/>
    <mergeCell ref="Y442:AA442"/>
    <mergeCell ref="AB442:AD442"/>
    <mergeCell ref="M443:O443"/>
    <mergeCell ref="P443:R443"/>
    <mergeCell ref="S443:U443"/>
    <mergeCell ref="V443:X443"/>
    <mergeCell ref="Y443:AA443"/>
    <mergeCell ref="AB443:AD443"/>
    <mergeCell ref="M444:O444"/>
    <mergeCell ref="P444:R444"/>
    <mergeCell ref="S444:U444"/>
    <mergeCell ref="V444:X444"/>
    <mergeCell ref="Y444:AA444"/>
    <mergeCell ref="AB444:AD444"/>
    <mergeCell ref="M445:O445"/>
    <mergeCell ref="P445:R445"/>
    <mergeCell ref="S445:U445"/>
    <mergeCell ref="V445:X445"/>
    <mergeCell ref="Y445:AA445"/>
    <mergeCell ref="AB445:AD445"/>
    <mergeCell ref="M446:O446"/>
    <mergeCell ref="P446:R446"/>
    <mergeCell ref="S446:U446"/>
    <mergeCell ref="V446:X446"/>
    <mergeCell ref="Y446:AA446"/>
    <mergeCell ref="AB446:AD446"/>
    <mergeCell ref="M447:O447"/>
    <mergeCell ref="P447:R447"/>
    <mergeCell ref="S447:U447"/>
    <mergeCell ref="V447:X447"/>
    <mergeCell ref="Y447:AA447"/>
    <mergeCell ref="AB447:AD447"/>
    <mergeCell ref="M448:O448"/>
    <mergeCell ref="P448:R448"/>
    <mergeCell ref="S448:U448"/>
    <mergeCell ref="V448:X448"/>
    <mergeCell ref="Y448:AA448"/>
    <mergeCell ref="AB448:AD448"/>
    <mergeCell ref="M449:O449"/>
    <mergeCell ref="P449:R449"/>
    <mergeCell ref="S449:U449"/>
    <mergeCell ref="V449:X449"/>
    <mergeCell ref="Y449:AA449"/>
    <mergeCell ref="AB449:AD449"/>
    <mergeCell ref="M450:O450"/>
    <mergeCell ref="P450:R450"/>
    <mergeCell ref="S450:U450"/>
    <mergeCell ref="V450:X450"/>
    <mergeCell ref="Y450:AA450"/>
    <mergeCell ref="AB450:AD450"/>
    <mergeCell ref="M451:O451"/>
    <mergeCell ref="P451:R451"/>
    <mergeCell ref="S451:U451"/>
    <mergeCell ref="V451:X451"/>
    <mergeCell ref="Y451:AA451"/>
    <mergeCell ref="AB451:AD451"/>
    <mergeCell ref="M452:O452"/>
    <mergeCell ref="P452:R452"/>
    <mergeCell ref="S452:U452"/>
    <mergeCell ref="V452:X452"/>
    <mergeCell ref="Y452:AA452"/>
    <mergeCell ref="AB452:AD452"/>
    <mergeCell ref="M453:O453"/>
    <mergeCell ref="P453:R453"/>
    <mergeCell ref="S453:U453"/>
    <mergeCell ref="V453:X453"/>
    <mergeCell ref="Y453:AA453"/>
    <mergeCell ref="AB453:AD453"/>
    <mergeCell ref="M454:O454"/>
    <mergeCell ref="P454:R454"/>
    <mergeCell ref="S454:U454"/>
    <mergeCell ref="V454:X454"/>
    <mergeCell ref="Y454:AA454"/>
    <mergeCell ref="AB454:AD454"/>
    <mergeCell ref="M455:O455"/>
    <mergeCell ref="P455:R455"/>
    <mergeCell ref="S455:U455"/>
    <mergeCell ref="V455:X455"/>
    <mergeCell ref="Y455:AA455"/>
    <mergeCell ref="AB455:AD455"/>
    <mergeCell ref="M456:O456"/>
    <mergeCell ref="P456:R456"/>
    <mergeCell ref="S456:U456"/>
    <mergeCell ref="V456:X456"/>
    <mergeCell ref="Y456:AA456"/>
    <mergeCell ref="AB456:AD456"/>
    <mergeCell ref="M457:O457"/>
    <mergeCell ref="P457:R457"/>
    <mergeCell ref="S457:U457"/>
    <mergeCell ref="V457:X457"/>
    <mergeCell ref="Y457:AA457"/>
    <mergeCell ref="AB457:AD457"/>
    <mergeCell ref="M458:O458"/>
    <mergeCell ref="P458:R458"/>
    <mergeCell ref="S458:U458"/>
    <mergeCell ref="V458:X458"/>
    <mergeCell ref="Y458:AA458"/>
    <mergeCell ref="AB458:AD458"/>
    <mergeCell ref="M459:O459"/>
    <mergeCell ref="P459:R459"/>
    <mergeCell ref="S459:U459"/>
    <mergeCell ref="V459:X459"/>
    <mergeCell ref="Y459:AA459"/>
    <mergeCell ref="AB459:AD459"/>
    <mergeCell ref="M460:O460"/>
    <mergeCell ref="P460:R460"/>
    <mergeCell ref="S460:U460"/>
    <mergeCell ref="V460:X460"/>
    <mergeCell ref="Y460:AA460"/>
    <mergeCell ref="AB460:AD460"/>
    <mergeCell ref="M461:O461"/>
    <mergeCell ref="P461:R461"/>
    <mergeCell ref="S461:U461"/>
    <mergeCell ref="V461:X461"/>
    <mergeCell ref="Y461:AA461"/>
    <mergeCell ref="AB461:AD461"/>
    <mergeCell ref="M462:O462"/>
    <mergeCell ref="P462:R462"/>
    <mergeCell ref="S462:U462"/>
    <mergeCell ref="V462:X462"/>
    <mergeCell ref="Y462:AA462"/>
    <mergeCell ref="AB462:AD462"/>
    <mergeCell ref="M463:O463"/>
    <mergeCell ref="P463:R463"/>
    <mergeCell ref="S463:U463"/>
    <mergeCell ref="V463:X463"/>
    <mergeCell ref="Y463:AA463"/>
    <mergeCell ref="AB463:AD463"/>
    <mergeCell ref="M464:O464"/>
    <mergeCell ref="P464:R464"/>
    <mergeCell ref="S464:U464"/>
    <mergeCell ref="V464:X464"/>
    <mergeCell ref="Y464:AA464"/>
    <mergeCell ref="AB464:AD464"/>
    <mergeCell ref="M465:O465"/>
    <mergeCell ref="P465:R465"/>
    <mergeCell ref="S465:U465"/>
    <mergeCell ref="V465:X465"/>
    <mergeCell ref="Y465:AA465"/>
    <mergeCell ref="AB465:AD465"/>
    <mergeCell ref="M466:O466"/>
    <mergeCell ref="P466:R466"/>
    <mergeCell ref="S466:U466"/>
    <mergeCell ref="V466:X466"/>
    <mergeCell ref="Y466:AA466"/>
    <mergeCell ref="AB466:AD466"/>
    <mergeCell ref="M467:O467"/>
    <mergeCell ref="P467:R467"/>
    <mergeCell ref="S467:U467"/>
    <mergeCell ref="V467:X467"/>
    <mergeCell ref="Y467:AA467"/>
    <mergeCell ref="AB467:AD467"/>
    <mergeCell ref="M468:O468"/>
    <mergeCell ref="P468:R468"/>
    <mergeCell ref="S468:U468"/>
    <mergeCell ref="V468:X468"/>
    <mergeCell ref="Y468:AA468"/>
    <mergeCell ref="AB468:AD468"/>
    <mergeCell ref="M469:O469"/>
    <mergeCell ref="P469:R469"/>
    <mergeCell ref="S469:U469"/>
    <mergeCell ref="V469:X469"/>
    <mergeCell ref="Y469:AA469"/>
    <mergeCell ref="AB469:AD469"/>
    <mergeCell ref="M470:O470"/>
    <mergeCell ref="P470:R470"/>
    <mergeCell ref="S470:U470"/>
    <mergeCell ref="V470:X470"/>
    <mergeCell ref="Y470:AA470"/>
    <mergeCell ref="AB470:AD470"/>
    <mergeCell ref="M471:O471"/>
    <mergeCell ref="P471:R471"/>
    <mergeCell ref="S471:U471"/>
    <mergeCell ref="V471:X471"/>
    <mergeCell ref="Y471:AA471"/>
    <mergeCell ref="AB471:AD471"/>
    <mergeCell ref="M472:O472"/>
    <mergeCell ref="P472:R472"/>
    <mergeCell ref="S472:U472"/>
    <mergeCell ref="V472:X472"/>
    <mergeCell ref="Y472:AA472"/>
    <mergeCell ref="AB472:AD472"/>
    <mergeCell ref="M473:O473"/>
    <mergeCell ref="P473:R473"/>
    <mergeCell ref="S473:U473"/>
    <mergeCell ref="V473:X473"/>
    <mergeCell ref="Y473:AA473"/>
    <mergeCell ref="AB473:AD473"/>
    <mergeCell ref="M474:O474"/>
    <mergeCell ref="P474:R474"/>
    <mergeCell ref="S474:U474"/>
    <mergeCell ref="V474:X474"/>
    <mergeCell ref="Y474:AA474"/>
    <mergeCell ref="AB474:AD474"/>
    <mergeCell ref="M475:O475"/>
    <mergeCell ref="P475:R475"/>
    <mergeCell ref="S475:U475"/>
    <mergeCell ref="V475:X475"/>
    <mergeCell ref="Y475:AA475"/>
    <mergeCell ref="AB475:AD475"/>
    <mergeCell ref="M476:O476"/>
    <mergeCell ref="P476:R476"/>
    <mergeCell ref="S476:U476"/>
    <mergeCell ref="V476:X476"/>
    <mergeCell ref="Y476:AA476"/>
    <mergeCell ref="AB476:AD476"/>
    <mergeCell ref="M477:O477"/>
    <mergeCell ref="P477:R477"/>
    <mergeCell ref="S477:U477"/>
    <mergeCell ref="V477:X477"/>
    <mergeCell ref="Y477:AA477"/>
    <mergeCell ref="AB477:AD477"/>
    <mergeCell ref="M478:O478"/>
    <mergeCell ref="P478:R478"/>
    <mergeCell ref="S478:U478"/>
    <mergeCell ref="V478:X478"/>
    <mergeCell ref="Y478:AA478"/>
    <mergeCell ref="AB478:AD478"/>
    <mergeCell ref="M479:O479"/>
    <mergeCell ref="P479:R479"/>
    <mergeCell ref="S479:U479"/>
    <mergeCell ref="V479:X479"/>
    <mergeCell ref="Y479:AA479"/>
    <mergeCell ref="AB479:AD479"/>
    <mergeCell ref="M480:O480"/>
    <mergeCell ref="P480:R480"/>
    <mergeCell ref="S480:U480"/>
    <mergeCell ref="V480:X480"/>
    <mergeCell ref="Y480:AA480"/>
    <mergeCell ref="AB480:AD480"/>
    <mergeCell ref="M481:O481"/>
    <mergeCell ref="P481:R481"/>
    <mergeCell ref="S481:U481"/>
    <mergeCell ref="V481:X481"/>
    <mergeCell ref="Y481:AA481"/>
    <mergeCell ref="AB481:AD481"/>
    <mergeCell ref="M482:O482"/>
    <mergeCell ref="P482:R482"/>
    <mergeCell ref="S482:U482"/>
    <mergeCell ref="V482:X482"/>
    <mergeCell ref="Y482:AA482"/>
    <mergeCell ref="AB482:AD482"/>
    <mergeCell ref="M483:O483"/>
    <mergeCell ref="P483:R483"/>
    <mergeCell ref="S483:U483"/>
    <mergeCell ref="V483:X483"/>
    <mergeCell ref="Y483:AA483"/>
    <mergeCell ref="AB483:AD483"/>
    <mergeCell ref="M484:O484"/>
    <mergeCell ref="P484:R484"/>
    <mergeCell ref="S484:U484"/>
    <mergeCell ref="V484:X484"/>
    <mergeCell ref="Y484:AA484"/>
    <mergeCell ref="AB484:AD484"/>
    <mergeCell ref="M485:O485"/>
    <mergeCell ref="P485:R485"/>
    <mergeCell ref="S485:U485"/>
    <mergeCell ref="V485:X485"/>
    <mergeCell ref="Y485:AA485"/>
    <mergeCell ref="AB485:AD485"/>
    <mergeCell ref="M486:O486"/>
    <mergeCell ref="P486:R486"/>
    <mergeCell ref="S486:U486"/>
    <mergeCell ref="V486:X486"/>
    <mergeCell ref="Y486:AA486"/>
    <mergeCell ref="AB486:AD486"/>
    <mergeCell ref="M487:O487"/>
    <mergeCell ref="P487:R487"/>
    <mergeCell ref="S487:U487"/>
    <mergeCell ref="V487:X487"/>
    <mergeCell ref="Y487:AA487"/>
    <mergeCell ref="AB487:AD487"/>
    <mergeCell ref="M488:O488"/>
    <mergeCell ref="P488:R488"/>
    <mergeCell ref="S488:U488"/>
    <mergeCell ref="V488:X488"/>
    <mergeCell ref="Y488:AA488"/>
    <mergeCell ref="AB488:AD488"/>
    <mergeCell ref="M489:O489"/>
    <mergeCell ref="P489:R489"/>
    <mergeCell ref="S489:U489"/>
    <mergeCell ref="V489:X489"/>
    <mergeCell ref="Y489:AA489"/>
    <mergeCell ref="AB489:AD489"/>
    <mergeCell ref="M490:O490"/>
    <mergeCell ref="P490:R490"/>
    <mergeCell ref="S490:U490"/>
    <mergeCell ref="V490:X490"/>
    <mergeCell ref="Y490:AA490"/>
    <mergeCell ref="AB490:AD490"/>
    <mergeCell ref="M491:O491"/>
    <mergeCell ref="P491:R491"/>
    <mergeCell ref="S491:U491"/>
    <mergeCell ref="V491:X491"/>
    <mergeCell ref="Y491:AA491"/>
    <mergeCell ref="AB491:AD491"/>
    <mergeCell ref="M492:O492"/>
    <mergeCell ref="P492:R492"/>
    <mergeCell ref="S492:U492"/>
    <mergeCell ref="V492:X492"/>
    <mergeCell ref="Y492:AA492"/>
    <mergeCell ref="AB492:AD492"/>
    <mergeCell ref="M493:O493"/>
    <mergeCell ref="P493:R493"/>
    <mergeCell ref="S493:U493"/>
    <mergeCell ref="V493:X493"/>
    <mergeCell ref="Y493:AA493"/>
    <mergeCell ref="AB493:AD493"/>
    <mergeCell ref="M494:O494"/>
    <mergeCell ref="P494:R494"/>
    <mergeCell ref="S494:U494"/>
    <mergeCell ref="V494:X494"/>
    <mergeCell ref="Y494:AA494"/>
    <mergeCell ref="AB494:AD494"/>
    <mergeCell ref="M495:O495"/>
    <mergeCell ref="P495:R495"/>
    <mergeCell ref="S495:U495"/>
    <mergeCell ref="V495:X495"/>
    <mergeCell ref="Y495:AA495"/>
    <mergeCell ref="AB495:AD495"/>
    <mergeCell ref="M496:O496"/>
    <mergeCell ref="P496:R496"/>
    <mergeCell ref="S496:U496"/>
    <mergeCell ref="V496:X496"/>
    <mergeCell ref="Y496:AA496"/>
    <mergeCell ref="AB496:AD496"/>
    <mergeCell ref="M497:O497"/>
    <mergeCell ref="P497:R497"/>
    <mergeCell ref="S497:U497"/>
    <mergeCell ref="V497:X497"/>
    <mergeCell ref="Y497:AA497"/>
    <mergeCell ref="AB497:AD497"/>
    <mergeCell ref="M498:O498"/>
    <mergeCell ref="P498:R498"/>
    <mergeCell ref="S498:U498"/>
    <mergeCell ref="V498:X498"/>
    <mergeCell ref="Y498:AA498"/>
    <mergeCell ref="AB498:AD498"/>
    <mergeCell ref="M499:O499"/>
    <mergeCell ref="P499:R499"/>
    <mergeCell ref="S499:U499"/>
    <mergeCell ref="V499:X499"/>
    <mergeCell ref="Y499:AA499"/>
    <mergeCell ref="AB499:AD499"/>
    <mergeCell ref="M500:O500"/>
    <mergeCell ref="P500:R500"/>
    <mergeCell ref="S500:U500"/>
    <mergeCell ref="V500:X500"/>
    <mergeCell ref="Y500:AA500"/>
    <mergeCell ref="AB500:AD500"/>
    <mergeCell ref="M501:O501"/>
    <mergeCell ref="P501:R501"/>
    <mergeCell ref="S501:U501"/>
    <mergeCell ref="V501:X501"/>
    <mergeCell ref="Y501:AA501"/>
    <mergeCell ref="AB501:AD501"/>
    <mergeCell ref="M502:O502"/>
    <mergeCell ref="P502:R502"/>
    <mergeCell ref="S502:U502"/>
    <mergeCell ref="V502:X502"/>
    <mergeCell ref="Y502:AA502"/>
    <mergeCell ref="AB502:AD502"/>
    <mergeCell ref="M503:O503"/>
    <mergeCell ref="P503:R503"/>
    <mergeCell ref="S503:U503"/>
    <mergeCell ref="V503:X503"/>
    <mergeCell ref="Y503:AA503"/>
    <mergeCell ref="AB503:AD503"/>
    <mergeCell ref="M504:O504"/>
    <mergeCell ref="P504:R504"/>
    <mergeCell ref="S504:U504"/>
    <mergeCell ref="V504:X504"/>
    <mergeCell ref="Y504:AA504"/>
    <mergeCell ref="AB504:AD504"/>
    <mergeCell ref="S510:U510"/>
    <mergeCell ref="V510:X510"/>
    <mergeCell ref="Y510:AA510"/>
    <mergeCell ref="AB510:AD510"/>
    <mergeCell ref="M505:O505"/>
    <mergeCell ref="P505:R505"/>
    <mergeCell ref="S505:U505"/>
    <mergeCell ref="V505:X505"/>
    <mergeCell ref="Y505:AA505"/>
    <mergeCell ref="AB505:AD505"/>
    <mergeCell ref="M506:O506"/>
    <mergeCell ref="P506:R506"/>
    <mergeCell ref="S506:U506"/>
    <mergeCell ref="V506:X506"/>
    <mergeCell ref="Y506:AA506"/>
    <mergeCell ref="AB506:AD506"/>
    <mergeCell ref="M507:O507"/>
    <mergeCell ref="P507:R507"/>
    <mergeCell ref="S507:U507"/>
    <mergeCell ref="V507:X507"/>
    <mergeCell ref="Y507:AA507"/>
    <mergeCell ref="AB507:AD507"/>
    <mergeCell ref="M516:O516"/>
    <mergeCell ref="P516:R516"/>
    <mergeCell ref="S516:U516"/>
    <mergeCell ref="V516:X516"/>
    <mergeCell ref="Y516:AA516"/>
    <mergeCell ref="AB516:AD516"/>
    <mergeCell ref="M511:O511"/>
    <mergeCell ref="P511:R511"/>
    <mergeCell ref="S511:U511"/>
    <mergeCell ref="V511:X511"/>
    <mergeCell ref="Y511:AA511"/>
    <mergeCell ref="AB511:AD511"/>
    <mergeCell ref="M512:O512"/>
    <mergeCell ref="P512:R512"/>
    <mergeCell ref="S512:U512"/>
    <mergeCell ref="V512:X512"/>
    <mergeCell ref="Y512:AA512"/>
    <mergeCell ref="AB512:AD512"/>
    <mergeCell ref="M513:O513"/>
    <mergeCell ref="P513:R513"/>
    <mergeCell ref="S513:U513"/>
    <mergeCell ref="V513:X513"/>
    <mergeCell ref="Y513:AA513"/>
    <mergeCell ref="AB513:AD513"/>
    <mergeCell ref="AE440:AF440"/>
    <mergeCell ref="AE441:AF441"/>
    <mergeCell ref="AE442:AF442"/>
    <mergeCell ref="AE443:AF443"/>
    <mergeCell ref="AE444:AF444"/>
    <mergeCell ref="AE445:AF445"/>
    <mergeCell ref="M514:O514"/>
    <mergeCell ref="P514:R514"/>
    <mergeCell ref="S514:U514"/>
    <mergeCell ref="V514:X514"/>
    <mergeCell ref="Y514:AA514"/>
    <mergeCell ref="AB514:AD514"/>
    <mergeCell ref="M515:O515"/>
    <mergeCell ref="P515:R515"/>
    <mergeCell ref="S515:U515"/>
    <mergeCell ref="V515:X515"/>
    <mergeCell ref="Y515:AA515"/>
    <mergeCell ref="AB515:AD515"/>
    <mergeCell ref="M508:O508"/>
    <mergeCell ref="P508:R508"/>
    <mergeCell ref="S508:U508"/>
    <mergeCell ref="V508:X508"/>
    <mergeCell ref="Y508:AA508"/>
    <mergeCell ref="AB508:AD508"/>
    <mergeCell ref="M509:O509"/>
    <mergeCell ref="P509:R509"/>
    <mergeCell ref="S509:U509"/>
    <mergeCell ref="V509:X509"/>
    <mergeCell ref="Y509:AA509"/>
    <mergeCell ref="AB509:AD509"/>
    <mergeCell ref="M510:O510"/>
    <mergeCell ref="P510:R510"/>
    <mergeCell ref="AE423:AF423"/>
    <mergeCell ref="AE424:AF424"/>
    <mergeCell ref="AE425:AF425"/>
    <mergeCell ref="AE426:AF426"/>
    <mergeCell ref="AE427:AF427"/>
    <mergeCell ref="AE428:AF428"/>
    <mergeCell ref="AE429:AF429"/>
    <mergeCell ref="AE430:AF430"/>
    <mergeCell ref="AE431:AF431"/>
    <mergeCell ref="AE432:AF432"/>
    <mergeCell ref="AE433:AF433"/>
    <mergeCell ref="AE434:AF434"/>
    <mergeCell ref="AE435:AF435"/>
    <mergeCell ref="AE436:AF436"/>
    <mergeCell ref="AE437:AF437"/>
    <mergeCell ref="AE438:AF438"/>
    <mergeCell ref="AE439:AF439"/>
    <mergeCell ref="AE446:AF446"/>
    <mergeCell ref="AE447:AF447"/>
    <mergeCell ref="AE448:AF448"/>
    <mergeCell ref="AE449:AF449"/>
    <mergeCell ref="AE450:AF450"/>
    <mergeCell ref="AE451:AF451"/>
    <mergeCell ref="AE452:AF452"/>
    <mergeCell ref="AE453:AF453"/>
    <mergeCell ref="AE454:AF454"/>
    <mergeCell ref="AE455:AF455"/>
    <mergeCell ref="AE456:AF456"/>
    <mergeCell ref="AE483:AF483"/>
    <mergeCell ref="AE484:AF484"/>
    <mergeCell ref="AE485:AF485"/>
    <mergeCell ref="AE486:AF486"/>
    <mergeCell ref="AE487:AF487"/>
    <mergeCell ref="AE488:AF488"/>
    <mergeCell ref="AE476:AF476"/>
    <mergeCell ref="AE477:AF477"/>
    <mergeCell ref="AE478:AF478"/>
    <mergeCell ref="AE479:AF479"/>
    <mergeCell ref="AE480:AF480"/>
    <mergeCell ref="AE481:AF481"/>
    <mergeCell ref="AE482:AF482"/>
    <mergeCell ref="AE472:AF472"/>
    <mergeCell ref="AE473:AF473"/>
    <mergeCell ref="AE489:AF489"/>
    <mergeCell ref="AE490:AF490"/>
    <mergeCell ref="AE516:AF516"/>
    <mergeCell ref="AE491:AF491"/>
    <mergeCell ref="AE492:AF492"/>
    <mergeCell ref="AE493:AF493"/>
    <mergeCell ref="AE494:AF494"/>
    <mergeCell ref="AE495:AF495"/>
    <mergeCell ref="AE496:AF496"/>
    <mergeCell ref="AE497:AF497"/>
    <mergeCell ref="AE498:AF498"/>
    <mergeCell ref="AE499:AF499"/>
    <mergeCell ref="AE500:AF500"/>
    <mergeCell ref="AE501:AF501"/>
    <mergeCell ref="AE502:AF502"/>
    <mergeCell ref="AE503:AF503"/>
    <mergeCell ref="AE504:AF504"/>
    <mergeCell ref="AE505:AF505"/>
    <mergeCell ref="AE506:AF506"/>
    <mergeCell ref="AE507:AF507"/>
    <mergeCell ref="AE511:AF511"/>
    <mergeCell ref="AE512:AF512"/>
    <mergeCell ref="AE513:AF513"/>
    <mergeCell ref="AE514:AF514"/>
    <mergeCell ref="AE515:AF515"/>
    <mergeCell ref="I79:BQ80"/>
    <mergeCell ref="I81:BQ83"/>
    <mergeCell ref="I87:BQ88"/>
    <mergeCell ref="BS189:BY190"/>
    <mergeCell ref="X193:AF194"/>
    <mergeCell ref="AC190:AR191"/>
    <mergeCell ref="X198:AG199"/>
    <mergeCell ref="W205:AF206"/>
    <mergeCell ref="BS219:BY220"/>
    <mergeCell ref="BS217:BY218"/>
    <mergeCell ref="BS225:BY226"/>
    <mergeCell ref="AM333:BI334"/>
    <mergeCell ref="AE508:AF508"/>
    <mergeCell ref="AE509:AF509"/>
    <mergeCell ref="AE510:AF510"/>
    <mergeCell ref="AE457:AF457"/>
    <mergeCell ref="AE458:AF458"/>
    <mergeCell ref="AE459:AF459"/>
    <mergeCell ref="AE460:AF460"/>
    <mergeCell ref="AE461:AF461"/>
    <mergeCell ref="AE462:AF462"/>
    <mergeCell ref="AE463:AF463"/>
    <mergeCell ref="AE464:AF464"/>
    <mergeCell ref="AE465:AF465"/>
    <mergeCell ref="AE466:AF466"/>
    <mergeCell ref="AE467:AF467"/>
    <mergeCell ref="AE468:AF468"/>
    <mergeCell ref="AE469:AF469"/>
    <mergeCell ref="AE470:AF470"/>
    <mergeCell ref="AE471:AF471"/>
    <mergeCell ref="AE474:AF474"/>
    <mergeCell ref="AE475:AF475"/>
  </mergeCells>
  <conditionalFormatting sqref="F674:I773">
    <cfRule type="notContainsBlanks" dxfId="13" priority="5">
      <formula>LEN(TRIM(F674))&gt;0</formula>
    </cfRule>
  </conditionalFormatting>
  <conditionalFormatting sqref="F417:AD516">
    <cfRule type="notContainsBlanks" dxfId="12" priority="344">
      <formula>LEN(TRIM(F417))&gt;0</formula>
    </cfRule>
  </conditionalFormatting>
  <conditionalFormatting sqref="F542:AD641">
    <cfRule type="notContainsBlanks" dxfId="11" priority="7">
      <formula>LEN(TRIM(F542))&gt;0</formula>
    </cfRule>
  </conditionalFormatting>
  <conditionalFormatting sqref="F675:BQ773">
    <cfRule type="notContainsBlanks" dxfId="10" priority="6">
      <formula>LEN(TRIM(F675))&gt;0</formula>
    </cfRule>
  </conditionalFormatting>
  <conditionalFormatting sqref="F418:BR513 F514:AF514 AI514:BR514 F515:BR516">
    <cfRule type="notContainsBlanks" dxfId="9" priority="10">
      <formula>LEN(TRIM(F418))&gt;0</formula>
    </cfRule>
  </conditionalFormatting>
  <conditionalFormatting sqref="F543:BR641">
    <cfRule type="notContainsBlanks" dxfId="8" priority="8">
      <formula>LEN(TRIM(F543))&gt;0</formula>
    </cfRule>
  </conditionalFormatting>
  <conditionalFormatting sqref="W313:AB313">
    <cfRule type="cellIs" dxfId="7" priority="224" operator="lessThanOrEqual">
      <formula>1</formula>
    </cfRule>
    <cfRule type="cellIs" dxfId="6" priority="225" operator="greaterThan">
      <formula>1</formula>
    </cfRule>
  </conditionalFormatting>
  <conditionalFormatting sqref="W401:AB401">
    <cfRule type="cellIs" dxfId="5" priority="13" operator="lessThanOrEqual">
      <formula>1</formula>
    </cfRule>
    <cfRule type="cellIs" dxfId="4" priority="14" operator="greaterThan">
      <formula>1</formula>
    </cfRule>
  </conditionalFormatting>
  <conditionalFormatting sqref="AB674:AE773">
    <cfRule type="notContainsBlanks" dxfId="3" priority="4">
      <formula>LEN(TRIM(AB674))&gt;0</formula>
    </cfRule>
  </conditionalFormatting>
  <conditionalFormatting sqref="BL674:BN773">
    <cfRule type="notContainsBlanks" dxfId="2" priority="3">
      <formula>LEN(TRIM(BL674))&gt;0</formula>
    </cfRule>
  </conditionalFormatting>
  <conditionalFormatting sqref="BO674:BQ773">
    <cfRule type="cellIs" dxfId="1" priority="1" operator="between">
      <formula>0</formula>
      <formula>0.999999999999999</formula>
    </cfRule>
    <cfRule type="cellIs" dxfId="0" priority="2" operator="between">
      <formula>1.000000001</formula>
      <formula>999999999999999000</formula>
    </cfRule>
  </conditionalFormatting>
  <printOptions horizontalCentered="1"/>
  <pageMargins left="0.25" right="0.25" top="0.3" bottom="0.3" header="0.3" footer="0"/>
  <pageSetup paperSize="3" orientation="landscape" r:id="rId1"/>
  <headerFooter>
    <oddHeader xml:space="preserve">&amp;R&amp;"Jacobs Chronos,Regular"&amp;9&amp;P of &amp;N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1B-2C0E-4E9C-B067-40EA1FF877A6}">
  <sheetPr>
    <tabColor rgb="FFC00000"/>
  </sheetPr>
  <dimension ref="A1:BP17"/>
  <sheetViews>
    <sheetView workbookViewId="0">
      <selection activeCell="I11" sqref="I11"/>
    </sheetView>
  </sheetViews>
  <sheetFormatPr defaultColWidth="8.85546875" defaultRowHeight="12" x14ac:dyDescent="0.2"/>
  <cols>
    <col min="1" max="1" width="66" style="4" bestFit="1" customWidth="1"/>
    <col min="2" max="2" width="12.28515625" style="4" bestFit="1" customWidth="1"/>
    <col min="3" max="4" width="8.85546875" style="4"/>
    <col min="5" max="5" width="12.85546875" style="4" bestFit="1" customWidth="1"/>
    <col min="6" max="6" width="8.85546875" style="4"/>
    <col min="7" max="7" width="56.28515625" style="4" customWidth="1"/>
    <col min="8" max="8" width="8.85546875" style="4"/>
    <col min="9" max="9" width="12.28515625" style="4" bestFit="1" customWidth="1"/>
    <col min="10" max="10" width="19" style="4" bestFit="1" customWidth="1"/>
    <col min="11" max="16384" width="8.85546875" style="4"/>
  </cols>
  <sheetData>
    <row r="1" spans="1:68" x14ac:dyDescent="0.2">
      <c r="A1" s="377" t="s">
        <v>31</v>
      </c>
      <c r="B1" s="378"/>
      <c r="C1" s="378"/>
      <c r="D1" s="378"/>
      <c r="E1" s="378"/>
      <c r="F1" s="378"/>
      <c r="G1" s="378"/>
      <c r="H1" s="378"/>
      <c r="I1" s="378"/>
      <c r="J1" s="378"/>
      <c r="K1" s="378"/>
      <c r="L1" s="378"/>
      <c r="M1" s="378"/>
      <c r="N1" s="378"/>
      <c r="O1" s="378"/>
      <c r="P1" s="378"/>
      <c r="Q1" s="378"/>
      <c r="R1" s="378"/>
      <c r="S1" s="378"/>
      <c r="T1" s="378"/>
      <c r="U1" s="378"/>
      <c r="V1" s="378"/>
      <c r="W1" s="378"/>
      <c r="X1" s="378"/>
      <c r="Y1" s="378"/>
      <c r="Z1" s="378"/>
      <c r="AA1" s="378"/>
      <c r="AB1" s="378"/>
      <c r="AC1" s="378"/>
      <c r="AD1" s="378"/>
      <c r="AE1" s="378"/>
      <c r="AF1" s="378"/>
      <c r="AG1" s="378"/>
      <c r="AH1" s="378"/>
      <c r="AI1" s="378"/>
      <c r="AJ1" s="378"/>
      <c r="AK1" s="378"/>
      <c r="AL1" s="378"/>
      <c r="AM1" s="378"/>
      <c r="AN1" s="378"/>
      <c r="AO1" s="378"/>
      <c r="AP1" s="378"/>
      <c r="AQ1" s="378"/>
      <c r="AR1" s="378"/>
      <c r="AS1" s="378"/>
      <c r="AT1" s="378"/>
      <c r="AU1" s="378"/>
      <c r="AV1" s="378"/>
      <c r="AW1" s="378"/>
      <c r="AX1" s="378"/>
      <c r="AY1" s="378"/>
      <c r="AZ1" s="378"/>
      <c r="BA1" s="378"/>
      <c r="BB1" s="378"/>
      <c r="BC1" s="378"/>
      <c r="BD1" s="378"/>
      <c r="BE1" s="378"/>
      <c r="BF1" s="378"/>
      <c r="BG1" s="378"/>
      <c r="BH1" s="378"/>
      <c r="BI1" s="378"/>
      <c r="BJ1" s="378"/>
      <c r="BK1" s="378"/>
      <c r="BL1" s="378"/>
      <c r="BM1" s="378"/>
      <c r="BN1" s="378"/>
      <c r="BO1" s="378"/>
      <c r="BP1" s="378"/>
    </row>
    <row r="2" spans="1:68" x14ac:dyDescent="0.2">
      <c r="A2" s="21" t="s">
        <v>39</v>
      </c>
      <c r="B2" s="25">
        <f>Mat.PT_k</f>
        <v>0.28000000000000003</v>
      </c>
      <c r="I2" s="376" t="s">
        <v>64</v>
      </c>
      <c r="J2" s="376"/>
    </row>
    <row r="3" spans="1:68" x14ac:dyDescent="0.2">
      <c r="A3" s="21" t="s">
        <v>40</v>
      </c>
      <c r="B3" s="25">
        <f>Mat.Conc_Beta.1</f>
        <v>0.79999999999999993</v>
      </c>
      <c r="E3" s="26" t="s">
        <v>58</v>
      </c>
      <c r="F3" s="27"/>
      <c r="G3" s="28" t="s">
        <v>59</v>
      </c>
      <c r="I3" s="28" t="s">
        <v>65</v>
      </c>
      <c r="J3" s="28" t="s">
        <v>66</v>
      </c>
    </row>
    <row r="4" spans="1:68" ht="36" x14ac:dyDescent="0.2">
      <c r="A4" s="21" t="s">
        <v>42</v>
      </c>
      <c r="B4" s="25">
        <f>Mat.Conc_Alpha.1</f>
        <v>0.85</v>
      </c>
      <c r="E4" s="29" t="s">
        <v>60</v>
      </c>
      <c r="G4" s="30" t="s">
        <v>61</v>
      </c>
      <c r="I4" s="31" t="s">
        <v>67</v>
      </c>
      <c r="J4" s="31" t="s">
        <v>68</v>
      </c>
    </row>
    <row r="5" spans="1:68" ht="36" x14ac:dyDescent="0.2">
      <c r="A5" s="21" t="s">
        <v>356</v>
      </c>
      <c r="B5" s="23" t="e" vm="2">
        <f>Calculation!W290</f>
        <v>#VALUE!</v>
      </c>
      <c r="G5" s="30" t="s">
        <v>62</v>
      </c>
      <c r="I5" s="31" t="s">
        <v>69</v>
      </c>
      <c r="J5" s="31" t="s">
        <v>70</v>
      </c>
    </row>
    <row r="6" spans="1:68" ht="36" x14ac:dyDescent="0.2">
      <c r="A6" s="21" t="s">
        <v>355</v>
      </c>
      <c r="B6" s="23" t="e" vm="2">
        <f>Calculation!W291</f>
        <v>#VALUE!</v>
      </c>
      <c r="G6" s="30" t="s">
        <v>63</v>
      </c>
      <c r="I6" s="31" t="s">
        <v>71</v>
      </c>
      <c r="J6" s="31" t="s">
        <v>72</v>
      </c>
    </row>
    <row r="7" spans="1:68" x14ac:dyDescent="0.2">
      <c r="A7" s="21"/>
      <c r="B7" s="25"/>
      <c r="I7" s="31" t="s">
        <v>73</v>
      </c>
      <c r="J7" s="31" t="s">
        <v>74</v>
      </c>
    </row>
    <row r="8" spans="1:68" x14ac:dyDescent="0.2">
      <c r="A8" s="21"/>
      <c r="B8" s="24"/>
      <c r="I8" s="31" t="s">
        <v>75</v>
      </c>
      <c r="J8" s="31" t="s">
        <v>76</v>
      </c>
    </row>
    <row r="9" spans="1:68" x14ac:dyDescent="0.2">
      <c r="A9" s="21" t="s">
        <v>43</v>
      </c>
      <c r="B9" s="25" t="e" vm="2">
        <f>Calculation!W302</f>
        <v>#VALUE!</v>
      </c>
      <c r="I9" s="31" t="s">
        <v>77</v>
      </c>
      <c r="J9" s="31" t="s">
        <v>78</v>
      </c>
    </row>
    <row r="10" spans="1:68" x14ac:dyDescent="0.2">
      <c r="A10" s="21" t="s">
        <v>45</v>
      </c>
      <c r="B10" s="32" t="e" vm="2">
        <f>Calculation!W312</f>
        <v>#VALUE!</v>
      </c>
      <c r="I10" s="31" t="s">
        <v>79</v>
      </c>
      <c r="J10" s="31" t="s">
        <v>80</v>
      </c>
    </row>
    <row r="11" spans="1:68" x14ac:dyDescent="0.2">
      <c r="A11" s="2" t="s">
        <v>46</v>
      </c>
      <c r="B11" s="25" t="e" vm="2">
        <f>Calculation!W313</f>
        <v>#VALUE!</v>
      </c>
      <c r="I11" s="31" t="s">
        <v>81</v>
      </c>
      <c r="J11" s="31" t="s">
        <v>82</v>
      </c>
    </row>
    <row r="12" spans="1:68" x14ac:dyDescent="0.2">
      <c r="A12" s="377" t="s">
        <v>47</v>
      </c>
      <c r="B12" s="378"/>
      <c r="C12" s="378"/>
      <c r="D12" s="378"/>
      <c r="E12" s="378"/>
      <c r="F12" s="378"/>
      <c r="G12" s="378"/>
      <c r="H12" s="378"/>
      <c r="I12" s="378"/>
      <c r="J12" s="378"/>
      <c r="K12" s="378"/>
      <c r="L12" s="378"/>
      <c r="M12" s="378"/>
      <c r="N12" s="378"/>
      <c r="O12" s="378"/>
      <c r="P12" s="378"/>
      <c r="Q12" s="378"/>
      <c r="R12" s="378"/>
      <c r="S12" s="378"/>
      <c r="T12" s="378"/>
      <c r="U12" s="378"/>
      <c r="V12" s="378"/>
      <c r="W12" s="378"/>
      <c r="X12" s="378"/>
      <c r="Y12" s="378"/>
      <c r="Z12" s="378"/>
      <c r="AA12" s="378"/>
      <c r="AB12" s="378"/>
      <c r="AC12" s="378"/>
      <c r="AD12" s="378"/>
      <c r="AE12" s="378"/>
      <c r="AF12" s="378"/>
      <c r="AG12" s="378"/>
      <c r="AH12" s="378"/>
      <c r="AI12" s="378"/>
      <c r="AJ12" s="378"/>
      <c r="AK12" s="378"/>
      <c r="AL12" s="378"/>
      <c r="AM12" s="378"/>
      <c r="AN12" s="378"/>
      <c r="AO12" s="378"/>
      <c r="AP12" s="378"/>
      <c r="AQ12" s="378"/>
      <c r="AR12" s="378"/>
      <c r="AS12" s="378"/>
      <c r="AT12" s="378"/>
      <c r="AU12" s="378"/>
      <c r="AV12" s="378"/>
      <c r="AW12" s="378"/>
      <c r="AX12" s="378"/>
      <c r="AY12" s="378"/>
      <c r="AZ12" s="378"/>
      <c r="BA12" s="378"/>
      <c r="BB12" s="378"/>
      <c r="BC12" s="378"/>
      <c r="BD12" s="378"/>
      <c r="BE12" s="378"/>
      <c r="BF12" s="378"/>
      <c r="BG12" s="378"/>
      <c r="BH12" s="378"/>
      <c r="BI12" s="378"/>
      <c r="BJ12" s="378"/>
      <c r="BK12" s="378"/>
      <c r="BL12" s="378"/>
      <c r="BM12" s="378"/>
      <c r="BN12" s="378"/>
      <c r="BO12" s="378"/>
      <c r="BP12" s="378"/>
    </row>
    <row r="13" spans="1:68" x14ac:dyDescent="0.2">
      <c r="A13" s="21" t="s">
        <v>356</v>
      </c>
      <c r="B13" s="23" t="e" vm="2">
        <f>Calculation!W378</f>
        <v>#VALUE!</v>
      </c>
    </row>
    <row r="14" spans="1:68" x14ac:dyDescent="0.2">
      <c r="A14" s="21" t="s">
        <v>355</v>
      </c>
      <c r="B14" s="23" t="e" vm="2">
        <f>Calculation!W379</f>
        <v>#VALUE!</v>
      </c>
    </row>
    <row r="15" spans="1:68" x14ac:dyDescent="0.2">
      <c r="A15" s="2" t="s">
        <v>43</v>
      </c>
      <c r="B15" s="25" t="e" vm="2">
        <f>Calculation!W390</f>
        <v>#VALUE!</v>
      </c>
    </row>
    <row r="16" spans="1:68" x14ac:dyDescent="0.2">
      <c r="A16" s="2" t="s">
        <v>49</v>
      </c>
      <c r="B16" s="32" t="e" vm="2">
        <f>Calculation!W400</f>
        <v>#VALUE!</v>
      </c>
    </row>
    <row r="17" spans="1:2" x14ac:dyDescent="0.2">
      <c r="A17" s="2" t="s">
        <v>46</v>
      </c>
      <c r="B17" s="25" t="e" vm="2">
        <f>Calculation!W401</f>
        <v>#VALUE!</v>
      </c>
    </row>
  </sheetData>
  <mergeCells count="3">
    <mergeCell ref="I2:J2"/>
    <mergeCell ref="A1:BP1"/>
    <mergeCell ref="A12:BP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E19A-18DB-45FC-A3AD-52EDAD73777F}">
  <sheetPr codeName="Sheet5">
    <tabColor theme="1"/>
  </sheetPr>
  <dimension ref="A1:B8"/>
  <sheetViews>
    <sheetView workbookViewId="0">
      <selection activeCell="C10" sqref="C10"/>
    </sheetView>
  </sheetViews>
  <sheetFormatPr defaultColWidth="9.140625" defaultRowHeight="12" x14ac:dyDescent="0.2"/>
  <cols>
    <col min="1" max="1" width="9.140625" style="9"/>
    <col min="2" max="16384" width="9.140625" style="4"/>
  </cols>
  <sheetData>
    <row r="1" spans="1:2" x14ac:dyDescent="0.2">
      <c r="A1" s="9" t="s">
        <v>51</v>
      </c>
    </row>
    <row r="2" spans="1:2" x14ac:dyDescent="0.2">
      <c r="A2" s="9">
        <v>1</v>
      </c>
      <c r="B2" s="4" t="s">
        <v>52</v>
      </c>
    </row>
    <row r="3" spans="1:2" x14ac:dyDescent="0.2">
      <c r="A3" s="9">
        <v>2</v>
      </c>
      <c r="B3" s="4" t="s">
        <v>53</v>
      </c>
    </row>
    <row r="4" spans="1:2" x14ac:dyDescent="0.2">
      <c r="A4" s="9">
        <v>3</v>
      </c>
      <c r="B4" s="4" t="s">
        <v>54</v>
      </c>
    </row>
    <row r="5" spans="1:2" x14ac:dyDescent="0.2">
      <c r="A5" s="9">
        <v>4</v>
      </c>
      <c r="B5" s="4" t="s">
        <v>55</v>
      </c>
    </row>
    <row r="6" spans="1:2" x14ac:dyDescent="0.2">
      <c r="A6" s="9">
        <v>5</v>
      </c>
      <c r="B6" s="4" t="s">
        <v>56</v>
      </c>
    </row>
    <row r="7" spans="1:2" x14ac:dyDescent="0.2">
      <c r="A7" s="9">
        <v>6</v>
      </c>
      <c r="B7" s="4" t="s">
        <v>57</v>
      </c>
    </row>
    <row r="8" spans="1:2" x14ac:dyDescent="0.2">
      <c r="A8" s="9">
        <v>7</v>
      </c>
      <c r="B8" s="4" t="s">
        <v>353</v>
      </c>
    </row>
  </sheetData>
  <printOptions horizontalCentered="1"/>
  <pageMargins left="0.25" right="0.25" top="0.3" bottom="0.3" header="0.3" footer="0"/>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A41081B17EE040A2444D5A6D878863" ma:contentTypeVersion="34" ma:contentTypeDescription="Create a new document." ma:contentTypeScope="" ma:versionID="bb858a0d24735d40f7c83677edc2235f">
  <xsd:schema xmlns:xsd="http://www.w3.org/2001/XMLSchema" xmlns:xs="http://www.w3.org/2001/XMLSchema" xmlns:p="http://schemas.microsoft.com/office/2006/metadata/properties" xmlns:ns2="0f960519-5caf-4de2-84f0-f6d58d38b748" xmlns:ns3="f24df638-9aca-4731-be58-9fbaeb5edb6e" xmlns:ns4="c3a8d1a6-0167-4884-a8b2-3d72a0b3493c" targetNamespace="http://schemas.microsoft.com/office/2006/metadata/properties" ma:root="true" ma:fieldsID="e0cfe8fae55c6a47c33d7d073fdc241b" ns2:_="" ns3:_="" ns4:_="">
    <xsd:import namespace="0f960519-5caf-4de2-84f0-f6d58d38b748"/>
    <xsd:import namespace="f24df638-9aca-4731-be58-9fbaeb5edb6e"/>
    <xsd:import namespace="c3a8d1a6-0167-4884-a8b2-3d72a0b349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Comment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element ref="ns2:Discipline" minOccurs="0"/>
                <xsd:element ref="ns2:Pillar" minOccurs="0"/>
                <xsd:element ref="ns2:Market" minOccurs="0"/>
                <xsd:element ref="ns2:Region" minOccurs="0"/>
                <xsd:element ref="ns2:Highlighted_x003f_" minOccurs="0"/>
                <xsd:element ref="ns2:YearNumber"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60519-5caf-4de2-84f0-f6d58d38b7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Comments" ma:index="21" nillable="true" ma:displayName="Comments" ma:format="Dropdown" ma:internalName="Comments">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Discipline" ma:index="28" nillable="true" ma:displayName="Tool" ma:format="Dropdown" ma:internalName="Discipline">
      <xsd:simpleType>
        <xsd:restriction base="dms:Choice">
          <xsd:enumeration value="Program Wide"/>
          <xsd:enumeration value="Design Check"/>
          <xsd:enumeration value="PlanCheck"/>
          <xsd:enumeration value="MDM"/>
          <xsd:enumeration value="TunDRA"/>
          <xsd:enumeration value="Flood Platform"/>
          <xsd:enumeration value="HDD"/>
          <xsd:enumeration value="Content Lab"/>
          <xsd:enumeration value="ConVoid"/>
          <xsd:enumeration value="FORMA"/>
          <xsd:enumeration value="ModelCheck"/>
        </xsd:restriction>
      </xsd:simpleType>
    </xsd:element>
    <xsd:element name="Pillar" ma:index="29" nillable="true" ma:displayName="Pillar" ma:format="Dropdown" ma:internalName="Pillar">
      <xsd:simpleType>
        <xsd:restriction base="dms:Choice">
          <xsd:enumeration value="AoD"/>
          <xsd:enumeration value="TS"/>
          <xsd:enumeration value="CitDev"/>
          <xsd:enumeration value="DA"/>
        </xsd:restriction>
      </xsd:simpleType>
    </xsd:element>
    <xsd:element name="Market" ma:index="30" nillable="true" ma:displayName="Market" ma:format="Dropdown" ma:internalName="Market">
      <xsd:complexType>
        <xsd:complexContent>
          <xsd:extension base="dms:MultiChoice">
            <xsd:sequence>
              <xsd:element name="Value" maxOccurs="unbounded" minOccurs="0" nillable="true">
                <xsd:simpleType>
                  <xsd:restriction base="dms:Choice">
                    <xsd:enumeration value="Water"/>
                    <xsd:enumeration value="Environmental"/>
                    <xsd:enumeration value="Transportation"/>
                    <xsd:enumeration value="Energy &amp; Power"/>
                    <xsd:enumeration value="Cities &amp; PLaces"/>
                    <xsd:enumeration value="Life Sciences"/>
                    <xsd:enumeration value="Advanced Manufacturing"/>
                    <xsd:enumeration value="Electronics"/>
                  </xsd:restriction>
                </xsd:simpleType>
              </xsd:element>
            </xsd:sequence>
          </xsd:extension>
        </xsd:complexContent>
      </xsd:complexType>
    </xsd:element>
    <xsd:element name="Region" ma:index="31" nillable="true" ma:displayName="Region" ma:format="Dropdown" ma:internalName="Region">
      <xsd:complexType>
        <xsd:complexContent>
          <xsd:extension base="dms:MultiChoice">
            <xsd:sequence>
              <xsd:element name="Value" maxOccurs="unbounded" minOccurs="0" nillable="true">
                <xsd:simpleType>
                  <xsd:restriction base="dms:Choice">
                    <xsd:enumeration value="North America"/>
                    <xsd:enumeration value="Europe"/>
                    <xsd:enumeration value="Middle East"/>
                    <xsd:enumeration value="Asia-Pacific"/>
                    <xsd:enumeration value="South America"/>
                  </xsd:restriction>
                </xsd:simpleType>
              </xsd:element>
            </xsd:sequence>
          </xsd:extension>
        </xsd:complexContent>
      </xsd:complexType>
    </xsd:element>
    <xsd:element name="Highlighted_x003f_" ma:index="32" nillable="true" ma:displayName="Highlighted?" ma:default="1" ma:format="Dropdown" ma:internalName="Highlighted_x003f_">
      <xsd:simpleType>
        <xsd:restriction base="dms:Boolean"/>
      </xsd:simpleType>
    </xsd:element>
    <xsd:element name="YearNumber" ma:index="33" nillable="true" ma:displayName="Year Number" ma:decimals="0" ma:format="Dropdown" ma:internalName="YearNumber" ma:percentage="FALSE">
      <xsd:simpleType>
        <xsd:restriction base="dms:Number">
          <xsd:minInclusive value="2000"/>
        </xsd:restriction>
      </xsd:simpleType>
    </xsd:element>
    <xsd:element name="Year" ma:index="34" nillable="true" ma:displayName="Year" ma:format="DateOnly" ma:internalName="Year">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24df638-9aca-4731-be58-9fbaeb5edb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a8d1a6-0167-4884-a8b2-3d72a0b3493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75af27-805d-40b2-9b33-db717506285c}" ma:internalName="TaxCatchAll" ma:showField="CatchAllData" ma:web="f24df638-9aca-4731-be58-9fbaeb5edb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arket xmlns="0f960519-5caf-4de2-84f0-f6d58d38b748" xsi:nil="true"/>
    <lcf76f155ced4ddcb4097134ff3c332f xmlns="0f960519-5caf-4de2-84f0-f6d58d38b748">
      <Terms xmlns="http://schemas.microsoft.com/office/infopath/2007/PartnerControls"/>
    </lcf76f155ced4ddcb4097134ff3c332f>
    <TaxCatchAll xmlns="c3a8d1a6-0167-4884-a8b2-3d72a0b3493c" xsi:nil="true"/>
    <Region xmlns="0f960519-5caf-4de2-84f0-f6d58d38b748" xsi:nil="true"/>
    <Highlighted_x003f_ xmlns="0f960519-5caf-4de2-84f0-f6d58d38b748">true</Highlighted_x003f_>
    <YearNumber xmlns="0f960519-5caf-4de2-84f0-f6d58d38b748" xsi:nil="true"/>
    <Discipline xmlns="0f960519-5caf-4de2-84f0-f6d58d38b748" xsi:nil="true"/>
    <Comments xmlns="0f960519-5caf-4de2-84f0-f6d58d38b748" xsi:nil="true"/>
    <Year xmlns="0f960519-5caf-4de2-84f0-f6d58d38b748" xsi:nil="true"/>
    <Pillar xmlns="0f960519-5caf-4de2-84f0-f6d58d38b748" xsi:nil="true"/>
  </documentManagement>
</p:properties>
</file>

<file path=customXml/itemProps1.xml><?xml version="1.0" encoding="utf-8"?>
<ds:datastoreItem xmlns:ds="http://schemas.openxmlformats.org/officeDocument/2006/customXml" ds:itemID="{6D121111-BC87-4445-9EAC-778F07B7F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60519-5caf-4de2-84f0-f6d58d38b748"/>
    <ds:schemaRef ds:uri="f24df638-9aca-4731-be58-9fbaeb5edb6e"/>
    <ds:schemaRef ds:uri="c3a8d1a6-0167-4884-a8b2-3d72a0b34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73CA07-0DA4-4597-B98F-F9970D277B3D}">
  <ds:schemaRefs>
    <ds:schemaRef ds:uri="http://schemas.microsoft.com/sharepoint/v3/contenttype/forms"/>
  </ds:schemaRefs>
</ds:datastoreItem>
</file>

<file path=customXml/itemProps3.xml><?xml version="1.0" encoding="utf-8"?>
<ds:datastoreItem xmlns:ds="http://schemas.openxmlformats.org/officeDocument/2006/customXml" ds:itemID="{BCD4DDEA-49B8-45A4-A47F-B580E4062F8B}">
  <ds:schemaRefs>
    <ds:schemaRef ds:uri="http://schemas.microsoft.com/office/2006/metadata/properties"/>
    <ds:schemaRef ds:uri="http://schemas.microsoft.com/office/infopath/2007/PartnerControls"/>
    <ds:schemaRef ds:uri="0f960519-5caf-4de2-84f0-f6d58d38b748"/>
    <ds:schemaRef ds:uri="c3a8d1a6-0167-4884-a8b2-3d72a0b349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34</vt:i4>
      </vt:variant>
    </vt:vector>
  </HeadingPairs>
  <TitlesOfParts>
    <vt:vector size="39" baseType="lpstr">
      <vt:lpstr>Guidance and Scope</vt:lpstr>
      <vt:lpstr>Inputs</vt:lpstr>
      <vt:lpstr>Calculation</vt:lpstr>
      <vt:lpstr>Outputs</vt:lpstr>
      <vt:lpstr>Template Notes</vt:lpstr>
      <vt:lpstr>Demand_M.u.Negative</vt:lpstr>
      <vt:lpstr>Demand_M.u.Positive</vt:lpstr>
      <vt:lpstr>Geometry_a.Negative</vt:lpstr>
      <vt:lpstr>Geometry_b.Negative</vt:lpstr>
      <vt:lpstr>Geometry_b.Positive</vt:lpstr>
      <vt:lpstr>Geometry_b.w</vt:lpstr>
      <vt:lpstr>Geometry_c.Negative</vt:lpstr>
      <vt:lpstr>Geometry_d.p.Negative</vt:lpstr>
      <vt:lpstr>Geometry_d.p.Positive</vt:lpstr>
      <vt:lpstr>Geometry_d.s.Negative</vt:lpstr>
      <vt:lpstr>Geometry_d.s.Positive</vt:lpstr>
      <vt:lpstr>Geometry_h.f.Negative</vt:lpstr>
      <vt:lpstr>Geometry_h.f.Positive</vt:lpstr>
      <vt:lpstr>Geometry_S</vt:lpstr>
      <vt:lpstr>Geometry_S.OH</vt:lpstr>
      <vt:lpstr>Geometry_x.u.Positive</vt:lpstr>
      <vt:lpstr>Mat.Conc_Alpha.1</vt:lpstr>
      <vt:lpstr>Mat.Conc_Beta.1</vt:lpstr>
      <vt:lpstr>Mat.Conc_f.c</vt:lpstr>
      <vt:lpstr>Mat.PT_A.ps</vt:lpstr>
      <vt:lpstr>Mat.PT_E.ps</vt:lpstr>
      <vt:lpstr>Mat.PT_E.s</vt:lpstr>
      <vt:lpstr>Mat.PT_f.pe</vt:lpstr>
      <vt:lpstr>Mat.PT_f.pu</vt:lpstr>
      <vt:lpstr>Mat.PT_f.py</vt:lpstr>
      <vt:lpstr>Mat.PT_k</vt:lpstr>
      <vt:lpstr>Mat.Rebar_A.s.Positive</vt:lpstr>
      <vt:lpstr>Mat.Rebar_epsilon.cl</vt:lpstr>
      <vt:lpstr>Mat.Rebar_epsilon.tl</vt:lpstr>
      <vt:lpstr>Mat.Rebar_f.y</vt:lpstr>
      <vt:lpstr>Calculation!Print_Titles</vt:lpstr>
      <vt:lpstr>Resistance_M.n.Negative</vt:lpstr>
      <vt:lpstr>RF_phi</vt:lpstr>
      <vt:lpstr>TEMPLATE_VERSION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Bloss, Nate</dc:creator>
  <cp:keywords/>
  <dc:description/>
  <cp:lastModifiedBy>Bolanowski, Stanislaw</cp:lastModifiedBy>
  <cp:revision/>
  <cp:lastPrinted>2026-04-23T07:14:44Z</cp:lastPrinted>
  <dcterms:created xsi:type="dcterms:W3CDTF">2020-09-18T21:42:55Z</dcterms:created>
  <dcterms:modified xsi:type="dcterms:W3CDTF">2026-04-29T10:55:15Z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0x01010084A41081B17EE040A2444D5A6D878863</vt:lpwstr>
  </property>
  <property fmtid="{D5CDD505-2E9C-101B-9397-08002B2CF9AE}" pid="3" name="MSIP_Label_4c52bb78-b785-4d5a-8181-ae732e0da257_Enabled">
    <vt:lpwstr>true</vt:lpwstr>
  </property>
  <property fmtid="{D5CDD505-2E9C-101B-9397-08002B2CF9AE}" pid="4" name="MSIP_Label_4c52bb78-b785-4d5a-8181-ae732e0da257_SetDate">
    <vt:lpwstr>2025-11-05T06:00:58Z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263da354-940a-4904-8ed5-f57be3e10c6c</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y fmtid="{D5CDD505-2E9C-101B-9397-08002B2CF9AE}" pid="15" name="Folder_Number">
    <vt:lpwstr/>
  </property>
  <property fmtid="{D5CDD505-2E9C-101B-9397-08002B2CF9AE}" pid="16" name="Folder_Code">
    <vt:lpwstr/>
  </property>
  <property fmtid="{D5CDD505-2E9C-101B-9397-08002B2CF9AE}" pid="17" name="Folder_Name">
    <vt:lpwstr/>
  </property>
  <property fmtid="{D5CDD505-2E9C-101B-9397-08002B2CF9AE}" pid="18" name="Folder_Description">
    <vt:lpwstr/>
  </property>
  <property fmtid="{D5CDD505-2E9C-101B-9397-08002B2CF9AE}" pid="19" name="/Folder_Name/">
    <vt:lpwstr/>
  </property>
  <property fmtid="{D5CDD505-2E9C-101B-9397-08002B2CF9AE}" pid="20" name="/Folder_Description/">
    <vt:lpwstr/>
  </property>
  <property fmtid="{D5CDD505-2E9C-101B-9397-08002B2CF9AE}" pid="21" name="Folder_Version">
    <vt:lpwstr/>
  </property>
  <property fmtid="{D5CDD505-2E9C-101B-9397-08002B2CF9AE}" pid="22" name="Folder_VersionSeq">
    <vt:lpwstr/>
  </property>
  <property fmtid="{D5CDD505-2E9C-101B-9397-08002B2CF9AE}" pid="23" name="Folder_Manager">
    <vt:lpwstr/>
  </property>
  <property fmtid="{D5CDD505-2E9C-101B-9397-08002B2CF9AE}" pid="24" name="Folder_ManagerDesc">
    <vt:lpwstr/>
  </property>
  <property fmtid="{D5CDD505-2E9C-101B-9397-08002B2CF9AE}" pid="25" name="Folder_Storage">
    <vt:lpwstr/>
  </property>
  <property fmtid="{D5CDD505-2E9C-101B-9397-08002B2CF9AE}" pid="26" name="Folder_StorageDesc">
    <vt:lpwstr/>
  </property>
  <property fmtid="{D5CDD505-2E9C-101B-9397-08002B2CF9AE}" pid="27" name="Folder_Creator">
    <vt:lpwstr/>
  </property>
  <property fmtid="{D5CDD505-2E9C-101B-9397-08002B2CF9AE}" pid="28" name="Folder_CreatorDesc">
    <vt:lpwstr/>
  </property>
  <property fmtid="{D5CDD505-2E9C-101B-9397-08002B2CF9AE}" pid="29" name="Folder_CreateDate">
    <vt:lpwstr/>
  </property>
  <property fmtid="{D5CDD505-2E9C-101B-9397-08002B2CF9AE}" pid="30" name="Folder_Updater">
    <vt:lpwstr/>
  </property>
  <property fmtid="{D5CDD505-2E9C-101B-9397-08002B2CF9AE}" pid="31" name="Folder_UpdaterDesc">
    <vt:lpwstr/>
  </property>
  <property fmtid="{D5CDD505-2E9C-101B-9397-08002B2CF9AE}" pid="32" name="Folder_UpdateDate">
    <vt:lpwstr/>
  </property>
  <property fmtid="{D5CDD505-2E9C-101B-9397-08002B2CF9AE}" pid="33" name="Document_Number">
    <vt:lpwstr/>
  </property>
  <property fmtid="{D5CDD505-2E9C-101B-9397-08002B2CF9AE}" pid="34" name="Document_Name">
    <vt:lpwstr/>
  </property>
  <property fmtid="{D5CDD505-2E9C-101B-9397-08002B2CF9AE}" pid="35" name="Document_FileName">
    <vt:lpwstr/>
  </property>
  <property fmtid="{D5CDD505-2E9C-101B-9397-08002B2CF9AE}" pid="36" name="Document_Version">
    <vt:lpwstr/>
  </property>
  <property fmtid="{D5CDD505-2E9C-101B-9397-08002B2CF9AE}" pid="37" name="Document_VersionSeq">
    <vt:lpwstr/>
  </property>
  <property fmtid="{D5CDD505-2E9C-101B-9397-08002B2CF9AE}" pid="38" name="Document_Creator">
    <vt:lpwstr/>
  </property>
  <property fmtid="{D5CDD505-2E9C-101B-9397-08002B2CF9AE}" pid="39" name="Document_CreatorDesc">
    <vt:lpwstr/>
  </property>
  <property fmtid="{D5CDD505-2E9C-101B-9397-08002B2CF9AE}" pid="40" name="Document_CreateDate">
    <vt:lpwstr/>
  </property>
  <property fmtid="{D5CDD505-2E9C-101B-9397-08002B2CF9AE}" pid="41" name="Document_Updater">
    <vt:lpwstr/>
  </property>
  <property fmtid="{D5CDD505-2E9C-101B-9397-08002B2CF9AE}" pid="42" name="Document_UpdaterDesc">
    <vt:lpwstr/>
  </property>
  <property fmtid="{D5CDD505-2E9C-101B-9397-08002B2CF9AE}" pid="43" name="Document_UpdateDate">
    <vt:lpwstr/>
  </property>
  <property fmtid="{D5CDD505-2E9C-101B-9397-08002B2CF9AE}" pid="44" name="Document_Size">
    <vt:lpwstr/>
  </property>
  <property fmtid="{D5CDD505-2E9C-101B-9397-08002B2CF9AE}" pid="45" name="Document_Storage">
    <vt:lpwstr/>
  </property>
  <property fmtid="{D5CDD505-2E9C-101B-9397-08002B2CF9AE}" pid="46" name="Document_StorageDesc">
    <vt:lpwstr/>
  </property>
  <property fmtid="{D5CDD505-2E9C-101B-9397-08002B2CF9AE}" pid="47" name="Document_Department">
    <vt:lpwstr/>
  </property>
  <property fmtid="{D5CDD505-2E9C-101B-9397-08002B2CF9AE}" pid="48" name="Document_DepartmentDesc">
    <vt:lpwstr/>
  </property>
</Properties>
</file>